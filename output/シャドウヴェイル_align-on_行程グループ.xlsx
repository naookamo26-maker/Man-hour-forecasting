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段階予測" sheetId="2" state="visible" r:id="rId2"/>
    <sheet name="カーブ" sheetId="3" state="visible" r:id="rId3"/>
    <sheet name="検証" sheetId="4" state="visible" r:id="rId4"/>
    <sheet name="条件"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4" fontId="6" fillId="4" borderId="1" pivotButton="0" quotePrefix="0" xfId="0"/>
    <xf numFmtId="166" fontId="2" fillId="0" borderId="1" pivotButton="0" quotePrefix="0" xfId="0"/>
    <xf numFmtId="2" fontId="2" fillId="0" borderId="1" pivotButton="0" quotePrefix="0" xfId="0"/>
    <xf numFmtId="167" fontId="2" fillId="0" borderId="1"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月次工数 予測 vs 実績(時間)</a:t>
            </a:r>
          </a:p>
        </rich>
      </tx>
    </title>
    <plotArea>
      <lineChart>
        <grouping val="standard"/>
        <ser>
          <idx val="0"/>
          <order val="0"/>
          <tx>
            <strRef>
              <f>'予測'!B137</f>
            </strRef>
          </tx>
          <spPr>
            <a:ln>
              <a:prstDash val="solid"/>
            </a:ln>
          </spPr>
          <marker>
            <symbol val="none"/>
            <spPr>
              <a:ln>
                <a:prstDash val="solid"/>
              </a:ln>
            </spPr>
          </marker>
          <cat>
            <numRef>
              <f>'予測'!$A$138:$A$173</f>
            </numRef>
          </cat>
          <val>
            <numRef>
              <f>'予測'!$B$138:$B$173</f>
            </numRef>
          </val>
          <smooth val="0"/>
        </ser>
        <ser>
          <idx val="1"/>
          <order val="1"/>
          <tx>
            <strRef>
              <f>'予測'!C137</f>
            </strRef>
          </tx>
          <spPr>
            <a:ln>
              <a:prstDash val="solid"/>
            </a:ln>
          </spPr>
          <marker>
            <symbol val="none"/>
            <spPr>
              <a:ln>
                <a:prstDash val="solid"/>
              </a:ln>
            </spPr>
          </marker>
          <cat>
            <numRef>
              <f>'予測'!$A$138:$A$173</f>
            </numRef>
          </cat>
          <val>
            <numRef>
              <f>'予測'!$C$138:$C$173</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シャドウヴェイル 月次工数(時間・行程グループ積み上げ)</a:t>
            </a:r>
          </a:p>
        </rich>
      </tx>
    </title>
    <plotArea>
      <barChart>
        <barDir val="col"/>
        <grouping val="stacked"/>
        <ser>
          <idx val="0"/>
          <order val="0"/>
          <tx>
            <strRef>
              <f>'予測'!C11</f>
            </strRef>
          </tx>
          <spPr>
            <a:ln>
              <a:prstDash val="solid"/>
            </a:ln>
          </spPr>
          <cat>
            <numRef>
              <f>'予測'!$A$12:$A$47</f>
            </numRef>
          </cat>
          <val>
            <numRef>
              <f>'予測'!$C$12:$C$47</f>
            </numRef>
          </val>
        </ser>
        <ser>
          <idx val="1"/>
          <order val="1"/>
          <tx>
            <strRef>
              <f>'予測'!D11</f>
            </strRef>
          </tx>
          <spPr>
            <a:ln>
              <a:prstDash val="solid"/>
            </a:ln>
          </spPr>
          <cat>
            <numRef>
              <f>'予測'!$A$12:$A$47</f>
            </numRef>
          </cat>
          <val>
            <numRef>
              <f>'予測'!$D$12:$D$47</f>
            </numRef>
          </val>
        </ser>
        <ser>
          <idx val="2"/>
          <order val="2"/>
          <tx>
            <strRef>
              <f>'予測'!E11</f>
            </strRef>
          </tx>
          <spPr>
            <a:ln>
              <a:prstDash val="solid"/>
            </a:ln>
          </spPr>
          <cat>
            <numRef>
              <f>'予測'!$A$12:$A$47</f>
            </numRef>
          </cat>
          <val>
            <numRef>
              <f>'予測'!$E$12:$E$47</f>
            </numRef>
          </val>
        </ser>
        <ser>
          <idx val="3"/>
          <order val="3"/>
          <tx>
            <strRef>
              <f>'予測'!F11</f>
            </strRef>
          </tx>
          <spPr>
            <a:ln>
              <a:prstDash val="solid"/>
            </a:ln>
          </spPr>
          <cat>
            <numRef>
              <f>'予測'!$A$12:$A$47</f>
            </numRef>
          </cat>
          <val>
            <numRef>
              <f>'予測'!$F$12:$F$47</f>
            </numRef>
          </val>
        </ser>
        <ser>
          <idx val="4"/>
          <order val="4"/>
          <tx>
            <strRef>
              <f>'予測'!G11</f>
            </strRef>
          </tx>
          <spPr>
            <a:ln>
              <a:prstDash val="solid"/>
            </a:ln>
          </spPr>
          <cat>
            <numRef>
              <f>'予測'!$A$12:$A$47</f>
            </numRef>
          </cat>
          <val>
            <numRef>
              <f>'予測'!$G$12:$G$47</f>
            </numRef>
          </val>
        </ser>
        <ser>
          <idx val="5"/>
          <order val="5"/>
          <tx>
            <strRef>
              <f>'予測'!H11</f>
            </strRef>
          </tx>
          <spPr>
            <a:ln>
              <a:prstDash val="solid"/>
            </a:ln>
          </spPr>
          <cat>
            <numRef>
              <f>'予測'!$A$12:$A$47</f>
            </numRef>
          </cat>
          <val>
            <numRef>
              <f>'予測'!$H$12:$H$47</f>
            </numRef>
          </val>
        </ser>
        <ser>
          <idx val="6"/>
          <order val="6"/>
          <tx>
            <strRef>
              <f>'予測'!I11</f>
            </strRef>
          </tx>
          <spPr>
            <a:ln>
              <a:prstDash val="solid"/>
            </a:ln>
          </spPr>
          <cat>
            <numRef>
              <f>'予測'!$A$12:$A$47</f>
            </numRef>
          </cat>
          <val>
            <numRef>
              <f>'予測'!$I$12:$I$47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'予測'!$A$12:$A$47</f>
            </numRef>
          </cat>
          <val>
            <numRef>
              <f>'予測'!$K$12:$K$47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シャドウヴェイル 月次工数 実績 vs 段階予測(時間)</a:t>
            </a:r>
          </a:p>
        </rich>
      </tx>
    </title>
    <plotArea>
      <lineChart>
        <grouping val="standard"/>
        <ser>
          <idx val="0"/>
          <order val="0"/>
          <tx>
            <strRef>
              <f>'段階予測'!B9</f>
            </strRef>
          </tx>
          <spPr>
            <a:ln w="28000">
              <a:solidFill>
                <a:srgbClr val="C00000"/>
              </a:solidFill>
              <a:prstDash val="solid"/>
            </a:ln>
          </spPr>
          <marker>
            <symbol val="none"/>
            <spPr>
              <a:ln>
                <a:prstDash val="solid"/>
              </a:ln>
            </spPr>
          </marker>
          <cat>
            <numRef>
              <f>'段階予測'!$A$10:$A$45</f>
            </numRef>
          </cat>
          <val>
            <numRef>
              <f>'段階予測'!$B$10:$B$45</f>
            </numRef>
          </val>
          <smooth val="0"/>
        </ser>
        <ser>
          <idx val="1"/>
          <order val="1"/>
          <tx>
            <strRef>
              <f>'段階予測'!C9</f>
            </strRef>
          </tx>
          <spPr>
            <a:ln>
              <a:prstDash val="solid"/>
            </a:ln>
          </spPr>
          <marker>
            <symbol val="none"/>
            <spPr>
              <a:ln>
                <a:prstDash val="solid"/>
              </a:ln>
            </spPr>
          </marker>
          <cat>
            <numRef>
              <f>'段階予測'!$A$10:$A$45</f>
            </numRef>
          </cat>
          <val>
            <numRef>
              <f>'段階予測'!$C$10:$C$45</f>
            </numRef>
          </val>
          <smooth val="0"/>
        </ser>
        <ser>
          <idx val="2"/>
          <order val="2"/>
          <tx>
            <strRef>
              <f>'段階予測'!D9</f>
            </strRef>
          </tx>
          <spPr>
            <a:ln>
              <a:prstDash val="solid"/>
            </a:ln>
          </spPr>
          <marker>
            <symbol val="none"/>
            <spPr>
              <a:ln>
                <a:prstDash val="solid"/>
              </a:ln>
            </spPr>
          </marker>
          <cat>
            <numRef>
              <f>'段階予測'!$A$10:$A$45</f>
            </numRef>
          </cat>
          <val>
            <numRef>
              <f>'段階予測'!$D$10:$D$45</f>
            </numRef>
          </val>
          <smooth val="0"/>
        </ser>
        <ser>
          <idx val="3"/>
          <order val="3"/>
          <tx>
            <strRef>
              <f>'段階予測'!E9</f>
            </strRef>
          </tx>
          <spPr>
            <a:ln>
              <a:prstDash val="solid"/>
            </a:ln>
          </spPr>
          <marker>
            <symbol val="none"/>
            <spPr>
              <a:ln>
                <a:prstDash val="solid"/>
              </a:ln>
            </spPr>
          </marker>
          <cat>
            <numRef>
              <f>'段階予測'!$A$10:$A$45</f>
            </numRef>
          </cat>
          <val>
            <numRef>
              <f>'段階予測'!$E$10:$E$45</f>
            </numRef>
          </val>
          <smooth val="0"/>
        </ser>
        <ser>
          <idx val="4"/>
          <order val="4"/>
          <tx>
            <strRef>
              <f>'段階予測'!F9</f>
            </strRef>
          </tx>
          <spPr>
            <a:ln>
              <a:prstDash val="solid"/>
            </a:ln>
          </spPr>
          <marker>
            <symbol val="none"/>
            <spPr>
              <a:ln>
                <a:prstDash val="solid"/>
              </a:ln>
            </spPr>
          </marker>
          <cat>
            <numRef>
              <f>'段階予測'!$A$10:$A$45</f>
            </numRef>
          </cat>
          <val>
            <numRef>
              <f>'段階予測'!$F$10:$F$45</f>
            </numRef>
          </val>
          <smooth val="0"/>
        </ser>
        <ser>
          <idx val="5"/>
          <order val="5"/>
          <tx>
            <strRef>
              <f>'段階予測'!G9</f>
            </strRef>
          </tx>
          <spPr>
            <a:ln>
              <a:prstDash val="solid"/>
            </a:ln>
          </spPr>
          <marker>
            <symbol val="none"/>
            <spPr>
              <a:ln>
                <a:prstDash val="solid"/>
              </a:ln>
            </spPr>
          </marker>
          <cat>
            <numRef>
              <f>'段階予測'!$A$10:$A$45</f>
            </numRef>
          </cat>
          <val>
            <numRef>
              <f>'段階予測'!$G$10:$G$45</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累積工数 実績 vs 段階予測(時間)</a:t>
            </a:r>
          </a:p>
        </rich>
      </tx>
    </title>
    <plotArea>
      <lineChart>
        <grouping val="standard"/>
        <ser>
          <idx val="0"/>
          <order val="0"/>
          <tx>
            <strRef>
              <f>'段階予測'!B71</f>
            </strRef>
          </tx>
          <spPr>
            <a:ln w="28000">
              <a:solidFill>
                <a:srgbClr val="C00000"/>
              </a:solidFill>
              <a:prstDash val="solid"/>
            </a:ln>
          </spPr>
          <marker>
            <symbol val="none"/>
            <spPr>
              <a:ln>
                <a:prstDash val="solid"/>
              </a:ln>
            </spPr>
          </marker>
          <cat>
            <numRef>
              <f>'段階予測'!$A$72:$A$107</f>
            </numRef>
          </cat>
          <val>
            <numRef>
              <f>'段階予測'!$B$72:$B$107</f>
            </numRef>
          </val>
          <smooth val="0"/>
        </ser>
        <ser>
          <idx val="1"/>
          <order val="1"/>
          <tx>
            <strRef>
              <f>'段階予測'!C71</f>
            </strRef>
          </tx>
          <spPr>
            <a:ln>
              <a:prstDash val="solid"/>
            </a:ln>
          </spPr>
          <marker>
            <symbol val="none"/>
            <spPr>
              <a:ln>
                <a:prstDash val="solid"/>
              </a:ln>
            </spPr>
          </marker>
          <cat>
            <numRef>
              <f>'段階予測'!$A$72:$A$107</f>
            </numRef>
          </cat>
          <val>
            <numRef>
              <f>'段階予測'!$C$72:$C$107</f>
            </numRef>
          </val>
          <smooth val="0"/>
        </ser>
        <ser>
          <idx val="2"/>
          <order val="2"/>
          <tx>
            <strRef>
              <f>'段階予測'!D71</f>
            </strRef>
          </tx>
          <spPr>
            <a:ln>
              <a:prstDash val="solid"/>
            </a:ln>
          </spPr>
          <marker>
            <symbol val="none"/>
            <spPr>
              <a:ln>
                <a:prstDash val="solid"/>
              </a:ln>
            </spPr>
          </marker>
          <cat>
            <numRef>
              <f>'段階予測'!$A$72:$A$107</f>
            </numRef>
          </cat>
          <val>
            <numRef>
              <f>'段階予測'!$D$72:$D$107</f>
            </numRef>
          </val>
          <smooth val="0"/>
        </ser>
        <ser>
          <idx val="3"/>
          <order val="3"/>
          <tx>
            <strRef>
              <f>'段階予測'!E71</f>
            </strRef>
          </tx>
          <spPr>
            <a:ln>
              <a:prstDash val="solid"/>
            </a:ln>
          </spPr>
          <marker>
            <symbol val="none"/>
            <spPr>
              <a:ln>
                <a:prstDash val="solid"/>
              </a:ln>
            </spPr>
          </marker>
          <cat>
            <numRef>
              <f>'段階予測'!$A$72:$A$107</f>
            </numRef>
          </cat>
          <val>
            <numRef>
              <f>'段階予測'!$E$72:$E$107</f>
            </numRef>
          </val>
          <smooth val="0"/>
        </ser>
        <ser>
          <idx val="4"/>
          <order val="4"/>
          <tx>
            <strRef>
              <f>'段階予測'!F71</f>
            </strRef>
          </tx>
          <spPr>
            <a:ln>
              <a:prstDash val="solid"/>
            </a:ln>
          </spPr>
          <marker>
            <symbol val="none"/>
            <spPr>
              <a:ln>
                <a:prstDash val="solid"/>
              </a:ln>
            </spPr>
          </marker>
          <cat>
            <numRef>
              <f>'段階予測'!$A$72:$A$107</f>
            </numRef>
          </cat>
          <val>
            <numRef>
              <f>'段階予測'!$F$72:$F$107</f>
            </numRef>
          </val>
          <smooth val="0"/>
        </ser>
        <ser>
          <idx val="5"/>
          <order val="5"/>
          <tx>
            <strRef>
              <f>'段階予測'!G71</f>
            </strRef>
          </tx>
          <spPr>
            <a:ln>
              <a:prstDash val="solid"/>
            </a:ln>
          </spPr>
          <marker>
            <symbol val="none"/>
            <spPr>
              <a:ln>
                <a:prstDash val="solid"/>
              </a:ln>
            </spPr>
          </marker>
          <cat>
            <numRef>
              <f>'段階予測'!$A$72:$A$107</f>
            </numRef>
          </cat>
          <val>
            <numRef>
              <f>'段階予測'!$G$72:$G$107</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累積時間</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残り区間の月次誤差WAPE(小さいほど良い)</a:t>
            </a:r>
          </a:p>
        </rich>
      </tx>
    </title>
    <plotArea>
      <barChart>
        <barDir val="col"/>
        <grouping val="clustered"/>
        <ser>
          <idx val="0"/>
          <order val="0"/>
          <tx>
            <strRef>
              <f>'段階予測'!O137</f>
            </strRef>
          </tx>
          <spPr>
            <a:ln>
              <a:prstDash val="solid"/>
            </a:ln>
          </spPr>
          <cat>
            <numRef>
              <f>'段階予測'!$B$138:$B$142</f>
            </numRef>
          </cat>
          <val>
            <numRef>
              <f>'段階予測'!$O$138:$O$142</f>
            </numRef>
          </val>
        </ser>
        <gapWidth val="150"/>
        <axId val="10"/>
        <axId val="100"/>
      </barChart>
      <catAx>
        <axId val="10"/>
        <scaling>
          <orientation val="minMax"/>
        </scaling>
        <axPos val="l"/>
        <title>
          <tx>
            <rich>
              <a:bodyPr/>
              <a:p>
                <a:pPr>
                  <a:defRPr/>
                </a:pPr>
                <a:r>
                  <a:t>段階</a:t>
                </a:r>
              </a:p>
            </rich>
          </tx>
        </title>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_rels/drawing3.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136</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11952000" cy="360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31</row>
      <rowOff>0</rowOff>
    </from>
    <ext cx="93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10728000" cy="432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70</row>
      <rowOff>0</rowOff>
    </from>
    <ext cx="10728000" cy="432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136</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fitToPage="1"/>
  </sheetPr>
  <dimension ref="A1:K1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20" customWidth="1" min="5" max="5"/>
    <col width="15" customWidth="1" min="6" max="6"/>
    <col width="15" customWidth="1" min="7" max="7"/>
    <col width="15" customWidth="1" min="8" max="8"/>
    <col width="15" customWidth="1" min="9" max="9"/>
  </cols>
  <sheetData>
    <row r="1">
      <c r="A1" s="1" t="inlineStr">
        <is>
          <t>工数予測  シャドウヴェイル  (PJ-2021-E)</t>
        </is>
      </c>
    </row>
    <row r="2">
      <c r="A2" s="2" t="inlineStr">
        <is>
          <t>生成日時</t>
        </is>
      </c>
      <c r="B2" s="2" t="inlineStr">
        <is>
          <t>2026-09-04 23:01</t>
        </is>
      </c>
    </row>
    <row r="3">
      <c r="A3" s="2" t="inlineStr">
        <is>
          <t>種別</t>
        </is>
      </c>
      <c r="B3" s="2" t="inlineStr">
        <is>
          <t>新規タイトル開発</t>
        </is>
      </c>
    </row>
    <row r="4">
      <c r="A4" s="2" t="inlineStr">
        <is>
          <t>タグ</t>
        </is>
      </c>
      <c r="B4" s="2" t="inlineStr">
        <is>
          <t>コンソール;新規IP;オンライン要素;外注比率高</t>
        </is>
      </c>
    </row>
    <row r="5">
      <c r="A5" s="2" t="inlineStr">
        <is>
          <t>期間</t>
        </is>
      </c>
      <c r="B5" s="2" t="inlineStr">
        <is>
          <t>2021-01 〜 2023-12  (36ヶ月)</t>
        </is>
      </c>
    </row>
    <row r="6">
      <c r="A6" s="2" t="inlineStr">
        <is>
          <t>契約人月</t>
        </is>
      </c>
      <c r="B6" s="3" t="n">
        <v>2950</v>
      </c>
    </row>
    <row r="7">
      <c r="A7" s="2" t="inlineStr">
        <is>
          <t>人月換算係数</t>
        </is>
      </c>
      <c r="B7" s="4" t="n">
        <v>160</v>
      </c>
      <c r="C7" s="5" t="inlineStr">
        <is>
          <t>← 人月表示はこのセルを参照。定義が違う場合はここを書き換える</t>
        </is>
      </c>
    </row>
    <row r="8">
      <c r="A8" s="2" t="inlineStr">
        <is>
          <t>総工数(時間)</t>
        </is>
      </c>
      <c r="B8" s="3" t="n">
        <v>472000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2021-01</t>
        </is>
      </c>
      <c r="B12" s="11" t="n">
        <v>1</v>
      </c>
      <c r="C12" s="12" t="n">
        <v>3931.3</v>
      </c>
      <c r="D12" s="12" t="n">
        <v>1199</v>
      </c>
      <c r="E12" s="12" t="n">
        <v>545.8</v>
      </c>
      <c r="F12" s="12" t="n">
        <v>225.6</v>
      </c>
      <c r="G12" s="12" t="n">
        <v>0.2</v>
      </c>
      <c r="H12" s="12" t="n">
        <v>0</v>
      </c>
      <c r="I12" s="12" t="n">
        <v>446.5</v>
      </c>
      <c r="J12" s="12">
        <f>SUM(C12:I12)</f>
        <v/>
      </c>
      <c r="K12" s="13">
        <f>SUM($J$12:J12)/$J$48</f>
        <v/>
      </c>
    </row>
    <row r="13">
      <c r="A13" s="10" t="inlineStr">
        <is>
          <t>2021-02</t>
        </is>
      </c>
      <c r="B13" s="11" t="n">
        <v>2</v>
      </c>
      <c r="C13" s="12" t="n">
        <v>3366.3</v>
      </c>
      <c r="D13" s="12" t="n">
        <v>1503.1</v>
      </c>
      <c r="E13" s="12" t="n">
        <v>882.5</v>
      </c>
      <c r="F13" s="12" t="n">
        <v>491.4</v>
      </c>
      <c r="G13" s="12" t="n">
        <v>8.300000000000001</v>
      </c>
      <c r="H13" s="12" t="n">
        <v>0</v>
      </c>
      <c r="I13" s="12" t="n">
        <v>521.8</v>
      </c>
      <c r="J13" s="12">
        <f>SUM(C13:I13)</f>
        <v/>
      </c>
      <c r="K13" s="13">
        <f>SUM($J$12:J13)/$J$48</f>
        <v/>
      </c>
    </row>
    <row r="14">
      <c r="A14" s="10" t="inlineStr">
        <is>
          <t>2021-03</t>
        </is>
      </c>
      <c r="B14" s="11" t="n">
        <v>3</v>
      </c>
      <c r="C14" s="12" t="n">
        <v>3331.7</v>
      </c>
      <c r="D14" s="12" t="n">
        <v>2093.3</v>
      </c>
      <c r="E14" s="12" t="n">
        <v>1585.6</v>
      </c>
      <c r="F14" s="12" t="n">
        <v>1041.6</v>
      </c>
      <c r="G14" s="12" t="n">
        <v>24.4</v>
      </c>
      <c r="H14" s="12" t="n">
        <v>0.5</v>
      </c>
      <c r="I14" s="12" t="n">
        <v>736.3</v>
      </c>
      <c r="J14" s="12">
        <f>SUM(C14:I14)</f>
        <v/>
      </c>
      <c r="K14" s="13">
        <f>SUM($J$12:J14)/$J$48</f>
        <v/>
      </c>
    </row>
    <row r="15">
      <c r="A15" s="10" t="inlineStr">
        <is>
          <t>2021-04</t>
        </is>
      </c>
      <c r="B15" s="11" t="n">
        <v>4</v>
      </c>
      <c r="C15" s="12" t="n">
        <v>2873.2</v>
      </c>
      <c r="D15" s="12" t="n">
        <v>2151.8</v>
      </c>
      <c r="E15" s="12" t="n">
        <v>1855.1</v>
      </c>
      <c r="F15" s="12" t="n">
        <v>1384.1</v>
      </c>
      <c r="G15" s="12" t="n">
        <v>45.1</v>
      </c>
      <c r="H15" s="12" t="n">
        <v>4.5</v>
      </c>
      <c r="I15" s="12" t="n">
        <v>750.8</v>
      </c>
      <c r="J15" s="12">
        <f>SUM(C15:I15)</f>
        <v/>
      </c>
      <c r="K15" s="13">
        <f>SUM($J$12:J15)/$J$48</f>
        <v/>
      </c>
    </row>
    <row r="16">
      <c r="A16" s="10" t="inlineStr">
        <is>
          <t>2021-05</t>
        </is>
      </c>
      <c r="B16" s="11" t="n">
        <v>5</v>
      </c>
      <c r="C16" s="12" t="n">
        <v>2644.9</v>
      </c>
      <c r="D16" s="12" t="n">
        <v>2441</v>
      </c>
      <c r="E16" s="12" t="n">
        <v>2500.5</v>
      </c>
      <c r="F16" s="12" t="n">
        <v>1969.2</v>
      </c>
      <c r="G16" s="12" t="n">
        <v>79.40000000000001</v>
      </c>
      <c r="H16" s="12" t="n">
        <v>15.5</v>
      </c>
      <c r="I16" s="12" t="n">
        <v>851.7</v>
      </c>
      <c r="J16" s="12">
        <f>SUM(C16:I16)</f>
        <v/>
      </c>
      <c r="K16" s="13">
        <f>SUM($J$12:J16)/$J$48</f>
        <v/>
      </c>
    </row>
    <row r="17">
      <c r="A17" s="10" t="inlineStr">
        <is>
          <t>2021-06</t>
        </is>
      </c>
      <c r="B17" s="11" t="n">
        <v>6</v>
      </c>
      <c r="C17" s="12" t="n">
        <v>2124.9</v>
      </c>
      <c r="D17" s="12" t="n">
        <v>2266.7</v>
      </c>
      <c r="E17" s="12" t="n">
        <v>2748.3</v>
      </c>
      <c r="F17" s="12" t="n">
        <v>2187.5</v>
      </c>
      <c r="G17" s="12" t="n">
        <v>113.2</v>
      </c>
      <c r="H17" s="12" t="n">
        <v>28.7</v>
      </c>
      <c r="I17" s="12" t="n">
        <v>850</v>
      </c>
      <c r="J17" s="12">
        <f>SUM(C17:I17)</f>
        <v/>
      </c>
      <c r="K17" s="13">
        <f>SUM($J$12:J17)/$J$48</f>
        <v/>
      </c>
    </row>
    <row r="18">
      <c r="A18" s="10" t="inlineStr">
        <is>
          <t>2021-07</t>
        </is>
      </c>
      <c r="B18" s="11" t="n">
        <v>7</v>
      </c>
      <c r="C18" s="12" t="n">
        <v>1987.3</v>
      </c>
      <c r="D18" s="12" t="n">
        <v>2353.7</v>
      </c>
      <c r="E18" s="12" t="n">
        <v>3154.5</v>
      </c>
      <c r="F18" s="12" t="n">
        <v>2639.2</v>
      </c>
      <c r="G18" s="12" t="n">
        <v>154.4</v>
      </c>
      <c r="H18" s="12" t="n">
        <v>46.2</v>
      </c>
      <c r="I18" s="12" t="n">
        <v>882.4</v>
      </c>
      <c r="J18" s="12">
        <f>SUM(C18:I18)</f>
        <v/>
      </c>
      <c r="K18" s="13">
        <f>SUM($J$12:J18)/$J$48</f>
        <v/>
      </c>
    </row>
    <row r="19">
      <c r="A19" s="10" t="inlineStr">
        <is>
          <t>2021-08</t>
        </is>
      </c>
      <c r="B19" s="11" t="n">
        <v>8</v>
      </c>
      <c r="C19" s="12" t="n">
        <v>1725.4</v>
      </c>
      <c r="D19" s="12" t="n">
        <v>2557.7</v>
      </c>
      <c r="E19" s="12" t="n">
        <v>3730.1</v>
      </c>
      <c r="F19" s="12" t="n">
        <v>3268.1</v>
      </c>
      <c r="G19" s="12" t="n">
        <v>217.6</v>
      </c>
      <c r="H19" s="12" t="n">
        <v>88</v>
      </c>
      <c r="I19" s="12" t="n">
        <v>951.8</v>
      </c>
      <c r="J19" s="12">
        <f>SUM(C19:I19)</f>
        <v/>
      </c>
      <c r="K19" s="13">
        <f>SUM($J$12:J19)/$J$48</f>
        <v/>
      </c>
    </row>
    <row r="20">
      <c r="A20" s="10" t="inlineStr">
        <is>
          <t>2021-09</t>
        </is>
      </c>
      <c r="B20" s="11" t="n">
        <v>9</v>
      </c>
      <c r="C20" s="12" t="n">
        <v>1509.3</v>
      </c>
      <c r="D20" s="12" t="n">
        <v>2568.2</v>
      </c>
      <c r="E20" s="12" t="n">
        <v>3860.2</v>
      </c>
      <c r="F20" s="12" t="n">
        <v>3570.4</v>
      </c>
      <c r="G20" s="12" t="n">
        <v>264.6</v>
      </c>
      <c r="H20" s="12" t="n">
        <v>119.3</v>
      </c>
      <c r="I20" s="12" t="n">
        <v>950.6</v>
      </c>
      <c r="J20" s="12">
        <f>SUM(C20:I20)</f>
        <v/>
      </c>
      <c r="K20" s="13">
        <f>SUM($J$12:J20)/$J$48</f>
        <v/>
      </c>
    </row>
    <row r="21">
      <c r="A21" s="10" t="inlineStr">
        <is>
          <t>2021-10</t>
        </is>
      </c>
      <c r="B21" s="11" t="n">
        <v>10</v>
      </c>
      <c r="C21" s="12" t="n">
        <v>1276.1</v>
      </c>
      <c r="D21" s="12" t="n">
        <v>2734.8</v>
      </c>
      <c r="E21" s="12" t="n">
        <v>4987.9</v>
      </c>
      <c r="F21" s="12" t="n">
        <v>4340.6</v>
      </c>
      <c r="G21" s="12" t="n">
        <v>340.6</v>
      </c>
      <c r="H21" s="12" t="n">
        <v>197.3</v>
      </c>
      <c r="I21" s="12" t="n">
        <v>1013.4</v>
      </c>
      <c r="J21" s="12">
        <f>SUM(C21:I21)</f>
        <v/>
      </c>
      <c r="K21" s="13">
        <f>SUM($J$12:J21)/$J$48</f>
        <v/>
      </c>
    </row>
    <row r="22">
      <c r="A22" s="10" t="inlineStr">
        <is>
          <t>2021-11</t>
        </is>
      </c>
      <c r="B22" s="11" t="n">
        <v>11</v>
      </c>
      <c r="C22" s="12" t="n">
        <v>1107.7</v>
      </c>
      <c r="D22" s="12" t="n">
        <v>2697.6</v>
      </c>
      <c r="E22" s="12" t="n">
        <v>5259.7</v>
      </c>
      <c r="F22" s="12" t="n">
        <v>4425.2</v>
      </c>
      <c r="G22" s="12" t="n">
        <v>365.2</v>
      </c>
      <c r="H22" s="12" t="n">
        <v>230.6</v>
      </c>
      <c r="I22" s="12" t="n">
        <v>1015.6</v>
      </c>
      <c r="J22" s="12">
        <f>SUM(C22:I22)</f>
        <v/>
      </c>
      <c r="K22" s="13">
        <f>SUM($J$12:J22)/$J$48</f>
        <v/>
      </c>
    </row>
    <row r="23">
      <c r="A23" s="10" t="inlineStr">
        <is>
          <t>2021-12</t>
        </is>
      </c>
      <c r="B23" s="11" t="n">
        <v>12</v>
      </c>
      <c r="C23" s="12" t="n">
        <v>880.1</v>
      </c>
      <c r="D23" s="12" t="n">
        <v>2846.2</v>
      </c>
      <c r="E23" s="12" t="n">
        <v>5952.1</v>
      </c>
      <c r="F23" s="12" t="n">
        <v>5090.4</v>
      </c>
      <c r="G23" s="12" t="n">
        <v>485.1</v>
      </c>
      <c r="H23" s="12" t="n">
        <v>324.7</v>
      </c>
      <c r="I23" s="12" t="n">
        <v>1098</v>
      </c>
      <c r="J23" s="12">
        <f>SUM(C23:I23)</f>
        <v/>
      </c>
      <c r="K23" s="13">
        <f>SUM($J$12:J23)/$J$48</f>
        <v/>
      </c>
    </row>
    <row r="24">
      <c r="A24" s="10" t="inlineStr">
        <is>
          <t>2022-01</t>
        </is>
      </c>
      <c r="B24" s="11" t="n">
        <v>13</v>
      </c>
      <c r="C24" s="12" t="n">
        <v>783.2</v>
      </c>
      <c r="D24" s="12" t="n">
        <v>2841.7</v>
      </c>
      <c r="E24" s="12" t="n">
        <v>6309.7</v>
      </c>
      <c r="F24" s="12" t="n">
        <v>5565.5</v>
      </c>
      <c r="G24" s="12" t="n">
        <v>559.5</v>
      </c>
      <c r="H24" s="12" t="n">
        <v>415.7</v>
      </c>
      <c r="I24" s="12" t="n">
        <v>1107.3</v>
      </c>
      <c r="J24" s="12">
        <f>SUM(C24:I24)</f>
        <v/>
      </c>
      <c r="K24" s="13">
        <f>SUM($J$12:J24)/$J$48</f>
        <v/>
      </c>
    </row>
    <row r="25">
      <c r="A25" s="10" t="inlineStr">
        <is>
          <t>2022-02</t>
        </is>
      </c>
      <c r="B25" s="11" t="n">
        <v>14</v>
      </c>
      <c r="C25" s="12" t="n">
        <v>520.7</v>
      </c>
      <c r="D25" s="12" t="n">
        <v>2511.3</v>
      </c>
      <c r="E25" s="12" t="n">
        <v>6137.4</v>
      </c>
      <c r="F25" s="12" t="n">
        <v>5301.7</v>
      </c>
      <c r="G25" s="12" t="n">
        <v>574.9</v>
      </c>
      <c r="H25" s="12" t="n">
        <v>504.5</v>
      </c>
      <c r="I25" s="12" t="n">
        <v>1034.4</v>
      </c>
      <c r="J25" s="12">
        <f>SUM(C25:I25)</f>
        <v/>
      </c>
      <c r="K25" s="13">
        <f>SUM($J$12:J25)/$J$48</f>
        <v/>
      </c>
    </row>
    <row r="26">
      <c r="A26" s="10" t="inlineStr">
        <is>
          <t>2022-03</t>
        </is>
      </c>
      <c r="B26" s="11" t="n">
        <v>15</v>
      </c>
      <c r="C26" s="12" t="n">
        <v>518</v>
      </c>
      <c r="D26" s="12" t="n">
        <v>2930.9</v>
      </c>
      <c r="E26" s="12" t="n">
        <v>7392.2</v>
      </c>
      <c r="F26" s="12" t="n">
        <v>6420.3</v>
      </c>
      <c r="G26" s="12" t="n">
        <v>738.5</v>
      </c>
      <c r="H26" s="12" t="n">
        <v>705.5</v>
      </c>
      <c r="I26" s="12" t="n">
        <v>1189.9</v>
      </c>
      <c r="J26" s="12">
        <f>SUM(C26:I26)</f>
        <v/>
      </c>
      <c r="K26" s="13">
        <f>SUM($J$12:J26)/$J$48</f>
        <v/>
      </c>
    </row>
    <row r="27">
      <c r="A27" s="10" t="inlineStr">
        <is>
          <t>2022-04</t>
        </is>
      </c>
      <c r="B27" s="11" t="n">
        <v>16</v>
      </c>
      <c r="C27" s="12" t="n">
        <v>334.7</v>
      </c>
      <c r="D27" s="12" t="n">
        <v>2512.4</v>
      </c>
      <c r="E27" s="12" t="n">
        <v>6869.8</v>
      </c>
      <c r="F27" s="12" t="n">
        <v>5847.6</v>
      </c>
      <c r="G27" s="12" t="n">
        <v>683.7</v>
      </c>
      <c r="H27" s="12" t="n">
        <v>712.7</v>
      </c>
      <c r="I27" s="12" t="n">
        <v>976.9</v>
      </c>
      <c r="J27" s="12">
        <f>SUM(C27:I27)</f>
        <v/>
      </c>
      <c r="K27" s="13">
        <f>SUM($J$12:J27)/$J$48</f>
        <v/>
      </c>
    </row>
    <row r="28">
      <c r="A28" s="10" t="inlineStr">
        <is>
          <t>2022-05</t>
        </is>
      </c>
      <c r="B28" s="11" t="n">
        <v>17</v>
      </c>
      <c r="C28" s="12" t="n">
        <v>219.5</v>
      </c>
      <c r="D28" s="12" t="n">
        <v>1908.7</v>
      </c>
      <c r="E28" s="12" t="n">
        <v>5660.2</v>
      </c>
      <c r="F28" s="12" t="n">
        <v>4766.2</v>
      </c>
      <c r="G28" s="12" t="n">
        <v>581.7</v>
      </c>
      <c r="H28" s="12" t="n">
        <v>660.7</v>
      </c>
      <c r="I28" s="12" t="n">
        <v>763.3</v>
      </c>
      <c r="J28" s="12">
        <f>SUM(C28:I28)</f>
        <v/>
      </c>
      <c r="K28" s="13">
        <f>SUM($J$12:J28)/$J$48</f>
        <v/>
      </c>
    </row>
    <row r="29">
      <c r="A29" s="10" t="inlineStr">
        <is>
          <t>2022-06</t>
        </is>
      </c>
      <c r="B29" s="11" t="n">
        <v>18</v>
      </c>
      <c r="C29" s="12" t="n">
        <v>179.6</v>
      </c>
      <c r="D29" s="12" t="n">
        <v>1743.9</v>
      </c>
      <c r="E29" s="12" t="n">
        <v>5686.1</v>
      </c>
      <c r="F29" s="12" t="n">
        <v>4945.9</v>
      </c>
      <c r="G29" s="12" t="n">
        <v>679.2</v>
      </c>
      <c r="H29" s="12" t="n">
        <v>836.2</v>
      </c>
      <c r="I29" s="12" t="n">
        <v>797.2</v>
      </c>
      <c r="J29" s="12">
        <f>SUM(C29:I29)</f>
        <v/>
      </c>
      <c r="K29" s="13">
        <f>SUM($J$12:J29)/$J$48</f>
        <v/>
      </c>
    </row>
    <row r="30">
      <c r="A30" s="10" t="inlineStr">
        <is>
          <t>2022-07</t>
        </is>
      </c>
      <c r="B30" s="11" t="n">
        <v>19</v>
      </c>
      <c r="C30" s="12" t="n">
        <v>141.2</v>
      </c>
      <c r="D30" s="12" t="n">
        <v>1629.9</v>
      </c>
      <c r="E30" s="12" t="n">
        <v>5483.6</v>
      </c>
      <c r="F30" s="12" t="n">
        <v>5214.9</v>
      </c>
      <c r="G30" s="12" t="n">
        <v>773.9</v>
      </c>
      <c r="H30" s="12" t="n">
        <v>1116.5</v>
      </c>
      <c r="I30" s="12" t="n">
        <v>833.8</v>
      </c>
      <c r="J30" s="12">
        <f>SUM(C30:I30)</f>
        <v/>
      </c>
      <c r="K30" s="13">
        <f>SUM($J$12:J30)/$J$48</f>
        <v/>
      </c>
    </row>
    <row r="31">
      <c r="A31" s="10" t="inlineStr">
        <is>
          <t>2022-08</t>
        </is>
      </c>
      <c r="B31" s="11" t="n">
        <v>20</v>
      </c>
      <c r="C31" s="12" t="n">
        <v>103.1</v>
      </c>
      <c r="D31" s="12" t="n">
        <v>1485.7</v>
      </c>
      <c r="E31" s="12" t="n">
        <v>5222.8</v>
      </c>
      <c r="F31" s="12" t="n">
        <v>5544.2</v>
      </c>
      <c r="G31" s="12" t="n">
        <v>825.9</v>
      </c>
      <c r="H31" s="12" t="n">
        <v>1313.6</v>
      </c>
      <c r="I31" s="12" t="n">
        <v>844.6</v>
      </c>
      <c r="J31" s="12">
        <f>SUM(C31:I31)</f>
        <v/>
      </c>
      <c r="K31" s="13">
        <f>SUM($J$12:J31)/$J$48</f>
        <v/>
      </c>
    </row>
    <row r="32">
      <c r="A32" s="10" t="inlineStr">
        <is>
          <t>2022-09</t>
        </is>
      </c>
      <c r="B32" s="11" t="n">
        <v>21</v>
      </c>
      <c r="C32" s="12" t="n">
        <v>83.09999999999999</v>
      </c>
      <c r="D32" s="12" t="n">
        <v>1283</v>
      </c>
      <c r="E32" s="12" t="n">
        <v>4835.9</v>
      </c>
      <c r="F32" s="12" t="n">
        <v>5472.4</v>
      </c>
      <c r="G32" s="12" t="n">
        <v>832</v>
      </c>
      <c r="H32" s="12" t="n">
        <v>1480.8</v>
      </c>
      <c r="I32" s="12" t="n">
        <v>809</v>
      </c>
      <c r="J32" s="12">
        <f>SUM(C32:I32)</f>
        <v/>
      </c>
      <c r="K32" s="13">
        <f>SUM($J$12:J32)/$J$48</f>
        <v/>
      </c>
    </row>
    <row r="33">
      <c r="A33" s="10" t="inlineStr">
        <is>
          <t>2022-10</t>
        </is>
      </c>
      <c r="B33" s="11" t="n">
        <v>22</v>
      </c>
      <c r="C33" s="12" t="n">
        <v>67.7</v>
      </c>
      <c r="D33" s="12" t="n">
        <v>1139.2</v>
      </c>
      <c r="E33" s="12" t="n">
        <v>4690.9</v>
      </c>
      <c r="F33" s="12" t="n">
        <v>5606.3</v>
      </c>
      <c r="G33" s="12" t="n">
        <v>924.4</v>
      </c>
      <c r="H33" s="12" t="n">
        <v>1755.1</v>
      </c>
      <c r="I33" s="12" t="n">
        <v>814.8</v>
      </c>
      <c r="J33" s="12">
        <f>SUM(C33:I33)</f>
        <v/>
      </c>
      <c r="K33" s="13">
        <f>SUM($J$12:J33)/$J$48</f>
        <v/>
      </c>
    </row>
    <row r="34">
      <c r="A34" s="10" t="inlineStr">
        <is>
          <t>2022-11</t>
        </is>
      </c>
      <c r="B34" s="11" t="n">
        <v>23</v>
      </c>
      <c r="C34" s="12" t="n">
        <v>53.2</v>
      </c>
      <c r="D34" s="12" t="n">
        <v>985.1</v>
      </c>
      <c r="E34" s="12" t="n">
        <v>4485.3</v>
      </c>
      <c r="F34" s="12" t="n">
        <v>5472</v>
      </c>
      <c r="G34" s="12" t="n">
        <v>940.9</v>
      </c>
      <c r="H34" s="12" t="n">
        <v>2254.5</v>
      </c>
      <c r="I34" s="12" t="n">
        <v>787.8</v>
      </c>
      <c r="J34" s="12">
        <f>SUM(C34:I34)</f>
        <v/>
      </c>
      <c r="K34" s="13">
        <f>SUM($J$12:J34)/$J$48</f>
        <v/>
      </c>
    </row>
    <row r="35">
      <c r="A35" s="10" t="inlineStr">
        <is>
          <t>2022-12</t>
        </is>
      </c>
      <c r="B35" s="11" t="n">
        <v>24</v>
      </c>
      <c r="C35" s="12" t="n">
        <v>36.3</v>
      </c>
      <c r="D35" s="12" t="n">
        <v>833.2</v>
      </c>
      <c r="E35" s="12" t="n">
        <v>4389.2</v>
      </c>
      <c r="F35" s="12" t="n">
        <v>5812.5</v>
      </c>
      <c r="G35" s="12" t="n">
        <v>986.6</v>
      </c>
      <c r="H35" s="12" t="n">
        <v>2737.9</v>
      </c>
      <c r="I35" s="12" t="n">
        <v>787.8</v>
      </c>
      <c r="J35" s="12">
        <f>SUM(C35:I35)</f>
        <v/>
      </c>
      <c r="K35" s="13">
        <f>SUM($J$12:J35)/$J$48</f>
        <v/>
      </c>
    </row>
    <row r="36">
      <c r="A36" s="10" t="inlineStr">
        <is>
          <t>2023-01</t>
        </is>
      </c>
      <c r="B36" s="11" t="n">
        <v>25</v>
      </c>
      <c r="C36" s="12" t="n">
        <v>19.2</v>
      </c>
      <c r="D36" s="12" t="n">
        <v>637.3</v>
      </c>
      <c r="E36" s="12" t="n">
        <v>4233</v>
      </c>
      <c r="F36" s="12" t="n">
        <v>5829.5</v>
      </c>
      <c r="G36" s="12" t="n">
        <v>987.2</v>
      </c>
      <c r="H36" s="12" t="n">
        <v>3241.2</v>
      </c>
      <c r="I36" s="12" t="n">
        <v>724.6</v>
      </c>
      <c r="J36" s="12">
        <f>SUM(C36:I36)</f>
        <v/>
      </c>
      <c r="K36" s="13">
        <f>SUM($J$12:J36)/$J$48</f>
        <v/>
      </c>
    </row>
    <row r="37">
      <c r="A37" s="10" t="inlineStr">
        <is>
          <t>2023-02</t>
        </is>
      </c>
      <c r="B37" s="11" t="n">
        <v>26</v>
      </c>
      <c r="C37" s="12" t="n">
        <v>11.8</v>
      </c>
      <c r="D37" s="12" t="n">
        <v>439.6</v>
      </c>
      <c r="E37" s="12" t="n">
        <v>3420.6</v>
      </c>
      <c r="F37" s="12" t="n">
        <v>4730.4</v>
      </c>
      <c r="G37" s="12" t="n">
        <v>833.6</v>
      </c>
      <c r="H37" s="12" t="n">
        <v>2945.8</v>
      </c>
      <c r="I37" s="12" t="n">
        <v>579.1</v>
      </c>
      <c r="J37" s="12">
        <f>SUM(C37:I37)</f>
        <v/>
      </c>
      <c r="K37" s="13">
        <f>SUM($J$12:J37)/$J$48</f>
        <v/>
      </c>
    </row>
    <row r="38">
      <c r="A38" s="10" t="inlineStr">
        <is>
          <t>2023-03</t>
        </is>
      </c>
      <c r="B38" s="11" t="n">
        <v>27</v>
      </c>
      <c r="C38" s="12" t="n">
        <v>14.2</v>
      </c>
      <c r="D38" s="12" t="n">
        <v>588</v>
      </c>
      <c r="E38" s="12" t="n">
        <v>4984.5</v>
      </c>
      <c r="F38" s="12" t="n">
        <v>6915.9</v>
      </c>
      <c r="G38" s="12" t="n">
        <v>1249.3</v>
      </c>
      <c r="H38" s="12" t="n">
        <v>4508.8</v>
      </c>
      <c r="I38" s="12" t="n">
        <v>859.2</v>
      </c>
      <c r="J38" s="12">
        <f>SUM(C38:I38)</f>
        <v/>
      </c>
      <c r="K38" s="13">
        <f>SUM($J$12:J38)/$J$48</f>
        <v/>
      </c>
    </row>
    <row r="39">
      <c r="A39" s="10" t="inlineStr">
        <is>
          <t>2023-04</t>
        </is>
      </c>
      <c r="B39" s="11" t="n">
        <v>28</v>
      </c>
      <c r="C39" s="12" t="n">
        <v>6.7</v>
      </c>
      <c r="D39" s="12" t="n">
        <v>512.8</v>
      </c>
      <c r="E39" s="12" t="n">
        <v>5117.3</v>
      </c>
      <c r="F39" s="12" t="n">
        <v>6944.7</v>
      </c>
      <c r="G39" s="12" t="n">
        <v>1318</v>
      </c>
      <c r="H39" s="12" t="n">
        <v>5058.9</v>
      </c>
      <c r="I39" s="12" t="n">
        <v>893.4</v>
      </c>
      <c r="J39" s="12">
        <f>SUM(C39:I39)</f>
        <v/>
      </c>
      <c r="K39" s="13">
        <f>SUM($J$12:J39)/$J$48</f>
        <v/>
      </c>
    </row>
    <row r="40">
      <c r="A40" s="10" t="inlineStr">
        <is>
          <t>2023-05</t>
        </is>
      </c>
      <c r="B40" s="11" t="n">
        <v>29</v>
      </c>
      <c r="C40" s="12" t="n">
        <v>0.3</v>
      </c>
      <c r="D40" s="12" t="n">
        <v>356.1</v>
      </c>
      <c r="E40" s="12" t="n">
        <v>4496.4</v>
      </c>
      <c r="F40" s="12" t="n">
        <v>6267.7</v>
      </c>
      <c r="G40" s="12" t="n">
        <v>1237.4</v>
      </c>
      <c r="H40" s="12" t="n">
        <v>5680.4</v>
      </c>
      <c r="I40" s="12" t="n">
        <v>831.2</v>
      </c>
      <c r="J40" s="12">
        <f>SUM(C40:I40)</f>
        <v/>
      </c>
      <c r="K40" s="13">
        <f>SUM($J$12:J40)/$J$48</f>
        <v/>
      </c>
    </row>
    <row r="41">
      <c r="A41" s="10" t="inlineStr">
        <is>
          <t>2023-06</t>
        </is>
      </c>
      <c r="B41" s="11" t="n">
        <v>30</v>
      </c>
      <c r="C41" s="12" t="n">
        <v>0</v>
      </c>
      <c r="D41" s="12" t="n">
        <v>260.7</v>
      </c>
      <c r="E41" s="12" t="n">
        <v>3835.3</v>
      </c>
      <c r="F41" s="12" t="n">
        <v>5228.1</v>
      </c>
      <c r="G41" s="12" t="n">
        <v>1066.4</v>
      </c>
      <c r="H41" s="12" t="n">
        <v>5482</v>
      </c>
      <c r="I41" s="12" t="n">
        <v>774.1</v>
      </c>
      <c r="J41" s="12">
        <f>SUM(C41:I41)</f>
        <v/>
      </c>
      <c r="K41" s="13">
        <f>SUM($J$12:J41)/$J$48</f>
        <v/>
      </c>
    </row>
    <row r="42">
      <c r="A42" s="10" t="inlineStr">
        <is>
          <t>2023-07</t>
        </is>
      </c>
      <c r="B42" s="11" t="n">
        <v>31</v>
      </c>
      <c r="C42" s="12" t="n">
        <v>0</v>
      </c>
      <c r="D42" s="12" t="n">
        <v>170.4</v>
      </c>
      <c r="E42" s="12" t="n">
        <v>2904.6</v>
      </c>
      <c r="F42" s="12" t="n">
        <v>3886.6</v>
      </c>
      <c r="G42" s="12" t="n">
        <v>844.4</v>
      </c>
      <c r="H42" s="12" t="n">
        <v>5825.2</v>
      </c>
      <c r="I42" s="12" t="n">
        <v>705.8</v>
      </c>
      <c r="J42" s="12">
        <f>SUM(C42:I42)</f>
        <v/>
      </c>
      <c r="K42" s="13">
        <f>SUM($J$12:J42)/$J$48</f>
        <v/>
      </c>
    </row>
    <row r="43">
      <c r="A43" s="10" t="inlineStr">
        <is>
          <t>2023-08</t>
        </is>
      </c>
      <c r="B43" s="11" t="n">
        <v>32</v>
      </c>
      <c r="C43" s="12" t="n">
        <v>0</v>
      </c>
      <c r="D43" s="12" t="n">
        <v>89.7</v>
      </c>
      <c r="E43" s="12" t="n">
        <v>1642.9</v>
      </c>
      <c r="F43" s="12" t="n">
        <v>2194.3</v>
      </c>
      <c r="G43" s="12" t="n">
        <v>520.9</v>
      </c>
      <c r="H43" s="12" t="n">
        <v>4623</v>
      </c>
      <c r="I43" s="12" t="n">
        <v>489.8</v>
      </c>
      <c r="J43" s="12">
        <f>SUM(C43:I43)</f>
        <v/>
      </c>
      <c r="K43" s="13">
        <f>SUM($J$12:J43)/$J$48</f>
        <v/>
      </c>
    </row>
    <row r="44">
      <c r="A44" s="10" t="inlineStr">
        <is>
          <t>2023-09</t>
        </is>
      </c>
      <c r="B44" s="11" t="n">
        <v>33</v>
      </c>
      <c r="C44" s="12" t="n">
        <v>0</v>
      </c>
      <c r="D44" s="12" t="n">
        <v>47</v>
      </c>
      <c r="E44" s="12" t="n">
        <v>952.9</v>
      </c>
      <c r="F44" s="12" t="n">
        <v>1253.1</v>
      </c>
      <c r="G44" s="12" t="n">
        <v>311.2</v>
      </c>
      <c r="H44" s="12" t="n">
        <v>3292.2</v>
      </c>
      <c r="I44" s="12" t="n">
        <v>328.2</v>
      </c>
      <c r="J44" s="12">
        <f>SUM(C44:I44)</f>
        <v/>
      </c>
      <c r="K44" s="13">
        <f>SUM($J$12:J44)/$J$48</f>
        <v/>
      </c>
    </row>
    <row r="45">
      <c r="A45" s="10" t="inlineStr">
        <is>
          <t>2023-10</t>
        </is>
      </c>
      <c r="B45" s="11" t="n">
        <v>34</v>
      </c>
      <c r="C45" s="12" t="n">
        <v>0</v>
      </c>
      <c r="D45" s="12" t="n">
        <v>22</v>
      </c>
      <c r="E45" s="12" t="n">
        <v>632</v>
      </c>
      <c r="F45" s="12" t="n">
        <v>767.7</v>
      </c>
      <c r="G45" s="12" t="n">
        <v>199.5</v>
      </c>
      <c r="H45" s="12" t="n">
        <v>2901.2</v>
      </c>
      <c r="I45" s="12" t="n">
        <v>276.4</v>
      </c>
      <c r="J45" s="12">
        <f>SUM(C45:I45)</f>
        <v/>
      </c>
      <c r="K45" s="13">
        <f>SUM($J$12:J45)/$J$48</f>
        <v/>
      </c>
    </row>
    <row r="46">
      <c r="A46" s="10" t="inlineStr">
        <is>
          <t>2023-11</t>
        </is>
      </c>
      <c r="B46" s="11" t="n">
        <v>35</v>
      </c>
      <c r="C46" s="12" t="n">
        <v>0</v>
      </c>
      <c r="D46" s="12" t="n">
        <v>7.5</v>
      </c>
      <c r="E46" s="12" t="n">
        <v>382.5</v>
      </c>
      <c r="F46" s="12" t="n">
        <v>427.9</v>
      </c>
      <c r="G46" s="12" t="n">
        <v>115.5</v>
      </c>
      <c r="H46" s="12" t="n">
        <v>2304</v>
      </c>
      <c r="I46" s="12" t="n">
        <v>219.9</v>
      </c>
      <c r="J46" s="12">
        <f>SUM(C46:I46)</f>
        <v/>
      </c>
      <c r="K46" s="13">
        <f>SUM($J$12:J46)/$J$48</f>
        <v/>
      </c>
    </row>
    <row r="47">
      <c r="A47" s="10" t="inlineStr">
        <is>
          <t>2023-12</t>
        </is>
      </c>
      <c r="B47" s="11" t="n">
        <v>36</v>
      </c>
      <c r="C47" s="12" t="n">
        <v>0</v>
      </c>
      <c r="D47" s="12" t="n">
        <v>4</v>
      </c>
      <c r="E47" s="12" t="n">
        <v>321</v>
      </c>
      <c r="F47" s="12" t="n">
        <v>346.6</v>
      </c>
      <c r="G47" s="12" t="n">
        <v>95.2</v>
      </c>
      <c r="H47" s="12" t="n">
        <v>2157.9</v>
      </c>
      <c r="I47" s="12" t="n">
        <v>207.5</v>
      </c>
      <c r="J47" s="12">
        <f>SUM(C47:I47)</f>
        <v/>
      </c>
      <c r="K47" s="13">
        <f>SUM($J$12:J47)/$J$48</f>
        <v/>
      </c>
    </row>
    <row r="48">
      <c r="A48" s="14" t="inlineStr">
        <is>
          <t>合計</t>
        </is>
      </c>
      <c r="C48" s="15">
        <f>SUM(C12:C47)</f>
        <v/>
      </c>
      <c r="D48" s="15">
        <f>SUM(D12:D47)</f>
        <v/>
      </c>
      <c r="E48" s="15">
        <f>SUM(E12:E47)</f>
        <v/>
      </c>
      <c r="F48" s="15">
        <f>SUM(F12:F47)</f>
        <v/>
      </c>
      <c r="G48" s="15">
        <f>SUM(G12:G47)</f>
        <v/>
      </c>
      <c r="H48" s="15">
        <f>SUM(H12:H47)</f>
        <v/>
      </c>
      <c r="I48" s="15">
        <f>SUM(I12:I47)</f>
        <v/>
      </c>
      <c r="J48" s="15">
        <f>SUM(J12:J47)</f>
        <v/>
      </c>
    </row>
    <row r="49">
      <c r="A49" s="16" t="inlineStr">
        <is>
          <t>構成比</t>
        </is>
      </c>
      <c r="C49" s="17">
        <f>C48/$J$48</f>
        <v/>
      </c>
      <c r="D49" s="17">
        <f>D48/$J$48</f>
        <v/>
      </c>
      <c r="E49" s="17">
        <f>E48/$J$48</f>
        <v/>
      </c>
      <c r="F49" s="17">
        <f>F48/$J$48</f>
        <v/>
      </c>
      <c r="G49" s="17">
        <f>G48/$J$48</f>
        <v/>
      </c>
      <c r="H49" s="17">
        <f>H48/$J$48</f>
        <v/>
      </c>
      <c r="I49" s="17">
        <f>I48/$J$48</f>
        <v/>
      </c>
    </row>
    <row r="52">
      <c r="A52" s="6" t="inlineStr">
        <is>
          <t>■ 月 × 行程グループ 工数(人月)</t>
        </is>
      </c>
    </row>
    <row r="53">
      <c r="A53" s="5" t="inlineStr">
        <is>
          <t>上の時間表を換算係数(160時間/人月)で割った値。係数セルを書き換えると自動で追従する。</t>
        </is>
      </c>
    </row>
    <row r="54">
      <c r="A54" s="18" t="inlineStr">
        <is>
          <t>月</t>
        </is>
      </c>
      <c r="B54" s="8" t="inlineStr">
        <is>
          <t>企画・プリプロ</t>
        </is>
      </c>
      <c r="C54" s="8" t="inlineStr">
        <is>
          <t>ゲームデザイン・シナリオ</t>
        </is>
      </c>
      <c r="D54" s="8" t="inlineStr">
        <is>
          <t>プログラム</t>
        </is>
      </c>
      <c r="E54" s="8" t="inlineStr">
        <is>
          <t>アート</t>
        </is>
      </c>
      <c r="F54" s="8" t="inlineStr">
        <is>
          <t>サウンド</t>
        </is>
      </c>
      <c r="G54" s="8" t="inlineStr">
        <is>
          <t>QA・デバッグ</t>
        </is>
      </c>
      <c r="H54" s="8" t="inlineStr">
        <is>
          <t>PM・運営</t>
        </is>
      </c>
      <c r="I54" s="18" t="inlineStr">
        <is>
          <t>合計</t>
        </is>
      </c>
    </row>
    <row r="55">
      <c r="A55" s="10">
        <f>A12</f>
        <v/>
      </c>
      <c r="B55" s="19">
        <f>C12/$B$7</f>
        <v/>
      </c>
      <c r="C55" s="19">
        <f>D12/$B$7</f>
        <v/>
      </c>
      <c r="D55" s="19">
        <f>E12/$B$7</f>
        <v/>
      </c>
      <c r="E55" s="19">
        <f>F12/$B$7</f>
        <v/>
      </c>
      <c r="F55" s="19">
        <f>G12/$B$7</f>
        <v/>
      </c>
      <c r="G55" s="19">
        <f>H12/$B$7</f>
        <v/>
      </c>
      <c r="H55" s="19">
        <f>I12/$B$7</f>
        <v/>
      </c>
      <c r="I55" s="19">
        <f>SUM(B55:H55)</f>
        <v/>
      </c>
    </row>
    <row r="56">
      <c r="A56" s="10">
        <f>A13</f>
        <v/>
      </c>
      <c r="B56" s="19">
        <f>C13/$B$7</f>
        <v/>
      </c>
      <c r="C56" s="19">
        <f>D13/$B$7</f>
        <v/>
      </c>
      <c r="D56" s="19">
        <f>E13/$B$7</f>
        <v/>
      </c>
      <c r="E56" s="19">
        <f>F13/$B$7</f>
        <v/>
      </c>
      <c r="F56" s="19">
        <f>G13/$B$7</f>
        <v/>
      </c>
      <c r="G56" s="19">
        <f>H13/$B$7</f>
        <v/>
      </c>
      <c r="H56" s="19">
        <f>I13/$B$7</f>
        <v/>
      </c>
      <c r="I56" s="19">
        <f>SUM(B56:H56)</f>
        <v/>
      </c>
    </row>
    <row r="57">
      <c r="A57" s="10">
        <f>A14</f>
        <v/>
      </c>
      <c r="B57" s="19">
        <f>C14/$B$7</f>
        <v/>
      </c>
      <c r="C57" s="19">
        <f>D14/$B$7</f>
        <v/>
      </c>
      <c r="D57" s="19">
        <f>E14/$B$7</f>
        <v/>
      </c>
      <c r="E57" s="19">
        <f>F14/$B$7</f>
        <v/>
      </c>
      <c r="F57" s="19">
        <f>G14/$B$7</f>
        <v/>
      </c>
      <c r="G57" s="19">
        <f>H14/$B$7</f>
        <v/>
      </c>
      <c r="H57" s="19">
        <f>I14/$B$7</f>
        <v/>
      </c>
      <c r="I57" s="19">
        <f>SUM(B57:H57)</f>
        <v/>
      </c>
    </row>
    <row r="58">
      <c r="A58" s="10">
        <f>A15</f>
        <v/>
      </c>
      <c r="B58" s="19">
        <f>C15/$B$7</f>
        <v/>
      </c>
      <c r="C58" s="19">
        <f>D15/$B$7</f>
        <v/>
      </c>
      <c r="D58" s="19">
        <f>E15/$B$7</f>
        <v/>
      </c>
      <c r="E58" s="19">
        <f>F15/$B$7</f>
        <v/>
      </c>
      <c r="F58" s="19">
        <f>G15/$B$7</f>
        <v/>
      </c>
      <c r="G58" s="19">
        <f>H15/$B$7</f>
        <v/>
      </c>
      <c r="H58" s="19">
        <f>I15/$B$7</f>
        <v/>
      </c>
      <c r="I58" s="19">
        <f>SUM(B58:H58)</f>
        <v/>
      </c>
    </row>
    <row r="59">
      <c r="A59" s="10">
        <f>A16</f>
        <v/>
      </c>
      <c r="B59" s="19">
        <f>C16/$B$7</f>
        <v/>
      </c>
      <c r="C59" s="19">
        <f>D16/$B$7</f>
        <v/>
      </c>
      <c r="D59" s="19">
        <f>E16/$B$7</f>
        <v/>
      </c>
      <c r="E59" s="19">
        <f>F16/$B$7</f>
        <v/>
      </c>
      <c r="F59" s="19">
        <f>G16/$B$7</f>
        <v/>
      </c>
      <c r="G59" s="19">
        <f>H16/$B$7</f>
        <v/>
      </c>
      <c r="H59" s="19">
        <f>I16/$B$7</f>
        <v/>
      </c>
      <c r="I59" s="19">
        <f>SUM(B59:H59)</f>
        <v/>
      </c>
    </row>
    <row r="60">
      <c r="A60" s="10">
        <f>A17</f>
        <v/>
      </c>
      <c r="B60" s="19">
        <f>C17/$B$7</f>
        <v/>
      </c>
      <c r="C60" s="19">
        <f>D17/$B$7</f>
        <v/>
      </c>
      <c r="D60" s="19">
        <f>E17/$B$7</f>
        <v/>
      </c>
      <c r="E60" s="19">
        <f>F17/$B$7</f>
        <v/>
      </c>
      <c r="F60" s="19">
        <f>G17/$B$7</f>
        <v/>
      </c>
      <c r="G60" s="19">
        <f>H17/$B$7</f>
        <v/>
      </c>
      <c r="H60" s="19">
        <f>I17/$B$7</f>
        <v/>
      </c>
      <c r="I60" s="19">
        <f>SUM(B60:H60)</f>
        <v/>
      </c>
    </row>
    <row r="61">
      <c r="A61" s="10">
        <f>A18</f>
        <v/>
      </c>
      <c r="B61" s="19">
        <f>C18/$B$7</f>
        <v/>
      </c>
      <c r="C61" s="19">
        <f>D18/$B$7</f>
        <v/>
      </c>
      <c r="D61" s="19">
        <f>E18/$B$7</f>
        <v/>
      </c>
      <c r="E61" s="19">
        <f>F18/$B$7</f>
        <v/>
      </c>
      <c r="F61" s="19">
        <f>G18/$B$7</f>
        <v/>
      </c>
      <c r="G61" s="19">
        <f>H18/$B$7</f>
        <v/>
      </c>
      <c r="H61" s="19">
        <f>I18/$B$7</f>
        <v/>
      </c>
      <c r="I61" s="19">
        <f>SUM(B61:H61)</f>
        <v/>
      </c>
    </row>
    <row r="62">
      <c r="A62" s="10">
        <f>A19</f>
        <v/>
      </c>
      <c r="B62" s="19">
        <f>C19/$B$7</f>
        <v/>
      </c>
      <c r="C62" s="19">
        <f>D19/$B$7</f>
        <v/>
      </c>
      <c r="D62" s="19">
        <f>E19/$B$7</f>
        <v/>
      </c>
      <c r="E62" s="19">
        <f>F19/$B$7</f>
        <v/>
      </c>
      <c r="F62" s="19">
        <f>G19/$B$7</f>
        <v/>
      </c>
      <c r="G62" s="19">
        <f>H19/$B$7</f>
        <v/>
      </c>
      <c r="H62" s="19">
        <f>I19/$B$7</f>
        <v/>
      </c>
      <c r="I62" s="19">
        <f>SUM(B62:H62)</f>
        <v/>
      </c>
    </row>
    <row r="63">
      <c r="A63" s="10">
        <f>A20</f>
        <v/>
      </c>
      <c r="B63" s="19">
        <f>C20/$B$7</f>
        <v/>
      </c>
      <c r="C63" s="19">
        <f>D20/$B$7</f>
        <v/>
      </c>
      <c r="D63" s="19">
        <f>E20/$B$7</f>
        <v/>
      </c>
      <c r="E63" s="19">
        <f>F20/$B$7</f>
        <v/>
      </c>
      <c r="F63" s="19">
        <f>G20/$B$7</f>
        <v/>
      </c>
      <c r="G63" s="19">
        <f>H20/$B$7</f>
        <v/>
      </c>
      <c r="H63" s="19">
        <f>I20/$B$7</f>
        <v/>
      </c>
      <c r="I63" s="19">
        <f>SUM(B63:H63)</f>
        <v/>
      </c>
    </row>
    <row r="64">
      <c r="A64" s="10">
        <f>A21</f>
        <v/>
      </c>
      <c r="B64" s="19">
        <f>C21/$B$7</f>
        <v/>
      </c>
      <c r="C64" s="19">
        <f>D21/$B$7</f>
        <v/>
      </c>
      <c r="D64" s="19">
        <f>E21/$B$7</f>
        <v/>
      </c>
      <c r="E64" s="19">
        <f>F21/$B$7</f>
        <v/>
      </c>
      <c r="F64" s="19">
        <f>G21/$B$7</f>
        <v/>
      </c>
      <c r="G64" s="19">
        <f>H21/$B$7</f>
        <v/>
      </c>
      <c r="H64" s="19">
        <f>I21/$B$7</f>
        <v/>
      </c>
      <c r="I64" s="19">
        <f>SUM(B64:H64)</f>
        <v/>
      </c>
    </row>
    <row r="65">
      <c r="A65" s="10">
        <f>A22</f>
        <v/>
      </c>
      <c r="B65" s="19">
        <f>C22/$B$7</f>
        <v/>
      </c>
      <c r="C65" s="19">
        <f>D22/$B$7</f>
        <v/>
      </c>
      <c r="D65" s="19">
        <f>E22/$B$7</f>
        <v/>
      </c>
      <c r="E65" s="19">
        <f>F22/$B$7</f>
        <v/>
      </c>
      <c r="F65" s="19">
        <f>G22/$B$7</f>
        <v/>
      </c>
      <c r="G65" s="19">
        <f>H22/$B$7</f>
        <v/>
      </c>
      <c r="H65" s="19">
        <f>I22/$B$7</f>
        <v/>
      </c>
      <c r="I65" s="19">
        <f>SUM(B65:H65)</f>
        <v/>
      </c>
    </row>
    <row r="66">
      <c r="A66" s="10">
        <f>A23</f>
        <v/>
      </c>
      <c r="B66" s="19">
        <f>C23/$B$7</f>
        <v/>
      </c>
      <c r="C66" s="19">
        <f>D23/$B$7</f>
        <v/>
      </c>
      <c r="D66" s="19">
        <f>E23/$B$7</f>
        <v/>
      </c>
      <c r="E66" s="19">
        <f>F23/$B$7</f>
        <v/>
      </c>
      <c r="F66" s="19">
        <f>G23/$B$7</f>
        <v/>
      </c>
      <c r="G66" s="19">
        <f>H23/$B$7</f>
        <v/>
      </c>
      <c r="H66" s="19">
        <f>I23/$B$7</f>
        <v/>
      </c>
      <c r="I66" s="19">
        <f>SUM(B66:H66)</f>
        <v/>
      </c>
    </row>
    <row r="67">
      <c r="A67" s="10">
        <f>A24</f>
        <v/>
      </c>
      <c r="B67" s="19">
        <f>C24/$B$7</f>
        <v/>
      </c>
      <c r="C67" s="19">
        <f>D24/$B$7</f>
        <v/>
      </c>
      <c r="D67" s="19">
        <f>E24/$B$7</f>
        <v/>
      </c>
      <c r="E67" s="19">
        <f>F24/$B$7</f>
        <v/>
      </c>
      <c r="F67" s="19">
        <f>G24/$B$7</f>
        <v/>
      </c>
      <c r="G67" s="19">
        <f>H24/$B$7</f>
        <v/>
      </c>
      <c r="H67" s="19">
        <f>I24/$B$7</f>
        <v/>
      </c>
      <c r="I67" s="19">
        <f>SUM(B67:H67)</f>
        <v/>
      </c>
    </row>
    <row r="68">
      <c r="A68" s="10">
        <f>A25</f>
        <v/>
      </c>
      <c r="B68" s="19">
        <f>C25/$B$7</f>
        <v/>
      </c>
      <c r="C68" s="19">
        <f>D25/$B$7</f>
        <v/>
      </c>
      <c r="D68" s="19">
        <f>E25/$B$7</f>
        <v/>
      </c>
      <c r="E68" s="19">
        <f>F25/$B$7</f>
        <v/>
      </c>
      <c r="F68" s="19">
        <f>G25/$B$7</f>
        <v/>
      </c>
      <c r="G68" s="19">
        <f>H25/$B$7</f>
        <v/>
      </c>
      <c r="H68" s="19">
        <f>I25/$B$7</f>
        <v/>
      </c>
      <c r="I68" s="19">
        <f>SUM(B68:H68)</f>
        <v/>
      </c>
    </row>
    <row r="69">
      <c r="A69" s="10">
        <f>A26</f>
        <v/>
      </c>
      <c r="B69" s="19">
        <f>C26/$B$7</f>
        <v/>
      </c>
      <c r="C69" s="19">
        <f>D26/$B$7</f>
        <v/>
      </c>
      <c r="D69" s="19">
        <f>E26/$B$7</f>
        <v/>
      </c>
      <c r="E69" s="19">
        <f>F26/$B$7</f>
        <v/>
      </c>
      <c r="F69" s="19">
        <f>G26/$B$7</f>
        <v/>
      </c>
      <c r="G69" s="19">
        <f>H26/$B$7</f>
        <v/>
      </c>
      <c r="H69" s="19">
        <f>I26/$B$7</f>
        <v/>
      </c>
      <c r="I69" s="19">
        <f>SUM(B69:H69)</f>
        <v/>
      </c>
    </row>
    <row r="70">
      <c r="A70" s="10">
        <f>A27</f>
        <v/>
      </c>
      <c r="B70" s="19">
        <f>C27/$B$7</f>
        <v/>
      </c>
      <c r="C70" s="19">
        <f>D27/$B$7</f>
        <v/>
      </c>
      <c r="D70" s="19">
        <f>E27/$B$7</f>
        <v/>
      </c>
      <c r="E70" s="19">
        <f>F27/$B$7</f>
        <v/>
      </c>
      <c r="F70" s="19">
        <f>G27/$B$7</f>
        <v/>
      </c>
      <c r="G70" s="19">
        <f>H27/$B$7</f>
        <v/>
      </c>
      <c r="H70" s="19">
        <f>I27/$B$7</f>
        <v/>
      </c>
      <c r="I70" s="19">
        <f>SUM(B70:H70)</f>
        <v/>
      </c>
    </row>
    <row r="71">
      <c r="A71" s="10">
        <f>A28</f>
        <v/>
      </c>
      <c r="B71" s="19">
        <f>C28/$B$7</f>
        <v/>
      </c>
      <c r="C71" s="19">
        <f>D28/$B$7</f>
        <v/>
      </c>
      <c r="D71" s="19">
        <f>E28/$B$7</f>
        <v/>
      </c>
      <c r="E71" s="19">
        <f>F28/$B$7</f>
        <v/>
      </c>
      <c r="F71" s="19">
        <f>G28/$B$7</f>
        <v/>
      </c>
      <c r="G71" s="19">
        <f>H28/$B$7</f>
        <v/>
      </c>
      <c r="H71" s="19">
        <f>I28/$B$7</f>
        <v/>
      </c>
      <c r="I71" s="19">
        <f>SUM(B71:H71)</f>
        <v/>
      </c>
    </row>
    <row r="72">
      <c r="A72" s="10">
        <f>A29</f>
        <v/>
      </c>
      <c r="B72" s="19">
        <f>C29/$B$7</f>
        <v/>
      </c>
      <c r="C72" s="19">
        <f>D29/$B$7</f>
        <v/>
      </c>
      <c r="D72" s="19">
        <f>E29/$B$7</f>
        <v/>
      </c>
      <c r="E72" s="19">
        <f>F29/$B$7</f>
        <v/>
      </c>
      <c r="F72" s="19">
        <f>G29/$B$7</f>
        <v/>
      </c>
      <c r="G72" s="19">
        <f>H29/$B$7</f>
        <v/>
      </c>
      <c r="H72" s="19">
        <f>I29/$B$7</f>
        <v/>
      </c>
      <c r="I72" s="19">
        <f>SUM(B72:H72)</f>
        <v/>
      </c>
    </row>
    <row r="73">
      <c r="A73" s="10">
        <f>A30</f>
        <v/>
      </c>
      <c r="B73" s="19">
        <f>C30/$B$7</f>
        <v/>
      </c>
      <c r="C73" s="19">
        <f>D30/$B$7</f>
        <v/>
      </c>
      <c r="D73" s="19">
        <f>E30/$B$7</f>
        <v/>
      </c>
      <c r="E73" s="19">
        <f>F30/$B$7</f>
        <v/>
      </c>
      <c r="F73" s="19">
        <f>G30/$B$7</f>
        <v/>
      </c>
      <c r="G73" s="19">
        <f>H30/$B$7</f>
        <v/>
      </c>
      <c r="H73" s="19">
        <f>I30/$B$7</f>
        <v/>
      </c>
      <c r="I73" s="19">
        <f>SUM(B73:H73)</f>
        <v/>
      </c>
    </row>
    <row r="74">
      <c r="A74" s="10">
        <f>A31</f>
        <v/>
      </c>
      <c r="B74" s="19">
        <f>C31/$B$7</f>
        <v/>
      </c>
      <c r="C74" s="19">
        <f>D31/$B$7</f>
        <v/>
      </c>
      <c r="D74" s="19">
        <f>E31/$B$7</f>
        <v/>
      </c>
      <c r="E74" s="19">
        <f>F31/$B$7</f>
        <v/>
      </c>
      <c r="F74" s="19">
        <f>G31/$B$7</f>
        <v/>
      </c>
      <c r="G74" s="19">
        <f>H31/$B$7</f>
        <v/>
      </c>
      <c r="H74" s="19">
        <f>I31/$B$7</f>
        <v/>
      </c>
      <c r="I74" s="19">
        <f>SUM(B74:H74)</f>
        <v/>
      </c>
    </row>
    <row r="75">
      <c r="A75" s="10">
        <f>A32</f>
        <v/>
      </c>
      <c r="B75" s="19">
        <f>C32/$B$7</f>
        <v/>
      </c>
      <c r="C75" s="19">
        <f>D32/$B$7</f>
        <v/>
      </c>
      <c r="D75" s="19">
        <f>E32/$B$7</f>
        <v/>
      </c>
      <c r="E75" s="19">
        <f>F32/$B$7</f>
        <v/>
      </c>
      <c r="F75" s="19">
        <f>G32/$B$7</f>
        <v/>
      </c>
      <c r="G75" s="19">
        <f>H32/$B$7</f>
        <v/>
      </c>
      <c r="H75" s="19">
        <f>I32/$B$7</f>
        <v/>
      </c>
      <c r="I75" s="19">
        <f>SUM(B75:H75)</f>
        <v/>
      </c>
    </row>
    <row r="76">
      <c r="A76" s="10">
        <f>A33</f>
        <v/>
      </c>
      <c r="B76" s="19">
        <f>C33/$B$7</f>
        <v/>
      </c>
      <c r="C76" s="19">
        <f>D33/$B$7</f>
        <v/>
      </c>
      <c r="D76" s="19">
        <f>E33/$B$7</f>
        <v/>
      </c>
      <c r="E76" s="19">
        <f>F33/$B$7</f>
        <v/>
      </c>
      <c r="F76" s="19">
        <f>G33/$B$7</f>
        <v/>
      </c>
      <c r="G76" s="19">
        <f>H33/$B$7</f>
        <v/>
      </c>
      <c r="H76" s="19">
        <f>I33/$B$7</f>
        <v/>
      </c>
      <c r="I76" s="19">
        <f>SUM(B76:H76)</f>
        <v/>
      </c>
    </row>
    <row r="77">
      <c r="A77" s="10">
        <f>A34</f>
        <v/>
      </c>
      <c r="B77" s="19">
        <f>C34/$B$7</f>
        <v/>
      </c>
      <c r="C77" s="19">
        <f>D34/$B$7</f>
        <v/>
      </c>
      <c r="D77" s="19">
        <f>E34/$B$7</f>
        <v/>
      </c>
      <c r="E77" s="19">
        <f>F34/$B$7</f>
        <v/>
      </c>
      <c r="F77" s="19">
        <f>G34/$B$7</f>
        <v/>
      </c>
      <c r="G77" s="19">
        <f>H34/$B$7</f>
        <v/>
      </c>
      <c r="H77" s="19">
        <f>I34/$B$7</f>
        <v/>
      </c>
      <c r="I77" s="19">
        <f>SUM(B77:H77)</f>
        <v/>
      </c>
    </row>
    <row r="78">
      <c r="A78" s="10">
        <f>A35</f>
        <v/>
      </c>
      <c r="B78" s="19">
        <f>C35/$B$7</f>
        <v/>
      </c>
      <c r="C78" s="19">
        <f>D35/$B$7</f>
        <v/>
      </c>
      <c r="D78" s="19">
        <f>E35/$B$7</f>
        <v/>
      </c>
      <c r="E78" s="19">
        <f>F35/$B$7</f>
        <v/>
      </c>
      <c r="F78" s="19">
        <f>G35/$B$7</f>
        <v/>
      </c>
      <c r="G78" s="19">
        <f>H35/$B$7</f>
        <v/>
      </c>
      <c r="H78" s="19">
        <f>I35/$B$7</f>
        <v/>
      </c>
      <c r="I78" s="19">
        <f>SUM(B78:H78)</f>
        <v/>
      </c>
    </row>
    <row r="79">
      <c r="A79" s="10">
        <f>A36</f>
        <v/>
      </c>
      <c r="B79" s="19">
        <f>C36/$B$7</f>
        <v/>
      </c>
      <c r="C79" s="19">
        <f>D36/$B$7</f>
        <v/>
      </c>
      <c r="D79" s="19">
        <f>E36/$B$7</f>
        <v/>
      </c>
      <c r="E79" s="19">
        <f>F36/$B$7</f>
        <v/>
      </c>
      <c r="F79" s="19">
        <f>G36/$B$7</f>
        <v/>
      </c>
      <c r="G79" s="19">
        <f>H36/$B$7</f>
        <v/>
      </c>
      <c r="H79" s="19">
        <f>I36/$B$7</f>
        <v/>
      </c>
      <c r="I79" s="19">
        <f>SUM(B79:H79)</f>
        <v/>
      </c>
    </row>
    <row r="80">
      <c r="A80" s="10">
        <f>A37</f>
        <v/>
      </c>
      <c r="B80" s="19">
        <f>C37/$B$7</f>
        <v/>
      </c>
      <c r="C80" s="19">
        <f>D37/$B$7</f>
        <v/>
      </c>
      <c r="D80" s="19">
        <f>E37/$B$7</f>
        <v/>
      </c>
      <c r="E80" s="19">
        <f>F37/$B$7</f>
        <v/>
      </c>
      <c r="F80" s="19">
        <f>G37/$B$7</f>
        <v/>
      </c>
      <c r="G80" s="19">
        <f>H37/$B$7</f>
        <v/>
      </c>
      <c r="H80" s="19">
        <f>I37/$B$7</f>
        <v/>
      </c>
      <c r="I80" s="19">
        <f>SUM(B80:H80)</f>
        <v/>
      </c>
    </row>
    <row r="81">
      <c r="A81" s="10">
        <f>A38</f>
        <v/>
      </c>
      <c r="B81" s="19">
        <f>C38/$B$7</f>
        <v/>
      </c>
      <c r="C81" s="19">
        <f>D38/$B$7</f>
        <v/>
      </c>
      <c r="D81" s="19">
        <f>E38/$B$7</f>
        <v/>
      </c>
      <c r="E81" s="19">
        <f>F38/$B$7</f>
        <v/>
      </c>
      <c r="F81" s="19">
        <f>G38/$B$7</f>
        <v/>
      </c>
      <c r="G81" s="19">
        <f>H38/$B$7</f>
        <v/>
      </c>
      <c r="H81" s="19">
        <f>I38/$B$7</f>
        <v/>
      </c>
      <c r="I81" s="19">
        <f>SUM(B81:H81)</f>
        <v/>
      </c>
    </row>
    <row r="82">
      <c r="A82" s="10">
        <f>A39</f>
        <v/>
      </c>
      <c r="B82" s="19">
        <f>C39/$B$7</f>
        <v/>
      </c>
      <c r="C82" s="19">
        <f>D39/$B$7</f>
        <v/>
      </c>
      <c r="D82" s="19">
        <f>E39/$B$7</f>
        <v/>
      </c>
      <c r="E82" s="19">
        <f>F39/$B$7</f>
        <v/>
      </c>
      <c r="F82" s="19">
        <f>G39/$B$7</f>
        <v/>
      </c>
      <c r="G82" s="19">
        <f>H39/$B$7</f>
        <v/>
      </c>
      <c r="H82" s="19">
        <f>I39/$B$7</f>
        <v/>
      </c>
      <c r="I82" s="19">
        <f>SUM(B82:H82)</f>
        <v/>
      </c>
    </row>
    <row r="83">
      <c r="A83" s="10">
        <f>A40</f>
        <v/>
      </c>
      <c r="B83" s="19">
        <f>C40/$B$7</f>
        <v/>
      </c>
      <c r="C83" s="19">
        <f>D40/$B$7</f>
        <v/>
      </c>
      <c r="D83" s="19">
        <f>E40/$B$7</f>
        <v/>
      </c>
      <c r="E83" s="19">
        <f>F40/$B$7</f>
        <v/>
      </c>
      <c r="F83" s="19">
        <f>G40/$B$7</f>
        <v/>
      </c>
      <c r="G83" s="19">
        <f>H40/$B$7</f>
        <v/>
      </c>
      <c r="H83" s="19">
        <f>I40/$B$7</f>
        <v/>
      </c>
      <c r="I83" s="19">
        <f>SUM(B83:H83)</f>
        <v/>
      </c>
    </row>
    <row r="84">
      <c r="A84" s="10">
        <f>A41</f>
        <v/>
      </c>
      <c r="B84" s="19">
        <f>C41/$B$7</f>
        <v/>
      </c>
      <c r="C84" s="19">
        <f>D41/$B$7</f>
        <v/>
      </c>
      <c r="D84" s="19">
        <f>E41/$B$7</f>
        <v/>
      </c>
      <c r="E84" s="19">
        <f>F41/$B$7</f>
        <v/>
      </c>
      <c r="F84" s="19">
        <f>G41/$B$7</f>
        <v/>
      </c>
      <c r="G84" s="19">
        <f>H41/$B$7</f>
        <v/>
      </c>
      <c r="H84" s="19">
        <f>I41/$B$7</f>
        <v/>
      </c>
      <c r="I84" s="19">
        <f>SUM(B84:H84)</f>
        <v/>
      </c>
    </row>
    <row r="85">
      <c r="A85" s="10">
        <f>A42</f>
        <v/>
      </c>
      <c r="B85" s="19">
        <f>C42/$B$7</f>
        <v/>
      </c>
      <c r="C85" s="19">
        <f>D42/$B$7</f>
        <v/>
      </c>
      <c r="D85" s="19">
        <f>E42/$B$7</f>
        <v/>
      </c>
      <c r="E85" s="19">
        <f>F42/$B$7</f>
        <v/>
      </c>
      <c r="F85" s="19">
        <f>G42/$B$7</f>
        <v/>
      </c>
      <c r="G85" s="19">
        <f>H42/$B$7</f>
        <v/>
      </c>
      <c r="H85" s="19">
        <f>I42/$B$7</f>
        <v/>
      </c>
      <c r="I85" s="19">
        <f>SUM(B85:H85)</f>
        <v/>
      </c>
    </row>
    <row r="86">
      <c r="A86" s="10">
        <f>A43</f>
        <v/>
      </c>
      <c r="B86" s="19">
        <f>C43/$B$7</f>
        <v/>
      </c>
      <c r="C86" s="19">
        <f>D43/$B$7</f>
        <v/>
      </c>
      <c r="D86" s="19">
        <f>E43/$B$7</f>
        <v/>
      </c>
      <c r="E86" s="19">
        <f>F43/$B$7</f>
        <v/>
      </c>
      <c r="F86" s="19">
        <f>G43/$B$7</f>
        <v/>
      </c>
      <c r="G86" s="19">
        <f>H43/$B$7</f>
        <v/>
      </c>
      <c r="H86" s="19">
        <f>I43/$B$7</f>
        <v/>
      </c>
      <c r="I86" s="19">
        <f>SUM(B86:H86)</f>
        <v/>
      </c>
    </row>
    <row r="87">
      <c r="A87" s="10">
        <f>A44</f>
        <v/>
      </c>
      <c r="B87" s="19">
        <f>C44/$B$7</f>
        <v/>
      </c>
      <c r="C87" s="19">
        <f>D44/$B$7</f>
        <v/>
      </c>
      <c r="D87" s="19">
        <f>E44/$B$7</f>
        <v/>
      </c>
      <c r="E87" s="19">
        <f>F44/$B$7</f>
        <v/>
      </c>
      <c r="F87" s="19">
        <f>G44/$B$7</f>
        <v/>
      </c>
      <c r="G87" s="19">
        <f>H44/$B$7</f>
        <v/>
      </c>
      <c r="H87" s="19">
        <f>I44/$B$7</f>
        <v/>
      </c>
      <c r="I87" s="19">
        <f>SUM(B87:H87)</f>
        <v/>
      </c>
    </row>
    <row r="88">
      <c r="A88" s="10">
        <f>A45</f>
        <v/>
      </c>
      <c r="B88" s="19">
        <f>C45/$B$7</f>
        <v/>
      </c>
      <c r="C88" s="19">
        <f>D45/$B$7</f>
        <v/>
      </c>
      <c r="D88" s="19">
        <f>E45/$B$7</f>
        <v/>
      </c>
      <c r="E88" s="19">
        <f>F45/$B$7</f>
        <v/>
      </c>
      <c r="F88" s="19">
        <f>G45/$B$7</f>
        <v/>
      </c>
      <c r="G88" s="19">
        <f>H45/$B$7</f>
        <v/>
      </c>
      <c r="H88" s="19">
        <f>I45/$B$7</f>
        <v/>
      </c>
      <c r="I88" s="19">
        <f>SUM(B88:H88)</f>
        <v/>
      </c>
    </row>
    <row r="89">
      <c r="A89" s="10">
        <f>A46</f>
        <v/>
      </c>
      <c r="B89" s="19">
        <f>C46/$B$7</f>
        <v/>
      </c>
      <c r="C89" s="19">
        <f>D46/$B$7</f>
        <v/>
      </c>
      <c r="D89" s="19">
        <f>E46/$B$7</f>
        <v/>
      </c>
      <c r="E89" s="19">
        <f>F46/$B$7</f>
        <v/>
      </c>
      <c r="F89" s="19">
        <f>G46/$B$7</f>
        <v/>
      </c>
      <c r="G89" s="19">
        <f>H46/$B$7</f>
        <v/>
      </c>
      <c r="H89" s="19">
        <f>I46/$B$7</f>
        <v/>
      </c>
      <c r="I89" s="19">
        <f>SUM(B89:H89)</f>
        <v/>
      </c>
    </row>
    <row r="90">
      <c r="A90" s="10">
        <f>A47</f>
        <v/>
      </c>
      <c r="B90" s="19">
        <f>C47/$B$7</f>
        <v/>
      </c>
      <c r="C90" s="19">
        <f>D47/$B$7</f>
        <v/>
      </c>
      <c r="D90" s="19">
        <f>E47/$B$7</f>
        <v/>
      </c>
      <c r="E90" s="19">
        <f>F47/$B$7</f>
        <v/>
      </c>
      <c r="F90" s="19">
        <f>G47/$B$7</f>
        <v/>
      </c>
      <c r="G90" s="19">
        <f>H47/$B$7</f>
        <v/>
      </c>
      <c r="H90" s="19">
        <f>I47/$B$7</f>
        <v/>
      </c>
      <c r="I90" s="19">
        <f>SUM(B90:H90)</f>
        <v/>
      </c>
    </row>
    <row r="91">
      <c r="A91" s="14" t="inlineStr">
        <is>
          <t>合計</t>
        </is>
      </c>
      <c r="B91" s="20">
        <f>SUM(B55:B90)</f>
        <v/>
      </c>
      <c r="C91" s="20">
        <f>SUM(C55:C90)</f>
        <v/>
      </c>
      <c r="D91" s="20">
        <f>SUM(D55:D90)</f>
        <v/>
      </c>
      <c r="E91" s="20">
        <f>SUM(E55:E90)</f>
        <v/>
      </c>
      <c r="F91" s="20">
        <f>SUM(F55:F90)</f>
        <v/>
      </c>
      <c r="G91" s="20">
        <f>SUM(G55:G90)</f>
        <v/>
      </c>
      <c r="H91" s="20">
        <f>SUM(H55:H90)</f>
        <v/>
      </c>
      <c r="I91" s="20">
        <f>SUM(I55:I90)</f>
        <v/>
      </c>
    </row>
    <row r="93">
      <c r="A93" s="6" t="inlineStr">
        <is>
          <t>■ 実績(時間)と 予測との比較</t>
        </is>
      </c>
    </row>
    <row r="94">
      <c r="A94" s="5" t="inlineStr">
        <is>
          <t>実績は予測と同じ集計(phase_map に載る行程・契約期間内)で作っている。実績が入っている月までが比較対象で、それ以降の実績は 0 と表示される。</t>
        </is>
      </c>
    </row>
    <row r="96">
      <c r="A96" s="7" t="inlineStr">
        <is>
          <t>月</t>
        </is>
      </c>
      <c r="B96" s="8" t="inlineStr">
        <is>
          <t>経過月</t>
        </is>
      </c>
      <c r="C96" s="8" t="inlineStr">
        <is>
          <t>企画・プリプロ</t>
        </is>
      </c>
      <c r="D96" s="8" t="inlineStr">
        <is>
          <t>ゲームデザイン・シナリオ</t>
        </is>
      </c>
      <c r="E96" s="8" t="inlineStr">
        <is>
          <t>プログラム</t>
        </is>
      </c>
      <c r="F96" s="8" t="inlineStr">
        <is>
          <t>アート</t>
        </is>
      </c>
      <c r="G96" s="8" t="inlineStr">
        <is>
          <t>サウンド</t>
        </is>
      </c>
      <c r="H96" s="8" t="inlineStr">
        <is>
          <t>QA・デバッグ</t>
        </is>
      </c>
      <c r="I96" s="8" t="inlineStr">
        <is>
          <t>PM・運営</t>
        </is>
      </c>
      <c r="J96" s="18" t="inlineStr">
        <is>
          <t>合計</t>
        </is>
      </c>
    </row>
    <row r="97">
      <c r="A97" s="10" t="inlineStr">
        <is>
          <t>2021-01</t>
        </is>
      </c>
      <c r="B97" s="11" t="n">
        <v>1</v>
      </c>
      <c r="C97" s="12" t="n">
        <v>1905.7</v>
      </c>
      <c r="D97" s="12" t="n">
        <v>199.5</v>
      </c>
      <c r="E97" s="12" t="n">
        <v>18.7</v>
      </c>
      <c r="F97" s="12" t="n">
        <v>0</v>
      </c>
      <c r="G97" s="12" t="n">
        <v>0</v>
      </c>
      <c r="H97" s="12" t="n">
        <v>0</v>
      </c>
      <c r="I97" s="12" t="n">
        <v>88.90000000000001</v>
      </c>
      <c r="J97" s="12">
        <f>SUM(C97:I97)</f>
        <v/>
      </c>
    </row>
    <row r="98">
      <c r="A98" s="10" t="inlineStr">
        <is>
          <t>2021-02</t>
        </is>
      </c>
      <c r="B98" s="11" t="n">
        <v>2</v>
      </c>
      <c r="C98" s="12" t="n">
        <v>2485.4</v>
      </c>
      <c r="D98" s="12" t="n">
        <v>472.9</v>
      </c>
      <c r="E98" s="12" t="n">
        <v>125.8</v>
      </c>
      <c r="F98" s="12" t="n">
        <v>33.4</v>
      </c>
      <c r="G98" s="12" t="n">
        <v>0</v>
      </c>
      <c r="H98" s="12" t="n">
        <v>0</v>
      </c>
      <c r="I98" s="12" t="n">
        <v>171.9</v>
      </c>
      <c r="J98" s="12">
        <f>SUM(C98:I98)</f>
        <v/>
      </c>
    </row>
    <row r="99">
      <c r="A99" s="10" t="inlineStr">
        <is>
          <t>2021-03</t>
        </is>
      </c>
      <c r="B99" s="11" t="n">
        <v>3</v>
      </c>
      <c r="C99" s="12" t="n">
        <v>3062.3</v>
      </c>
      <c r="D99" s="12" t="n">
        <v>867.1</v>
      </c>
      <c r="E99" s="12" t="n">
        <v>299.6</v>
      </c>
      <c r="F99" s="12" t="n">
        <v>96.59999999999999</v>
      </c>
      <c r="G99" s="12" t="n">
        <v>0</v>
      </c>
      <c r="H99" s="12" t="n">
        <v>0</v>
      </c>
      <c r="I99" s="12" t="n">
        <v>285.1</v>
      </c>
      <c r="J99" s="12">
        <f>SUM(C99:I99)</f>
        <v/>
      </c>
    </row>
    <row r="100">
      <c r="A100" s="10" t="inlineStr">
        <is>
          <t>2021-04</t>
        </is>
      </c>
      <c r="B100" s="11" t="n">
        <v>4</v>
      </c>
      <c r="C100" s="12" t="n">
        <v>3327.9</v>
      </c>
      <c r="D100" s="12" t="n">
        <v>1097.2</v>
      </c>
      <c r="E100" s="12" t="n">
        <v>441.9</v>
      </c>
      <c r="F100" s="12" t="n">
        <v>217.9</v>
      </c>
      <c r="G100" s="12" t="n">
        <v>0</v>
      </c>
      <c r="H100" s="12" t="n">
        <v>0</v>
      </c>
      <c r="I100" s="12" t="n">
        <v>307.9</v>
      </c>
      <c r="J100" s="12">
        <f>SUM(C100:I100)</f>
        <v/>
      </c>
    </row>
    <row r="101">
      <c r="A101" s="10" t="inlineStr">
        <is>
          <t>2021-05</t>
        </is>
      </c>
      <c r="B101" s="11" t="n">
        <v>5</v>
      </c>
      <c r="C101" s="12" t="n">
        <v>3091</v>
      </c>
      <c r="D101" s="12" t="n">
        <v>1331.9</v>
      </c>
      <c r="E101" s="12" t="n">
        <v>653.4</v>
      </c>
      <c r="F101" s="12" t="n">
        <v>405.1</v>
      </c>
      <c r="G101" s="12" t="n">
        <v>0</v>
      </c>
      <c r="H101" s="12" t="n">
        <v>0</v>
      </c>
      <c r="I101" s="12" t="n">
        <v>393.7</v>
      </c>
      <c r="J101" s="12">
        <f>SUM(C101:I101)</f>
        <v/>
      </c>
    </row>
    <row r="102">
      <c r="A102" s="10" t="inlineStr">
        <is>
          <t>2021-06</t>
        </is>
      </c>
      <c r="B102" s="11" t="n">
        <v>6</v>
      </c>
      <c r="C102" s="12" t="n">
        <v>3100.1</v>
      </c>
      <c r="D102" s="12" t="n">
        <v>1540.6</v>
      </c>
      <c r="E102" s="12" t="n">
        <v>949</v>
      </c>
      <c r="F102" s="12" t="n">
        <v>565.9</v>
      </c>
      <c r="G102" s="12" t="n">
        <v>11.3</v>
      </c>
      <c r="H102" s="12" t="n">
        <v>0</v>
      </c>
      <c r="I102" s="12" t="n">
        <v>497.3</v>
      </c>
      <c r="J102" s="12">
        <f>SUM(C102:I102)</f>
        <v/>
      </c>
    </row>
    <row r="103">
      <c r="A103" s="10" t="inlineStr">
        <is>
          <t>2021-07</t>
        </is>
      </c>
      <c r="B103" s="11" t="n">
        <v>7</v>
      </c>
      <c r="C103" s="12" t="n">
        <v>2908.9</v>
      </c>
      <c r="D103" s="12" t="n">
        <v>1686.5</v>
      </c>
      <c r="E103" s="12" t="n">
        <v>1171.1</v>
      </c>
      <c r="F103" s="12" t="n">
        <v>814.8</v>
      </c>
      <c r="G103" s="12" t="n">
        <v>22.3</v>
      </c>
      <c r="H103" s="12" t="n">
        <v>0</v>
      </c>
      <c r="I103" s="12" t="n">
        <v>510.6</v>
      </c>
      <c r="J103" s="12">
        <f>SUM(C103:I103)</f>
        <v/>
      </c>
    </row>
    <row r="104">
      <c r="A104" s="10" t="inlineStr">
        <is>
          <t>2021-08</t>
        </is>
      </c>
      <c r="B104" s="11" t="n">
        <v>8</v>
      </c>
      <c r="C104" s="12" t="n">
        <v>2368.4</v>
      </c>
      <c r="D104" s="12" t="n">
        <v>1838.8</v>
      </c>
      <c r="E104" s="12" t="n">
        <v>1252.7</v>
      </c>
      <c r="F104" s="12" t="n">
        <v>1101.4</v>
      </c>
      <c r="G104" s="12" t="n">
        <v>38.1</v>
      </c>
      <c r="H104" s="12" t="n">
        <v>0</v>
      </c>
      <c r="I104" s="12" t="n">
        <v>560.4</v>
      </c>
      <c r="J104" s="12">
        <f>SUM(C104:I104)</f>
        <v/>
      </c>
    </row>
    <row r="105">
      <c r="A105" s="10" t="inlineStr">
        <is>
          <t>2021-09</t>
        </is>
      </c>
      <c r="B105" s="11" t="n">
        <v>9</v>
      </c>
      <c r="C105" s="12" t="n">
        <v>2348.9</v>
      </c>
      <c r="D105" s="12" t="n">
        <v>1904.5</v>
      </c>
      <c r="E105" s="12" t="n">
        <v>1482.2</v>
      </c>
      <c r="F105" s="12" t="n">
        <v>1340.7</v>
      </c>
      <c r="G105" s="12" t="n">
        <v>51.6</v>
      </c>
      <c r="H105" s="12" t="n">
        <v>0</v>
      </c>
      <c r="I105" s="12" t="n">
        <v>597.4</v>
      </c>
      <c r="J105" s="12">
        <f>SUM(C105:I105)</f>
        <v/>
      </c>
    </row>
    <row r="106">
      <c r="A106" s="10" t="inlineStr">
        <is>
          <t>2021-10</t>
        </is>
      </c>
      <c r="B106" s="11" t="n">
        <v>10</v>
      </c>
      <c r="C106" s="12" t="n">
        <v>2977.9</v>
      </c>
      <c r="D106" s="12" t="n">
        <v>2830.9</v>
      </c>
      <c r="E106" s="12" t="n">
        <v>2578.6</v>
      </c>
      <c r="F106" s="12" t="n">
        <v>2002.9</v>
      </c>
      <c r="G106" s="12" t="n">
        <v>109.1</v>
      </c>
      <c r="H106" s="12" t="n">
        <v>9.199999999999999</v>
      </c>
      <c r="I106" s="12" t="n">
        <v>887.9</v>
      </c>
      <c r="J106" s="12">
        <f>SUM(C106:I106)</f>
        <v/>
      </c>
    </row>
    <row r="107">
      <c r="A107" s="10" t="inlineStr">
        <is>
          <t>2021-11</t>
        </is>
      </c>
      <c r="B107" s="11" t="n">
        <v>11</v>
      </c>
      <c r="C107" s="12" t="n">
        <v>3868.3</v>
      </c>
      <c r="D107" s="12" t="n">
        <v>5032.1</v>
      </c>
      <c r="E107" s="12" t="n">
        <v>5787.7</v>
      </c>
      <c r="F107" s="12" t="n">
        <v>6264.9</v>
      </c>
      <c r="G107" s="12" t="n">
        <v>279</v>
      </c>
      <c r="H107" s="12" t="n">
        <v>61.8</v>
      </c>
      <c r="I107" s="12" t="n">
        <v>1413.6</v>
      </c>
      <c r="J107" s="12">
        <f>SUM(C107:I107)</f>
        <v/>
      </c>
    </row>
    <row r="108">
      <c r="A108" s="10" t="inlineStr">
        <is>
          <t>2021-12</t>
        </is>
      </c>
      <c r="B108" s="11" t="n">
        <v>12</v>
      </c>
      <c r="C108" s="12" t="n">
        <v>2913.4</v>
      </c>
      <c r="D108" s="12" t="n">
        <v>5139.3</v>
      </c>
      <c r="E108" s="12" t="n">
        <v>6330.2</v>
      </c>
      <c r="F108" s="12" t="n">
        <v>7214</v>
      </c>
      <c r="G108" s="12" t="n">
        <v>542.9</v>
      </c>
      <c r="H108" s="12" t="n">
        <v>144.5</v>
      </c>
      <c r="I108" s="12" t="n">
        <v>2048.5</v>
      </c>
      <c r="J108" s="12">
        <f>SUM(C108:I108)</f>
        <v/>
      </c>
    </row>
    <row r="109">
      <c r="A109" s="10" t="inlineStr">
        <is>
          <t>2022-01</t>
        </is>
      </c>
      <c r="B109" s="11" t="n">
        <v>13</v>
      </c>
      <c r="C109" s="12" t="n">
        <v>2300</v>
      </c>
      <c r="D109" s="12" t="n">
        <v>5167.4</v>
      </c>
      <c r="E109" s="12" t="n">
        <v>8924.6</v>
      </c>
      <c r="F109" s="12" t="n">
        <v>9533.1</v>
      </c>
      <c r="G109" s="12" t="n">
        <v>901.5</v>
      </c>
      <c r="H109" s="12" t="n">
        <v>288.6</v>
      </c>
      <c r="I109" s="12" t="n">
        <v>1824.9</v>
      </c>
      <c r="J109" s="12">
        <f>SUM(C109:I109)</f>
        <v/>
      </c>
    </row>
    <row r="110">
      <c r="A110" s="10" t="inlineStr">
        <is>
          <t>2022-02</t>
        </is>
      </c>
      <c r="B110" s="11" t="n">
        <v>14</v>
      </c>
      <c r="C110" s="12" t="n">
        <v>1374.9</v>
      </c>
      <c r="D110" s="12" t="n">
        <v>5875.7</v>
      </c>
      <c r="E110" s="12" t="n">
        <v>8812.1</v>
      </c>
      <c r="F110" s="12" t="n">
        <v>9213.799999999999</v>
      </c>
      <c r="G110" s="12" t="n">
        <v>1049.4</v>
      </c>
      <c r="H110" s="12" t="n">
        <v>487.6</v>
      </c>
      <c r="I110" s="12" t="n">
        <v>1720.1</v>
      </c>
      <c r="J110" s="12">
        <f>SUM(C110:I110)</f>
        <v/>
      </c>
    </row>
    <row r="111">
      <c r="A111" s="10" t="inlineStr">
        <is>
          <t>2022-03</t>
        </is>
      </c>
      <c r="B111" s="11" t="n">
        <v>15</v>
      </c>
      <c r="C111" s="12" t="n">
        <v>885.1</v>
      </c>
      <c r="D111" s="12" t="n">
        <v>7173.2</v>
      </c>
      <c r="E111" s="12" t="n">
        <v>14447.1</v>
      </c>
      <c r="F111" s="12" t="n">
        <v>12569.5</v>
      </c>
      <c r="G111" s="12" t="n">
        <v>1513.4</v>
      </c>
      <c r="H111" s="12" t="n">
        <v>928.8</v>
      </c>
      <c r="I111" s="12" t="n">
        <v>1996</v>
      </c>
      <c r="J111" s="12">
        <f>SUM(C111:I111)</f>
        <v/>
      </c>
    </row>
    <row r="112">
      <c r="A112" s="10" t="inlineStr">
        <is>
          <t>2022-04</t>
        </is>
      </c>
      <c r="B112" s="11" t="n">
        <v>16</v>
      </c>
      <c r="C112" s="12" t="n">
        <v>322.9</v>
      </c>
      <c r="D112" s="12" t="n">
        <v>3049.5</v>
      </c>
      <c r="E112" s="12" t="n">
        <v>8437.1</v>
      </c>
      <c r="F112" s="12" t="n">
        <v>6564.9</v>
      </c>
      <c r="G112" s="12" t="n">
        <v>922.7</v>
      </c>
      <c r="H112" s="12" t="n">
        <v>615.3</v>
      </c>
      <c r="I112" s="12" t="n">
        <v>1056</v>
      </c>
      <c r="J112" s="12">
        <f>SUM(C112:I112)</f>
        <v/>
      </c>
    </row>
    <row r="113">
      <c r="A113" s="10" t="inlineStr">
        <is>
          <t>2022-05</t>
        </is>
      </c>
      <c r="B113" s="11" t="n">
        <v>17</v>
      </c>
      <c r="C113" s="12" t="n">
        <v>242.4</v>
      </c>
      <c r="D113" s="12" t="n">
        <v>2763.8</v>
      </c>
      <c r="E113" s="12" t="n">
        <v>6519.9</v>
      </c>
      <c r="F113" s="12" t="n">
        <v>6201.2</v>
      </c>
      <c r="G113" s="12" t="n">
        <v>844.6</v>
      </c>
      <c r="H113" s="12" t="n">
        <v>739.5</v>
      </c>
      <c r="I113" s="12" t="n">
        <v>822</v>
      </c>
      <c r="J113" s="12">
        <f>SUM(C113:I113)</f>
        <v/>
      </c>
    </row>
    <row r="114">
      <c r="A114" s="10" t="inlineStr">
        <is>
          <t>2022-06</t>
        </is>
      </c>
      <c r="B114" s="11" t="n">
        <v>18</v>
      </c>
      <c r="C114" s="12" t="n">
        <v>192.8</v>
      </c>
      <c r="D114" s="12" t="n">
        <v>1987.5</v>
      </c>
      <c r="E114" s="12" t="n">
        <v>5377.3</v>
      </c>
      <c r="F114" s="12" t="n">
        <v>5188.1</v>
      </c>
      <c r="G114" s="12" t="n">
        <v>942.7</v>
      </c>
      <c r="H114" s="12" t="n">
        <v>722.4</v>
      </c>
      <c r="I114" s="12" t="n">
        <v>860.9</v>
      </c>
      <c r="J114" s="12">
        <f>SUM(C114:I114)</f>
        <v/>
      </c>
    </row>
    <row r="115">
      <c r="A115" s="10" t="inlineStr">
        <is>
          <t>2022-07</t>
        </is>
      </c>
      <c r="B115" s="11" t="n">
        <v>19</v>
      </c>
      <c r="C115" s="12" t="n">
        <v>140.9</v>
      </c>
      <c r="D115" s="12" t="n">
        <v>1822.7</v>
      </c>
      <c r="E115" s="12" t="n">
        <v>5563.5</v>
      </c>
      <c r="F115" s="12" t="n">
        <v>6186.1</v>
      </c>
      <c r="G115" s="12" t="n">
        <v>1049.4</v>
      </c>
      <c r="H115" s="12" t="n">
        <v>769.6</v>
      </c>
      <c r="I115" s="12" t="n">
        <v>885.3</v>
      </c>
      <c r="J115" s="12">
        <f>SUM(C115:I115)</f>
        <v/>
      </c>
    </row>
    <row r="116">
      <c r="A116" s="10" t="inlineStr">
        <is>
          <t>2022-08</t>
        </is>
      </c>
      <c r="B116" s="11" t="n">
        <v>20</v>
      </c>
      <c r="C116" s="12" t="n">
        <v>117</v>
      </c>
      <c r="D116" s="12" t="n">
        <v>1437.5</v>
      </c>
      <c r="E116" s="12" t="n">
        <v>4770.6</v>
      </c>
      <c r="F116" s="12" t="n">
        <v>5567.2</v>
      </c>
      <c r="G116" s="12" t="n">
        <v>981.7</v>
      </c>
      <c r="H116" s="12" t="n">
        <v>996.3</v>
      </c>
      <c r="I116" s="12" t="n">
        <v>785.7</v>
      </c>
      <c r="J116" s="12">
        <f>SUM(C116:I116)</f>
        <v/>
      </c>
    </row>
    <row r="117">
      <c r="A117" s="10" t="inlineStr">
        <is>
          <t>2022-09</t>
        </is>
      </c>
      <c r="B117" s="11" t="n">
        <v>21</v>
      </c>
      <c r="C117" s="12" t="n">
        <v>80.09999999999999</v>
      </c>
      <c r="D117" s="12" t="n">
        <v>1152</v>
      </c>
      <c r="E117" s="12" t="n">
        <v>3536.3</v>
      </c>
      <c r="F117" s="12" t="n">
        <v>5975.5</v>
      </c>
      <c r="G117" s="12" t="n">
        <v>1046.5</v>
      </c>
      <c r="H117" s="12" t="n">
        <v>1304.9</v>
      </c>
      <c r="I117" s="12" t="n">
        <v>790.9</v>
      </c>
      <c r="J117" s="12">
        <f>SUM(C117:I117)</f>
        <v/>
      </c>
    </row>
    <row r="118">
      <c r="A118" s="10" t="inlineStr">
        <is>
          <t>2022-10</t>
        </is>
      </c>
      <c r="B118" s="11" t="n">
        <v>22</v>
      </c>
      <c r="C118" s="12" t="n">
        <v>63.6</v>
      </c>
      <c r="D118" s="12" t="n">
        <v>1037.7</v>
      </c>
      <c r="E118" s="12" t="n">
        <v>3806</v>
      </c>
      <c r="F118" s="12" t="n">
        <v>5438.2</v>
      </c>
      <c r="G118" s="12" t="n">
        <v>902.8</v>
      </c>
      <c r="H118" s="12" t="n">
        <v>1555</v>
      </c>
      <c r="I118" s="12" t="n">
        <v>811.4</v>
      </c>
      <c r="J118" s="12">
        <f>SUM(C118:I118)</f>
        <v/>
      </c>
    </row>
    <row r="119">
      <c r="A119" s="10" t="inlineStr">
        <is>
          <t>2022-11</t>
        </is>
      </c>
      <c r="B119" s="11" t="n">
        <v>23</v>
      </c>
      <c r="C119" s="12" t="n">
        <v>38.8</v>
      </c>
      <c r="D119" s="12" t="n">
        <v>915.2</v>
      </c>
      <c r="E119" s="12" t="n">
        <v>4018.7</v>
      </c>
      <c r="F119" s="12" t="n">
        <v>5666.2</v>
      </c>
      <c r="G119" s="12" t="n">
        <v>1210.1</v>
      </c>
      <c r="H119" s="12" t="n">
        <v>1952.5</v>
      </c>
      <c r="I119" s="12" t="n">
        <v>778.8</v>
      </c>
      <c r="J119" s="12">
        <f>SUM(C119:I119)</f>
        <v/>
      </c>
    </row>
    <row r="120">
      <c r="A120" s="10" t="inlineStr">
        <is>
          <t>2022-12</t>
        </is>
      </c>
      <c r="B120" s="11" t="n">
        <v>24</v>
      </c>
      <c r="C120" s="12" t="n">
        <v>28.7</v>
      </c>
      <c r="D120" s="12" t="n">
        <v>720.2</v>
      </c>
      <c r="E120" s="12" t="n">
        <v>3825.3</v>
      </c>
      <c r="F120" s="12" t="n">
        <v>6235.9</v>
      </c>
      <c r="G120" s="12" t="n">
        <v>1303</v>
      </c>
      <c r="H120" s="12" t="n">
        <v>2998.7</v>
      </c>
      <c r="I120" s="12" t="n">
        <v>753.5</v>
      </c>
      <c r="J120" s="12">
        <f>SUM(C120:I120)</f>
        <v/>
      </c>
    </row>
    <row r="121">
      <c r="A121" s="10" t="inlineStr">
        <is>
          <t>2023-01</t>
        </is>
      </c>
      <c r="B121" s="11" t="n">
        <v>25</v>
      </c>
      <c r="C121" s="12" t="n">
        <v>13.5</v>
      </c>
      <c r="D121" s="12" t="n">
        <v>610.5</v>
      </c>
      <c r="E121" s="12" t="n">
        <v>4391.2</v>
      </c>
      <c r="F121" s="12" t="n">
        <v>6994.8</v>
      </c>
      <c r="G121" s="12" t="n">
        <v>1535.2</v>
      </c>
      <c r="H121" s="12" t="n">
        <v>3891.3</v>
      </c>
      <c r="I121" s="12" t="n">
        <v>789.7</v>
      </c>
      <c r="J121" s="12">
        <f>SUM(C121:I121)</f>
        <v/>
      </c>
    </row>
    <row r="122">
      <c r="A122" s="10" t="inlineStr">
        <is>
          <t>2023-02</t>
        </is>
      </c>
      <c r="B122" s="11" t="n">
        <v>26</v>
      </c>
      <c r="C122" s="12" t="n">
        <v>4.6</v>
      </c>
      <c r="D122" s="12" t="n">
        <v>437.2</v>
      </c>
      <c r="E122" s="12" t="n">
        <v>4901.7</v>
      </c>
      <c r="F122" s="12" t="n">
        <v>6919.2</v>
      </c>
      <c r="G122" s="12" t="n">
        <v>1395.4</v>
      </c>
      <c r="H122" s="12" t="n">
        <v>3531</v>
      </c>
      <c r="I122" s="12" t="n">
        <v>638</v>
      </c>
      <c r="J122" s="12">
        <f>SUM(C122:I122)</f>
        <v/>
      </c>
    </row>
    <row r="123">
      <c r="A123" s="10" t="inlineStr">
        <is>
          <t>2023-03</t>
        </is>
      </c>
      <c r="B123" s="11" t="n">
        <v>27</v>
      </c>
      <c r="C123" s="12" t="n">
        <v>0</v>
      </c>
      <c r="D123" s="12" t="n">
        <v>487.7</v>
      </c>
      <c r="E123" s="12" t="n">
        <v>5156.1</v>
      </c>
      <c r="F123" s="12" t="n">
        <v>8167.4</v>
      </c>
      <c r="G123" s="12" t="n">
        <v>1501.7</v>
      </c>
      <c r="H123" s="12" t="n">
        <v>5882.1</v>
      </c>
      <c r="I123" s="12" t="n">
        <v>818.8</v>
      </c>
      <c r="J123" s="12">
        <f>SUM(C123:I123)</f>
        <v/>
      </c>
    </row>
    <row r="124">
      <c r="A124" s="10" t="inlineStr">
        <is>
          <t>2023-04</t>
        </is>
      </c>
      <c r="B124" s="11" t="n">
        <v>28</v>
      </c>
      <c r="C124" s="12" t="n">
        <v>0</v>
      </c>
      <c r="D124" s="12" t="n">
        <v>408.8</v>
      </c>
      <c r="E124" s="12" t="n">
        <v>4296.6</v>
      </c>
      <c r="F124" s="12" t="n">
        <v>6814.8</v>
      </c>
      <c r="G124" s="12" t="n">
        <v>1377</v>
      </c>
      <c r="H124" s="12" t="n">
        <v>4193.7</v>
      </c>
      <c r="I124" s="12" t="n">
        <v>678.8</v>
      </c>
      <c r="J124" s="12">
        <f>SUM(C124:I124)</f>
        <v/>
      </c>
    </row>
    <row r="125">
      <c r="A125" s="10" t="inlineStr">
        <is>
          <t>2023-05</t>
        </is>
      </c>
      <c r="B125" s="11" t="n">
        <v>29</v>
      </c>
      <c r="C125" s="12" t="n">
        <v>0</v>
      </c>
      <c r="D125" s="12" t="n">
        <v>285.1</v>
      </c>
      <c r="E125" s="12" t="n">
        <v>3076.9</v>
      </c>
      <c r="F125" s="12" t="n">
        <v>5822.1</v>
      </c>
      <c r="G125" s="12" t="n">
        <v>1293.4</v>
      </c>
      <c r="H125" s="12" t="n">
        <v>4549.8</v>
      </c>
      <c r="I125" s="12" t="n">
        <v>720.5</v>
      </c>
      <c r="J125" s="12">
        <f>SUM(C125:I125)</f>
        <v/>
      </c>
    </row>
    <row r="126">
      <c r="A126" s="10" t="inlineStr">
        <is>
          <t>2023-06</t>
        </is>
      </c>
      <c r="B126" s="11" t="n">
        <v>30</v>
      </c>
      <c r="C126" s="12" t="n">
        <v>0</v>
      </c>
      <c r="D126" s="12" t="n">
        <v>179.9</v>
      </c>
      <c r="E126" s="12" t="n">
        <v>2270.5</v>
      </c>
      <c r="F126" s="12" t="n">
        <v>3714.4</v>
      </c>
      <c r="G126" s="12" t="n">
        <v>873.9</v>
      </c>
      <c r="H126" s="12" t="n">
        <v>3405.9</v>
      </c>
      <c r="I126" s="12" t="n">
        <v>604.9</v>
      </c>
      <c r="J126" s="12">
        <f>SUM(C126:I126)</f>
        <v/>
      </c>
    </row>
    <row r="127">
      <c r="A127" s="10" t="inlineStr">
        <is>
          <t>2023-07</t>
        </is>
      </c>
      <c r="B127" s="11" t="n">
        <v>31</v>
      </c>
      <c r="C127" s="12" t="n">
        <v>0</v>
      </c>
      <c r="D127" s="12" t="n">
        <v>143.4</v>
      </c>
      <c r="E127" s="12" t="n">
        <v>1743.5</v>
      </c>
      <c r="F127" s="12" t="n">
        <v>2788.9</v>
      </c>
      <c r="G127" s="12" t="n">
        <v>792.3</v>
      </c>
      <c r="H127" s="12" t="n">
        <v>4022.2</v>
      </c>
      <c r="I127" s="12" t="n">
        <v>657.5</v>
      </c>
      <c r="J127" s="12">
        <f>SUM(C127:I127)</f>
        <v/>
      </c>
    </row>
    <row r="128">
      <c r="A128" s="10" t="inlineStr">
        <is>
          <t>2023-08</t>
        </is>
      </c>
      <c r="B128" s="11" t="n">
        <v>32</v>
      </c>
      <c r="C128" s="12" t="n">
        <v>0</v>
      </c>
      <c r="D128" s="12" t="n">
        <v>70.09999999999999</v>
      </c>
      <c r="E128" s="12" t="n">
        <v>1083.6</v>
      </c>
      <c r="F128" s="12" t="n">
        <v>1715.2</v>
      </c>
      <c r="G128" s="12" t="n">
        <v>571.8</v>
      </c>
      <c r="H128" s="12" t="n">
        <v>4698.5</v>
      </c>
      <c r="I128" s="12" t="n">
        <v>498.6</v>
      </c>
      <c r="J128" s="12">
        <f>SUM(C128:I128)</f>
        <v/>
      </c>
    </row>
    <row r="129">
      <c r="A129" s="10" t="inlineStr">
        <is>
          <t>2023-09</t>
        </is>
      </c>
      <c r="B129" s="11" t="n">
        <v>33</v>
      </c>
      <c r="C129" s="12" t="n">
        <v>0</v>
      </c>
      <c r="D129" s="12" t="n">
        <v>16</v>
      </c>
      <c r="E129" s="12" t="n">
        <v>620.8</v>
      </c>
      <c r="F129" s="12" t="n">
        <v>879</v>
      </c>
      <c r="G129" s="12" t="n">
        <v>283.4</v>
      </c>
      <c r="H129" s="12" t="n">
        <v>3488</v>
      </c>
      <c r="I129" s="12" t="n">
        <v>302.9</v>
      </c>
      <c r="J129" s="12">
        <f>SUM(C129:I129)</f>
        <v/>
      </c>
    </row>
    <row r="130">
      <c r="A130" s="10" t="inlineStr">
        <is>
          <t>2023-10</t>
        </is>
      </c>
      <c r="B130" s="11" t="n">
        <v>34</v>
      </c>
      <c r="C130" s="12" t="n">
        <v>0</v>
      </c>
      <c r="D130" s="12" t="n">
        <v>0</v>
      </c>
      <c r="E130" s="12" t="n">
        <v>379.9</v>
      </c>
      <c r="F130" s="12" t="n">
        <v>476.9</v>
      </c>
      <c r="G130" s="12" t="n">
        <v>147.7</v>
      </c>
      <c r="H130" s="12" t="n">
        <v>2534.4</v>
      </c>
      <c r="I130" s="12" t="n">
        <v>207.4</v>
      </c>
      <c r="J130" s="12">
        <f>SUM(C130:I130)</f>
        <v/>
      </c>
    </row>
    <row r="131">
      <c r="A131" s="10" t="inlineStr">
        <is>
          <t>2023-11</t>
        </is>
      </c>
      <c r="B131" s="11" t="n">
        <v>35</v>
      </c>
      <c r="C131" s="12" t="n">
        <v>0</v>
      </c>
      <c r="D131" s="12" t="n">
        <v>0</v>
      </c>
      <c r="E131" s="12" t="n">
        <v>179.9</v>
      </c>
      <c r="F131" s="12" t="n">
        <v>212</v>
      </c>
      <c r="G131" s="12" t="n">
        <v>80</v>
      </c>
      <c r="H131" s="12" t="n">
        <v>1261.2</v>
      </c>
      <c r="I131" s="12" t="n">
        <v>179</v>
      </c>
      <c r="J131" s="12">
        <f>SUM(C131:I131)</f>
        <v/>
      </c>
    </row>
    <row r="132">
      <c r="A132" s="10" t="inlineStr">
        <is>
          <t>2023-12</t>
        </is>
      </c>
      <c r="B132" s="11" t="n">
        <v>36</v>
      </c>
      <c r="C132" s="12" t="n">
        <v>0</v>
      </c>
      <c r="D132" s="12" t="n">
        <v>0</v>
      </c>
      <c r="E132" s="12" t="n">
        <v>43.3</v>
      </c>
      <c r="F132" s="12" t="n">
        <v>40</v>
      </c>
      <c r="G132" s="12" t="n">
        <v>12.6</v>
      </c>
      <c r="H132" s="12" t="n">
        <v>442.7</v>
      </c>
      <c r="I132" s="12" t="n">
        <v>82.3</v>
      </c>
      <c r="J132" s="12">
        <f>SUM(C132:I132)</f>
        <v/>
      </c>
    </row>
    <row r="133">
      <c r="A133" s="14" t="inlineStr">
        <is>
          <t>合計</t>
        </is>
      </c>
      <c r="C133" s="15">
        <f>SUM(C97:C132)</f>
        <v/>
      </c>
      <c r="D133" s="15">
        <f>SUM(D97:D132)</f>
        <v/>
      </c>
      <c r="E133" s="15">
        <f>SUM(E97:E132)</f>
        <v/>
      </c>
      <c r="F133" s="15">
        <f>SUM(F97:F132)</f>
        <v/>
      </c>
      <c r="G133" s="15">
        <f>SUM(G97:G132)</f>
        <v/>
      </c>
      <c r="H133" s="15">
        <f>SUM(H97:H132)</f>
        <v/>
      </c>
      <c r="I133" s="15">
        <f>SUM(I97:I132)</f>
        <v/>
      </c>
      <c r="J133" s="15">
        <f>SUM(J97:J132)</f>
        <v/>
      </c>
    </row>
    <row r="136">
      <c r="A136" s="6" t="inlineStr">
        <is>
          <t>■ 月次 予測 vs 実績(合計・時間)</t>
        </is>
      </c>
    </row>
    <row r="137">
      <c r="A137" s="8" t="inlineStr">
        <is>
          <t>月</t>
        </is>
      </c>
      <c r="B137" s="8" t="inlineStr">
        <is>
          <t>予測</t>
        </is>
      </c>
      <c r="C137" s="8" t="inlineStr">
        <is>
          <t>実績</t>
        </is>
      </c>
      <c r="D137" s="8" t="inlineStr">
        <is>
          <t>差分(予測-実績)</t>
        </is>
      </c>
      <c r="E137" s="8" t="inlineStr">
        <is>
          <t>消化率(実績/予測)</t>
        </is>
      </c>
    </row>
    <row r="138">
      <c r="A138" s="10">
        <f>A12</f>
        <v/>
      </c>
      <c r="B138" s="12">
        <f>J12</f>
        <v/>
      </c>
      <c r="C138" s="12">
        <f>J97</f>
        <v/>
      </c>
      <c r="D138" s="12">
        <f>J12-J97</f>
        <v/>
      </c>
      <c r="E138" s="13">
        <f>IF(J12=0,"",J97/J12)</f>
        <v/>
      </c>
    </row>
    <row r="139">
      <c r="A139" s="10">
        <f>A13</f>
        <v/>
      </c>
      <c r="B139" s="12">
        <f>J13</f>
        <v/>
      </c>
      <c r="C139" s="12">
        <f>J98</f>
        <v/>
      </c>
      <c r="D139" s="12">
        <f>J13-J98</f>
        <v/>
      </c>
      <c r="E139" s="13">
        <f>IF(J13=0,"",J98/J13)</f>
        <v/>
      </c>
    </row>
    <row r="140">
      <c r="A140" s="10">
        <f>A14</f>
        <v/>
      </c>
      <c r="B140" s="12">
        <f>J14</f>
        <v/>
      </c>
      <c r="C140" s="12">
        <f>J99</f>
        <v/>
      </c>
      <c r="D140" s="12">
        <f>J14-J99</f>
        <v/>
      </c>
      <c r="E140" s="13">
        <f>IF(J14=0,"",J99/J14)</f>
        <v/>
      </c>
    </row>
    <row r="141">
      <c r="A141" s="10">
        <f>A15</f>
        <v/>
      </c>
      <c r="B141" s="12">
        <f>J15</f>
        <v/>
      </c>
      <c r="C141" s="12">
        <f>J100</f>
        <v/>
      </c>
      <c r="D141" s="12">
        <f>J15-J100</f>
        <v/>
      </c>
      <c r="E141" s="13">
        <f>IF(J15=0,"",J100/J15)</f>
        <v/>
      </c>
    </row>
    <row r="142">
      <c r="A142" s="10">
        <f>A16</f>
        <v/>
      </c>
      <c r="B142" s="12">
        <f>J16</f>
        <v/>
      </c>
      <c r="C142" s="12">
        <f>J101</f>
        <v/>
      </c>
      <c r="D142" s="12">
        <f>J16-J101</f>
        <v/>
      </c>
      <c r="E142" s="13">
        <f>IF(J16=0,"",J101/J16)</f>
        <v/>
      </c>
    </row>
    <row r="143">
      <c r="A143" s="10">
        <f>A17</f>
        <v/>
      </c>
      <c r="B143" s="12">
        <f>J17</f>
        <v/>
      </c>
      <c r="C143" s="12">
        <f>J102</f>
        <v/>
      </c>
      <c r="D143" s="12">
        <f>J17-J102</f>
        <v/>
      </c>
      <c r="E143" s="13">
        <f>IF(J17=0,"",J102/J17)</f>
        <v/>
      </c>
    </row>
    <row r="144">
      <c r="A144" s="10">
        <f>A18</f>
        <v/>
      </c>
      <c r="B144" s="12">
        <f>J18</f>
        <v/>
      </c>
      <c r="C144" s="12">
        <f>J103</f>
        <v/>
      </c>
      <c r="D144" s="12">
        <f>J18-J103</f>
        <v/>
      </c>
      <c r="E144" s="13">
        <f>IF(J18=0,"",J103/J18)</f>
        <v/>
      </c>
    </row>
    <row r="145">
      <c r="A145" s="10">
        <f>A19</f>
        <v/>
      </c>
      <c r="B145" s="12">
        <f>J19</f>
        <v/>
      </c>
      <c r="C145" s="12">
        <f>J104</f>
        <v/>
      </c>
      <c r="D145" s="12">
        <f>J19-J104</f>
        <v/>
      </c>
      <c r="E145" s="13">
        <f>IF(J19=0,"",J104/J19)</f>
        <v/>
      </c>
    </row>
    <row r="146">
      <c r="A146" s="10">
        <f>A20</f>
        <v/>
      </c>
      <c r="B146" s="12">
        <f>J20</f>
        <v/>
      </c>
      <c r="C146" s="12">
        <f>J105</f>
        <v/>
      </c>
      <c r="D146" s="12">
        <f>J20-J105</f>
        <v/>
      </c>
      <c r="E146" s="13">
        <f>IF(J20=0,"",J105/J20)</f>
        <v/>
      </c>
    </row>
    <row r="147">
      <c r="A147" s="10">
        <f>A21</f>
        <v/>
      </c>
      <c r="B147" s="12">
        <f>J21</f>
        <v/>
      </c>
      <c r="C147" s="12">
        <f>J106</f>
        <v/>
      </c>
      <c r="D147" s="12">
        <f>J21-J106</f>
        <v/>
      </c>
      <c r="E147" s="13">
        <f>IF(J21=0,"",J106/J21)</f>
        <v/>
      </c>
    </row>
    <row r="148">
      <c r="A148" s="10">
        <f>A22</f>
        <v/>
      </c>
      <c r="B148" s="12">
        <f>J22</f>
        <v/>
      </c>
      <c r="C148" s="12">
        <f>J107</f>
        <v/>
      </c>
      <c r="D148" s="12">
        <f>J22-J107</f>
        <v/>
      </c>
      <c r="E148" s="13">
        <f>IF(J22=0,"",J107/J22)</f>
        <v/>
      </c>
    </row>
    <row r="149">
      <c r="A149" s="10">
        <f>A23</f>
        <v/>
      </c>
      <c r="B149" s="12">
        <f>J23</f>
        <v/>
      </c>
      <c r="C149" s="12">
        <f>J108</f>
        <v/>
      </c>
      <c r="D149" s="12">
        <f>J23-J108</f>
        <v/>
      </c>
      <c r="E149" s="13">
        <f>IF(J23=0,"",J108/J23)</f>
        <v/>
      </c>
    </row>
    <row r="150">
      <c r="A150" s="10">
        <f>A24</f>
        <v/>
      </c>
      <c r="B150" s="12">
        <f>J24</f>
        <v/>
      </c>
      <c r="C150" s="12">
        <f>J109</f>
        <v/>
      </c>
      <c r="D150" s="12">
        <f>J24-J109</f>
        <v/>
      </c>
      <c r="E150" s="13">
        <f>IF(J24=0,"",J109/J24)</f>
        <v/>
      </c>
    </row>
    <row r="151">
      <c r="A151" s="10">
        <f>A25</f>
        <v/>
      </c>
      <c r="B151" s="12">
        <f>J25</f>
        <v/>
      </c>
      <c r="C151" s="12">
        <f>J110</f>
        <v/>
      </c>
      <c r="D151" s="12">
        <f>J25-J110</f>
        <v/>
      </c>
      <c r="E151" s="13">
        <f>IF(J25=0,"",J110/J25)</f>
        <v/>
      </c>
    </row>
    <row r="152">
      <c r="A152" s="10">
        <f>A26</f>
        <v/>
      </c>
      <c r="B152" s="12">
        <f>J26</f>
        <v/>
      </c>
      <c r="C152" s="12">
        <f>J111</f>
        <v/>
      </c>
      <c r="D152" s="12">
        <f>J26-J111</f>
        <v/>
      </c>
      <c r="E152" s="13">
        <f>IF(J26=0,"",J111/J26)</f>
        <v/>
      </c>
    </row>
    <row r="153">
      <c r="A153" s="10">
        <f>A27</f>
        <v/>
      </c>
      <c r="B153" s="12">
        <f>J27</f>
        <v/>
      </c>
      <c r="C153" s="12">
        <f>J112</f>
        <v/>
      </c>
      <c r="D153" s="12">
        <f>J27-J112</f>
        <v/>
      </c>
      <c r="E153" s="13">
        <f>IF(J27=0,"",J112/J27)</f>
        <v/>
      </c>
    </row>
    <row r="154">
      <c r="A154" s="10">
        <f>A28</f>
        <v/>
      </c>
      <c r="B154" s="12">
        <f>J28</f>
        <v/>
      </c>
      <c r="C154" s="12">
        <f>J113</f>
        <v/>
      </c>
      <c r="D154" s="12">
        <f>J28-J113</f>
        <v/>
      </c>
      <c r="E154" s="13">
        <f>IF(J28=0,"",J113/J28)</f>
        <v/>
      </c>
    </row>
    <row r="155">
      <c r="A155" s="10">
        <f>A29</f>
        <v/>
      </c>
      <c r="B155" s="12">
        <f>J29</f>
        <v/>
      </c>
      <c r="C155" s="12">
        <f>J114</f>
        <v/>
      </c>
      <c r="D155" s="12">
        <f>J29-J114</f>
        <v/>
      </c>
      <c r="E155" s="13">
        <f>IF(J29=0,"",J114/J29)</f>
        <v/>
      </c>
    </row>
    <row r="156">
      <c r="A156" s="10">
        <f>A30</f>
        <v/>
      </c>
      <c r="B156" s="12">
        <f>J30</f>
        <v/>
      </c>
      <c r="C156" s="12">
        <f>J115</f>
        <v/>
      </c>
      <c r="D156" s="12">
        <f>J30-J115</f>
        <v/>
      </c>
      <c r="E156" s="13">
        <f>IF(J30=0,"",J115/J30)</f>
        <v/>
      </c>
    </row>
    <row r="157">
      <c r="A157" s="10">
        <f>A31</f>
        <v/>
      </c>
      <c r="B157" s="12">
        <f>J31</f>
        <v/>
      </c>
      <c r="C157" s="12">
        <f>J116</f>
        <v/>
      </c>
      <c r="D157" s="12">
        <f>J31-J116</f>
        <v/>
      </c>
      <c r="E157" s="13">
        <f>IF(J31=0,"",J116/J31)</f>
        <v/>
      </c>
    </row>
    <row r="158">
      <c r="A158" s="10">
        <f>A32</f>
        <v/>
      </c>
      <c r="B158" s="12">
        <f>J32</f>
        <v/>
      </c>
      <c r="C158" s="12">
        <f>J117</f>
        <v/>
      </c>
      <c r="D158" s="12">
        <f>J32-J117</f>
        <v/>
      </c>
      <c r="E158" s="13">
        <f>IF(J32=0,"",J117/J32)</f>
        <v/>
      </c>
    </row>
    <row r="159">
      <c r="A159" s="10">
        <f>A33</f>
        <v/>
      </c>
      <c r="B159" s="12">
        <f>J33</f>
        <v/>
      </c>
      <c r="C159" s="12">
        <f>J118</f>
        <v/>
      </c>
      <c r="D159" s="12">
        <f>J33-J118</f>
        <v/>
      </c>
      <c r="E159" s="13">
        <f>IF(J33=0,"",J118/J33)</f>
        <v/>
      </c>
    </row>
    <row r="160">
      <c r="A160" s="10">
        <f>A34</f>
        <v/>
      </c>
      <c r="B160" s="12">
        <f>J34</f>
        <v/>
      </c>
      <c r="C160" s="12">
        <f>J119</f>
        <v/>
      </c>
      <c r="D160" s="12">
        <f>J34-J119</f>
        <v/>
      </c>
      <c r="E160" s="13">
        <f>IF(J34=0,"",J119/J34)</f>
        <v/>
      </c>
    </row>
    <row r="161">
      <c r="A161" s="10">
        <f>A35</f>
        <v/>
      </c>
      <c r="B161" s="12">
        <f>J35</f>
        <v/>
      </c>
      <c r="C161" s="12">
        <f>J120</f>
        <v/>
      </c>
      <c r="D161" s="12">
        <f>J35-J120</f>
        <v/>
      </c>
      <c r="E161" s="13">
        <f>IF(J35=0,"",J120/J35)</f>
        <v/>
      </c>
    </row>
    <row r="162">
      <c r="A162" s="10">
        <f>A36</f>
        <v/>
      </c>
      <c r="B162" s="12">
        <f>J36</f>
        <v/>
      </c>
      <c r="C162" s="12">
        <f>J121</f>
        <v/>
      </c>
      <c r="D162" s="12">
        <f>J36-J121</f>
        <v/>
      </c>
      <c r="E162" s="13">
        <f>IF(J36=0,"",J121/J36)</f>
        <v/>
      </c>
    </row>
    <row r="163">
      <c r="A163" s="10">
        <f>A37</f>
        <v/>
      </c>
      <c r="B163" s="12">
        <f>J37</f>
        <v/>
      </c>
      <c r="C163" s="12">
        <f>J122</f>
        <v/>
      </c>
      <c r="D163" s="12">
        <f>J37-J122</f>
        <v/>
      </c>
      <c r="E163" s="13">
        <f>IF(J37=0,"",J122/J37)</f>
        <v/>
      </c>
    </row>
    <row r="164">
      <c r="A164" s="10">
        <f>A38</f>
        <v/>
      </c>
      <c r="B164" s="12">
        <f>J38</f>
        <v/>
      </c>
      <c r="C164" s="12">
        <f>J123</f>
        <v/>
      </c>
      <c r="D164" s="12">
        <f>J38-J123</f>
        <v/>
      </c>
      <c r="E164" s="13">
        <f>IF(J38=0,"",J123/J38)</f>
        <v/>
      </c>
    </row>
    <row r="165">
      <c r="A165" s="10">
        <f>A39</f>
        <v/>
      </c>
      <c r="B165" s="12">
        <f>J39</f>
        <v/>
      </c>
      <c r="C165" s="12">
        <f>J124</f>
        <v/>
      </c>
      <c r="D165" s="12">
        <f>J39-J124</f>
        <v/>
      </c>
      <c r="E165" s="13">
        <f>IF(J39=0,"",J124/J39)</f>
        <v/>
      </c>
    </row>
    <row r="166">
      <c r="A166" s="10">
        <f>A40</f>
        <v/>
      </c>
      <c r="B166" s="12">
        <f>J40</f>
        <v/>
      </c>
      <c r="C166" s="12">
        <f>J125</f>
        <v/>
      </c>
      <c r="D166" s="12">
        <f>J40-J125</f>
        <v/>
      </c>
      <c r="E166" s="13">
        <f>IF(J40=0,"",J125/J40)</f>
        <v/>
      </c>
    </row>
    <row r="167">
      <c r="A167" s="10">
        <f>A41</f>
        <v/>
      </c>
      <c r="B167" s="12">
        <f>J41</f>
        <v/>
      </c>
      <c r="C167" s="12">
        <f>J126</f>
        <v/>
      </c>
      <c r="D167" s="12">
        <f>J41-J126</f>
        <v/>
      </c>
      <c r="E167" s="13">
        <f>IF(J41=0,"",J126/J41)</f>
        <v/>
      </c>
    </row>
    <row r="168">
      <c r="A168" s="10">
        <f>A42</f>
        <v/>
      </c>
      <c r="B168" s="12">
        <f>J42</f>
        <v/>
      </c>
      <c r="C168" s="12">
        <f>J127</f>
        <v/>
      </c>
      <c r="D168" s="12">
        <f>J42-J127</f>
        <v/>
      </c>
      <c r="E168" s="13">
        <f>IF(J42=0,"",J127/J42)</f>
        <v/>
      </c>
    </row>
    <row r="169">
      <c r="A169" s="10">
        <f>A43</f>
        <v/>
      </c>
      <c r="B169" s="12">
        <f>J43</f>
        <v/>
      </c>
      <c r="C169" s="12">
        <f>J128</f>
        <v/>
      </c>
      <c r="D169" s="12">
        <f>J43-J128</f>
        <v/>
      </c>
      <c r="E169" s="13">
        <f>IF(J43=0,"",J128/J43)</f>
        <v/>
      </c>
    </row>
    <row r="170">
      <c r="A170" s="10">
        <f>A44</f>
        <v/>
      </c>
      <c r="B170" s="12">
        <f>J44</f>
        <v/>
      </c>
      <c r="C170" s="12">
        <f>J129</f>
        <v/>
      </c>
      <c r="D170" s="12">
        <f>J44-J129</f>
        <v/>
      </c>
      <c r="E170" s="13">
        <f>IF(J44=0,"",J129/J44)</f>
        <v/>
      </c>
    </row>
    <row r="171">
      <c r="A171" s="10">
        <f>A45</f>
        <v/>
      </c>
      <c r="B171" s="12">
        <f>J45</f>
        <v/>
      </c>
      <c r="C171" s="12">
        <f>J130</f>
        <v/>
      </c>
      <c r="D171" s="12">
        <f>J45-J130</f>
        <v/>
      </c>
      <c r="E171" s="13">
        <f>IF(J45=0,"",J130/J45)</f>
        <v/>
      </c>
    </row>
    <row r="172">
      <c r="A172" s="10">
        <f>A46</f>
        <v/>
      </c>
      <c r="B172" s="12">
        <f>J46</f>
        <v/>
      </c>
      <c r="C172" s="12">
        <f>J131</f>
        <v/>
      </c>
      <c r="D172" s="12">
        <f>J46-J131</f>
        <v/>
      </c>
      <c r="E172" s="13">
        <f>IF(J46=0,"",J131/J46)</f>
        <v/>
      </c>
    </row>
    <row r="173">
      <c r="A173" s="10">
        <f>A47</f>
        <v/>
      </c>
      <c r="B173" s="12">
        <f>J47</f>
        <v/>
      </c>
      <c r="C173" s="12">
        <f>J132</f>
        <v/>
      </c>
      <c r="D173" s="12">
        <f>J47-J132</f>
        <v/>
      </c>
      <c r="E173" s="13">
        <f>IF(J47=0,"",J132/J47)</f>
        <v/>
      </c>
    </row>
    <row r="174">
      <c r="A174" s="14" t="inlineStr">
        <is>
          <t>合計</t>
        </is>
      </c>
      <c r="B174" s="15">
        <f>SUM(B138:B173)</f>
        <v/>
      </c>
      <c r="C174" s="15">
        <f>SUM(C138:C173)</f>
        <v/>
      </c>
      <c r="D174" s="15">
        <f>SUM(D138:D173)</f>
        <v/>
      </c>
      <c r="E174" s="21">
        <f>IF(B174=0,"",C174/B174)</f>
        <v/>
      </c>
    </row>
    <row r="176">
      <c r="A176" s="6" t="inlineStr">
        <is>
          <t>■ マイルストーン(予測)</t>
        </is>
      </c>
    </row>
    <row r="177">
      <c r="A177" s="8" t="inlineStr">
        <is>
          <t>マイルストーン名</t>
        </is>
      </c>
      <c r="B177" s="8" t="inlineStr">
        <is>
          <t>予測日付</t>
        </is>
      </c>
      <c r="C177" s="8" t="inlineStr">
        <is>
          <t>位置t</t>
        </is>
      </c>
      <c r="D177" s="8" t="inlineStr">
        <is>
          <t>根拠</t>
        </is>
      </c>
    </row>
    <row r="178">
      <c r="A178" s="10" t="inlineStr">
        <is>
          <t>プロトタイプ</t>
        </is>
      </c>
      <c r="B178" s="10" t="inlineStr">
        <is>
          <t>2021-10-16</t>
        </is>
      </c>
      <c r="C178" s="22" t="n">
        <v>0.263</v>
      </c>
      <c r="D178" s="10" t="inlineStr">
        <is>
          <t>指定</t>
        </is>
      </c>
    </row>
    <row r="179">
      <c r="A179" s="10" t="inlineStr">
        <is>
          <t>α版</t>
        </is>
      </c>
      <c r="B179" s="10" t="inlineStr">
        <is>
          <t>2022-04-15</t>
        </is>
      </c>
      <c r="C179" s="22" t="n">
        <v>0.429</v>
      </c>
      <c r="D179" s="10" t="inlineStr">
        <is>
          <t>指定</t>
        </is>
      </c>
    </row>
    <row r="180">
      <c r="A180" s="10" t="inlineStr">
        <is>
          <t>β版</t>
        </is>
      </c>
      <c r="B180" s="10" t="inlineStr">
        <is>
          <t>2023-03-16</t>
        </is>
      </c>
      <c r="C180" s="22" t="n">
        <v>0.735</v>
      </c>
      <c r="D180" s="10" t="inlineStr">
        <is>
          <t>指定</t>
        </is>
      </c>
    </row>
    <row r="181">
      <c r="A181" s="10" t="inlineStr">
        <is>
          <t>マスターアップ</t>
        </is>
      </c>
      <c r="B181" s="10" t="inlineStr">
        <is>
          <t>2023-08-16</t>
        </is>
      </c>
      <c r="C181" s="22" t="n">
        <v>0.875</v>
      </c>
      <c r="D181" s="10" t="inlineStr">
        <is>
          <t>指定</t>
        </is>
      </c>
    </row>
    <row r="183">
      <c r="A183" s="5" t="inlineStr">
        <is>
          <t>・行程グループ間の総量は学習した工数比率で配分しています。</t>
        </is>
      </c>
    </row>
    <row r="184">
      <c r="A184" s="5" t="inlineStr">
        <is>
          <t>・指定されたマイルストーンで時間軸を固定: α版, β版, マスターアップ</t>
        </is>
      </c>
    </row>
    <row r="185">
      <c r="A1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R200"/>
  <sheetViews>
    <sheetView workbookViewId="0">
      <pane xSplit="1" ySplit="9" topLeftCell="B10"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2" customWidth="1" min="3" max="3"/>
    <col width="9" customWidth="1" min="4" max="4"/>
    <col width="18" customWidth="1" min="5" max="5"/>
    <col width="18" customWidth="1" min="6" max="6"/>
    <col width="18" customWidth="1" min="7" max="7"/>
    <col width="16" customWidth="1" min="8" max="8"/>
    <col width="9" customWidth="1" min="9" max="9"/>
    <col width="11" customWidth="1" min="10" max="10"/>
    <col width="15" customWidth="1" min="11" max="11"/>
    <col width="17" customWidth="1" min="12" max="12"/>
    <col width="15" customWidth="1" min="13" max="13"/>
    <col width="15" customWidth="1" min="14" max="14"/>
    <col width="14" customWidth="1" min="15" max="15"/>
    <col width="15" customWidth="1" min="16" max="16"/>
    <col width="17" customWidth="1" min="17" max="17"/>
    <col width="13" customWidth="1" min="18" max="18"/>
  </cols>
  <sheetData>
    <row r="1">
      <c r="A1" s="1" t="inlineStr">
        <is>
          <t>段階予測  シャドウヴェイル  (PJ-2021-E)</t>
        </is>
      </c>
    </row>
    <row r="2">
      <c r="A2" s="5" t="inlineStr">
        <is>
          <t>マイルストーンを区切りに、そこまでの実績を確定値として置き、残りを学習カーブで予測している。確定分は実績そのものなので、各系列は確定した月までは実績の線と重なる。</t>
        </is>
      </c>
    </row>
    <row r="3">
      <c r="A3" s="5" t="inlineStr">
        <is>
          <t>残工数の決め方: 契約総量固定  /  学習は対象案件を除いた完了案件のみ(自分の実績で自分を予測しないため)</t>
        </is>
      </c>
    </row>
    <row r="4">
      <c r="A4" s="5" t="inlineStr">
        <is>
          <t>マイルストーン: 記入済みの日付をすべて使用(「予測」シートと同じ条件)。実運用では着手前から予定が引かれているため運用の実態に近いが、完了案件では記入値が実績の日付なので、予定が完璧に当たった場合= 精度の上限にあたる。settings の 段階予測のマイルストーン を 通過済み にすると、未来を覗かない厳しい条件(= 下限)で比較できる。</t>
        </is>
      </c>
    </row>
    <row r="5">
      <c r="A5" s="5" t="inlineStr">
        <is>
          <t>位置合わせが効いた段階: 5/5(効いていない段階は素朴版と同じ形。誤差表の「位置合わせに使ったMS数」を参照)</t>
        </is>
      </c>
    </row>
    <row r="6">
      <c r="A6" s="5" t="inlineStr">
        <is>
          <t>立ち上がり上限: 前月比 1.33 倍/月(実績の前月比の分布から決めた値)。人員は急には増やせないため、確定区間の直後に工数が跳ねないよう増加率に上限を置き、あふれた工数を後ろの月へ送っている。総工数と行程グループ別の総量は動かしていない。</t>
        </is>
      </c>
    </row>
    <row r="8">
      <c r="A8" s="6" t="inlineStr">
        <is>
          <t>■ 月次工数(時間)  実績 と 各段階の予測</t>
        </is>
      </c>
    </row>
    <row r="9">
      <c r="A9" s="7" t="inlineStr">
        <is>
          <t>月</t>
        </is>
      </c>
      <c r="B9" s="8" t="inlineStr">
        <is>
          <t>実績</t>
        </is>
      </c>
      <c r="C9" s="8" t="inlineStr">
        <is>
          <t>段階0 着手前</t>
        </is>
      </c>
      <c r="D9" s="8" t="inlineStr">
        <is>
          <t>段階1 プロトタイプ後(2021-10まで確定)</t>
        </is>
      </c>
      <c r="E9" s="8" t="inlineStr">
        <is>
          <t>段階2 α版後(2022-04まで確定)</t>
        </is>
      </c>
      <c r="F9" s="8" t="inlineStr">
        <is>
          <t>段階3 β版後(2023-03まで確定)</t>
        </is>
      </c>
      <c r="G9" s="8" t="inlineStr">
        <is>
          <t>段階4 マスターアップ後(2023-08まで確定)</t>
        </is>
      </c>
    </row>
    <row r="10">
      <c r="A10" s="10" t="inlineStr">
        <is>
          <t>2021-01</t>
        </is>
      </c>
      <c r="B10" s="12" t="n">
        <v>2212.8</v>
      </c>
      <c r="C10" s="12" t="n">
        <v>6348.3</v>
      </c>
      <c r="D10" s="12" t="n">
        <v>2212.8</v>
      </c>
      <c r="E10" s="12" t="n">
        <v>2212.8</v>
      </c>
      <c r="F10" s="12" t="n">
        <v>2212.8</v>
      </c>
      <c r="G10" s="12" t="n">
        <v>2212.8</v>
      </c>
    </row>
    <row r="11">
      <c r="A11" s="10" t="inlineStr">
        <is>
          <t>2021-02</t>
        </is>
      </c>
      <c r="B11" s="12" t="n">
        <v>3289.4</v>
      </c>
      <c r="C11" s="12" t="n">
        <v>6773.3</v>
      </c>
      <c r="D11" s="12" t="n">
        <v>3289.4</v>
      </c>
      <c r="E11" s="12" t="n">
        <v>3289.4</v>
      </c>
      <c r="F11" s="12" t="n">
        <v>3289.4</v>
      </c>
      <c r="G11" s="12" t="n">
        <v>3289.4</v>
      </c>
    </row>
    <row r="12">
      <c r="A12" s="10" t="inlineStr">
        <is>
          <t>2021-03</t>
        </is>
      </c>
      <c r="B12" s="12" t="n">
        <v>4610.7</v>
      </c>
      <c r="C12" s="12" t="n">
        <v>8813.4</v>
      </c>
      <c r="D12" s="12" t="n">
        <v>4610.7</v>
      </c>
      <c r="E12" s="12" t="n">
        <v>4610.7</v>
      </c>
      <c r="F12" s="12" t="n">
        <v>4610.7</v>
      </c>
      <c r="G12" s="12" t="n">
        <v>4610.7</v>
      </c>
    </row>
    <row r="13">
      <c r="A13" s="10" t="inlineStr">
        <is>
          <t>2021-04</t>
        </is>
      </c>
      <c r="B13" s="12" t="n">
        <v>5392.8</v>
      </c>
      <c r="C13" s="12" t="n">
        <v>9064.6</v>
      </c>
      <c r="D13" s="12" t="n">
        <v>5392.8</v>
      </c>
      <c r="E13" s="12" t="n">
        <v>5392.8</v>
      </c>
      <c r="F13" s="12" t="n">
        <v>5392.8</v>
      </c>
      <c r="G13" s="12" t="n">
        <v>5392.8</v>
      </c>
    </row>
    <row r="14">
      <c r="A14" s="10" t="inlineStr">
        <is>
          <t>2021-05</t>
        </is>
      </c>
      <c r="B14" s="12" t="n">
        <v>5875.1</v>
      </c>
      <c r="C14" s="12" t="n">
        <v>10502.1</v>
      </c>
      <c r="D14" s="12" t="n">
        <v>5875.1</v>
      </c>
      <c r="E14" s="12" t="n">
        <v>5875.1</v>
      </c>
      <c r="F14" s="12" t="n">
        <v>5875.1</v>
      </c>
      <c r="G14" s="12" t="n">
        <v>5875.1</v>
      </c>
    </row>
    <row r="15">
      <c r="A15" s="10" t="inlineStr">
        <is>
          <t>2021-06</t>
        </is>
      </c>
      <c r="B15" s="12" t="n">
        <v>6664.2</v>
      </c>
      <c r="C15" s="12" t="n">
        <v>10319.2</v>
      </c>
      <c r="D15" s="12" t="n">
        <v>6664.2</v>
      </c>
      <c r="E15" s="12" t="n">
        <v>6664.2</v>
      </c>
      <c r="F15" s="12" t="n">
        <v>6664.2</v>
      </c>
      <c r="G15" s="12" t="n">
        <v>6664.2</v>
      </c>
    </row>
    <row r="16">
      <c r="A16" s="10" t="inlineStr">
        <is>
          <t>2021-07</t>
        </is>
      </c>
      <c r="B16" s="12" t="n">
        <v>7114.2</v>
      </c>
      <c r="C16" s="12" t="n">
        <v>11217.7</v>
      </c>
      <c r="D16" s="12" t="n">
        <v>7114.2</v>
      </c>
      <c r="E16" s="12" t="n">
        <v>7114.2</v>
      </c>
      <c r="F16" s="12" t="n">
        <v>7114.2</v>
      </c>
      <c r="G16" s="12" t="n">
        <v>7114.2</v>
      </c>
    </row>
    <row r="17">
      <c r="A17" s="10" t="inlineStr">
        <is>
          <t>2021-08</t>
        </is>
      </c>
      <c r="B17" s="12" t="n">
        <v>7159.8</v>
      </c>
      <c r="C17" s="12" t="n">
        <v>12538.7</v>
      </c>
      <c r="D17" s="12" t="n">
        <v>7159.8</v>
      </c>
      <c r="E17" s="12" t="n">
        <v>7159.8</v>
      </c>
      <c r="F17" s="12" t="n">
        <v>7159.8</v>
      </c>
      <c r="G17" s="12" t="n">
        <v>7159.8</v>
      </c>
    </row>
    <row r="18">
      <c r="A18" s="10" t="inlineStr">
        <is>
          <t>2021-09</t>
        </is>
      </c>
      <c r="B18" s="12" t="n">
        <v>7725.3</v>
      </c>
      <c r="C18" s="12" t="n">
        <v>12842.7</v>
      </c>
      <c r="D18" s="12" t="n">
        <v>7725.3</v>
      </c>
      <c r="E18" s="12" t="n">
        <v>7725.3</v>
      </c>
      <c r="F18" s="12" t="n">
        <v>7725.3</v>
      </c>
      <c r="G18" s="12" t="n">
        <v>7725.3</v>
      </c>
    </row>
    <row r="19">
      <c r="A19" s="10" t="inlineStr">
        <is>
          <t>2021-10</t>
        </is>
      </c>
      <c r="B19" s="12" t="n">
        <v>11396.5</v>
      </c>
      <c r="C19" s="12" t="n">
        <v>14890.6</v>
      </c>
      <c r="D19" s="12" t="n">
        <v>11396.5</v>
      </c>
      <c r="E19" s="12" t="n">
        <v>11396.5</v>
      </c>
      <c r="F19" s="12" t="n">
        <v>11396.5</v>
      </c>
      <c r="G19" s="12" t="n">
        <v>11396.5</v>
      </c>
    </row>
    <row r="20">
      <c r="A20" s="10" t="inlineStr">
        <is>
          <t>2021-11</t>
        </is>
      </c>
      <c r="B20" s="12" t="n">
        <v>22707.4</v>
      </c>
      <c r="C20" s="12" t="n">
        <v>15101.7</v>
      </c>
      <c r="D20" s="12" t="n">
        <v>15156.2</v>
      </c>
      <c r="E20" s="12" t="n">
        <v>22707.4</v>
      </c>
      <c r="F20" s="12" t="n">
        <v>22707.4</v>
      </c>
      <c r="G20" s="12" t="n">
        <v>22707.4</v>
      </c>
    </row>
    <row r="21">
      <c r="A21" s="10" t="inlineStr">
        <is>
          <t>2021-12</t>
        </is>
      </c>
      <c r="B21" s="12" t="n">
        <v>24332.8</v>
      </c>
      <c r="C21" s="12" t="n">
        <v>16676.4</v>
      </c>
      <c r="D21" s="12" t="n">
        <v>18870.5</v>
      </c>
      <c r="E21" s="12" t="n">
        <v>24332.8</v>
      </c>
      <c r="F21" s="12" t="n">
        <v>24332.8</v>
      </c>
      <c r="G21" s="12" t="n">
        <v>24332.8</v>
      </c>
    </row>
    <row r="22">
      <c r="A22" s="10" t="inlineStr">
        <is>
          <t>2022-01</t>
        </is>
      </c>
      <c r="B22" s="12" t="n">
        <v>28940.1</v>
      </c>
      <c r="C22" s="12" t="n">
        <v>17582.7</v>
      </c>
      <c r="D22" s="12" t="n">
        <v>19957.2</v>
      </c>
      <c r="E22" s="12" t="n">
        <v>28940.1</v>
      </c>
      <c r="F22" s="12" t="n">
        <v>28940.1</v>
      </c>
      <c r="G22" s="12" t="n">
        <v>28940.1</v>
      </c>
    </row>
    <row r="23">
      <c r="A23" s="10" t="inlineStr">
        <is>
          <t>2022-02</t>
        </is>
      </c>
      <c r="B23" s="12" t="n">
        <v>28533.6</v>
      </c>
      <c r="C23" s="12" t="n">
        <v>16584.8</v>
      </c>
      <c r="D23" s="12" t="n">
        <v>18937.1</v>
      </c>
      <c r="E23" s="12" t="n">
        <v>28533.6</v>
      </c>
      <c r="F23" s="12" t="n">
        <v>28533.6</v>
      </c>
      <c r="G23" s="12" t="n">
        <v>28533.6</v>
      </c>
    </row>
    <row r="24">
      <c r="A24" s="10" t="inlineStr">
        <is>
          <t>2022-03</t>
        </is>
      </c>
      <c r="B24" s="12" t="n">
        <v>39513.1</v>
      </c>
      <c r="C24" s="12" t="n">
        <v>19895.7</v>
      </c>
      <c r="D24" s="12" t="n">
        <v>22761.1</v>
      </c>
      <c r="E24" s="12" t="n">
        <v>39513.1</v>
      </c>
      <c r="F24" s="12" t="n">
        <v>39513.1</v>
      </c>
      <c r="G24" s="12" t="n">
        <v>39513.1</v>
      </c>
    </row>
    <row r="25">
      <c r="A25" s="10" t="inlineStr">
        <is>
          <t>2022-04</t>
        </is>
      </c>
      <c r="B25" s="12" t="n">
        <v>20968.4</v>
      </c>
      <c r="C25" s="12" t="n">
        <v>17937.7</v>
      </c>
      <c r="D25" s="12" t="n">
        <v>20582.2</v>
      </c>
      <c r="E25" s="12" t="n">
        <v>20968.4</v>
      </c>
      <c r="F25" s="12" t="n">
        <v>20968.4</v>
      </c>
      <c r="G25" s="12" t="n">
        <v>20968.4</v>
      </c>
    </row>
    <row r="26">
      <c r="A26" s="10" t="inlineStr">
        <is>
          <t>2022-05</t>
        </is>
      </c>
      <c r="B26" s="12" t="n">
        <v>18133.4</v>
      </c>
      <c r="C26" s="12" t="n">
        <v>14560.5</v>
      </c>
      <c r="D26" s="12" t="n">
        <v>16712.9</v>
      </c>
      <c r="E26" s="12" t="n">
        <v>12913.5</v>
      </c>
      <c r="F26" s="12" t="n">
        <v>18133.4</v>
      </c>
      <c r="G26" s="12" t="n">
        <v>18133.4</v>
      </c>
    </row>
    <row r="27">
      <c r="A27" s="10" t="inlineStr">
        <is>
          <t>2022-06</t>
        </is>
      </c>
      <c r="B27" s="12" t="n">
        <v>15271.7</v>
      </c>
      <c r="C27" s="12" t="n">
        <v>14868.1</v>
      </c>
      <c r="D27" s="12" t="n">
        <v>17040.3</v>
      </c>
      <c r="E27" s="12" t="n">
        <v>13319.9</v>
      </c>
      <c r="F27" s="12" t="n">
        <v>15271.7</v>
      </c>
      <c r="G27" s="12" t="n">
        <v>15271.7</v>
      </c>
    </row>
    <row r="28">
      <c r="A28" s="10" t="inlineStr">
        <is>
          <t>2022-07</t>
        </is>
      </c>
      <c r="B28" s="12" t="n">
        <v>16417.5</v>
      </c>
      <c r="C28" s="12" t="n">
        <v>15193.9</v>
      </c>
      <c r="D28" s="12" t="n">
        <v>17376</v>
      </c>
      <c r="E28" s="12" t="n">
        <v>13709.2</v>
      </c>
      <c r="F28" s="12" t="n">
        <v>16417.5</v>
      </c>
      <c r="G28" s="12" t="n">
        <v>16417.5</v>
      </c>
    </row>
    <row r="29">
      <c r="A29" s="10" t="inlineStr">
        <is>
          <t>2022-08</t>
        </is>
      </c>
      <c r="B29" s="12" t="n">
        <v>14656</v>
      </c>
      <c r="C29" s="12" t="n">
        <v>15339.8</v>
      </c>
      <c r="D29" s="12" t="n">
        <v>17512.6</v>
      </c>
      <c r="E29" s="12" t="n">
        <v>13934.9</v>
      </c>
      <c r="F29" s="12" t="n">
        <v>14656</v>
      </c>
      <c r="G29" s="12" t="n">
        <v>14656</v>
      </c>
    </row>
    <row r="30">
      <c r="A30" s="10" t="inlineStr">
        <is>
          <t>2022-09</t>
        </is>
      </c>
      <c r="B30" s="12" t="n">
        <v>13886.2</v>
      </c>
      <c r="C30" s="12" t="n">
        <v>14796.1</v>
      </c>
      <c r="D30" s="12" t="n">
        <v>16847.6</v>
      </c>
      <c r="E30" s="12" t="n">
        <v>13518.8</v>
      </c>
      <c r="F30" s="12" t="n">
        <v>13886.2</v>
      </c>
      <c r="G30" s="12" t="n">
        <v>13886.2</v>
      </c>
    </row>
    <row r="31">
      <c r="A31" s="10" t="inlineStr">
        <is>
          <t>2022-10</t>
        </is>
      </c>
      <c r="B31" s="12" t="n">
        <v>13614.7</v>
      </c>
      <c r="C31" s="12" t="n">
        <v>14998.4</v>
      </c>
      <c r="D31" s="12" t="n">
        <v>17024.3</v>
      </c>
      <c r="E31" s="12" t="n">
        <v>13788.1</v>
      </c>
      <c r="F31" s="12" t="n">
        <v>13614.7</v>
      </c>
      <c r="G31" s="12" t="n">
        <v>13614.7</v>
      </c>
    </row>
    <row r="32">
      <c r="A32" s="10" t="inlineStr">
        <is>
          <t>2022-11</t>
        </is>
      </c>
      <c r="B32" s="12" t="n">
        <v>14580.3</v>
      </c>
      <c r="C32" s="12" t="n">
        <v>14978.8</v>
      </c>
      <c r="D32" s="12" t="n">
        <v>16923.2</v>
      </c>
      <c r="E32" s="12" t="n">
        <v>13863.7</v>
      </c>
      <c r="F32" s="12" t="n">
        <v>14580.3</v>
      </c>
      <c r="G32" s="12" t="n">
        <v>14580.3</v>
      </c>
    </row>
    <row r="33">
      <c r="A33" s="10" t="inlineStr">
        <is>
          <t>2022-12</t>
        </is>
      </c>
      <c r="B33" s="12" t="n">
        <v>15865.3</v>
      </c>
      <c r="C33" s="12" t="n">
        <v>15583.4</v>
      </c>
      <c r="D33" s="12" t="n">
        <v>17535.3</v>
      </c>
      <c r="E33" s="12" t="n">
        <v>14525.8</v>
      </c>
      <c r="F33" s="12" t="n">
        <v>15865.3</v>
      </c>
      <c r="G33" s="12" t="n">
        <v>15865.3</v>
      </c>
    </row>
    <row r="34">
      <c r="A34" s="10" t="inlineStr">
        <is>
          <t>2023-01</t>
        </is>
      </c>
      <c r="B34" s="12" t="n">
        <v>18226.2</v>
      </c>
      <c r="C34" s="12" t="n">
        <v>15672</v>
      </c>
      <c r="D34" s="12" t="n">
        <v>17552</v>
      </c>
      <c r="E34" s="12" t="n">
        <v>14724.2</v>
      </c>
      <c r="F34" s="12" t="n">
        <v>18226.2</v>
      </c>
      <c r="G34" s="12" t="n">
        <v>18226.2</v>
      </c>
    </row>
    <row r="35">
      <c r="A35" s="10" t="inlineStr">
        <is>
          <t>2023-02</t>
        </is>
      </c>
      <c r="B35" s="12" t="n">
        <v>17827.1</v>
      </c>
      <c r="C35" s="12" t="n">
        <v>12961</v>
      </c>
      <c r="D35" s="12" t="n">
        <v>14470.6</v>
      </c>
      <c r="E35" s="12" t="n">
        <v>12227.9</v>
      </c>
      <c r="F35" s="12" t="n">
        <v>17827.1</v>
      </c>
      <c r="G35" s="12" t="n">
        <v>17827.1</v>
      </c>
    </row>
    <row r="36">
      <c r="A36" s="10" t="inlineStr">
        <is>
          <t>2023-03</t>
        </is>
      </c>
      <c r="B36" s="12" t="n">
        <v>22013.8</v>
      </c>
      <c r="C36" s="12" t="n">
        <v>19119.8</v>
      </c>
      <c r="D36" s="12" t="n">
        <v>19244.4</v>
      </c>
      <c r="E36" s="12" t="n">
        <v>16261.9</v>
      </c>
      <c r="F36" s="12" t="n">
        <v>22013.8</v>
      </c>
      <c r="G36" s="12" t="n">
        <v>22013.8</v>
      </c>
    </row>
    <row r="37">
      <c r="A37" s="10" t="inlineStr">
        <is>
          <t>2023-04</t>
        </is>
      </c>
      <c r="B37" s="12" t="n">
        <v>17769.7</v>
      </c>
      <c r="C37" s="12" t="n">
        <v>19851.8</v>
      </c>
      <c r="D37" s="12" t="n">
        <v>22079.6</v>
      </c>
      <c r="E37" s="12" t="n">
        <v>18833.1</v>
      </c>
      <c r="F37" s="12" t="n">
        <v>12760.4</v>
      </c>
      <c r="G37" s="12" t="n">
        <v>17769.7</v>
      </c>
    </row>
    <row r="38">
      <c r="A38" s="10" t="inlineStr">
        <is>
          <t>2023-05</t>
        </is>
      </c>
      <c r="B38" s="12" t="n">
        <v>15747.8</v>
      </c>
      <c r="C38" s="12" t="n">
        <v>18869.4</v>
      </c>
      <c r="D38" s="12" t="n">
        <v>20860.8</v>
      </c>
      <c r="E38" s="12" t="n">
        <v>17988.2</v>
      </c>
      <c r="F38" s="12" t="n">
        <v>12308.5</v>
      </c>
      <c r="G38" s="12" t="n">
        <v>15747.8</v>
      </c>
    </row>
    <row r="39">
      <c r="A39" s="10" t="inlineStr">
        <is>
          <t>2023-06</t>
        </is>
      </c>
      <c r="B39" s="12" t="n">
        <v>11049.5</v>
      </c>
      <c r="C39" s="12" t="n">
        <v>16646.5</v>
      </c>
      <c r="D39" s="12" t="n">
        <v>18342.3</v>
      </c>
      <c r="E39" s="12" t="n">
        <v>15913.2</v>
      </c>
      <c r="F39" s="12" t="n">
        <v>11000</v>
      </c>
      <c r="G39" s="12" t="n">
        <v>11049.5</v>
      </c>
    </row>
    <row r="40">
      <c r="A40" s="10" t="inlineStr">
        <is>
          <t>2023-07</t>
        </is>
      </c>
      <c r="B40" s="12" t="n">
        <v>10147.8</v>
      </c>
      <c r="C40" s="12" t="n">
        <v>14337.1</v>
      </c>
      <c r="D40" s="12" t="n">
        <v>15658.8</v>
      </c>
      <c r="E40" s="12" t="n">
        <v>13768.1</v>
      </c>
      <c r="F40" s="12" t="n">
        <v>9713</v>
      </c>
      <c r="G40" s="12" t="n">
        <v>10147.8</v>
      </c>
    </row>
    <row r="41">
      <c r="A41" s="10" t="inlineStr">
        <is>
          <t>2023-08</t>
        </is>
      </c>
      <c r="B41" s="12" t="n">
        <v>8637.799999999999</v>
      </c>
      <c r="C41" s="12" t="n">
        <v>9560.6</v>
      </c>
      <c r="D41" s="12" t="n">
        <v>10349.1</v>
      </c>
      <c r="E41" s="12" t="n">
        <v>9215.4</v>
      </c>
      <c r="F41" s="12" t="n">
        <v>6614.6</v>
      </c>
      <c r="G41" s="12" t="n">
        <v>8637.799999999999</v>
      </c>
    </row>
    <row r="42">
      <c r="A42" s="10" t="inlineStr">
        <is>
          <t>2023-09</t>
        </is>
      </c>
      <c r="B42" s="12" t="n">
        <v>5590.1</v>
      </c>
      <c r="C42" s="12" t="n">
        <v>6184.6</v>
      </c>
      <c r="D42" s="12" t="n">
        <v>6657.7</v>
      </c>
      <c r="E42" s="12" t="n">
        <v>5976.7</v>
      </c>
      <c r="F42" s="12" t="n">
        <v>4343.4</v>
      </c>
      <c r="G42" s="12" t="n">
        <v>604.2</v>
      </c>
    </row>
    <row r="43">
      <c r="A43" s="10" t="inlineStr">
        <is>
          <t>2023-10</t>
        </is>
      </c>
      <c r="B43" s="12" t="n">
        <v>3746.3</v>
      </c>
      <c r="C43" s="12" t="n">
        <v>4798.7</v>
      </c>
      <c r="D43" s="12" t="n">
        <v>5125</v>
      </c>
      <c r="E43" s="12" t="n">
        <v>4657.8</v>
      </c>
      <c r="F43" s="12" t="n">
        <v>3459.5</v>
      </c>
      <c r="G43" s="12" t="n">
        <v>470.3</v>
      </c>
    </row>
    <row r="44">
      <c r="A44" s="10" t="inlineStr">
        <is>
          <t>2023-11</t>
        </is>
      </c>
      <c r="B44" s="12" t="n">
        <v>1912.1</v>
      </c>
      <c r="C44" s="12" t="n">
        <v>3457.3</v>
      </c>
      <c r="D44" s="12" t="n">
        <v>3667.8</v>
      </c>
      <c r="E44" s="12" t="n">
        <v>3368</v>
      </c>
      <c r="F44" s="12" t="n">
        <v>2547</v>
      </c>
      <c r="G44" s="12" t="n">
        <v>338.4</v>
      </c>
    </row>
    <row r="45">
      <c r="A45" s="10" t="inlineStr">
        <is>
          <t>2023-12</t>
        </is>
      </c>
      <c r="B45" s="12" t="n">
        <v>620.9</v>
      </c>
      <c r="C45" s="12" t="n">
        <v>3132.2</v>
      </c>
      <c r="D45" s="12" t="n">
        <v>3314.8</v>
      </c>
      <c r="E45" s="12" t="n">
        <v>3055.3</v>
      </c>
      <c r="F45" s="12" t="n">
        <v>2325.3</v>
      </c>
      <c r="G45" s="12" t="n">
        <v>306.1</v>
      </c>
    </row>
    <row r="69">
      <c r="A69" s="6" t="inlineStr">
        <is>
          <t>■ 累積工数(時間)  実績 と 各段階の予測</t>
        </is>
      </c>
    </row>
    <row r="70">
      <c r="A70" s="5" t="inlineStr">
        <is>
          <t>月次は上下に振れるため、当たり外れは累積で見るほうが分かりやすい。終点の高さの差がそのまま総量の読み違いになる。</t>
        </is>
      </c>
    </row>
    <row r="71">
      <c r="A71" s="8" t="inlineStr">
        <is>
          <t>月</t>
        </is>
      </c>
      <c r="B71" s="8" t="inlineStr">
        <is>
          <t>実績</t>
        </is>
      </c>
      <c r="C71" s="8" t="inlineStr">
        <is>
          <t>段階0 着手前</t>
        </is>
      </c>
      <c r="D71" s="8" t="inlineStr">
        <is>
          <t>段階1 プロトタイプ後(2021-10まで確定)</t>
        </is>
      </c>
      <c r="E71" s="8" t="inlineStr">
        <is>
          <t>段階2 α版後(2022-04まで確定)</t>
        </is>
      </c>
      <c r="F71" s="8" t="inlineStr">
        <is>
          <t>段階3 β版後(2023-03まで確定)</t>
        </is>
      </c>
      <c r="G71" s="8" t="inlineStr">
        <is>
          <t>段階4 マスターアップ後(2023-08まで確定)</t>
        </is>
      </c>
    </row>
    <row r="72">
      <c r="A72" s="10">
        <f>A10</f>
        <v/>
      </c>
      <c r="B72" s="12">
        <f>SUM(B$10:B10)</f>
        <v/>
      </c>
      <c r="C72" s="12">
        <f>SUM(C$10:C10)</f>
        <v/>
      </c>
      <c r="D72" s="12">
        <f>SUM(D$10:D10)</f>
        <v/>
      </c>
      <c r="E72" s="12">
        <f>SUM(E$10:E10)</f>
        <v/>
      </c>
      <c r="F72" s="12">
        <f>SUM(F$10:F10)</f>
        <v/>
      </c>
      <c r="G72" s="12">
        <f>SUM(G$10:G10)</f>
        <v/>
      </c>
    </row>
    <row r="73">
      <c r="A73" s="10">
        <f>A11</f>
        <v/>
      </c>
      <c r="B73" s="12">
        <f>SUM(B$10:B11)</f>
        <v/>
      </c>
      <c r="C73" s="12">
        <f>SUM(C$10:C11)</f>
        <v/>
      </c>
      <c r="D73" s="12">
        <f>SUM(D$10:D11)</f>
        <v/>
      </c>
      <c r="E73" s="12">
        <f>SUM(E$10:E11)</f>
        <v/>
      </c>
      <c r="F73" s="12">
        <f>SUM(F$10:F11)</f>
        <v/>
      </c>
      <c r="G73" s="12">
        <f>SUM(G$10:G11)</f>
        <v/>
      </c>
    </row>
    <row r="74">
      <c r="A74" s="10">
        <f>A12</f>
        <v/>
      </c>
      <c r="B74" s="12">
        <f>SUM(B$10:B12)</f>
        <v/>
      </c>
      <c r="C74" s="12">
        <f>SUM(C$10:C12)</f>
        <v/>
      </c>
      <c r="D74" s="12">
        <f>SUM(D$10:D12)</f>
        <v/>
      </c>
      <c r="E74" s="12">
        <f>SUM(E$10:E12)</f>
        <v/>
      </c>
      <c r="F74" s="12">
        <f>SUM(F$10:F12)</f>
        <v/>
      </c>
      <c r="G74" s="12">
        <f>SUM(G$10:G12)</f>
        <v/>
      </c>
    </row>
    <row r="75">
      <c r="A75" s="10">
        <f>A13</f>
        <v/>
      </c>
      <c r="B75" s="12">
        <f>SUM(B$10:B13)</f>
        <v/>
      </c>
      <c r="C75" s="12">
        <f>SUM(C$10:C13)</f>
        <v/>
      </c>
      <c r="D75" s="12">
        <f>SUM(D$10:D13)</f>
        <v/>
      </c>
      <c r="E75" s="12">
        <f>SUM(E$10:E13)</f>
        <v/>
      </c>
      <c r="F75" s="12">
        <f>SUM(F$10:F13)</f>
        <v/>
      </c>
      <c r="G75" s="12">
        <f>SUM(G$10:G13)</f>
        <v/>
      </c>
    </row>
    <row r="76">
      <c r="A76" s="10">
        <f>A14</f>
        <v/>
      </c>
      <c r="B76" s="12">
        <f>SUM(B$10:B14)</f>
        <v/>
      </c>
      <c r="C76" s="12">
        <f>SUM(C$10:C14)</f>
        <v/>
      </c>
      <c r="D76" s="12">
        <f>SUM(D$10:D14)</f>
        <v/>
      </c>
      <c r="E76" s="12">
        <f>SUM(E$10:E14)</f>
        <v/>
      </c>
      <c r="F76" s="12">
        <f>SUM(F$10:F14)</f>
        <v/>
      </c>
      <c r="G76" s="12">
        <f>SUM(G$10:G14)</f>
        <v/>
      </c>
    </row>
    <row r="77">
      <c r="A77" s="10">
        <f>A15</f>
        <v/>
      </c>
      <c r="B77" s="12">
        <f>SUM(B$10:B15)</f>
        <v/>
      </c>
      <c r="C77" s="12">
        <f>SUM(C$10:C15)</f>
        <v/>
      </c>
      <c r="D77" s="12">
        <f>SUM(D$10:D15)</f>
        <v/>
      </c>
      <c r="E77" s="12">
        <f>SUM(E$10:E15)</f>
        <v/>
      </c>
      <c r="F77" s="12">
        <f>SUM(F$10:F15)</f>
        <v/>
      </c>
      <c r="G77" s="12">
        <f>SUM(G$10:G15)</f>
        <v/>
      </c>
    </row>
    <row r="78">
      <c r="A78" s="10">
        <f>A16</f>
        <v/>
      </c>
      <c r="B78" s="12">
        <f>SUM(B$10:B16)</f>
        <v/>
      </c>
      <c r="C78" s="12">
        <f>SUM(C$10:C16)</f>
        <v/>
      </c>
      <c r="D78" s="12">
        <f>SUM(D$10:D16)</f>
        <v/>
      </c>
      <c r="E78" s="12">
        <f>SUM(E$10:E16)</f>
        <v/>
      </c>
      <c r="F78" s="12">
        <f>SUM(F$10:F16)</f>
        <v/>
      </c>
      <c r="G78" s="12">
        <f>SUM(G$10:G16)</f>
        <v/>
      </c>
    </row>
    <row r="79">
      <c r="A79" s="10">
        <f>A17</f>
        <v/>
      </c>
      <c r="B79" s="12">
        <f>SUM(B$10:B17)</f>
        <v/>
      </c>
      <c r="C79" s="12">
        <f>SUM(C$10:C17)</f>
        <v/>
      </c>
      <c r="D79" s="12">
        <f>SUM(D$10:D17)</f>
        <v/>
      </c>
      <c r="E79" s="12">
        <f>SUM(E$10:E17)</f>
        <v/>
      </c>
      <c r="F79" s="12">
        <f>SUM(F$10:F17)</f>
        <v/>
      </c>
      <c r="G79" s="12">
        <f>SUM(G$10:G17)</f>
        <v/>
      </c>
    </row>
    <row r="80">
      <c r="A80" s="10">
        <f>A18</f>
        <v/>
      </c>
      <c r="B80" s="12">
        <f>SUM(B$10:B18)</f>
        <v/>
      </c>
      <c r="C80" s="12">
        <f>SUM(C$10:C18)</f>
        <v/>
      </c>
      <c r="D80" s="12">
        <f>SUM(D$10:D18)</f>
        <v/>
      </c>
      <c r="E80" s="12">
        <f>SUM(E$10:E18)</f>
        <v/>
      </c>
      <c r="F80" s="12">
        <f>SUM(F$10:F18)</f>
        <v/>
      </c>
      <c r="G80" s="12">
        <f>SUM(G$10:G18)</f>
        <v/>
      </c>
    </row>
    <row r="81">
      <c r="A81" s="10">
        <f>A19</f>
        <v/>
      </c>
      <c r="B81" s="12">
        <f>SUM(B$10:B19)</f>
        <v/>
      </c>
      <c r="C81" s="12">
        <f>SUM(C$10:C19)</f>
        <v/>
      </c>
      <c r="D81" s="12">
        <f>SUM(D$10:D19)</f>
        <v/>
      </c>
      <c r="E81" s="12">
        <f>SUM(E$10:E19)</f>
        <v/>
      </c>
      <c r="F81" s="12">
        <f>SUM(F$10:F19)</f>
        <v/>
      </c>
      <c r="G81" s="12">
        <f>SUM(G$10:G19)</f>
        <v/>
      </c>
    </row>
    <row r="82">
      <c r="A82" s="10">
        <f>A20</f>
        <v/>
      </c>
      <c r="B82" s="12">
        <f>SUM(B$10:B20)</f>
        <v/>
      </c>
      <c r="C82" s="12">
        <f>SUM(C$10:C20)</f>
        <v/>
      </c>
      <c r="D82" s="12">
        <f>SUM(D$10:D20)</f>
        <v/>
      </c>
      <c r="E82" s="12">
        <f>SUM(E$10:E20)</f>
        <v/>
      </c>
      <c r="F82" s="12">
        <f>SUM(F$10:F20)</f>
        <v/>
      </c>
      <c r="G82" s="12">
        <f>SUM(G$10:G20)</f>
        <v/>
      </c>
    </row>
    <row r="83">
      <c r="A83" s="10">
        <f>A21</f>
        <v/>
      </c>
      <c r="B83" s="12">
        <f>SUM(B$10:B21)</f>
        <v/>
      </c>
      <c r="C83" s="12">
        <f>SUM(C$10:C21)</f>
        <v/>
      </c>
      <c r="D83" s="12">
        <f>SUM(D$10:D21)</f>
        <v/>
      </c>
      <c r="E83" s="12">
        <f>SUM(E$10:E21)</f>
        <v/>
      </c>
      <c r="F83" s="12">
        <f>SUM(F$10:F21)</f>
        <v/>
      </c>
      <c r="G83" s="12">
        <f>SUM(G$10:G21)</f>
        <v/>
      </c>
    </row>
    <row r="84">
      <c r="A84" s="10">
        <f>A22</f>
        <v/>
      </c>
      <c r="B84" s="12">
        <f>SUM(B$10:B22)</f>
        <v/>
      </c>
      <c r="C84" s="12">
        <f>SUM(C$10:C22)</f>
        <v/>
      </c>
      <c r="D84" s="12">
        <f>SUM(D$10:D22)</f>
        <v/>
      </c>
      <c r="E84" s="12">
        <f>SUM(E$10:E22)</f>
        <v/>
      </c>
      <c r="F84" s="12">
        <f>SUM(F$10:F22)</f>
        <v/>
      </c>
      <c r="G84" s="12">
        <f>SUM(G$10:G22)</f>
        <v/>
      </c>
    </row>
    <row r="85">
      <c r="A85" s="10">
        <f>A23</f>
        <v/>
      </c>
      <c r="B85" s="12">
        <f>SUM(B$10:B23)</f>
        <v/>
      </c>
      <c r="C85" s="12">
        <f>SUM(C$10:C23)</f>
        <v/>
      </c>
      <c r="D85" s="12">
        <f>SUM(D$10:D23)</f>
        <v/>
      </c>
      <c r="E85" s="12">
        <f>SUM(E$10:E23)</f>
        <v/>
      </c>
      <c r="F85" s="12">
        <f>SUM(F$10:F23)</f>
        <v/>
      </c>
      <c r="G85" s="12">
        <f>SUM(G$10:G23)</f>
        <v/>
      </c>
    </row>
    <row r="86">
      <c r="A86" s="10">
        <f>A24</f>
        <v/>
      </c>
      <c r="B86" s="12">
        <f>SUM(B$10:B24)</f>
        <v/>
      </c>
      <c r="C86" s="12">
        <f>SUM(C$10:C24)</f>
        <v/>
      </c>
      <c r="D86" s="12">
        <f>SUM(D$10:D24)</f>
        <v/>
      </c>
      <c r="E86" s="12">
        <f>SUM(E$10:E24)</f>
        <v/>
      </c>
      <c r="F86" s="12">
        <f>SUM(F$10:F24)</f>
        <v/>
      </c>
      <c r="G86" s="12">
        <f>SUM(G$10:G24)</f>
        <v/>
      </c>
    </row>
    <row r="87">
      <c r="A87" s="10">
        <f>A25</f>
        <v/>
      </c>
      <c r="B87" s="12">
        <f>SUM(B$10:B25)</f>
        <v/>
      </c>
      <c r="C87" s="12">
        <f>SUM(C$10:C25)</f>
        <v/>
      </c>
      <c r="D87" s="12">
        <f>SUM(D$10:D25)</f>
        <v/>
      </c>
      <c r="E87" s="12">
        <f>SUM(E$10:E25)</f>
        <v/>
      </c>
      <c r="F87" s="12">
        <f>SUM(F$10:F25)</f>
        <v/>
      </c>
      <c r="G87" s="12">
        <f>SUM(G$10:G25)</f>
        <v/>
      </c>
    </row>
    <row r="88">
      <c r="A88" s="10">
        <f>A26</f>
        <v/>
      </c>
      <c r="B88" s="12">
        <f>SUM(B$10:B26)</f>
        <v/>
      </c>
      <c r="C88" s="12">
        <f>SUM(C$10:C26)</f>
        <v/>
      </c>
      <c r="D88" s="12">
        <f>SUM(D$10:D26)</f>
        <v/>
      </c>
      <c r="E88" s="12">
        <f>SUM(E$10:E26)</f>
        <v/>
      </c>
      <c r="F88" s="12">
        <f>SUM(F$10:F26)</f>
        <v/>
      </c>
      <c r="G88" s="12">
        <f>SUM(G$10:G26)</f>
        <v/>
      </c>
    </row>
    <row r="89">
      <c r="A89" s="10">
        <f>A27</f>
        <v/>
      </c>
      <c r="B89" s="12">
        <f>SUM(B$10:B27)</f>
        <v/>
      </c>
      <c r="C89" s="12">
        <f>SUM(C$10:C27)</f>
        <v/>
      </c>
      <c r="D89" s="12">
        <f>SUM(D$10:D27)</f>
        <v/>
      </c>
      <c r="E89" s="12">
        <f>SUM(E$10:E27)</f>
        <v/>
      </c>
      <c r="F89" s="12">
        <f>SUM(F$10:F27)</f>
        <v/>
      </c>
      <c r="G89" s="12">
        <f>SUM(G$10:G27)</f>
        <v/>
      </c>
    </row>
    <row r="90">
      <c r="A90" s="10">
        <f>A28</f>
        <v/>
      </c>
      <c r="B90" s="12">
        <f>SUM(B$10:B28)</f>
        <v/>
      </c>
      <c r="C90" s="12">
        <f>SUM(C$10:C28)</f>
        <v/>
      </c>
      <c r="D90" s="12">
        <f>SUM(D$10:D28)</f>
        <v/>
      </c>
      <c r="E90" s="12">
        <f>SUM(E$10:E28)</f>
        <v/>
      </c>
      <c r="F90" s="12">
        <f>SUM(F$10:F28)</f>
        <v/>
      </c>
      <c r="G90" s="12">
        <f>SUM(G$10:G28)</f>
        <v/>
      </c>
    </row>
    <row r="91">
      <c r="A91" s="10">
        <f>A29</f>
        <v/>
      </c>
      <c r="B91" s="12">
        <f>SUM(B$10:B29)</f>
        <v/>
      </c>
      <c r="C91" s="12">
        <f>SUM(C$10:C29)</f>
        <v/>
      </c>
      <c r="D91" s="12">
        <f>SUM(D$10:D29)</f>
        <v/>
      </c>
      <c r="E91" s="12">
        <f>SUM(E$10:E29)</f>
        <v/>
      </c>
      <c r="F91" s="12">
        <f>SUM(F$10:F29)</f>
        <v/>
      </c>
      <c r="G91" s="12">
        <f>SUM(G$10:G29)</f>
        <v/>
      </c>
    </row>
    <row r="92">
      <c r="A92" s="10">
        <f>A30</f>
        <v/>
      </c>
      <c r="B92" s="12">
        <f>SUM(B$10:B30)</f>
        <v/>
      </c>
      <c r="C92" s="12">
        <f>SUM(C$10:C30)</f>
        <v/>
      </c>
      <c r="D92" s="12">
        <f>SUM(D$10:D30)</f>
        <v/>
      </c>
      <c r="E92" s="12">
        <f>SUM(E$10:E30)</f>
        <v/>
      </c>
      <c r="F92" s="12">
        <f>SUM(F$10:F30)</f>
        <v/>
      </c>
      <c r="G92" s="12">
        <f>SUM(G$10:G30)</f>
        <v/>
      </c>
    </row>
    <row r="93">
      <c r="A93" s="10">
        <f>A31</f>
        <v/>
      </c>
      <c r="B93" s="12">
        <f>SUM(B$10:B31)</f>
        <v/>
      </c>
      <c r="C93" s="12">
        <f>SUM(C$10:C31)</f>
        <v/>
      </c>
      <c r="D93" s="12">
        <f>SUM(D$10:D31)</f>
        <v/>
      </c>
      <c r="E93" s="12">
        <f>SUM(E$10:E31)</f>
        <v/>
      </c>
      <c r="F93" s="12">
        <f>SUM(F$10:F31)</f>
        <v/>
      </c>
      <c r="G93" s="12">
        <f>SUM(G$10:G31)</f>
        <v/>
      </c>
    </row>
    <row r="94">
      <c r="A94" s="10">
        <f>A32</f>
        <v/>
      </c>
      <c r="B94" s="12">
        <f>SUM(B$10:B32)</f>
        <v/>
      </c>
      <c r="C94" s="12">
        <f>SUM(C$10:C32)</f>
        <v/>
      </c>
      <c r="D94" s="12">
        <f>SUM(D$10:D32)</f>
        <v/>
      </c>
      <c r="E94" s="12">
        <f>SUM(E$10:E32)</f>
        <v/>
      </c>
      <c r="F94" s="12">
        <f>SUM(F$10:F32)</f>
        <v/>
      </c>
      <c r="G94" s="12">
        <f>SUM(G$10:G32)</f>
        <v/>
      </c>
    </row>
    <row r="95">
      <c r="A95" s="10">
        <f>A33</f>
        <v/>
      </c>
      <c r="B95" s="12">
        <f>SUM(B$10:B33)</f>
        <v/>
      </c>
      <c r="C95" s="12">
        <f>SUM(C$10:C33)</f>
        <v/>
      </c>
      <c r="D95" s="12">
        <f>SUM(D$10:D33)</f>
        <v/>
      </c>
      <c r="E95" s="12">
        <f>SUM(E$10:E33)</f>
        <v/>
      </c>
      <c r="F95" s="12">
        <f>SUM(F$10:F33)</f>
        <v/>
      </c>
      <c r="G95" s="12">
        <f>SUM(G$10:G33)</f>
        <v/>
      </c>
    </row>
    <row r="96">
      <c r="A96" s="10">
        <f>A34</f>
        <v/>
      </c>
      <c r="B96" s="12">
        <f>SUM(B$10:B34)</f>
        <v/>
      </c>
      <c r="C96" s="12">
        <f>SUM(C$10:C34)</f>
        <v/>
      </c>
      <c r="D96" s="12">
        <f>SUM(D$10:D34)</f>
        <v/>
      </c>
      <c r="E96" s="12">
        <f>SUM(E$10:E34)</f>
        <v/>
      </c>
      <c r="F96" s="12">
        <f>SUM(F$10:F34)</f>
        <v/>
      </c>
      <c r="G96" s="12">
        <f>SUM(G$10:G34)</f>
        <v/>
      </c>
    </row>
    <row r="97">
      <c r="A97" s="10">
        <f>A35</f>
        <v/>
      </c>
      <c r="B97" s="12">
        <f>SUM(B$10:B35)</f>
        <v/>
      </c>
      <c r="C97" s="12">
        <f>SUM(C$10:C35)</f>
        <v/>
      </c>
      <c r="D97" s="12">
        <f>SUM(D$10:D35)</f>
        <v/>
      </c>
      <c r="E97" s="12">
        <f>SUM(E$10:E35)</f>
        <v/>
      </c>
      <c r="F97" s="12">
        <f>SUM(F$10:F35)</f>
        <v/>
      </c>
      <c r="G97" s="12">
        <f>SUM(G$10:G35)</f>
        <v/>
      </c>
    </row>
    <row r="98">
      <c r="A98" s="10">
        <f>A36</f>
        <v/>
      </c>
      <c r="B98" s="12">
        <f>SUM(B$10:B36)</f>
        <v/>
      </c>
      <c r="C98" s="12">
        <f>SUM(C$10:C36)</f>
        <v/>
      </c>
      <c r="D98" s="12">
        <f>SUM(D$10:D36)</f>
        <v/>
      </c>
      <c r="E98" s="12">
        <f>SUM(E$10:E36)</f>
        <v/>
      </c>
      <c r="F98" s="12">
        <f>SUM(F$10:F36)</f>
        <v/>
      </c>
      <c r="G98" s="12">
        <f>SUM(G$10:G36)</f>
        <v/>
      </c>
    </row>
    <row r="99">
      <c r="A99" s="10">
        <f>A37</f>
        <v/>
      </c>
      <c r="B99" s="12">
        <f>SUM(B$10:B37)</f>
        <v/>
      </c>
      <c r="C99" s="12">
        <f>SUM(C$10:C37)</f>
        <v/>
      </c>
      <c r="D99" s="12">
        <f>SUM(D$10:D37)</f>
        <v/>
      </c>
      <c r="E99" s="12">
        <f>SUM(E$10:E37)</f>
        <v/>
      </c>
      <c r="F99" s="12">
        <f>SUM(F$10:F37)</f>
        <v/>
      </c>
      <c r="G99" s="12">
        <f>SUM(G$10:G37)</f>
        <v/>
      </c>
    </row>
    <row r="100">
      <c r="A100" s="10">
        <f>A38</f>
        <v/>
      </c>
      <c r="B100" s="12">
        <f>SUM(B$10:B38)</f>
        <v/>
      </c>
      <c r="C100" s="12">
        <f>SUM(C$10:C38)</f>
        <v/>
      </c>
      <c r="D100" s="12">
        <f>SUM(D$10:D38)</f>
        <v/>
      </c>
      <c r="E100" s="12">
        <f>SUM(E$10:E38)</f>
        <v/>
      </c>
      <c r="F100" s="12">
        <f>SUM(F$10:F38)</f>
        <v/>
      </c>
      <c r="G100" s="12">
        <f>SUM(G$10:G38)</f>
        <v/>
      </c>
    </row>
    <row r="101">
      <c r="A101" s="10">
        <f>A39</f>
        <v/>
      </c>
      <c r="B101" s="12">
        <f>SUM(B$10:B39)</f>
        <v/>
      </c>
      <c r="C101" s="12">
        <f>SUM(C$10:C39)</f>
        <v/>
      </c>
      <c r="D101" s="12">
        <f>SUM(D$10:D39)</f>
        <v/>
      </c>
      <c r="E101" s="12">
        <f>SUM(E$10:E39)</f>
        <v/>
      </c>
      <c r="F101" s="12">
        <f>SUM(F$10:F39)</f>
        <v/>
      </c>
      <c r="G101" s="12">
        <f>SUM(G$10:G39)</f>
        <v/>
      </c>
    </row>
    <row r="102">
      <c r="A102" s="10">
        <f>A40</f>
        <v/>
      </c>
      <c r="B102" s="12">
        <f>SUM(B$10:B40)</f>
        <v/>
      </c>
      <c r="C102" s="12">
        <f>SUM(C$10:C40)</f>
        <v/>
      </c>
      <c r="D102" s="12">
        <f>SUM(D$10:D40)</f>
        <v/>
      </c>
      <c r="E102" s="12">
        <f>SUM(E$10:E40)</f>
        <v/>
      </c>
      <c r="F102" s="12">
        <f>SUM(F$10:F40)</f>
        <v/>
      </c>
      <c r="G102" s="12">
        <f>SUM(G$10:G40)</f>
        <v/>
      </c>
    </row>
    <row r="103">
      <c r="A103" s="10">
        <f>A41</f>
        <v/>
      </c>
      <c r="B103" s="12">
        <f>SUM(B$10:B41)</f>
        <v/>
      </c>
      <c r="C103" s="12">
        <f>SUM(C$10:C41)</f>
        <v/>
      </c>
      <c r="D103" s="12">
        <f>SUM(D$10:D41)</f>
        <v/>
      </c>
      <c r="E103" s="12">
        <f>SUM(E$10:E41)</f>
        <v/>
      </c>
      <c r="F103" s="12">
        <f>SUM(F$10:F41)</f>
        <v/>
      </c>
      <c r="G103" s="12">
        <f>SUM(G$10:G41)</f>
        <v/>
      </c>
    </row>
    <row r="104">
      <c r="A104" s="10">
        <f>A42</f>
        <v/>
      </c>
      <c r="B104" s="12">
        <f>SUM(B$10:B42)</f>
        <v/>
      </c>
      <c r="C104" s="12">
        <f>SUM(C$10:C42)</f>
        <v/>
      </c>
      <c r="D104" s="12">
        <f>SUM(D$10:D42)</f>
        <v/>
      </c>
      <c r="E104" s="12">
        <f>SUM(E$10:E42)</f>
        <v/>
      </c>
      <c r="F104" s="12">
        <f>SUM(F$10:F42)</f>
        <v/>
      </c>
      <c r="G104" s="12">
        <f>SUM(G$10:G42)</f>
        <v/>
      </c>
    </row>
    <row r="105">
      <c r="A105" s="10">
        <f>A43</f>
        <v/>
      </c>
      <c r="B105" s="12">
        <f>SUM(B$10:B43)</f>
        <v/>
      </c>
      <c r="C105" s="12">
        <f>SUM(C$10:C43)</f>
        <v/>
      </c>
      <c r="D105" s="12">
        <f>SUM(D$10:D43)</f>
        <v/>
      </c>
      <c r="E105" s="12">
        <f>SUM(E$10:E43)</f>
        <v/>
      </c>
      <c r="F105" s="12">
        <f>SUM(F$10:F43)</f>
        <v/>
      </c>
      <c r="G105" s="12">
        <f>SUM(G$10:G43)</f>
        <v/>
      </c>
    </row>
    <row r="106">
      <c r="A106" s="10">
        <f>A44</f>
        <v/>
      </c>
      <c r="B106" s="12">
        <f>SUM(B$10:B44)</f>
        <v/>
      </c>
      <c r="C106" s="12">
        <f>SUM(C$10:C44)</f>
        <v/>
      </c>
      <c r="D106" s="12">
        <f>SUM(D$10:D44)</f>
        <v/>
      </c>
      <c r="E106" s="12">
        <f>SUM(E$10:E44)</f>
        <v/>
      </c>
      <c r="F106" s="12">
        <f>SUM(F$10:F44)</f>
        <v/>
      </c>
      <c r="G106" s="12">
        <f>SUM(G$10:G44)</f>
        <v/>
      </c>
    </row>
    <row r="107">
      <c r="A107" s="10">
        <f>A45</f>
        <v/>
      </c>
      <c r="B107" s="12">
        <f>SUM(B$10:B45)</f>
        <v/>
      </c>
      <c r="C107" s="12">
        <f>SUM(C$10:C45)</f>
        <v/>
      </c>
      <c r="D107" s="12">
        <f>SUM(D$10:D45)</f>
        <v/>
      </c>
      <c r="E107" s="12">
        <f>SUM(E$10:E45)</f>
        <v/>
      </c>
      <c r="F107" s="12">
        <f>SUM(F$10:F45)</f>
        <v/>
      </c>
      <c r="G107" s="12">
        <f>SUM(G$10:G45)</f>
        <v/>
      </c>
    </row>
    <row r="131">
      <c r="A131" s="6" t="inlineStr">
        <is>
          <t>■ 段階ごとの誤差(評価するのは まだ確定していない区間だけ)</t>
        </is>
      </c>
    </row>
    <row r="132">
      <c r="A132" s="5" t="inlineStr">
        <is>
          <t>確定分は実績そのもので誤差0のため、混ぜると段階が進むほど自動的に数字が良くなる。それでは予測が良くなったのか確定が増えただけなのか区別できないので、残り区間だけで測っている。</t>
        </is>
      </c>
    </row>
    <row r="133">
      <c r="A133" s="5" t="inlineStr">
        <is>
          <t>「見込んだ総工数」は どの段階でも同じ値になる。総工数は契約人月(または見積もり)で決まっており、実績を確定させても動かないため。確定分が既にそれを超えている段階だけ、実績そのものが下限になって大きくなる。</t>
        </is>
      </c>
    </row>
    <row r="134">
      <c r="A134" s="5" t="inlineStr">
        <is>
          <t>「立上り制約に当たった月数」が 0 でない段階は、学習カーブどおりに配ると立ち上がりが急すぎるため、工数を後ろの月へ送っている。その段階では山が後ろへ移動し、なだらかになる。</t>
        </is>
      </c>
    </row>
    <row r="135">
      <c r="A135" s="5" t="inlineStr">
        <is>
          <t>「残工数の倍率」は 残工数 ÷ 学習カーブが残り区間に置く量。1.0 なら学習カーブどおり。1 より大きいほど確定分が学習カーブより少なく、そのずれが残り区間へ上乗せされる。切り替え点の段差の高さは この倍率そのもの。</t>
        </is>
      </c>
    </row>
    <row r="136">
      <c r="A136" s="5" t="inlineStr">
        <is>
          <t>終盤の段階ほど残り区間は短く、量も小さい。誤差率はその小さい分母で割った値なので数字が跳ねやすい。「残りが全体に占める割合」を見て、どれだけの量に対する誤差なのかと併せて読むこと。</t>
        </is>
      </c>
    </row>
    <row r="137">
      <c r="A137" s="8" t="inlineStr">
        <is>
          <t>段階</t>
        </is>
      </c>
      <c r="B137" s="8" t="inlineStr">
        <is>
          <t>区切り</t>
        </is>
      </c>
      <c r="C137" s="8" t="inlineStr">
        <is>
          <t>確定した月</t>
        </is>
      </c>
      <c r="D137" s="8" t="inlineStr">
        <is>
          <t>確定月数</t>
        </is>
      </c>
      <c r="E137" s="8" t="inlineStr">
        <is>
          <t>見込んだ総工数(時間)</t>
        </is>
      </c>
      <c r="F137" s="8" t="inlineStr">
        <is>
          <t>残工数の倍率(学習カーブ比)</t>
        </is>
      </c>
      <c r="G137" s="8" t="inlineStr">
        <is>
          <t>立上り制約に当たった月数</t>
        </is>
      </c>
      <c r="H137" s="8" t="inlineStr">
        <is>
          <t>位置合わせに使ったMS数</t>
        </is>
      </c>
      <c r="I137" s="8" t="inlineStr">
        <is>
          <t>残り月数</t>
        </is>
      </c>
      <c r="J137" s="8" t="inlineStr">
        <is>
          <t>評価した月数</t>
        </is>
      </c>
      <c r="K137" s="8" t="inlineStr">
        <is>
          <t>残り実績(時間)</t>
        </is>
      </c>
      <c r="L137" s="8" t="inlineStr">
        <is>
          <t>残りが全体に占める割合(%)</t>
        </is>
      </c>
      <c r="M137" s="8" t="inlineStr">
        <is>
          <t>残り予測(時間)</t>
        </is>
      </c>
      <c r="N137" s="8" t="inlineStr">
        <is>
          <t>残り総量誤差(%)</t>
        </is>
      </c>
      <c r="O137" s="8" t="inlineStr">
        <is>
          <t>残り月次WAPE</t>
        </is>
      </c>
      <c r="P137" s="8" t="inlineStr">
        <is>
          <t>残りピーク月ズレ</t>
        </is>
      </c>
      <c r="Q137" s="8" t="inlineStr">
        <is>
          <t>累積カーブ最大乖離</t>
        </is>
      </c>
      <c r="R137" s="8" t="inlineStr">
        <is>
          <t>総量誤差(%)</t>
        </is>
      </c>
    </row>
    <row r="138">
      <c r="A138" s="10" t="n">
        <v>0</v>
      </c>
      <c r="B138" s="10" t="inlineStr">
        <is>
          <t>(なし)</t>
        </is>
      </c>
      <c r="C138" s="10" t="inlineStr">
        <is>
          <t>(なし)</t>
        </is>
      </c>
      <c r="D138" s="10" t="n">
        <v>0</v>
      </c>
      <c r="E138" s="12" t="n">
        <v>472000</v>
      </c>
      <c r="F138" s="23" t="n">
        <v>1</v>
      </c>
      <c r="G138" s="11" t="n">
        <v>0</v>
      </c>
      <c r="H138" s="11" t="n">
        <v>3</v>
      </c>
      <c r="I138" s="10" t="n">
        <v>36</v>
      </c>
      <c r="J138" s="11" t="n">
        <v>36</v>
      </c>
      <c r="K138" s="12" t="n">
        <v>482150.4</v>
      </c>
      <c r="L138" s="24" t="n">
        <v>100</v>
      </c>
      <c r="M138" s="12" t="n">
        <v>472000</v>
      </c>
      <c r="N138" s="24" t="n">
        <v>-2.1</v>
      </c>
      <c r="O138" s="22" t="n">
        <v>0.2984</v>
      </c>
      <c r="P138" s="10" t="n">
        <v>0</v>
      </c>
      <c r="Q138" s="22" t="n">
        <v>0.0914</v>
      </c>
      <c r="R138" s="24" t="n">
        <v>-2.1</v>
      </c>
    </row>
    <row r="139">
      <c r="A139" s="10" t="n">
        <v>1</v>
      </c>
      <c r="B139" s="10" t="inlineStr">
        <is>
          <t>プロトタイプ</t>
        </is>
      </c>
      <c r="C139" s="10" t="inlineStr">
        <is>
          <t>2021-10</t>
        </is>
      </c>
      <c r="D139" s="10" t="n">
        <v>10</v>
      </c>
      <c r="E139" s="12" t="n">
        <v>472000</v>
      </c>
      <c r="F139" s="23" t="n">
        <v>1.11</v>
      </c>
      <c r="G139" s="11" t="n">
        <v>2</v>
      </c>
      <c r="H139" s="11" t="n">
        <v>3</v>
      </c>
      <c r="I139" s="10" t="n">
        <v>26</v>
      </c>
      <c r="J139" s="11" t="n">
        <v>26</v>
      </c>
      <c r="K139" s="12" t="n">
        <v>420709.6</v>
      </c>
      <c r="L139" s="24" t="n">
        <v>87.3</v>
      </c>
      <c r="M139" s="12" t="n">
        <v>410559.2</v>
      </c>
      <c r="N139" s="24" t="n">
        <v>-2.4</v>
      </c>
      <c r="O139" s="22" t="n">
        <v>0.2466</v>
      </c>
      <c r="P139" s="10" t="n">
        <v>0</v>
      </c>
      <c r="Q139" s="22" t="n">
        <v>0.0953</v>
      </c>
      <c r="R139" s="24" t="n">
        <v>-2.1</v>
      </c>
    </row>
    <row r="140">
      <c r="A140" s="10" t="n">
        <v>2</v>
      </c>
      <c r="B140" s="10" t="inlineStr">
        <is>
          <t>α版</t>
        </is>
      </c>
      <c r="C140" s="10" t="inlineStr">
        <is>
          <t>2022-04</t>
        </is>
      </c>
      <c r="D140" s="10" t="n">
        <v>16</v>
      </c>
      <c r="E140" s="12" t="n">
        <v>472000</v>
      </c>
      <c r="F140" s="23" t="n">
        <v>0.93</v>
      </c>
      <c r="G140" s="11" t="n">
        <v>1</v>
      </c>
      <c r="H140" s="11" t="n">
        <v>3</v>
      </c>
      <c r="I140" s="10" t="n">
        <v>20</v>
      </c>
      <c r="J140" s="11" t="n">
        <v>20</v>
      </c>
      <c r="K140" s="12" t="n">
        <v>255714.2</v>
      </c>
      <c r="L140" s="24" t="n">
        <v>53</v>
      </c>
      <c r="M140" s="12" t="n">
        <v>245563.8</v>
      </c>
      <c r="N140" s="24" t="n">
        <v>-4</v>
      </c>
      <c r="O140" s="22" t="n">
        <v>0.1783</v>
      </c>
      <c r="P140" s="10" t="n">
        <v>1</v>
      </c>
      <c r="Q140" s="22" t="n">
        <v>0.0405</v>
      </c>
      <c r="R140" s="24" t="n">
        <v>-2.1</v>
      </c>
    </row>
    <row r="141">
      <c r="A141" s="10" t="n">
        <v>3</v>
      </c>
      <c r="B141" s="10" t="inlineStr">
        <is>
          <t>β版</t>
        </is>
      </c>
      <c r="C141" s="10" t="inlineStr">
        <is>
          <t>2023-03</t>
        </is>
      </c>
      <c r="D141" s="10" t="n">
        <v>27</v>
      </c>
      <c r="E141" s="12" t="n">
        <v>472000</v>
      </c>
      <c r="F141" s="23" t="n">
        <v>0.67</v>
      </c>
      <c r="G141" s="11" t="n">
        <v>0</v>
      </c>
      <c r="H141" s="11" t="n">
        <v>3</v>
      </c>
      <c r="I141" s="10" t="n">
        <v>9</v>
      </c>
      <c r="J141" s="11" t="n">
        <v>9</v>
      </c>
      <c r="K141" s="12" t="n">
        <v>75222</v>
      </c>
      <c r="L141" s="24" t="n">
        <v>15.6</v>
      </c>
      <c r="M141" s="12" t="n">
        <v>65071.6</v>
      </c>
      <c r="N141" s="24" t="n">
        <v>-13.5</v>
      </c>
      <c r="O141" s="22" t="n">
        <v>0.1971</v>
      </c>
      <c r="P141" s="10" t="n">
        <v>0</v>
      </c>
      <c r="Q141" s="22" t="n">
        <v>0.0181</v>
      </c>
      <c r="R141" s="24" t="n">
        <v>-2.1</v>
      </c>
    </row>
    <row r="142">
      <c r="A142" s="10" t="n">
        <v>4</v>
      </c>
      <c r="B142" s="10" t="inlineStr">
        <is>
          <t>マスターアップ</t>
        </is>
      </c>
      <c r="C142" s="10" t="inlineStr">
        <is>
          <t>2023-08</t>
        </is>
      </c>
      <c r="D142" s="10" t="n">
        <v>32</v>
      </c>
      <c r="E142" s="12" t="n">
        <v>472000</v>
      </c>
      <c r="F142" s="23" t="n">
        <v>0.1</v>
      </c>
      <c r="G142" s="11" t="n">
        <v>0</v>
      </c>
      <c r="H142" s="11" t="n">
        <v>3</v>
      </c>
      <c r="I142" s="10" t="n">
        <v>4</v>
      </c>
      <c r="J142" s="11" t="n">
        <v>4</v>
      </c>
      <c r="K142" s="12" t="n">
        <v>11869.4</v>
      </c>
      <c r="L142" s="24" t="n">
        <v>2.5</v>
      </c>
      <c r="M142" s="12" t="n">
        <v>1719</v>
      </c>
      <c r="N142" s="24" t="n">
        <v>-85.5</v>
      </c>
      <c r="O142" s="22" t="n">
        <v>0.8552</v>
      </c>
      <c r="P142" s="10" t="n">
        <v>0</v>
      </c>
      <c r="Q142" s="22" t="n">
        <v>0.021</v>
      </c>
      <c r="R142" s="24" t="n">
        <v>-2.1</v>
      </c>
    </row>
    <row r="164">
      <c r="A164" s="6" t="inlineStr">
        <is>
          <t>■ 各段階の条件</t>
        </is>
      </c>
    </row>
    <row r="165">
      <c r="A165" s="25" t="inlineStr">
        <is>
          <t>段階0 着手前</t>
        </is>
      </c>
    </row>
    <row r="166">
      <c r="A166" s="5" t="inlineStr">
        <is>
          <t xml:space="preserve">  ・実績を一切使わない全期間予測。</t>
        </is>
      </c>
    </row>
    <row r="167">
      <c r="A167" s="5" t="inlineStr">
        <is>
          <t xml:space="preserve">  ・マイルストーンは記入済みの日付をすべて使っている(「予測」シートと同じ条件)。実運用では着手前から予定が引かれているため運用の実態に近いが、完了案件では記入値が実績の日付なので、予定が完璧に当たった場合に相当する。</t>
        </is>
      </c>
    </row>
    <row r="168">
      <c r="A168" s="5" t="inlineStr">
        <is>
          <t xml:space="preserve">  ・行程グループ間の総量は学習した工数比率で配分しています。</t>
        </is>
      </c>
    </row>
    <row r="169">
      <c r="A169" s="5" t="inlineStr">
        <is>
          <t xml:space="preserve">  ・指定されたマイルストーンで時間軸を固定: α版, β版, マスターアップ</t>
        </is>
      </c>
    </row>
    <row r="171">
      <c r="A171" s="25" t="inlineStr">
        <is>
          <t>段階1 プロトタイプ後(2021-10まで確定)</t>
        </is>
      </c>
    </row>
    <row r="172">
      <c r="A172" s="5" t="inlineStr">
        <is>
          <t xml:space="preserve">  ・2021-01〜2021-10 の 10 ヶ月を実績で確定し、残り 26 ヶ月を予測している。</t>
        </is>
      </c>
    </row>
    <row r="173">
      <c r="A173" s="5" t="inlineStr">
        <is>
          <t xml:space="preserve">  ・マイルストーンは記入済みの日付をすべて使っている(「予測」シートと同じ条件)。実運用では着手前から予定が引かれているため運用の実態に近いが、完了案件では記入値が実績の日付なので、予定が完璧に当たった場合に相当する。</t>
        </is>
      </c>
    </row>
    <row r="174">
      <c r="A174" s="5" t="inlineStr">
        <is>
          <t xml:space="preserve">  ・行程グループ間の総量は学習した工数比率で配分しています。</t>
        </is>
      </c>
    </row>
    <row r="175">
      <c r="A175" s="5" t="inlineStr">
        <is>
          <t xml:space="preserve">  ・指定されたマイルストーンで時間軸を固定: α版, β版, マスターアップ</t>
        </is>
      </c>
    </row>
    <row r="176">
      <c r="A176" s="5" t="inlineStr">
        <is>
          <t xml:space="preserve">  ・立ち上がり上限 1.33 倍/月 を適用した。2 ヶ月が上限に当たり、あふれた工数を後ろの月へ送っている。確定区間直後の段差 1.47 倍 → 1.33 倍。総工数と行程グループ別の総量は動かしていない。</t>
        </is>
      </c>
    </row>
    <row r="178">
      <c r="A178" s="25" t="inlineStr">
        <is>
          <t>段階2 α版後(2022-04まで確定)</t>
        </is>
      </c>
    </row>
    <row r="179">
      <c r="A179" s="5" t="inlineStr">
        <is>
          <t xml:space="preserve">  ・2021-01〜2022-04 の 16 ヶ月を実績で確定し、残り 20 ヶ月を予測している。</t>
        </is>
      </c>
    </row>
    <row r="180">
      <c r="A180" s="5" t="inlineStr">
        <is>
          <t xml:space="preserve">  ・マイルストーンは記入済みの日付をすべて使っている(「予測」シートと同じ条件)。実運用では着手前から予定が引かれているため運用の実態に近いが、完了案件では記入値が実績の日付なので、予定が完璧に当たった場合に相当する。</t>
        </is>
      </c>
    </row>
    <row r="181">
      <c r="A181" s="5" t="inlineStr">
        <is>
          <t xml:space="preserve">  ・行程グループ間の総量は学習した工数比率で配分しています。</t>
        </is>
      </c>
    </row>
    <row r="182">
      <c r="A182" s="5" t="inlineStr">
        <is>
          <t xml:space="preserve">  ・指定されたマイルストーンで時間軸を固定: α版, β版, マスターアップ</t>
        </is>
      </c>
    </row>
    <row r="183">
      <c r="A183" s="5" t="inlineStr">
        <is>
          <t xml:space="preserve">  ・立ち上がり上限 1.33 倍/月 を適用した。1 ヶ月が上限に当たり、あふれた工数を後ろの月へ送っている。確定区間直後の段差 0.61 倍 → 0.62 倍。総工数と行程グループ別の総量は動かしていない。</t>
        </is>
      </c>
    </row>
    <row r="184">
      <c r="A184" s="5" t="inlineStr">
        <is>
          <t xml:space="preserve">  ・確定分が見込み総量を超えている行程グループ: 企画・プリプロ(計 9,390 時間の超過)。その超過は、まだ残っているグループの残工数から差し引いている(案件全体の総工数を動かさないため)。</t>
        </is>
      </c>
    </row>
    <row r="186">
      <c r="A186" s="25" t="inlineStr">
        <is>
          <t>段階3 β版後(2023-03まで確定)</t>
        </is>
      </c>
    </row>
    <row r="187">
      <c r="A187" s="5" t="inlineStr">
        <is>
          <t xml:space="preserve">  ・2021-01〜2023-03 の 27 ヶ月を実績で確定し、残り 9 ヶ月を予測している。</t>
        </is>
      </c>
    </row>
    <row r="188">
      <c r="A188" s="5" t="inlineStr">
        <is>
          <t xml:space="preserve">  ・マイルストーンは記入済みの日付をすべて使っている(「予測」シートと同じ条件)。実運用では着手前から予定が引かれているため運用の実態に近いが、完了案件では記入値が実績の日付なので、予定が完璧に当たった場合に相当する。</t>
        </is>
      </c>
    </row>
    <row r="189">
      <c r="A189" s="5" t="inlineStr">
        <is>
          <t xml:space="preserve">  ・行程グループ間の総量は学習した工数比率で配分しています。</t>
        </is>
      </c>
    </row>
    <row r="190">
      <c r="A190" s="5" t="inlineStr">
        <is>
          <t xml:space="preserve">  ・指定されたマイルストーンで時間軸を固定: α版, β版, マスターアップ</t>
        </is>
      </c>
    </row>
    <row r="191">
      <c r="A191" s="5" t="inlineStr">
        <is>
          <t xml:space="preserve">  ・確定分の実績が学習カーブの見込みより多いため、残り区間に配る工数が学習カーブの 0.67 倍になっている。総工数は動かさない決まりなので、そのずれは残り区間へ寄せるほかなく、2023-03 の直後に下へ段差が出る。この案件は学習した消化ペースから外れている、と読むこと。</t>
        </is>
      </c>
    </row>
    <row r="192">
      <c r="A192" s="5" t="inlineStr">
        <is>
          <t xml:space="preserve">  ・確定分が見込み総量を超えている行程グループ: ゲームデザイン・シナリオ, 企画・プリプロ(計 16,539 時間の超過)。その超過は、まだ残っているグループの残工数から差し引いている(案件全体の総工数を動かさないため)。</t>
        </is>
      </c>
    </row>
    <row r="194">
      <c r="A194" s="25" t="inlineStr">
        <is>
          <t>段階4 マスターアップ後(2023-08まで確定)</t>
        </is>
      </c>
    </row>
    <row r="195">
      <c r="A195" s="5" t="inlineStr">
        <is>
          <t xml:space="preserve">  ・2021-01〜2023-08 の 32 ヶ月を実績で確定し、残り 4 ヶ月を予測している。</t>
        </is>
      </c>
    </row>
    <row r="196">
      <c r="A196" s="5" t="inlineStr">
        <is>
          <t xml:space="preserve">  ・マイルストーンは記入済みの日付をすべて使っている(「予測」シートと同じ条件)。実運用では着手前から予定が引かれているため運用の実態に近いが、完了案件では記入値が実績の日付なので、予定が完璧に当たった場合に相当する。</t>
        </is>
      </c>
    </row>
    <row r="197">
      <c r="A197" s="5" t="inlineStr">
        <is>
          <t xml:space="preserve">  ・行程グループ間の総量は学習した工数比率で配分しています。</t>
        </is>
      </c>
    </row>
    <row r="198">
      <c r="A198" s="5" t="inlineStr">
        <is>
          <t xml:space="preserve">  ・指定されたマイルストーンで時間軸を固定: α版, β版, マスターアップ</t>
        </is>
      </c>
    </row>
    <row r="199">
      <c r="A199" s="5" t="inlineStr">
        <is>
          <t xml:space="preserve">  ・確定分の実績が学習カーブの見込みより多いため、残り区間に配る工数が学習カーブの 0.10 倍になっている。総工数は動かさない決まりなので、そのずれは残り区間へ寄せるほかなく、2023-08 の直後に下へ段差が出る。この案件は学習した消化ペースから外れている、と読むこと。</t>
        </is>
      </c>
    </row>
    <row r="200">
      <c r="A200" s="5" t="inlineStr">
        <is>
          <t xml:space="preserve">  ・確定分が見込み総量を超えている行程グループ: アート, ゲームデザイン・シナリオ, サウンド, 企画・プリプロ(計 26,650 時間の超過)。その超過は、まだ残っているグループの残工数から差し引いている(案件全体の総工数を動かさないため)。</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L394"/>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α版=0.504, β版=0.738, マスターアップ=0.918</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PJ-2022-F</t>
        </is>
      </c>
      <c r="I6" s="8" t="inlineStr">
        <is>
          <t>PJ-2022-G</t>
        </is>
      </c>
      <c r="J6" s="8" t="inlineStr">
        <is>
          <t>PJ-2023-H</t>
        </is>
      </c>
      <c r="K6" s="8" t="inlineStr">
        <is>
          <t>PJ-2023-I</t>
        </is>
      </c>
      <c r="L6" s="8" t="inlineStr">
        <is>
          <t>PJ-2024-J</t>
        </is>
      </c>
    </row>
    <row r="7">
      <c r="A7" s="10" t="n">
        <v>0.005</v>
      </c>
      <c r="B7" s="22" t="n">
        <v>0.003987343643999136</v>
      </c>
      <c r="C7" s="22" t="n">
        <v>0.004030185742334646</v>
      </c>
      <c r="D7" s="22" t="n">
        <v>0.003016495208973412</v>
      </c>
      <c r="E7" s="22" t="n">
        <v>0.0005267418597291087</v>
      </c>
      <c r="F7" s="22" t="n">
        <v>0.009562210727203252</v>
      </c>
      <c r="G7" s="22" t="n">
        <v>0.006300363439021183</v>
      </c>
      <c r="H7" s="22" t="n">
        <v>0.002446625743472623</v>
      </c>
      <c r="I7" s="22" t="n">
        <v>0.009715068779946887</v>
      </c>
      <c r="J7" s="22" t="n">
        <v>0.002300994215790587</v>
      </c>
      <c r="K7" s="22" t="n">
        <v>0.001566546697324483</v>
      </c>
      <c r="L7" s="22" t="n">
        <v>0.000303200398786301</v>
      </c>
    </row>
    <row r="8">
      <c r="A8" s="10" t="n">
        <v>0.015</v>
      </c>
      <c r="B8" s="22" t="n">
        <v>0.007976807188636277</v>
      </c>
      <c r="C8" s="22" t="n">
        <v>0.008060371484669291</v>
      </c>
      <c r="D8" s="22" t="n">
        <v>0.006032990417946823</v>
      </c>
      <c r="E8" s="22" t="n">
        <v>0.001053483719458217</v>
      </c>
      <c r="F8" s="22" t="n">
        <v>0.01937605857880659</v>
      </c>
      <c r="G8" s="22" t="n">
        <v>0.01260072687804237</v>
      </c>
      <c r="H8" s="22" t="n">
        <v>0.004828866598959125</v>
      </c>
      <c r="I8" s="22" t="n">
        <v>0.01943013755989377</v>
      </c>
      <c r="J8" s="22" t="n">
        <v>0.004534312131116745</v>
      </c>
      <c r="K8" s="22" t="n">
        <v>0.00309186848156148</v>
      </c>
      <c r="L8" s="22" t="n">
        <v>0.000606400797572602</v>
      </c>
    </row>
    <row r="9">
      <c r="A9" s="10" t="n">
        <v>0.025</v>
      </c>
      <c r="B9" s="22" t="n">
        <v>0.0120371692167771</v>
      </c>
      <c r="C9" s="22" t="n">
        <v>0.0121458227624855</v>
      </c>
      <c r="D9" s="22" t="n">
        <v>0.009772624616208533</v>
      </c>
      <c r="E9" s="22" t="n">
        <v>0.001591199367931683</v>
      </c>
      <c r="F9" s="22" t="n">
        <v>0.02893826930600984</v>
      </c>
      <c r="G9" s="22" t="n">
        <v>0.01890109031706355</v>
      </c>
      <c r="H9" s="22" t="n">
        <v>0.007275492342431748</v>
      </c>
      <c r="I9" s="22" t="n">
        <v>0.02914520633984066</v>
      </c>
      <c r="J9" s="22" t="n">
        <v>0.006835306346907331</v>
      </c>
      <c r="K9" s="22" t="n">
        <v>0.004658415178885963</v>
      </c>
      <c r="L9" s="22" t="n">
        <v>0.000909601196358903</v>
      </c>
    </row>
    <row r="10">
      <c r="A10" s="10" t="n">
        <v>0.035</v>
      </c>
      <c r="B10" s="22" t="n">
        <v>0.01638371878019992</v>
      </c>
      <c r="C10" s="22" t="n">
        <v>0.01660286722843753</v>
      </c>
      <c r="D10" s="22" t="n">
        <v>0.01494058981526854</v>
      </c>
      <c r="E10" s="22" t="n">
        <v>0.002117941227660791</v>
      </c>
      <c r="F10" s="22" t="n">
        <v>0.03932587768234773</v>
      </c>
      <c r="G10" s="22" t="n">
        <v>0.02534146183250742</v>
      </c>
      <c r="H10" s="22" t="n">
        <v>0.009657733197918249</v>
      </c>
      <c r="I10" s="22" t="n">
        <v>0.03886027511978755</v>
      </c>
      <c r="J10" s="22" t="n">
        <v>0.009068624262233489</v>
      </c>
      <c r="K10" s="22" t="n">
        <v>0.00618373696312296</v>
      </c>
      <c r="L10" s="22" t="n">
        <v>0.001598630827425238</v>
      </c>
    </row>
    <row r="11">
      <c r="A11" s="10" t="n">
        <v>0.045</v>
      </c>
      <c r="B11" s="22" t="n">
        <v>0.02102901829014538</v>
      </c>
      <c r="C11" s="22" t="n">
        <v>0.02131188725103925</v>
      </c>
      <c r="D11" s="22" t="n">
        <v>0.02023775414430504</v>
      </c>
      <c r="E11" s="22" t="n">
        <v>0.0026446830873899</v>
      </c>
      <c r="F11" s="22" t="n">
        <v>0.05073309491938136</v>
      </c>
      <c r="G11" s="22" t="n">
        <v>0.0316418252715286</v>
      </c>
      <c r="H11" s="22" t="n">
        <v>0.01210435894139087</v>
      </c>
      <c r="I11" s="22" t="n">
        <v>0.04937778917095502</v>
      </c>
      <c r="J11" s="22" t="n">
        <v>0.01136961847802408</v>
      </c>
      <c r="K11" s="22" t="n">
        <v>0.007750283660447443</v>
      </c>
      <c r="L11" s="22" t="n">
        <v>0.002466795459193018</v>
      </c>
    </row>
    <row r="12">
      <c r="A12" s="10" t="n">
        <v>0.055</v>
      </c>
      <c r="B12" s="22" t="n">
        <v>0.02582707126077926</v>
      </c>
      <c r="C12" s="22" t="n">
        <v>0.02648979900728136</v>
      </c>
      <c r="D12" s="22" t="n">
        <v>0.02637730729222332</v>
      </c>
      <c r="E12" s="22" t="n">
        <v>0.003171424947119009</v>
      </c>
      <c r="F12" s="22" t="n">
        <v>0.06244050208370534</v>
      </c>
      <c r="G12" s="22" t="n">
        <v>0.0381983697965438</v>
      </c>
      <c r="H12" s="22" t="n">
        <v>0.01482591487249752</v>
      </c>
      <c r="I12" s="22" t="n">
        <v>0.05993988351496807</v>
      </c>
      <c r="J12" s="22" t="n">
        <v>0.01360293639335023</v>
      </c>
      <c r="K12" s="22" t="n">
        <v>0.00927560544468444</v>
      </c>
      <c r="L12" s="22" t="n">
        <v>0.003313785343844511</v>
      </c>
    </row>
    <row r="13">
      <c r="A13" s="10" t="n">
        <v>0.065</v>
      </c>
      <c r="B13" s="22" t="n">
        <v>0.03146412634903074</v>
      </c>
      <c r="C13" s="22" t="n">
        <v>0.03205709167114722</v>
      </c>
      <c r="D13" s="22" t="n">
        <v>0.03324437805644858</v>
      </c>
      <c r="E13" s="22" t="n">
        <v>0.004765845285809873</v>
      </c>
      <c r="F13" s="22" t="n">
        <v>0.07384771932073897</v>
      </c>
      <c r="G13" s="22" t="n">
        <v>0.04614561164552651</v>
      </c>
      <c r="H13" s="22" t="n">
        <v>0.0194215360948977</v>
      </c>
      <c r="I13" s="22" t="n">
        <v>0.07050197785898113</v>
      </c>
      <c r="J13" s="22" t="n">
        <v>0.01748400183498797</v>
      </c>
      <c r="K13" s="22" t="n">
        <v>0.01233308804337667</v>
      </c>
      <c r="L13" s="22" t="n">
        <v>0.004477495551103302</v>
      </c>
    </row>
    <row r="14">
      <c r="A14" s="10" t="n">
        <v>0.075</v>
      </c>
      <c r="B14" s="22" t="n">
        <v>0.03698909146230847</v>
      </c>
      <c r="C14" s="22" t="n">
        <v>0.0376482896417441</v>
      </c>
      <c r="D14" s="22" t="n">
        <v>0.04011144882067384</v>
      </c>
      <c r="E14" s="22" t="n">
        <v>0.006395235517939747</v>
      </c>
      <c r="F14" s="22" t="n">
        <v>0.08378199486894966</v>
      </c>
      <c r="G14" s="22" t="n">
        <v>0.05409285349450922</v>
      </c>
      <c r="H14" s="22" t="n">
        <v>0.02389621991670841</v>
      </c>
      <c r="I14" s="22" t="n">
        <v>0.08106407220299419</v>
      </c>
      <c r="J14" s="22" t="n">
        <v>0.02139933105524818</v>
      </c>
      <c r="K14" s="22" t="n">
        <v>0.01534934572898142</v>
      </c>
      <c r="L14" s="22" t="n">
        <v>0.005872502295702884</v>
      </c>
    </row>
    <row r="15">
      <c r="A15" s="10" t="n">
        <v>0.08500000000000001</v>
      </c>
      <c r="B15" s="22" t="n">
        <v>0.04266505157815889</v>
      </c>
      <c r="C15" s="22" t="n">
        <v>0.0433574578785457</v>
      </c>
      <c r="D15" s="22" t="n">
        <v>0.04776885467835126</v>
      </c>
      <c r="E15" s="22" t="n">
        <v>0.00802462575006962</v>
      </c>
      <c r="F15" s="22" t="n">
        <v>0.09379985127256499</v>
      </c>
      <c r="G15" s="22" t="n">
        <v>0.06204009534349193</v>
      </c>
      <c r="H15" s="22" t="n">
        <v>0.02849184113910859</v>
      </c>
      <c r="I15" s="22" t="n">
        <v>0.09152721002795873</v>
      </c>
      <c r="J15" s="22" t="n">
        <v>0.02543330661551628</v>
      </c>
      <c r="K15" s="22" t="n">
        <v>0.01844712389257548</v>
      </c>
      <c r="L15" s="22" t="n">
        <v>0.007267509040302466</v>
      </c>
    </row>
    <row r="16">
      <c r="A16" s="10" t="n">
        <v>0.095</v>
      </c>
      <c r="B16" s="22" t="n">
        <v>0.04830579736897968</v>
      </c>
      <c r="C16" s="22" t="n">
        <v>0.04916297123880092</v>
      </c>
      <c r="D16" s="22" t="n">
        <v>0.05534658601557749</v>
      </c>
      <c r="E16" s="22" t="n">
        <v>0.009654015982199494</v>
      </c>
      <c r="F16" s="22" t="n">
        <v>0.1035608395632671</v>
      </c>
      <c r="G16" s="22" t="n">
        <v>0.06998733719247464</v>
      </c>
      <c r="H16" s="22" t="n">
        <v>0.03296652496091929</v>
      </c>
      <c r="I16" s="22" t="n">
        <v>0.1018803961650916</v>
      </c>
      <c r="J16" s="22" t="n">
        <v>0.0293486358357765</v>
      </c>
      <c r="K16" s="22" t="n">
        <v>0.02154490205616955</v>
      </c>
      <c r="L16" s="22" t="n">
        <v>0.008803376928502107</v>
      </c>
    </row>
    <row r="17">
      <c r="A17" s="10" t="n">
        <v>0.105</v>
      </c>
      <c r="B17" s="22" t="n">
        <v>0.05398468141968753</v>
      </c>
      <c r="C17" s="22" t="n">
        <v>0.05506126968765825</v>
      </c>
      <c r="D17" s="22" t="n">
        <v>0.06318385364241234</v>
      </c>
      <c r="E17" s="22" t="n">
        <v>0.01131735184416541</v>
      </c>
      <c r="F17" s="22" t="n">
        <v>0.1126569418602698</v>
      </c>
      <c r="G17" s="22" t="n">
        <v>0.07793457904145736</v>
      </c>
      <c r="H17" s="22" t="n">
        <v>0.03756214618331948</v>
      </c>
      <c r="I17" s="22" t="n">
        <v>0.1122335823022244</v>
      </c>
      <c r="J17" s="22" t="n">
        <v>0.0333826113960446</v>
      </c>
      <c r="K17" s="22" t="n">
        <v>0.02456115974177429</v>
      </c>
      <c r="L17" s="22" t="n">
        <v>0.01084008443839084</v>
      </c>
    </row>
    <row r="18">
      <c r="A18" s="10" t="n">
        <v>0.115</v>
      </c>
      <c r="B18" s="22" t="n">
        <v>0.05991817070260685</v>
      </c>
      <c r="C18" s="22" t="n">
        <v>0.06134230302992849</v>
      </c>
      <c r="D18" s="22" t="n">
        <v>0.07190896601416817</v>
      </c>
      <c r="E18" s="22" t="n">
        <v>0.01331324300253708</v>
      </c>
      <c r="F18" s="22" t="n">
        <v>0.1212342119442031</v>
      </c>
      <c r="G18" s="22" t="n">
        <v>0.08620096588168219</v>
      </c>
      <c r="H18" s="22" t="n">
        <v>0.04236903336038254</v>
      </c>
      <c r="I18" s="22" t="n">
        <v>0.1225867684393573</v>
      </c>
      <c r="J18" s="22" t="n">
        <v>0.03800317497151118</v>
      </c>
      <c r="K18" s="22" t="n">
        <v>0.02788865954897896</v>
      </c>
      <c r="L18" s="22" t="n">
        <v>0.01287679194827957</v>
      </c>
    </row>
    <row r="19">
      <c r="A19" s="10" t="n">
        <v>0.125</v>
      </c>
      <c r="B19" s="22" t="n">
        <v>0.06631712847161866</v>
      </c>
      <c r="C19" s="22" t="n">
        <v>0.06779017356620831</v>
      </c>
      <c r="D19" s="22" t="n">
        <v>0.080634078385924</v>
      </c>
      <c r="E19" s="22" t="n">
        <v>0.01629586742386746</v>
      </c>
      <c r="F19" s="22" t="n">
        <v>0.1295915520259843</v>
      </c>
      <c r="G19" s="22" t="n">
        <v>0.09521725485681704</v>
      </c>
      <c r="H19" s="22" t="n">
        <v>0.04840708524669858</v>
      </c>
      <c r="I19" s="22" t="n">
        <v>0.1327862729336937</v>
      </c>
      <c r="J19" s="22" t="n">
        <v>0.04374986253728048</v>
      </c>
      <c r="K19" s="22" t="n">
        <v>0.03211916020795407</v>
      </c>
      <c r="L19" s="22" t="n">
        <v>0.01492657603261284</v>
      </c>
    </row>
    <row r="20">
      <c r="A20" s="10" t="n">
        <v>0.135</v>
      </c>
      <c r="B20" s="22" t="n">
        <v>0.07296327797869999</v>
      </c>
      <c r="C20" s="22" t="n">
        <v>0.0743096286010545</v>
      </c>
      <c r="D20" s="22" t="n">
        <v>0.08967982005261652</v>
      </c>
      <c r="E20" s="22" t="n">
        <v>0.01927849184519783</v>
      </c>
      <c r="F20" s="22" t="n">
        <v>0.1379488921077655</v>
      </c>
      <c r="G20" s="22" t="n">
        <v>0.1042335438319519</v>
      </c>
      <c r="H20" s="22" t="n">
        <v>0.05460832772453667</v>
      </c>
      <c r="I20" s="22" t="n">
        <v>0.144042115813</v>
      </c>
      <c r="J20" s="22" t="n">
        <v>0.04932752988052714</v>
      </c>
      <c r="K20" s="22" t="n">
        <v>0.03646399872257716</v>
      </c>
      <c r="L20" s="22" t="n">
        <v>0.01749942309472763</v>
      </c>
    </row>
    <row r="21">
      <c r="A21" s="10" t="n">
        <v>0.145</v>
      </c>
      <c r="B21" s="22" t="n">
        <v>0.07963014555876395</v>
      </c>
      <c r="C21" s="22" t="n">
        <v>0.08108562415306761</v>
      </c>
      <c r="D21" s="22" t="n">
        <v>0.09941614789301885</v>
      </c>
      <c r="E21" s="22" t="n">
        <v>0.02232325427530592</v>
      </c>
      <c r="F21" s="22" t="n">
        <v>0.1457419604753177</v>
      </c>
      <c r="G21" s="22" t="n">
        <v>0.1132498328070867</v>
      </c>
      <c r="H21" s="22" t="n">
        <v>0.06064637961085271</v>
      </c>
      <c r="I21" s="22" t="n">
        <v>0.1552979586923063</v>
      </c>
      <c r="J21" s="22" t="n">
        <v>0.05507421744629643</v>
      </c>
      <c r="K21" s="22" t="n">
        <v>0.04069449938155226</v>
      </c>
      <c r="L21" s="22" t="n">
        <v>0.02007227015684241</v>
      </c>
    </row>
    <row r="22">
      <c r="A22" s="10" t="n">
        <v>0.155</v>
      </c>
      <c r="B22" s="22" t="n">
        <v>0.08629786872507747</v>
      </c>
      <c r="C22" s="22" t="n">
        <v>0.08799497160948111</v>
      </c>
      <c r="D22" s="22" t="n">
        <v>0.1089150043226797</v>
      </c>
      <c r="E22" s="22" t="n">
        <v>0.0253058786966363</v>
      </c>
      <c r="F22" s="22" t="n">
        <v>0.1536904706491101</v>
      </c>
      <c r="G22" s="22" t="n">
        <v>0.1222661217822216</v>
      </c>
      <c r="H22" s="22" t="n">
        <v>0.0668476220886908</v>
      </c>
      <c r="I22" s="22" t="n">
        <v>0.1665538015716126</v>
      </c>
      <c r="J22" s="22" t="n">
        <v>0.06065188478954309</v>
      </c>
      <c r="K22" s="22" t="n">
        <v>0.04503933789617535</v>
      </c>
      <c r="L22" s="22" t="n">
        <v>0.0226451172189572</v>
      </c>
    </row>
    <row r="23">
      <c r="A23" s="10" t="n">
        <v>0.165</v>
      </c>
      <c r="B23" s="22" t="n">
        <v>0.09281618658523899</v>
      </c>
      <c r="C23" s="22" t="n">
        <v>0.09491735888849574</v>
      </c>
      <c r="D23" s="22" t="n">
        <v>0.1170259698934752</v>
      </c>
      <c r="E23" s="22" t="n">
        <v>0.02828850311796668</v>
      </c>
      <c r="F23" s="22" t="n">
        <v>0.1614351728697283</v>
      </c>
      <c r="G23" s="22" t="n">
        <v>0.1312824107573564</v>
      </c>
      <c r="H23" s="22" t="n">
        <v>0.07288567397500684</v>
      </c>
      <c r="I23" s="22" t="n">
        <v>0.1778096444509189</v>
      </c>
      <c r="J23" s="22" t="n">
        <v>0.06639857235531238</v>
      </c>
      <c r="K23" s="22" t="n">
        <v>0.04926983855515046</v>
      </c>
      <c r="L23" s="22" t="n">
        <v>0.02542657641228627</v>
      </c>
    </row>
    <row r="24">
      <c r="A24" s="10" t="n">
        <v>0.175</v>
      </c>
      <c r="B24" s="22" t="n">
        <v>0.09940076021856155</v>
      </c>
      <c r="C24" s="22" t="n">
        <v>0.1018688796738386</v>
      </c>
      <c r="D24" s="22" t="n">
        <v>0.1241992264625745</v>
      </c>
      <c r="E24" s="22" t="n">
        <v>0.03149665214775059</v>
      </c>
      <c r="F24" s="22" t="n">
        <v>0.1690880666337994</v>
      </c>
      <c r="G24" s="22" t="n">
        <v>0.140582767449627</v>
      </c>
      <c r="H24" s="22" t="n">
        <v>0.07944973335974463</v>
      </c>
      <c r="I24" s="22" t="n">
        <v>0.1887811408460587</v>
      </c>
      <c r="J24" s="22" t="n">
        <v>0.0723629528497063</v>
      </c>
      <c r="K24" s="22" t="n">
        <v>0.05383569934224694</v>
      </c>
      <c r="L24" s="22" t="n">
        <v>0.02839677863304035</v>
      </c>
    </row>
    <row r="25">
      <c r="A25" s="10" t="n">
        <v>0.185</v>
      </c>
      <c r="B25" s="22" t="n">
        <v>0.1064344680449915</v>
      </c>
      <c r="C25" s="22" t="n">
        <v>0.1088204004591815</v>
      </c>
      <c r="D25" s="22" t="n">
        <v>0.1313724830316738</v>
      </c>
      <c r="E25" s="22" t="n">
        <v>0.03564648515928102</v>
      </c>
      <c r="F25" s="22" t="n">
        <v>0.1768481278704688</v>
      </c>
      <c r="G25" s="22" t="n">
        <v>0.1508883446510074</v>
      </c>
      <c r="H25" s="22" t="n">
        <v>0.08670816938745059</v>
      </c>
      <c r="I25" s="22" t="n">
        <v>0.199604777069432</v>
      </c>
      <c r="J25" s="22" t="n">
        <v>0.07930493560993074</v>
      </c>
      <c r="K25" s="22" t="n">
        <v>0.05942917068147466</v>
      </c>
      <c r="L25" s="22" t="n">
        <v>0.03136698085379443</v>
      </c>
    </row>
    <row r="26">
      <c r="A26" s="10" t="n">
        <v>0.195</v>
      </c>
      <c r="B26" s="22" t="n">
        <v>0.1134990894514341</v>
      </c>
      <c r="C26" s="22" t="n">
        <v>0.1158238760704431</v>
      </c>
      <c r="D26" s="22" t="n">
        <v>0.1389103866498019</v>
      </c>
      <c r="E26" s="22" t="n">
        <v>0.03971162770118838</v>
      </c>
      <c r="F26" s="22" t="n">
        <v>0.1844092131779927</v>
      </c>
      <c r="G26" s="22" t="n">
        <v>0.1609698875654013</v>
      </c>
      <c r="H26" s="22" t="n">
        <v>0.0941627793618513</v>
      </c>
      <c r="I26" s="22" t="n">
        <v>0.2104284132928053</v>
      </c>
      <c r="J26" s="22" t="n">
        <v>0.08604274240661916</v>
      </c>
      <c r="K26" s="22" t="n">
        <v>0.06517381692176258</v>
      </c>
      <c r="L26" s="22" t="n">
        <v>0.03463928766215612</v>
      </c>
    </row>
    <row r="27">
      <c r="A27" s="10" t="n">
        <v>0.205</v>
      </c>
      <c r="B27" s="22" t="n">
        <v>0.1206085957175782</v>
      </c>
      <c r="C27" s="22" t="n">
        <v>0.1230984033330645</v>
      </c>
      <c r="D27" s="22" t="n">
        <v>0.1465108011906206</v>
      </c>
      <c r="E27" s="22" t="n">
        <v>0.04377677024309574</v>
      </c>
      <c r="F27" s="22" t="n">
        <v>0.1919702984855167</v>
      </c>
      <c r="G27" s="22" t="n">
        <v>0.1710514304797951</v>
      </c>
      <c r="H27" s="22" t="n">
        <v>0.1014212153895573</v>
      </c>
      <c r="I27" s="22" t="n">
        <v>0.2212520495161786</v>
      </c>
      <c r="J27" s="22" t="n">
        <v>0.0929847251668436</v>
      </c>
      <c r="K27" s="22" t="n">
        <v>0.0709184631620505</v>
      </c>
      <c r="L27" s="22" t="n">
        <v>0.03826139978248454</v>
      </c>
    </row>
    <row r="28">
      <c r="A28" s="10" t="n">
        <v>0.215</v>
      </c>
      <c r="B28" s="22" t="n">
        <v>0.1277230211008112</v>
      </c>
      <c r="C28" s="22" t="n">
        <v>0.1305162107039795</v>
      </c>
      <c r="D28" s="22" t="n">
        <v>0.1539207103084995</v>
      </c>
      <c r="E28" s="22" t="n">
        <v>0.0478419127850031</v>
      </c>
      <c r="F28" s="22" t="n">
        <v>0.1994572114115112</v>
      </c>
      <c r="G28" s="22" t="n">
        <v>0.181132973394189</v>
      </c>
      <c r="H28" s="22" t="n">
        <v>0.108875825363958</v>
      </c>
      <c r="I28" s="22" t="n">
        <v>0.2324876583396291</v>
      </c>
      <c r="J28" s="22" t="n">
        <v>0.09972253196353202</v>
      </c>
      <c r="K28" s="22" t="n">
        <v>0.07651193450127822</v>
      </c>
      <c r="L28" s="22" t="n">
        <v>0.04188351190281295</v>
      </c>
    </row>
    <row r="29">
      <c r="A29" s="10" t="n">
        <v>0.225</v>
      </c>
      <c r="B29" s="22" t="n">
        <v>0.1350149358074372</v>
      </c>
      <c r="C29" s="22" t="n">
        <v>0.1382229295328283</v>
      </c>
      <c r="D29" s="22" t="n">
        <v>0.1614910808779303</v>
      </c>
      <c r="E29" s="22" t="n">
        <v>0.05199174579653354</v>
      </c>
      <c r="F29" s="22" t="n">
        <v>0.2067377660215853</v>
      </c>
      <c r="G29" s="22" t="n">
        <v>0.1912145163085829</v>
      </c>
      <c r="H29" s="22" t="n">
        <v>0.1163304353383587</v>
      </c>
      <c r="I29" s="22" t="n">
        <v>0.244615874463247</v>
      </c>
      <c r="J29" s="22" t="n">
        <v>0.1066645147237565</v>
      </c>
      <c r="K29" s="22" t="n">
        <v>0.08225658074156614</v>
      </c>
      <c r="L29" s="22" t="n">
        <v>0.04570292103621198</v>
      </c>
    </row>
    <row r="30">
      <c r="A30" s="10" t="n">
        <v>0.235</v>
      </c>
      <c r="B30" s="22" t="n">
        <v>0.1425519368557496</v>
      </c>
      <c r="C30" s="22" t="n">
        <v>0.146131532860093</v>
      </c>
      <c r="D30" s="22" t="n">
        <v>0.1690614514473611</v>
      </c>
      <c r="E30" s="22" t="n">
        <v>0.05657806081531968</v>
      </c>
      <c r="F30" s="22" t="n">
        <v>0.2140183206316595</v>
      </c>
      <c r="G30" s="22" t="n">
        <v>0.2015814055361652</v>
      </c>
      <c r="H30" s="22" t="n">
        <v>0.1240111671205745</v>
      </c>
      <c r="I30" s="22" t="n">
        <v>0.2567440905868648</v>
      </c>
      <c r="J30" s="22" t="n">
        <v>0.1138098150827373</v>
      </c>
      <c r="K30" s="22" t="n">
        <v>0.08802684545707878</v>
      </c>
      <c r="L30" s="22" t="n">
        <v>0.05067322941252293</v>
      </c>
    </row>
    <row r="31">
      <c r="A31" s="10" t="n">
        <v>0.245</v>
      </c>
      <c r="B31" s="22" t="n">
        <v>0.1507074802138098</v>
      </c>
      <c r="C31" s="22" t="n">
        <v>0.1541425686556149</v>
      </c>
      <c r="D31" s="22" t="n">
        <v>0.1768512029819497</v>
      </c>
      <c r="E31" s="22" t="n">
        <v>0.06220672078786336</v>
      </c>
      <c r="F31" s="22" t="n">
        <v>0.2211889761337738</v>
      </c>
      <c r="G31" s="22" t="n">
        <v>0.2129470068599075</v>
      </c>
      <c r="H31" s="22" t="n">
        <v>0.133248803614017</v>
      </c>
      <c r="I31" s="22" t="n">
        <v>0.2688723067104827</v>
      </c>
      <c r="J31" s="22" t="n">
        <v>0.1216754499174913</v>
      </c>
      <c r="K31" s="22" t="n">
        <v>0.09511512135713214</v>
      </c>
      <c r="L31" s="22" t="n">
        <v>0.05564353778883387</v>
      </c>
    </row>
    <row r="32">
      <c r="A32" s="10" t="n">
        <v>0.255</v>
      </c>
      <c r="B32" s="22" t="n">
        <v>0.1588619793796601</v>
      </c>
      <c r="C32" s="22" t="n">
        <v>0.1625192127074175</v>
      </c>
      <c r="D32" s="22" t="n">
        <v>0.1849837372745974</v>
      </c>
      <c r="E32" s="22" t="n">
        <v>0.06783538076040706</v>
      </c>
      <c r="F32" s="22" t="n">
        <v>0.2283753866055227</v>
      </c>
      <c r="G32" s="22" t="n">
        <v>0.2245651771019551</v>
      </c>
      <c r="H32" s="22" t="n">
        <v>0.1422433444102637</v>
      </c>
      <c r="I32" s="22" t="n">
        <v>0.2810005228341005</v>
      </c>
      <c r="J32" s="22" t="n">
        <v>0.1293097425512231</v>
      </c>
      <c r="K32" s="22" t="n">
        <v>0.1020168636808683</v>
      </c>
      <c r="L32" s="22" t="n">
        <v>0.06061384616514482</v>
      </c>
    </row>
    <row r="33">
      <c r="A33" s="10" t="n">
        <v>0.265</v>
      </c>
      <c r="B33" s="22" t="n">
        <v>0.1672597754372802</v>
      </c>
      <c r="C33" s="22" t="n">
        <v>0.1709518389665463</v>
      </c>
      <c r="D33" s="22" t="n">
        <v>0.1931162715672451</v>
      </c>
      <c r="E33" s="22" t="n">
        <v>0.07358130448237873</v>
      </c>
      <c r="F33" s="22" t="n">
        <v>0.2353775301420986</v>
      </c>
      <c r="G33" s="22" t="n">
        <v>0.2359307784256973</v>
      </c>
      <c r="H33" s="22" t="n">
        <v>0.1514809809037062</v>
      </c>
      <c r="I33" s="22" t="n">
        <v>0.2942581834155976</v>
      </c>
      <c r="J33" s="22" t="n">
        <v>0.1371753773859771</v>
      </c>
      <c r="K33" s="22" t="n">
        <v>0.1091051395809217</v>
      </c>
      <c r="L33" s="22" t="n">
        <v>0.06625887427521232</v>
      </c>
    </row>
    <row r="34">
      <c r="A34" s="10" t="n">
        <v>0.275</v>
      </c>
      <c r="B34" s="22" t="n">
        <v>0.1756081431941816</v>
      </c>
      <c r="C34" s="22" t="n">
        <v>0.1795736337505435</v>
      </c>
      <c r="D34" s="22" t="n">
        <v>0.2013472350177509</v>
      </c>
      <c r="E34" s="22" t="n">
        <v>0.07920996445492243</v>
      </c>
      <c r="F34" s="22" t="n">
        <v>0.242415097869434</v>
      </c>
      <c r="G34" s="22" t="n">
        <v>0.2472963797494395</v>
      </c>
      <c r="H34" s="22" t="n">
        <v>0.1604755216999528</v>
      </c>
      <c r="I34" s="22" t="n">
        <v>0.3077276148329471</v>
      </c>
      <c r="J34" s="22" t="n">
        <v>0.1448096700197089</v>
      </c>
      <c r="K34" s="22" t="n">
        <v>0.1160068819046578</v>
      </c>
      <c r="L34" s="22" t="n">
        <v>0.07190174354002124</v>
      </c>
    </row>
    <row r="35">
      <c r="A35" s="10" t="n">
        <v>0.285</v>
      </c>
      <c r="B35" s="22" t="n">
        <v>0.1840714094058645</v>
      </c>
      <c r="C35" s="22" t="n">
        <v>0.1885270820511412</v>
      </c>
      <c r="D35" s="22" t="n">
        <v>0.2094328442890839</v>
      </c>
      <c r="E35" s="22" t="n">
        <v>0.08483862442746612</v>
      </c>
      <c r="F35" s="22" t="n">
        <v>0.2497988716897007</v>
      </c>
      <c r="G35" s="22" t="n">
        <v>0.2586619810731818</v>
      </c>
      <c r="H35" s="22" t="n">
        <v>0.1697131581933953</v>
      </c>
      <c r="I35" s="22" t="n">
        <v>0.3211970462502965</v>
      </c>
      <c r="J35" s="22" t="n">
        <v>0.1526753048544628</v>
      </c>
      <c r="K35" s="22" t="n">
        <v>0.1230951578047112</v>
      </c>
      <c r="L35" s="22" t="n">
        <v>0.07768568453645039</v>
      </c>
    </row>
    <row r="36">
      <c r="A36" s="10" t="n">
        <v>0.295</v>
      </c>
      <c r="B36" s="22" t="n">
        <v>0.192762912877229</v>
      </c>
      <c r="C36" s="22" t="n">
        <v>0.1979174452774929</v>
      </c>
      <c r="D36" s="22" t="n">
        <v>0.2177355535168856</v>
      </c>
      <c r="E36" s="22" t="n">
        <v>0.09081778059325368</v>
      </c>
      <c r="F36" s="22" t="n">
        <v>0.2569933179761145</v>
      </c>
      <c r="G36" s="22" t="n">
        <v>0.2705040592246634</v>
      </c>
      <c r="H36" s="22" t="n">
        <v>0.1789528523120324</v>
      </c>
      <c r="I36" s="22" t="n">
        <v>0.334666477667646</v>
      </c>
      <c r="J36" s="22" t="n">
        <v>0.1608513204647285</v>
      </c>
      <c r="K36" s="22" t="n">
        <v>0.1305694744572168</v>
      </c>
      <c r="L36" s="22" t="n">
        <v>0.08410935465116894</v>
      </c>
    </row>
    <row r="37">
      <c r="A37" s="10" t="n">
        <v>0.305</v>
      </c>
      <c r="B37" s="22" t="n">
        <v>0.2023293754947503</v>
      </c>
      <c r="C37" s="22" t="n">
        <v>0.2075707799888188</v>
      </c>
      <c r="D37" s="22" t="n">
        <v>0.2266366517321062</v>
      </c>
      <c r="E37" s="22" t="n">
        <v>0.09788480535129845</v>
      </c>
      <c r="F37" s="22" t="n">
        <v>0.2641877642625282</v>
      </c>
      <c r="G37" s="22" t="n">
        <v>0.2842520446871026</v>
      </c>
      <c r="H37" s="22" t="n">
        <v>0.1895213211270227</v>
      </c>
      <c r="I37" s="22" t="n">
        <v>0.3491248978636678</v>
      </c>
      <c r="J37" s="22" t="n">
        <v>0.1702518370663285</v>
      </c>
      <c r="K37" s="22" t="n">
        <v>0.1386615091010143</v>
      </c>
      <c r="L37" s="22" t="n">
        <v>0.09098616622467581</v>
      </c>
    </row>
    <row r="38">
      <c r="A38" s="10" t="n">
        <v>0.315</v>
      </c>
      <c r="B38" s="22" t="n">
        <v>0.2120738402461571</v>
      </c>
      <c r="C38" s="22" t="n">
        <v>0.2172791580550446</v>
      </c>
      <c r="D38" s="22" t="n">
        <v>0.2355377499473268</v>
      </c>
      <c r="E38" s="22" t="n">
        <v>0.1048076051142811</v>
      </c>
      <c r="F38" s="22" t="n">
        <v>0.2712983227537314</v>
      </c>
      <c r="G38" s="22" t="n">
        <v>0.2980000301495417</v>
      </c>
      <c r="H38" s="22" t="n">
        <v>0.1998116723416185</v>
      </c>
      <c r="I38" s="22" t="n">
        <v>0.3652787273945565</v>
      </c>
      <c r="J38" s="22" t="n">
        <v>0.1796523536679284</v>
      </c>
      <c r="K38" s="22" t="n">
        <v>0.1469722473838332</v>
      </c>
      <c r="L38" s="22" t="n">
        <v>0.09786297779818269</v>
      </c>
    </row>
    <row r="39">
      <c r="A39" s="10" t="n">
        <v>0.325</v>
      </c>
      <c r="B39" s="22" t="n">
        <v>0.2217950684353734</v>
      </c>
      <c r="C39" s="22" t="n">
        <v>0.2269875361212703</v>
      </c>
      <c r="D39" s="22" t="n">
        <v>0.2444323427413098</v>
      </c>
      <c r="E39" s="22" t="n">
        <v>0.1117304048772637</v>
      </c>
      <c r="F39" s="22" t="n">
        <v>0.278093454328437</v>
      </c>
      <c r="G39" s="22" t="n">
        <v>0.3117480156119809</v>
      </c>
      <c r="H39" s="22" t="n">
        <v>0.2103801411566089</v>
      </c>
      <c r="I39" s="22" t="n">
        <v>0.3814325569254451</v>
      </c>
      <c r="J39" s="22" t="n">
        <v>0.1887763844871284</v>
      </c>
      <c r="K39" s="22" t="n">
        <v>0.1550642820276307</v>
      </c>
      <c r="L39" s="22" t="n">
        <v>0.1050730710977707</v>
      </c>
    </row>
    <row r="40">
      <c r="A40" s="10" t="n">
        <v>0.335</v>
      </c>
      <c r="B40" s="22" t="n">
        <v>0.2316762980845793</v>
      </c>
      <c r="C40" s="22" t="n">
        <v>0.2369311258827658</v>
      </c>
      <c r="D40" s="22" t="n">
        <v>0.2533091934773721</v>
      </c>
      <c r="E40" s="22" t="n">
        <v>0.1186532046402463</v>
      </c>
      <c r="F40" s="22" t="n">
        <v>0.2848885859031425</v>
      </c>
      <c r="G40" s="22" t="n">
        <v>0.3258015118624742</v>
      </c>
      <c r="H40" s="22" t="n">
        <v>0.2206704923712047</v>
      </c>
      <c r="I40" s="22" t="n">
        <v>0.3975863864563337</v>
      </c>
      <c r="J40" s="22" t="n">
        <v>0.1981769010887284</v>
      </c>
      <c r="K40" s="22" t="n">
        <v>0.1633750203104496</v>
      </c>
      <c r="L40" s="22" t="n">
        <v>0.1131921145593979</v>
      </c>
    </row>
    <row r="41">
      <c r="A41" s="10" t="n">
        <v>0.345</v>
      </c>
      <c r="B41" s="22" t="n">
        <v>0.2414866599166223</v>
      </c>
      <c r="C41" s="22" t="n">
        <v>0.2472157093108404</v>
      </c>
      <c r="D41" s="22" t="n">
        <v>0.2619695356588963</v>
      </c>
      <c r="E41" s="22" t="n">
        <v>0.1257202293982911</v>
      </c>
      <c r="F41" s="22" t="n">
        <v>0.2916615661547838</v>
      </c>
      <c r="G41" s="22" t="n">
        <v>0.3395494973249134</v>
      </c>
      <c r="H41" s="22" t="n">
        <v>0.231238961186195</v>
      </c>
      <c r="I41" s="22" t="n">
        <v>0.4137302445296874</v>
      </c>
      <c r="J41" s="22" t="n">
        <v>0.2073009319079283</v>
      </c>
      <c r="K41" s="22" t="n">
        <v>0.1714670549542471</v>
      </c>
      <c r="L41" s="22" t="n">
        <v>0.1213111580210252</v>
      </c>
    </row>
    <row r="42">
      <c r="A42" s="10" t="n">
        <v>0.355</v>
      </c>
      <c r="B42" s="22" t="n">
        <v>0.2516349964996335</v>
      </c>
      <c r="C42" s="22" t="n">
        <v>0.2577758544606819</v>
      </c>
      <c r="D42" s="22" t="n">
        <v>0.2710338947624709</v>
      </c>
      <c r="E42" s="22" t="n">
        <v>0.1333629309483879</v>
      </c>
      <c r="F42" s="22" t="n">
        <v>0.2985275292815171</v>
      </c>
      <c r="G42" s="22" t="n">
        <v>0.3538066456683976</v>
      </c>
      <c r="H42" s="22" t="n">
        <v>0.2420726050686718</v>
      </c>
      <c r="I42" s="22" t="n">
        <v>0.4295051586742485</v>
      </c>
      <c r="J42" s="22" t="n">
        <v>0.2173902743042158</v>
      </c>
      <c r="K42" s="22" t="n">
        <v>0.180300552860659</v>
      </c>
      <c r="L42" s="22" t="n">
        <v>0.1294551248279527</v>
      </c>
    </row>
    <row r="43">
      <c r="A43" s="10" t="n">
        <v>0.365</v>
      </c>
      <c r="B43" s="22" t="n">
        <v>0.2621832278683813</v>
      </c>
      <c r="C43" s="22" t="n">
        <v>0.2685076494775437</v>
      </c>
      <c r="D43" s="22" t="n">
        <v>0.2802449995449681</v>
      </c>
      <c r="E43" s="22" t="n">
        <v>0.1420134950004446</v>
      </c>
      <c r="F43" s="22" t="n">
        <v>0.3052174420716675</v>
      </c>
      <c r="G43" s="22" t="n">
        <v>0.368986651733776</v>
      </c>
      <c r="H43" s="22" t="n">
        <v>0.2530637761044819</v>
      </c>
      <c r="I43" s="22" t="n">
        <v>0.4452800728188095</v>
      </c>
      <c r="J43" s="22" t="n">
        <v>0.2279350083249586</v>
      </c>
      <c r="K43" s="22" t="n">
        <v>0.1901509607838144</v>
      </c>
      <c r="L43" s="22" t="n">
        <v>0.1380850968682349</v>
      </c>
    </row>
    <row r="44">
      <c r="A44" s="10" t="n">
        <v>0.375</v>
      </c>
      <c r="B44" s="22" t="n">
        <v>0.2727603470653432</v>
      </c>
      <c r="C44" s="22" t="n">
        <v>0.2793152490601775</v>
      </c>
      <c r="D44" s="22" t="n">
        <v>0.2894561043274653</v>
      </c>
      <c r="E44" s="22" t="n">
        <v>0.1506640590525012</v>
      </c>
      <c r="F44" s="22" t="n">
        <v>0.3119073548618179</v>
      </c>
      <c r="G44" s="22" t="n">
        <v>0.3841666577991544</v>
      </c>
      <c r="H44" s="22" t="n">
        <v>0.2643520058169356</v>
      </c>
      <c r="I44" s="22" t="n">
        <v>0.4606398576437769</v>
      </c>
      <c r="J44" s="22" t="n">
        <v>0.2387992797402695</v>
      </c>
      <c r="K44" s="22" t="n">
        <v>0.2002675959481361</v>
      </c>
      <c r="L44" s="22" t="n">
        <v>0.1465045817855833</v>
      </c>
    </row>
    <row r="45">
      <c r="A45" s="10" t="n">
        <v>0.385</v>
      </c>
      <c r="B45" s="22" t="n">
        <v>0.2834904287473602</v>
      </c>
      <c r="C45" s="22" t="n">
        <v>0.2901029297539777</v>
      </c>
      <c r="D45" s="22" t="n">
        <v>0.2995048810397354</v>
      </c>
      <c r="E45" s="22" t="n">
        <v>0.1594948431889757</v>
      </c>
      <c r="F45" s="22" t="n">
        <v>0.3192075810716706</v>
      </c>
      <c r="G45" s="22" t="n">
        <v>0.3993466638645328</v>
      </c>
      <c r="H45" s="22" t="n">
        <v>0.2753431768527457</v>
      </c>
      <c r="I45" s="22" t="n">
        <v>0.476414771788338</v>
      </c>
      <c r="J45" s="22" t="n">
        <v>0.2493440137610124</v>
      </c>
      <c r="K45" s="22" t="n">
        <v>0.2101180038712915</v>
      </c>
      <c r="L45" s="22" t="n">
        <v>0.1551345538258655</v>
      </c>
    </row>
    <row r="46">
      <c r="A46" s="10" t="n">
        <v>0.395</v>
      </c>
      <c r="B46" s="22" t="n">
        <v>0.2943499855916921</v>
      </c>
      <c r="C46" s="22" t="n">
        <v>0.301481583870112</v>
      </c>
      <c r="D46" s="22" t="n">
        <v>0.3097567297349809</v>
      </c>
      <c r="E46" s="22" t="n">
        <v>0.1681454072410324</v>
      </c>
      <c r="F46" s="22" t="n">
        <v>0.3265321860602262</v>
      </c>
      <c r="G46" s="22" t="n">
        <v>0.4145266699299112</v>
      </c>
      <c r="H46" s="22" t="n">
        <v>0.2866314065651993</v>
      </c>
      <c r="I46" s="22" t="n">
        <v>0.4919614294216182</v>
      </c>
      <c r="J46" s="22" t="n">
        <v>0.2602082851763232</v>
      </c>
      <c r="K46" s="22" t="n">
        <v>0.2202346390356133</v>
      </c>
      <c r="L46" s="22" t="n">
        <v>0.1642351643713369</v>
      </c>
    </row>
    <row r="47">
      <c r="A47" s="10" t="n">
        <v>0.405</v>
      </c>
      <c r="B47" s="22" t="n">
        <v>0.3051586157077502</v>
      </c>
      <c r="C47" s="22" t="n">
        <v>0.3132684334015027</v>
      </c>
      <c r="D47" s="22" t="n">
        <v>0.3198287048340112</v>
      </c>
      <c r="E47" s="22" t="n">
        <v>0.1767959712930891</v>
      </c>
      <c r="F47" s="22" t="n">
        <v>0.3338567910487817</v>
      </c>
      <c r="G47" s="22" t="n">
        <v>0.4300440094634091</v>
      </c>
      <c r="H47" s="22" t="n">
        <v>0.2976225776010094</v>
      </c>
      <c r="I47" s="22" t="n">
        <v>0.5073026561947459</v>
      </c>
      <c r="J47" s="22" t="n">
        <v>0.2707530191970661</v>
      </c>
      <c r="K47" s="22" t="n">
        <v>0.230351274199935</v>
      </c>
      <c r="L47" s="22" t="n">
        <v>0.1735305218844727</v>
      </c>
    </row>
    <row r="48">
      <c r="A48" s="10" t="n">
        <v>0.415</v>
      </c>
      <c r="B48" s="22" t="n">
        <v>0.316392976000921</v>
      </c>
      <c r="C48" s="22" t="n">
        <v>0.3249460573763565</v>
      </c>
      <c r="D48" s="22" t="n">
        <v>0.3306559597793413</v>
      </c>
      <c r="E48" s="22" t="n">
        <v>0.1861341549122614</v>
      </c>
      <c r="F48" s="22" t="n">
        <v>0.3416228734935681</v>
      </c>
      <c r="G48" s="22" t="n">
        <v>0.4443920756040872</v>
      </c>
      <c r="H48" s="22" t="n">
        <v>0.3098599392255593</v>
      </c>
      <c r="I48" s="22" t="n">
        <v>0.5226438829678736</v>
      </c>
      <c r="J48" s="22" t="n">
        <v>0.28246651491337</v>
      </c>
      <c r="K48" s="22" t="n">
        <v>0.2413165891263682</v>
      </c>
      <c r="L48" s="22" t="n">
        <v>0.1828258793976086</v>
      </c>
    </row>
    <row r="49">
      <c r="A49" s="10" t="n">
        <v>0.425</v>
      </c>
      <c r="B49" s="22" t="n">
        <v>0.3281660247821735</v>
      </c>
      <c r="C49" s="22" t="n">
        <v>0.3364687139974158</v>
      </c>
      <c r="D49" s="22" t="n">
        <v>0.3414832147246714</v>
      </c>
      <c r="E49" s="22" t="n">
        <v>0.1969469013304221</v>
      </c>
      <c r="F49" s="22" t="n">
        <v>0.3498926323169448</v>
      </c>
      <c r="G49" s="22" t="n">
        <v>0.4570762618953647</v>
      </c>
      <c r="H49" s="22" t="n">
        <v>0.3237776003236662</v>
      </c>
      <c r="I49" s="22" t="n">
        <v>0.5379851097410012</v>
      </c>
      <c r="J49" s="22" t="n">
        <v>0.2951669721597109</v>
      </c>
      <c r="K49" s="22" t="n">
        <v>0.2537869168531653</v>
      </c>
      <c r="L49" s="22" t="n">
        <v>0.1925984240742058</v>
      </c>
    </row>
    <row r="50">
      <c r="A50" s="10" t="n">
        <v>0.435</v>
      </c>
      <c r="B50" s="22" t="n">
        <v>0.3400142109947268</v>
      </c>
      <c r="C50" s="22" t="n">
        <v>0.3481894194592245</v>
      </c>
      <c r="D50" s="22" t="n">
        <v>0.352618811037534</v>
      </c>
      <c r="E50" s="22" t="n">
        <v>0.2075389794543347</v>
      </c>
      <c r="F50" s="22" t="n">
        <v>0.3581623911403216</v>
      </c>
      <c r="G50" s="22" t="n">
        <v>0.4697604481866421</v>
      </c>
      <c r="H50" s="22" t="n">
        <v>0.3380714144244247</v>
      </c>
      <c r="I50" s="22" t="n">
        <v>0.5527163580589969</v>
      </c>
      <c r="J50" s="22" t="n">
        <v>0.3082522917468499</v>
      </c>
      <c r="K50" s="22" t="n">
        <v>0.2659290780608362</v>
      </c>
      <c r="L50" s="22" t="n">
        <v>0.2031165736937113</v>
      </c>
    </row>
    <row r="51">
      <c r="A51" s="10" t="n">
        <v>0.445</v>
      </c>
      <c r="B51" s="22" t="n">
        <v>0.3515788597695373</v>
      </c>
      <c r="C51" s="22" t="n">
        <v>0.3601121454143595</v>
      </c>
      <c r="D51" s="22" t="n">
        <v>0.3643490657020664</v>
      </c>
      <c r="E51" s="22" t="n">
        <v>0.2181310575782472</v>
      </c>
      <c r="F51" s="22" t="n">
        <v>0.3664321499636984</v>
      </c>
      <c r="G51" s="22" t="n">
        <v>0.4824446344779195</v>
      </c>
      <c r="H51" s="22" t="n">
        <v>0.3519890755225316</v>
      </c>
      <c r="I51" s="22" t="n">
        <v>0.5647462732185511</v>
      </c>
      <c r="J51" s="22" t="n">
        <v>0.3209527489931908</v>
      </c>
      <c r="K51" s="22" t="n">
        <v>0.2783994057876333</v>
      </c>
      <c r="L51" s="22" t="n">
        <v>0.2136347233132168</v>
      </c>
    </row>
    <row r="52">
      <c r="A52" s="10" t="n">
        <v>0.455</v>
      </c>
      <c r="B52" s="22" t="n">
        <v>0.3632708116070339</v>
      </c>
      <c r="C52" s="22" t="n">
        <v>0.3717953489023644</v>
      </c>
      <c r="D52" s="22" t="n">
        <v>0.3760793203665987</v>
      </c>
      <c r="E52" s="22" t="n">
        <v>0.2287231357021598</v>
      </c>
      <c r="F52" s="22" t="n">
        <v>0.3748728280850209</v>
      </c>
      <c r="G52" s="22" t="n">
        <v>0.495128820769197</v>
      </c>
      <c r="H52" s="22" t="n">
        <v>0.3662828896232901</v>
      </c>
      <c r="I52" s="22" t="n">
        <v>0.5767761883781053</v>
      </c>
      <c r="J52" s="22" t="n">
        <v>0.3340380685803298</v>
      </c>
      <c r="K52" s="22" t="n">
        <v>0.2905415669953042</v>
      </c>
      <c r="L52" s="22" t="n">
        <v>0.2247071621357291</v>
      </c>
    </row>
    <row r="53">
      <c r="A53" s="10" t="n">
        <v>0.465</v>
      </c>
      <c r="B53" s="22" t="n">
        <v>0.375060976764222</v>
      </c>
      <c r="C53" s="22" t="n">
        <v>0.3833750136527458</v>
      </c>
      <c r="D53" s="22" t="n">
        <v>0.3879188346806762</v>
      </c>
      <c r="E53" s="22" t="n">
        <v>0.2395358821203205</v>
      </c>
      <c r="F53" s="22" t="n">
        <v>0.3830768526305665</v>
      </c>
      <c r="G53" s="22" t="n">
        <v>0.5078130070604744</v>
      </c>
      <c r="H53" s="22" t="n">
        <v>0.3805767037240486</v>
      </c>
      <c r="I53" s="22" t="n">
        <v>0.5888061035376595</v>
      </c>
      <c r="J53" s="22" t="n">
        <v>0.3467385258266706</v>
      </c>
      <c r="K53" s="22" t="n">
        <v>0.3030118947221013</v>
      </c>
      <c r="L53" s="22" t="n">
        <v>0.2366456778379397</v>
      </c>
    </row>
    <row r="54">
      <c r="A54" s="10" t="n">
        <v>0.475</v>
      </c>
      <c r="B54" s="22" t="n">
        <v>0.3875377629417883</v>
      </c>
      <c r="C54" s="22" t="n">
        <v>0.3949886456049147</v>
      </c>
      <c r="D54" s="22" t="n">
        <v>0.4003538676189424</v>
      </c>
      <c r="E54" s="22" t="n">
        <v>0.2545847466904738</v>
      </c>
      <c r="F54" s="22" t="n">
        <v>0.3912808771761122</v>
      </c>
      <c r="G54" s="22" t="n">
        <v>0.5203258005862925</v>
      </c>
      <c r="H54" s="22" t="n">
        <v>0.3940314340569048</v>
      </c>
      <c r="I54" s="22" t="n">
        <v>0.6008360186972137</v>
      </c>
      <c r="J54" s="22" t="n">
        <v>0.3599854931352726</v>
      </c>
      <c r="K54" s="22" t="n">
        <v>0.3170185022117347</v>
      </c>
      <c r="L54" s="22" t="n">
        <v>0.2485841935401503</v>
      </c>
    </row>
    <row r="55">
      <c r="A55" s="10" t="n">
        <v>0.485</v>
      </c>
      <c r="B55" s="22" t="n">
        <v>0.4014410853185992</v>
      </c>
      <c r="C55" s="22" t="n">
        <v>0.4066275730150644</v>
      </c>
      <c r="D55" s="22" t="n">
        <v>0.4127889005572087</v>
      </c>
      <c r="E55" s="22" t="n">
        <v>0.2804572354872115</v>
      </c>
      <c r="F55" s="22" t="n">
        <v>0.3998759130155122</v>
      </c>
      <c r="G55" s="22" t="n">
        <v>0.5329164259120842</v>
      </c>
      <c r="H55" s="22" t="n">
        <v>0.4073479498754675</v>
      </c>
      <c r="I55" s="22" t="n">
        <v>0.6115074132248768</v>
      </c>
      <c r="J55" s="22" t="n">
        <v>0.3732193878624409</v>
      </c>
      <c r="K55" s="22" t="n">
        <v>0.3336564157452716</v>
      </c>
      <c r="L55" s="22" t="n">
        <v>0.2604771721928918</v>
      </c>
    </row>
    <row r="56">
      <c r="A56" s="10" t="n">
        <v>0.495</v>
      </c>
      <c r="B56" s="22" t="n">
        <v>0.41600620366176</v>
      </c>
      <c r="C56" s="22" t="n">
        <v>0.4182665004252141</v>
      </c>
      <c r="D56" s="22" t="n">
        <v>0.426156594901515</v>
      </c>
      <c r="E56" s="22" t="n">
        <v>0.3063297242839493</v>
      </c>
      <c r="F56" s="22" t="n">
        <v>0.4091890049978781</v>
      </c>
      <c r="G56" s="22" t="n">
        <v>0.5452333419916631</v>
      </c>
      <c r="H56" s="22" t="n">
        <v>0.4203140310672258</v>
      </c>
      <c r="I56" s="22" t="n">
        <v>0.6216253363839915</v>
      </c>
      <c r="J56" s="22" t="n">
        <v>0.3868543097025538</v>
      </c>
      <c r="K56" s="22" t="n">
        <v>0.3502943292788085</v>
      </c>
      <c r="L56" s="22" t="n">
        <v>0.2774514362320919</v>
      </c>
    </row>
    <row r="57">
      <c r="A57" s="10" t="n">
        <v>0.505</v>
      </c>
      <c r="B57" s="22" t="n">
        <v>0.4304921876258179</v>
      </c>
      <c r="C57" s="22" t="n">
        <v>0.4316094627521021</v>
      </c>
      <c r="D57" s="22" t="n">
        <v>0.4409391197112428</v>
      </c>
      <c r="E57" s="22" t="n">
        <v>0.3257340908815026</v>
      </c>
      <c r="F57" s="22" t="n">
        <v>0.4172766901404589</v>
      </c>
      <c r="G57" s="22" t="n">
        <v>0.5559080025939648</v>
      </c>
      <c r="H57" s="22" t="n">
        <v>0.4371348931538312</v>
      </c>
      <c r="I57" s="22" t="n">
        <v>0.6322757818146386</v>
      </c>
      <c r="J57" s="22" t="n">
        <v>0.4061036111238896</v>
      </c>
      <c r="K57" s="22" t="n">
        <v>0.3664944029825156</v>
      </c>
      <c r="L57" s="22" t="n">
        <v>0.291941661631409</v>
      </c>
    </row>
    <row r="58">
      <c r="A58" s="10" t="n">
        <v>0.515</v>
      </c>
      <c r="B58" s="22" t="n">
        <v>0.4448527836510078</v>
      </c>
      <c r="C58" s="22" t="n">
        <v>0.4451759730325708</v>
      </c>
      <c r="D58" s="22" t="n">
        <v>0.4574919419018377</v>
      </c>
      <c r="E58" s="22" t="n">
        <v>0.3386703352798714</v>
      </c>
      <c r="F58" s="22" t="n">
        <v>0.4241389684432548</v>
      </c>
      <c r="G58" s="22" t="n">
        <v>0.5649404077189893</v>
      </c>
      <c r="H58" s="22" t="n">
        <v>0.4571096668816752</v>
      </c>
      <c r="I58" s="22" t="n">
        <v>0.6437250106525843</v>
      </c>
      <c r="J58" s="22" t="n">
        <v>0.4301652379005593</v>
      </c>
      <c r="K58" s="22" t="n">
        <v>0.3831323165160525</v>
      </c>
      <c r="L58" s="22" t="n">
        <v>0.3035338419508627</v>
      </c>
    </row>
    <row r="59">
      <c r="A59" s="10" t="n">
        <v>0.525</v>
      </c>
      <c r="B59" s="22" t="n">
        <v>0.4589356030481272</v>
      </c>
      <c r="C59" s="22" t="n">
        <v>0.458751121133305</v>
      </c>
      <c r="D59" s="22" t="n">
        <v>0.4768225164558272</v>
      </c>
      <c r="E59" s="22" t="n">
        <v>0.3521455898615057</v>
      </c>
      <c r="F59" s="22" t="n">
        <v>0.4317807298845222</v>
      </c>
      <c r="G59" s="22" t="n">
        <v>0.5742465220902268</v>
      </c>
      <c r="H59" s="22" t="n">
        <v>0.4756661528724055</v>
      </c>
      <c r="I59" s="22" t="n">
        <v>0.6547048762650426</v>
      </c>
      <c r="J59" s="22" t="n">
        <v>0.448345544459345</v>
      </c>
      <c r="K59" s="22" t="n">
        <v>0.3997702300495894</v>
      </c>
      <c r="L59" s="22" t="n">
        <v>0.3159636289233768</v>
      </c>
    </row>
    <row r="60">
      <c r="A60" s="10" t="n">
        <v>0.535</v>
      </c>
      <c r="B60" s="22" t="n">
        <v>0.4736423431901317</v>
      </c>
      <c r="C60" s="22" t="n">
        <v>0.4729637888703117</v>
      </c>
      <c r="D60" s="22" t="n">
        <v>0.4957015889362425</v>
      </c>
      <c r="E60" s="22" t="n">
        <v>0.3650818342598746</v>
      </c>
      <c r="F60" s="22" t="n">
        <v>0.4436307580454531</v>
      </c>
      <c r="G60" s="22" t="n">
        <v>0.5835526364614642</v>
      </c>
      <c r="H60" s="22" t="n">
        <v>0.4924539164992178</v>
      </c>
      <c r="I60" s="22" t="n">
        <v>0.6657174356100878</v>
      </c>
      <c r="J60" s="22" t="n">
        <v>0.4650555209636596</v>
      </c>
      <c r="K60" s="22" t="n">
        <v>0.4182202042441863</v>
      </c>
      <c r="L60" s="22" t="n">
        <v>0.3320646177425837</v>
      </c>
    </row>
    <row r="61">
      <c r="A61" s="10" t="n">
        <v>0.545</v>
      </c>
      <c r="B61" s="22" t="n">
        <v>0.4886988375303633</v>
      </c>
      <c r="C61" s="22" t="n">
        <v>0.4872815161945491</v>
      </c>
      <c r="D61" s="22" t="n">
        <v>0.5126906385126567</v>
      </c>
      <c r="E61" s="22" t="n">
        <v>0.3785570888415088</v>
      </c>
      <c r="F61" s="22" t="n">
        <v>0.4559040014978459</v>
      </c>
      <c r="G61" s="22" t="n">
        <v>0.5939229918631707</v>
      </c>
      <c r="H61" s="22" t="n">
        <v>0.5095414616193661</v>
      </c>
      <c r="I61" s="22" t="n">
        <v>0.6764738889238529</v>
      </c>
      <c r="J61" s="22" t="n">
        <v>0.4817654974679742</v>
      </c>
      <c r="K61" s="22" t="n">
        <v>0.4398873071103004</v>
      </c>
      <c r="L61" s="22" t="n">
        <v>0.3481656065617906</v>
      </c>
    </row>
    <row r="62">
      <c r="A62" s="10" t="n">
        <v>0.555</v>
      </c>
      <c r="B62" s="22" t="n">
        <v>0.5037282632418655</v>
      </c>
      <c r="C62" s="22" t="n">
        <v>0.5013146134446976</v>
      </c>
      <c r="D62" s="22" t="n">
        <v>0.529325749556229</v>
      </c>
      <c r="E62" s="22" t="n">
        <v>0.392032343423143</v>
      </c>
      <c r="F62" s="22" t="n">
        <v>0.4677540296587768</v>
      </c>
      <c r="G62" s="22" t="n">
        <v>0.6060125058525581</v>
      </c>
      <c r="H62" s="22" t="n">
        <v>0.5263292252461784</v>
      </c>
      <c r="I62" s="22" t="n">
        <v>0.687486448268898</v>
      </c>
      <c r="J62" s="22" t="n">
        <v>0.4982438894518378</v>
      </c>
      <c r="K62" s="22" t="n">
        <v>0.4615544099764146</v>
      </c>
      <c r="L62" s="22" t="n">
        <v>0.3637113888699904</v>
      </c>
    </row>
    <row r="63">
      <c r="A63" s="10" t="n">
        <v>0.5649999999999999</v>
      </c>
      <c r="B63" s="22" t="n">
        <v>0.5186677719789842</v>
      </c>
      <c r="C63" s="22" t="n">
        <v>0.5149551373845829</v>
      </c>
      <c r="D63" s="22" t="n">
        <v>0.5451326048702431</v>
      </c>
      <c r="E63" s="22" t="n">
        <v>0.4065927057729538</v>
      </c>
      <c r="F63" s="22" t="n">
        <v>0.4800272731111696</v>
      </c>
      <c r="G63" s="22" t="n">
        <v>0.6181020198419455</v>
      </c>
      <c r="H63" s="22" t="n">
        <v>0.5419807409731179</v>
      </c>
      <c r="I63" s="22" t="n">
        <v>0.6981115791937643</v>
      </c>
      <c r="J63" s="22" t="n">
        <v>0.514374904655025</v>
      </c>
      <c r="K63" s="22" t="n">
        <v>0.4832215128425288</v>
      </c>
      <c r="L63" s="22" t="n">
        <v>0.3798123776891973</v>
      </c>
    </row>
    <row r="64">
      <c r="A64" s="10" t="n">
        <v>0.575</v>
      </c>
      <c r="B64" s="22" t="n">
        <v>0.5336634029123549</v>
      </c>
      <c r="C64" s="22" t="n">
        <v>0.529588131763104</v>
      </c>
      <c r="D64" s="22" t="n">
        <v>0.5599156115693884</v>
      </c>
      <c r="E64" s="22" t="n">
        <v>0.4241282552331926</v>
      </c>
      <c r="F64" s="22" t="n">
        <v>0.4915037574376095</v>
      </c>
      <c r="G64" s="22" t="n">
        <v>0.6301915338313329</v>
      </c>
      <c r="H64" s="22" t="n">
        <v>0.5560366684853808</v>
      </c>
      <c r="I64" s="22" t="n">
        <v>0.7089715206273867</v>
      </c>
      <c r="J64" s="22" t="n">
        <v>0.5305059198582122</v>
      </c>
      <c r="K64" s="22" t="n">
        <v>0.5043184287911137</v>
      </c>
      <c r="L64" s="22" t="n">
        <v>0.3973315239684493</v>
      </c>
    </row>
    <row r="65">
      <c r="A65" s="10" t="n">
        <v>0.585</v>
      </c>
      <c r="B65" s="22" t="n">
        <v>0.5487696939230288</v>
      </c>
      <c r="C65" s="22" t="n">
        <v>0.5451135573334905</v>
      </c>
      <c r="D65" s="22" t="n">
        <v>0.5749476023788667</v>
      </c>
      <c r="E65" s="22" t="n">
        <v>0.4416638046934315</v>
      </c>
      <c r="F65" s="22" t="n">
        <v>0.5025733596455313</v>
      </c>
      <c r="G65" s="22" t="n">
        <v>0.6419254738798559</v>
      </c>
      <c r="H65" s="22" t="n">
        <v>0.5698460007781304</v>
      </c>
      <c r="I65" s="22" t="n">
        <v>0.7195789052834829</v>
      </c>
      <c r="J65" s="22" t="n">
        <v>0.5464201857372418</v>
      </c>
      <c r="K65" s="22" t="n">
        <v>0.5259855316572278</v>
      </c>
      <c r="L65" s="22" t="n">
        <v>0.4164871616294911</v>
      </c>
    </row>
    <row r="66">
      <c r="A66" s="10" t="n">
        <v>0.595</v>
      </c>
      <c r="B66" s="22" t="n">
        <v>0.5635381575122956</v>
      </c>
      <c r="C66" s="22" t="n">
        <v>0.5605722453523161</v>
      </c>
      <c r="D66" s="22" t="n">
        <v>0.5894738796185537</v>
      </c>
      <c r="E66" s="22" t="n">
        <v>0.4584979321752609</v>
      </c>
      <c r="F66" s="22" t="n">
        <v>0.5132612514324901</v>
      </c>
      <c r="G66" s="22" t="n">
        <v>0.6540149878692433</v>
      </c>
      <c r="H66" s="22" t="n">
        <v>0.5839019282903933</v>
      </c>
      <c r="I66" s="22" t="n">
        <v>0.7304388467171052</v>
      </c>
      <c r="J66" s="22" t="n">
        <v>0.5606933495905075</v>
      </c>
      <c r="K66" s="22" t="n">
        <v>0.5461398938257606</v>
      </c>
      <c r="L66" s="22" t="n">
        <v>0.4363269292069986</v>
      </c>
    </row>
    <row r="67">
      <c r="A67" s="10" t="n">
        <v>0.605</v>
      </c>
      <c r="B67" s="22" t="n">
        <v>0.578538336729385</v>
      </c>
      <c r="C67" s="22" t="n">
        <v>0.5759617254137034</v>
      </c>
      <c r="D67" s="22" t="n">
        <v>0.6042623141309095</v>
      </c>
      <c r="E67" s="22" t="n">
        <v>0.4760334816354997</v>
      </c>
      <c r="F67" s="22" t="n">
        <v>0.5243308536404119</v>
      </c>
      <c r="G67" s="22" t="n">
        <v>0.6661045018586307</v>
      </c>
      <c r="H67" s="22" t="n">
        <v>0.5981352533837285</v>
      </c>
      <c r="I67" s="22" t="n">
        <v>0.7427445386950844</v>
      </c>
      <c r="J67" s="22" t="n">
        <v>0.5747286273795522</v>
      </c>
      <c r="K67" s="22" t="n">
        <v>0.5655407065679662</v>
      </c>
      <c r="L67" s="22" t="n">
        <v>0.4561666967845062</v>
      </c>
    </row>
    <row r="68">
      <c r="A68" s="10" t="n">
        <v>0.615</v>
      </c>
      <c r="B68" s="22" t="n">
        <v>0.5934513644852282</v>
      </c>
      <c r="C68" s="22" t="n">
        <v>0.5917568652640224</v>
      </c>
      <c r="D68" s="22" t="n">
        <v>0.6183476142857458</v>
      </c>
      <c r="E68" s="22" t="n">
        <v>0.4928676091173291</v>
      </c>
      <c r="F68" s="22" t="n">
        <v>0.5350187454273707</v>
      </c>
      <c r="G68" s="22" t="n">
        <v>0.6781940158480181</v>
      </c>
      <c r="H68" s="22" t="n">
        <v>0.6121432709672791</v>
      </c>
      <c r="I68" s="22" t="n">
        <v>0.755578188637922</v>
      </c>
      <c r="J68" s="22" t="n">
        <v>0.5890017912328179</v>
      </c>
      <c r="K68" s="22" t="n">
        <v>0.5854658656005016</v>
      </c>
      <c r="L68" s="22" t="n">
        <v>0.4760064643620137</v>
      </c>
    </row>
    <row r="69">
      <c r="A69" s="10" t="n">
        <v>0.625</v>
      </c>
      <c r="B69" s="22" t="n">
        <v>0.6081894577768712</v>
      </c>
      <c r="C69" s="22" t="n">
        <v>0.6076363947805093</v>
      </c>
      <c r="D69" s="22" t="n">
        <v>0.6327326016779191</v>
      </c>
      <c r="E69" s="22" t="n">
        <v>0.5104031585775679</v>
      </c>
      <c r="F69" s="22" t="n">
        <v>0.5454895677360696</v>
      </c>
      <c r="G69" s="22" t="n">
        <v>0.6912118350923019</v>
      </c>
      <c r="H69" s="22" t="n">
        <v>0.6264014317219644</v>
      </c>
      <c r="I69" s="22" t="n">
        <v>0.7681133816053448</v>
      </c>
      <c r="J69" s="22" t="n">
        <v>0.6027029105295625</v>
      </c>
      <c r="K69" s="22" t="n">
        <v>0.6053910246330371</v>
      </c>
      <c r="L69" s="22" t="n">
        <v>0.49348254295016</v>
      </c>
    </row>
    <row r="70">
      <c r="A70" s="10" t="n">
        <v>0.635</v>
      </c>
      <c r="B70" s="22" t="n">
        <v>0.6230022605798328</v>
      </c>
      <c r="C70" s="22" t="n">
        <v>0.6230506296774008</v>
      </c>
      <c r="D70" s="22" t="n">
        <v>0.6470727478659015</v>
      </c>
      <c r="E70" s="22" t="n">
        <v>0.5279387080378067</v>
      </c>
      <c r="F70" s="22" t="n">
        <v>0.5553790863240647</v>
      </c>
      <c r="G70" s="22" t="n">
        <v>0.7059315473038957</v>
      </c>
      <c r="H70" s="22" t="n">
        <v>0.6404094493055149</v>
      </c>
      <c r="I70" s="22" t="n">
        <v>0.7809470315481825</v>
      </c>
      <c r="J70" s="22" t="n">
        <v>0.6161588678735123</v>
      </c>
      <c r="K70" s="22" t="n">
        <v>0.6253161836655725</v>
      </c>
      <c r="L70" s="22" t="n">
        <v>0.5111083462952144</v>
      </c>
    </row>
    <row r="71">
      <c r="A71" s="10" t="n">
        <v>0.645</v>
      </c>
      <c r="B71" s="22" t="n">
        <v>0.6377771654501863</v>
      </c>
      <c r="C71" s="22" t="n">
        <v>0.6382094080490854</v>
      </c>
      <c r="D71" s="22" t="n">
        <v>0.6618175178931045</v>
      </c>
      <c r="E71" s="22" t="n">
        <v>0.5447728355196361</v>
      </c>
      <c r="F71" s="22" t="n">
        <v>0.5656218020044883</v>
      </c>
      <c r="G71" s="22" t="n">
        <v>0.7206512595154896</v>
      </c>
      <c r="H71" s="22" t="n">
        <v>0.654420565816842</v>
      </c>
      <c r="I71" s="22" t="n">
        <v>0.7937040275840597</v>
      </c>
      <c r="J71" s="22" t="n">
        <v>0.629614825217462</v>
      </c>
      <c r="K71" s="22" t="n">
        <v>0.6447169964077781</v>
      </c>
      <c r="L71" s="22" t="n">
        <v>0.5287341496402688</v>
      </c>
    </row>
    <row r="72">
      <c r="A72" s="10" t="n">
        <v>0.655</v>
      </c>
      <c r="B72" s="22" t="n">
        <v>0.6529628287677767</v>
      </c>
      <c r="C72" s="22" t="n">
        <v>0.6539027235010046</v>
      </c>
      <c r="D72" s="22" t="n">
        <v>0.6766100801569694</v>
      </c>
      <c r="E72" s="22" t="n">
        <v>0.5623083849798749</v>
      </c>
      <c r="F72" s="22" t="n">
        <v>0.5755113205924834</v>
      </c>
      <c r="G72" s="22" t="n">
        <v>0.7349380390149778</v>
      </c>
      <c r="H72" s="22" t="n">
        <v>0.6683913485741515</v>
      </c>
      <c r="I72" s="22" t="n">
        <v>0.8067647616207911</v>
      </c>
      <c r="J72" s="22" t="n">
        <v>0.6434525266518063</v>
      </c>
      <c r="K72" s="22" t="n">
        <v>0.6675751979841681</v>
      </c>
      <c r="L72" s="22" t="n">
        <v>0.5463599529853231</v>
      </c>
    </row>
    <row r="73">
      <c r="A73" s="10" t="n">
        <v>0.665</v>
      </c>
      <c r="B73" s="22" t="n">
        <v>0.6683311429135116</v>
      </c>
      <c r="C73" s="22" t="n">
        <v>0.6688460320775657</v>
      </c>
      <c r="D73" s="22" t="n">
        <v>0.6922516289940133</v>
      </c>
      <c r="E73" s="22" t="n">
        <v>0.5798439344401137</v>
      </c>
      <c r="F73" s="22" t="n">
        <v>0.585754036272907</v>
      </c>
      <c r="G73" s="22" t="n">
        <v>0.7496577512265716</v>
      </c>
      <c r="H73" s="22" t="n">
        <v>0.6821170298795783</v>
      </c>
      <c r="I73" s="22" t="n">
        <v>0.8195217576566683</v>
      </c>
      <c r="J73" s="22" t="n">
        <v>0.6581809642970712</v>
      </c>
      <c r="K73" s="22" t="n">
        <v>0.6908777999459905</v>
      </c>
      <c r="L73" s="22" t="n">
        <v>0.5633214036259132</v>
      </c>
    </row>
    <row r="74">
      <c r="A74" s="10" t="n">
        <v>0.675</v>
      </c>
      <c r="B74" s="22" t="n">
        <v>0.6835718523414694</v>
      </c>
      <c r="C74" s="22" t="n">
        <v>0.6823665928929309</v>
      </c>
      <c r="D74" s="22" t="n">
        <v>0.7075941053320971</v>
      </c>
      <c r="E74" s="22" t="n">
        <v>0.5966780619219431</v>
      </c>
      <c r="F74" s="22" t="n">
        <v>0.5966978039561655</v>
      </c>
      <c r="G74" s="22" t="n">
        <v>0.7643774634381655</v>
      </c>
      <c r="H74" s="22" t="n">
        <v>0.6960878126368878</v>
      </c>
      <c r="I74" s="22" t="n">
        <v>0.8325824916933998</v>
      </c>
      <c r="J74" s="22" t="n">
        <v>0.6729094019423361</v>
      </c>
      <c r="K74" s="22" t="n">
        <v>0.7135671755403966</v>
      </c>
      <c r="L74" s="22" t="n">
        <v>0.5793067818865585</v>
      </c>
    </row>
    <row r="75">
      <c r="A75" s="10" t="n">
        <v>0.6850000000000001</v>
      </c>
      <c r="B75" s="22" t="n">
        <v>0.6990963245431306</v>
      </c>
      <c r="C75" s="22" t="n">
        <v>0.6959531018780091</v>
      </c>
      <c r="D75" s="22" t="n">
        <v>0.7245217230561087</v>
      </c>
      <c r="E75" s="22" t="n">
        <v>0.6114363447241919</v>
      </c>
      <c r="F75" s="22" t="n">
        <v>0.6080728612574273</v>
      </c>
      <c r="G75" s="22" t="n">
        <v>0.7790971756497593</v>
      </c>
      <c r="H75" s="22" t="n">
        <v>0.7138910245201691</v>
      </c>
      <c r="I75" s="22" t="n">
        <v>0.8435731628128612</v>
      </c>
      <c r="J75" s="22" t="n">
        <v>0.6878303936913428</v>
      </c>
      <c r="K75" s="22" t="n">
        <v>0.736869777502219</v>
      </c>
      <c r="L75" s="22" t="n">
        <v>0.5952921601472038</v>
      </c>
    </row>
    <row r="76">
      <c r="A76" s="10" t="n">
        <v>0.695</v>
      </c>
      <c r="B76" s="22" t="n">
        <v>0.7143715339580932</v>
      </c>
      <c r="C76" s="22" t="n">
        <v>0.709594574590637</v>
      </c>
      <c r="D76" s="22" t="n">
        <v>0.7410966820775369</v>
      </c>
      <c r="E76" s="22" t="n">
        <v>0.623509443649467</v>
      </c>
      <c r="F76" s="22" t="n">
        <v>0.6190556752034733</v>
      </c>
      <c r="G76" s="22" t="n">
        <v>0.7935269265225849</v>
      </c>
      <c r="H76" s="22" t="n">
        <v>0.7313818993528665</v>
      </c>
      <c r="I76" s="22" t="n">
        <v>0.8548255165780241</v>
      </c>
      <c r="J76" s="22" t="n">
        <v>0.7042092950829664</v>
      </c>
      <c r="K76" s="22" t="n">
        <v>0.7601723794640415</v>
      </c>
      <c r="L76" s="22" t="n">
        <v>0.611277538407849</v>
      </c>
    </row>
    <row r="77">
      <c r="A77" s="10" t="n">
        <v>0.705</v>
      </c>
      <c r="B77" s="22" t="n">
        <v>0.7295165867372656</v>
      </c>
      <c r="C77" s="22" t="n">
        <v>0.7228814244018886</v>
      </c>
      <c r="D77" s="22" t="n">
        <v>0.7597573676990619</v>
      </c>
      <c r="E77" s="22" t="n">
        <v>0.6360855883632952</v>
      </c>
      <c r="F77" s="22" t="n">
        <v>0.6304307325047351</v>
      </c>
      <c r="G77" s="22" t="n">
        <v>0.8049604102281381</v>
      </c>
      <c r="H77" s="22" t="n">
        <v>0.7491851112361477</v>
      </c>
      <c r="I77" s="22" t="n">
        <v>0.8658161876974855</v>
      </c>
      <c r="J77" s="22" t="n">
        <v>0.7205881964745899</v>
      </c>
      <c r="K77" s="22" t="n">
        <v>0.7824397785035568</v>
      </c>
      <c r="L77" s="22" t="n">
        <v>0.626711696728472</v>
      </c>
    </row>
    <row r="78">
      <c r="A78" s="10" t="n">
        <v>0.715</v>
      </c>
      <c r="B78" s="22" t="n">
        <v>0.7431550445962338</v>
      </c>
      <c r="C78" s="22" t="n">
        <v>0.735835469585736</v>
      </c>
      <c r="D78" s="22" t="n">
        <v>0.7787280382258761</v>
      </c>
      <c r="E78" s="22" t="n">
        <v>0.6486617330771234</v>
      </c>
      <c r="F78" s="22" t="n">
        <v>0.6406165042682624</v>
      </c>
      <c r="G78" s="22" t="n">
        <v>0.816057615001175</v>
      </c>
      <c r="H78" s="22" t="n">
        <v>0.7666759860688451</v>
      </c>
      <c r="I78" s="22" t="n">
        <v>0.8767871875976916</v>
      </c>
      <c r="J78" s="22" t="n">
        <v>0.7369670978662135</v>
      </c>
      <c r="K78" s="22" t="n">
        <v>0.7923616513895086</v>
      </c>
      <c r="L78" s="22" t="n">
        <v>0.6418632269484373</v>
      </c>
    </row>
    <row r="79">
      <c r="A79" s="10" t="n">
        <v>0.725</v>
      </c>
      <c r="B79" s="22" t="n">
        <v>0.7575691066406468</v>
      </c>
      <c r="C79" s="22" t="n">
        <v>0.7481541949252156</v>
      </c>
      <c r="D79" s="22" t="n">
        <v>0.7990487153906587</v>
      </c>
      <c r="E79" s="22" t="n">
        <v>0.6607348320023985</v>
      </c>
      <c r="F79" s="22" t="n">
        <v>0.6473687169109161</v>
      </c>
      <c r="G79" s="22" t="n">
        <v>0.8274910987067282</v>
      </c>
      <c r="H79" s="22" t="n">
        <v>0.7939805820488139</v>
      </c>
      <c r="I79" s="22" t="n">
        <v>0.8854144862515164</v>
      </c>
      <c r="J79" s="22" t="n">
        <v>0.7563935800137583</v>
      </c>
      <c r="K79" s="22" t="n">
        <v>0.8025516830021079</v>
      </c>
      <c r="L79" s="22" t="n">
        <v>0.655161761522447</v>
      </c>
    </row>
    <row r="80">
      <c r="A80" s="10" t="n">
        <v>0.735</v>
      </c>
      <c r="B80" s="22" t="n">
        <v>0.7721259391058428</v>
      </c>
      <c r="C80" s="22" t="n">
        <v>0.7604401717234344</v>
      </c>
      <c r="D80" s="22" t="n">
        <v>0.8194110242670098</v>
      </c>
      <c r="E80" s="22" t="n">
        <v>0.6738140225047798</v>
      </c>
      <c r="F80" s="22" t="n">
        <v>0.6552851041471308</v>
      </c>
      <c r="G80" s="22" t="n">
        <v>0.8385883034797651</v>
      </c>
      <c r="H80" s="22" t="n">
        <v>0.8185628178595038</v>
      </c>
      <c r="I80" s="22" t="n">
        <v>0.8942471967780514</v>
      </c>
      <c r="J80" s="22" t="n">
        <v>0.7753056413648165</v>
      </c>
      <c r="K80" s="22" t="n">
        <v>0.8132780320680018</v>
      </c>
      <c r="L80" s="22" t="n">
        <v>0.6702945767273545</v>
      </c>
    </row>
    <row r="81">
      <c r="A81" s="10" t="n">
        <v>0.745</v>
      </c>
      <c r="B81" s="22" t="n">
        <v>0.7860129284041959</v>
      </c>
      <c r="C81" s="22" t="n">
        <v>0.7726943658049488</v>
      </c>
      <c r="D81" s="22" t="n">
        <v>0.8337571964298937</v>
      </c>
      <c r="E81" s="22" t="n">
        <v>0.6904145335270331</v>
      </c>
      <c r="F81" s="22" t="n">
        <v>0.6687178712269565</v>
      </c>
      <c r="G81" s="22" t="n">
        <v>0.8486766714552532</v>
      </c>
      <c r="H81" s="22" t="n">
        <v>0.8306129334529793</v>
      </c>
      <c r="I81" s="22" t="n">
        <v>0.9039015547954269</v>
      </c>
      <c r="J81" s="22" t="n">
        <v>0.7869967338363797</v>
      </c>
      <c r="K81" s="22" t="n">
        <v>0.8264178096737218</v>
      </c>
      <c r="L81" s="22" t="n">
        <v>0.6941402249290269</v>
      </c>
    </row>
    <row r="82">
      <c r="A82" s="10" t="n">
        <v>0.755</v>
      </c>
      <c r="B82" s="22" t="n">
        <v>0.7986144994585127</v>
      </c>
      <c r="C82" s="22" t="n">
        <v>0.7852118145423302</v>
      </c>
      <c r="D82" s="22" t="n">
        <v>0.8480776075723293</v>
      </c>
      <c r="E82" s="22" t="n">
        <v>0.7065119987607332</v>
      </c>
      <c r="F82" s="22" t="n">
        <v>0.6781205694867788</v>
      </c>
      <c r="G82" s="22" t="n">
        <v>0.8587650394307412</v>
      </c>
      <c r="H82" s="22" t="n">
        <v>0.8431450536701937</v>
      </c>
      <c r="I82" s="22" t="n">
        <v>0.9125602506724911</v>
      </c>
      <c r="J82" s="22" t="n">
        <v>0.7986878263079429</v>
      </c>
      <c r="K82" s="22" t="n">
        <v>0.8398257460060892</v>
      </c>
      <c r="L82" s="22" t="n">
        <v>0.7110908461836072</v>
      </c>
    </row>
    <row r="83">
      <c r="A83" s="10" t="n">
        <v>0.765</v>
      </c>
      <c r="B83" s="22" t="n">
        <v>0.8103875601208098</v>
      </c>
      <c r="C83" s="22" t="n">
        <v>0.7978361105322764</v>
      </c>
      <c r="D83" s="22" t="n">
        <v>0.8609093033555356</v>
      </c>
      <c r="E83" s="22" t="n">
        <v>0.7231125097829865</v>
      </c>
      <c r="F83" s="22" t="n">
        <v>0.6873665561089375</v>
      </c>
      <c r="G83" s="22" t="n">
        <v>0.8688534074062293</v>
      </c>
      <c r="H83" s="22" t="n">
        <v>0.8551951692636691</v>
      </c>
      <c r="I83" s="22" t="n">
        <v>0.9188720286473931</v>
      </c>
      <c r="J83" s="22" t="n">
        <v>0.8100890654164381</v>
      </c>
      <c r="K83" s="22" t="n">
        <v>0.8511970142344228</v>
      </c>
      <c r="L83" s="22" t="n">
        <v>0.7269675478841576</v>
      </c>
    </row>
    <row r="84">
      <c r="A84" s="10" t="n">
        <v>0.775</v>
      </c>
      <c r="B84" s="22" t="n">
        <v>0.8224978483250251</v>
      </c>
      <c r="C84" s="22" t="n">
        <v>0.8107497802758143</v>
      </c>
      <c r="D84" s="22" t="n">
        <v>0.8737409991387419</v>
      </c>
      <c r="E84" s="22" t="n">
        <v>0.7397130208052397</v>
      </c>
      <c r="F84" s="22" t="n">
        <v>0.698164042148375</v>
      </c>
      <c r="G84" s="22" t="n">
        <v>0.8789417753817174</v>
      </c>
      <c r="H84" s="22" t="n">
        <v>0.8672452848571446</v>
      </c>
      <c r="I84" s="22" t="n">
        <v>0.925049513473893</v>
      </c>
      <c r="J84" s="22" t="n">
        <v>0.8226981969516265</v>
      </c>
      <c r="K84" s="22" t="n">
        <v>0.8623943138450573</v>
      </c>
      <c r="L84" s="22" t="n">
        <v>0.7433951946221082</v>
      </c>
    </row>
    <row r="85">
      <c r="A85" s="10" t="n">
        <v>0.785</v>
      </c>
      <c r="B85" s="22" t="n">
        <v>0.834367762620647</v>
      </c>
      <c r="C85" s="22" t="n">
        <v>0.8243470153733169</v>
      </c>
      <c r="D85" s="22" t="n">
        <v>0.8865726949219482</v>
      </c>
      <c r="E85" s="22" t="n">
        <v>0.7548729274245117</v>
      </c>
      <c r="F85" s="22" t="n">
        <v>0.7091609325789867</v>
      </c>
      <c r="G85" s="22" t="n">
        <v>0.8873731435191274</v>
      </c>
      <c r="H85" s="22" t="n">
        <v>0.8777261597183725</v>
      </c>
      <c r="I85" s="22" t="n">
        <v>0.931361291448795</v>
      </c>
      <c r="J85" s="22" t="n">
        <v>0.8353073284868149</v>
      </c>
      <c r="K85" s="22" t="n">
        <v>0.8733676674634789</v>
      </c>
      <c r="L85" s="22" t="n">
        <v>0.7621368105171391</v>
      </c>
    </row>
    <row r="86">
      <c r="A86" s="10" t="n">
        <v>0.795</v>
      </c>
      <c r="B86" s="22" t="n">
        <v>0.8455905951160205</v>
      </c>
      <c r="C86" s="22" t="n">
        <v>0.8376382442462406</v>
      </c>
      <c r="D86" s="22" t="n">
        <v>0.8969966732657921</v>
      </c>
      <c r="E86" s="22" t="n">
        <v>0.7697545809869802</v>
      </c>
      <c r="F86" s="22" t="n">
        <v>0.720948260203949</v>
      </c>
      <c r="G86" s="22" t="n">
        <v>0.893910797555877</v>
      </c>
      <c r="H86" s="22" t="n">
        <v>0.8871197984710921</v>
      </c>
      <c r="I86" s="22" t="n">
        <v>0.9369418092511318</v>
      </c>
      <c r="J86" s="22" t="n">
        <v>0.8475456032121448</v>
      </c>
      <c r="K86" s="22" t="n">
        <v>0.8845649670741134</v>
      </c>
      <c r="L86" s="22" t="n">
        <v>0.78087842641217</v>
      </c>
    </row>
    <row r="87">
      <c r="A87" s="10" t="n">
        <v>0.805</v>
      </c>
      <c r="B87" s="22" t="n">
        <v>0.8565091477830548</v>
      </c>
      <c r="C87" s="22" t="n">
        <v>0.8504672683292638</v>
      </c>
      <c r="D87" s="22" t="n">
        <v>0.906718400689822</v>
      </c>
      <c r="E87" s="22" t="n">
        <v>0.784185275350586</v>
      </c>
      <c r="F87" s="22" t="n">
        <v>0.7329634050355914</v>
      </c>
      <c r="G87" s="22" t="n">
        <v>0.9002305297914015</v>
      </c>
      <c r="H87" s="22" t="n">
        <v>0.8961521434256302</v>
      </c>
      <c r="I87" s="22" t="n">
        <v>0.9421449024482735</v>
      </c>
      <c r="J87" s="22" t="n">
        <v>0.8601547347473332</v>
      </c>
      <c r="K87" s="22" t="n">
        <v>0.8940560884524289</v>
      </c>
      <c r="L87" s="22" t="n">
        <v>0.7999017471755104</v>
      </c>
    </row>
    <row r="88">
      <c r="A88" s="10" t="n">
        <v>0.8149999999999999</v>
      </c>
      <c r="B88" s="22" t="n">
        <v>0.8674868247591326</v>
      </c>
      <c r="C88" s="22" t="n">
        <v>0.8629531504817051</v>
      </c>
      <c r="D88" s="22" t="n">
        <v>0.9164401281138519</v>
      </c>
      <c r="E88" s="22" t="n">
        <v>0.7990669289130545</v>
      </c>
      <c r="F88" s="22" t="n">
        <v>0.746048436972111</v>
      </c>
      <c r="G88" s="22" t="n">
        <v>0.9067681838281511</v>
      </c>
      <c r="H88" s="22" t="n">
        <v>0.9051844883801683</v>
      </c>
      <c r="I88" s="22" t="n">
        <v>0.9472372915348378</v>
      </c>
      <c r="J88" s="22" t="n">
        <v>0.8727638662825216</v>
      </c>
      <c r="K88" s="22" t="n">
        <v>0.9015478074627978</v>
      </c>
      <c r="L88" s="22" t="n">
        <v>0.8196551894053028</v>
      </c>
    </row>
    <row r="89">
      <c r="A89" s="10" t="n">
        <v>0.825</v>
      </c>
      <c r="B89" s="22" t="n">
        <v>0.8785262853666991</v>
      </c>
      <c r="C89" s="22" t="n">
        <v>0.8754390326341464</v>
      </c>
      <c r="D89" s="22" t="n">
        <v>0.9258052420812866</v>
      </c>
      <c r="E89" s="22" t="n">
        <v>0.8134976232766603</v>
      </c>
      <c r="F89" s="22" t="n">
        <v>0.7609029259346484</v>
      </c>
      <c r="G89" s="22" t="n">
        <v>0.9133058378649006</v>
      </c>
      <c r="H89" s="22" t="n">
        <v>0.9142168333347064</v>
      </c>
      <c r="I89" s="22" t="n">
        <v>0.9523954380239774</v>
      </c>
      <c r="J89" s="22" t="n">
        <v>0.8850021410078515</v>
      </c>
      <c r="K89" s="22" t="n">
        <v>0.9088896920929593</v>
      </c>
      <c r="L89" s="22" t="n">
        <v>0.8393460535208292</v>
      </c>
    </row>
    <row r="90">
      <c r="A90" s="10" t="n">
        <v>0.835</v>
      </c>
      <c r="B90" s="22" t="n">
        <v>0.8885751708776746</v>
      </c>
      <c r="C90" s="22" t="n">
        <v>0.8871205745082822</v>
      </c>
      <c r="D90" s="22" t="n">
        <v>0.9327632152167031</v>
      </c>
      <c r="E90" s="22" t="n">
        <v>0.8283792768391288</v>
      </c>
      <c r="F90" s="22" t="n">
        <v>0.7761654122714499</v>
      </c>
      <c r="G90" s="22" t="n">
        <v>0.9198434919016502</v>
      </c>
      <c r="H90" s="22" t="n">
        <v>0.9232491782892445</v>
      </c>
      <c r="I90" s="22" t="n">
        <v>0.9572464486751022</v>
      </c>
      <c r="J90" s="22" t="n">
        <v>0.8932989371078603</v>
      </c>
      <c r="K90" s="22" t="n">
        <v>0.9163814111033283</v>
      </c>
      <c r="L90" s="22" t="n">
        <v>0.8558454338087946</v>
      </c>
    </row>
    <row r="91">
      <c r="A91" s="10" t="n">
        <v>0.845</v>
      </c>
      <c r="B91" s="22" t="n">
        <v>0.8987539650977402</v>
      </c>
      <c r="C91" s="22" t="n">
        <v>0.8980749879489349</v>
      </c>
      <c r="D91" s="22" t="n">
        <v>0.9399456390984235</v>
      </c>
      <c r="E91" s="22" t="n">
        <v>0.8428099712027346</v>
      </c>
      <c r="F91" s="22" t="n">
        <v>0.7925561272538283</v>
      </c>
      <c r="G91" s="22" t="n">
        <v>0.9263811459383997</v>
      </c>
      <c r="H91" s="22" t="n">
        <v>0.9326428170419641</v>
      </c>
      <c r="I91" s="22" t="n">
        <v>0.962097459326227</v>
      </c>
      <c r="J91" s="22" t="n">
        <v>0.9015957332078692</v>
      </c>
      <c r="K91" s="22" t="n">
        <v>0.9237232957334898</v>
      </c>
      <c r="L91" s="22" t="n">
        <v>0.87234481409676</v>
      </c>
    </row>
    <row r="92">
      <c r="A92" s="10" t="n">
        <v>0.855</v>
      </c>
      <c r="B92" s="22" t="n">
        <v>0.9085857680980535</v>
      </c>
      <c r="C92" s="22" t="n">
        <v>0.9084717465276066</v>
      </c>
      <c r="D92" s="22" t="n">
        <v>0.9469036122338401</v>
      </c>
      <c r="E92" s="22" t="n">
        <v>0.8576916247652031</v>
      </c>
      <c r="F92" s="22" t="n">
        <v>0.8092246509647216</v>
      </c>
      <c r="G92" s="22" t="n">
        <v>0.9329187999751493</v>
      </c>
      <c r="H92" s="22" t="n">
        <v>0.9416751619965021</v>
      </c>
      <c r="I92" s="22" t="n">
        <v>0.9668452569847747</v>
      </c>
      <c r="J92" s="22" t="n">
        <v>0.909648505893172</v>
      </c>
      <c r="K92" s="22" t="n">
        <v>0.9299858662339754</v>
      </c>
      <c r="L92" s="22" t="n">
        <v>0.8871225199816397</v>
      </c>
    </row>
    <row r="93">
      <c r="A93" s="10" t="n">
        <v>0.865</v>
      </c>
      <c r="B93" s="22" t="n">
        <v>0.9180596501087216</v>
      </c>
      <c r="C93" s="22" t="n">
        <v>0.9179501779230852</v>
      </c>
      <c r="D93" s="22" t="n">
        <v>0.9537017643282016</v>
      </c>
      <c r="E93" s="22" t="n">
        <v>0.8725732783276716</v>
      </c>
      <c r="F93" s="22" t="n">
        <v>0.8259461538578947</v>
      </c>
      <c r="G93" s="22" t="n">
        <v>0.9394564540118988</v>
      </c>
      <c r="H93" s="22" t="n">
        <v>0.9507075069510402</v>
      </c>
      <c r="I93" s="22" t="n">
        <v>0.9712912198141516</v>
      </c>
      <c r="J93" s="22" t="n">
        <v>0.9179453019931809</v>
      </c>
      <c r="K93" s="22" t="n">
        <v>0.9358937442692731</v>
      </c>
      <c r="L93" s="22" t="n">
        <v>0.8991233952302</v>
      </c>
    </row>
    <row r="94">
      <c r="A94" s="10" t="n">
        <v>0.875</v>
      </c>
      <c r="B94" s="22" t="n">
        <v>0.9267161651634213</v>
      </c>
      <c r="C94" s="22" t="n">
        <v>0.9267324602038285</v>
      </c>
      <c r="D94" s="22" t="n">
        <v>0.9603989768176862</v>
      </c>
      <c r="E94" s="22" t="n">
        <v>0.8837975477660092</v>
      </c>
      <c r="F94" s="22" t="n">
        <v>0.8430281624572814</v>
      </c>
      <c r="G94" s="22" t="n">
        <v>0.9450115809710279</v>
      </c>
      <c r="H94" s="22" t="n">
        <v>0.956939615738247</v>
      </c>
      <c r="I94" s="22" t="n">
        <v>0.9753145240469218</v>
      </c>
      <c r="J94" s="22" t="n">
        <v>0.9262420980931898</v>
      </c>
      <c r="K94" s="22" t="n">
        <v>0.9419221912440666</v>
      </c>
      <c r="L94" s="22" t="n">
        <v>0.9113281487340166</v>
      </c>
    </row>
    <row r="95">
      <c r="A95" s="10" t="n">
        <v>0.885</v>
      </c>
      <c r="B95" s="22" t="n">
        <v>0.9345932407086178</v>
      </c>
      <c r="C95" s="22" t="n">
        <v>0.9354737070451601</v>
      </c>
      <c r="D95" s="22" t="n">
        <v>0.9670961893071707</v>
      </c>
      <c r="E95" s="22" t="n">
        <v>0.8928007556321524</v>
      </c>
      <c r="F95" s="22" t="n">
        <v>0.8598521216438031</v>
      </c>
      <c r="G95" s="22" t="n">
        <v>0.9502748928804515</v>
      </c>
      <c r="H95" s="22" t="n">
        <v>0.9611328158944943</v>
      </c>
      <c r="I95" s="22" t="n">
        <v>0.9792522260619735</v>
      </c>
      <c r="J95" s="22" t="n">
        <v>0.9343140959394004</v>
      </c>
      <c r="K95" s="22" t="n">
        <v>0.9478300692793643</v>
      </c>
      <c r="L95" s="22" t="n">
        <v>0.9219298180073396</v>
      </c>
    </row>
    <row r="96">
      <c r="A96" s="10" t="n">
        <v>0.895</v>
      </c>
      <c r="B96" s="22" t="n">
        <v>0.942327713063379</v>
      </c>
      <c r="C96" s="22" t="n">
        <v>0.9433735597293731</v>
      </c>
      <c r="D96" s="22" t="n">
        <v>0.9737934017966552</v>
      </c>
      <c r="E96" s="22" t="n">
        <v>0.9015311390175035</v>
      </c>
      <c r="F96" s="22" t="n">
        <v>0.8769857123021408</v>
      </c>
      <c r="G96" s="22" t="n">
        <v>0.9555382047898752</v>
      </c>
      <c r="H96" s="22" t="n">
        <v>0.965164739121655</v>
      </c>
      <c r="I96" s="22" t="n">
        <v>0.9832755302947437</v>
      </c>
      <c r="J96" s="22" t="n">
        <v>0.9408832001496343</v>
      </c>
      <c r="K96" s="22" t="n">
        <v>0.9540064283011496</v>
      </c>
      <c r="L96" s="22" t="n">
        <v>0.9325314872806627</v>
      </c>
    </row>
    <row r="97">
      <c r="A97" s="10" t="n">
        <v>0.905</v>
      </c>
      <c r="B97" s="22" t="n">
        <v>0.9497679684935024</v>
      </c>
      <c r="C97" s="22" t="n">
        <v>0.9510398162273748</v>
      </c>
      <c r="D97" s="22" t="n">
        <v>0.9781940854119283</v>
      </c>
      <c r="E97" s="22" t="n">
        <v>0.9105343468836468</v>
      </c>
      <c r="F97" s="22" t="n">
        <v>0.8941970725860077</v>
      </c>
      <c r="G97" s="22" t="n">
        <v>0.9608015166992988</v>
      </c>
      <c r="H97" s="22" t="n">
        <v>0.9691966623488157</v>
      </c>
      <c r="I97" s="22" t="n">
        <v>0.98679268267795</v>
      </c>
      <c r="J97" s="22" t="n">
        <v>0.9476513681238148</v>
      </c>
      <c r="K97" s="22" t="n">
        <v>0.9604319985009181</v>
      </c>
      <c r="L97" s="22" t="n">
        <v>0.9425192016332681</v>
      </c>
    </row>
    <row r="98">
      <c r="A98" s="10" t="n">
        <v>0.915</v>
      </c>
      <c r="B98" s="22" t="n">
        <v>0.9572187846170388</v>
      </c>
      <c r="C98" s="22" t="n">
        <v>0.9586310803314487</v>
      </c>
      <c r="D98" s="22" t="n">
        <v>0.9826577062148181</v>
      </c>
      <c r="E98" s="22" t="n">
        <v>0.9203560281921667</v>
      </c>
      <c r="F98" s="22" t="n">
        <v>0.9112592896729514</v>
      </c>
      <c r="G98" s="22" t="n">
        <v>0.966766603529979</v>
      </c>
      <c r="H98" s="22" t="n">
        <v>0.9738736932923222</v>
      </c>
      <c r="I98" s="22" t="n">
        <v>0.9900004360935146</v>
      </c>
      <c r="J98" s="22" t="n">
        <v>0.9544195360979952</v>
      </c>
      <c r="K98" s="22" t="n">
        <v>0.9667264346149771</v>
      </c>
      <c r="L98" s="22" t="n">
        <v>0.9510766746591479</v>
      </c>
    </row>
    <row r="99">
      <c r="A99" s="10" t="n">
        <v>0.925</v>
      </c>
      <c r="B99" s="22" t="n">
        <v>0.9646194382510174</v>
      </c>
      <c r="C99" s="22" t="n">
        <v>0.9658810495515258</v>
      </c>
      <c r="D99" s="22" t="n">
        <v>0.9872608151677981</v>
      </c>
      <c r="E99" s="22" t="n">
        <v>0.9337244277509854</v>
      </c>
      <c r="F99" s="22" t="n">
        <v>0.923446587592197</v>
      </c>
      <c r="G99" s="22" t="n">
        <v>0.9751879025850569</v>
      </c>
      <c r="H99" s="22" t="n">
        <v>0.9803247704557795</v>
      </c>
      <c r="I99" s="22" t="n">
        <v>0.9923130025093868</v>
      </c>
      <c r="J99" s="22" t="n">
        <v>0.9617848953640151</v>
      </c>
      <c r="K99" s="22" t="n">
        <v>0.9719717980433595</v>
      </c>
      <c r="L99" s="22" t="n">
        <v>0.9582370092318229</v>
      </c>
    </row>
    <row r="100">
      <c r="A100" s="10" t="n">
        <v>0.9350000000000001</v>
      </c>
      <c r="B100" s="22" t="n">
        <v>0.9721214183924017</v>
      </c>
      <c r="C100" s="22" t="n">
        <v>0.9729572266907566</v>
      </c>
      <c r="D100" s="22" t="n">
        <v>0.9908808557777283</v>
      </c>
      <c r="E100" s="22" t="n">
        <v>0.9473656517905964</v>
      </c>
      <c r="F100" s="22" t="n">
        <v>0.9361538895008885</v>
      </c>
      <c r="G100" s="22" t="n">
        <v>0.9836092016401349</v>
      </c>
      <c r="H100" s="22" t="n">
        <v>0.9867758476192368</v>
      </c>
      <c r="I100" s="22" t="n">
        <v>0.994625568925259</v>
      </c>
      <c r="J100" s="22" t="n">
        <v>0.969150254630035</v>
      </c>
      <c r="K100" s="22" t="n">
        <v>0.9773482955574516</v>
      </c>
      <c r="L100" s="22" t="n">
        <v>0.9661235584210813</v>
      </c>
    </row>
    <row r="101">
      <c r="A101" s="10" t="n">
        <v>0.945</v>
      </c>
      <c r="B101" s="22" t="n">
        <v>0.9789410485403542</v>
      </c>
      <c r="C101" s="22" t="n">
        <v>0.9792218718345544</v>
      </c>
      <c r="D101" s="22" t="n">
        <v>0.9932472641154454</v>
      </c>
      <c r="E101" s="22" t="n">
        <v>0.9598518019970985</v>
      </c>
      <c r="F101" s="22" t="n">
        <v>0.9487718305030637</v>
      </c>
      <c r="G101" s="22" t="n">
        <v>0.9901466804763389</v>
      </c>
      <c r="H101" s="22" t="n">
        <v>0.9917845298430724</v>
      </c>
      <c r="I101" s="22" t="n">
        <v>0.9963067517853428</v>
      </c>
      <c r="J101" s="22" t="n">
        <v>0.9756482864645386</v>
      </c>
      <c r="K101" s="22" t="n">
        <v>0.9820757419375509</v>
      </c>
      <c r="L101" s="22" t="n">
        <v>0.975227847407051</v>
      </c>
    </row>
    <row r="102">
      <c r="A102" s="10" t="n">
        <v>0.955</v>
      </c>
      <c r="B102" s="22" t="n">
        <v>0.9841032870448935</v>
      </c>
      <c r="C102" s="22" t="n">
        <v>0.9844957490486831</v>
      </c>
      <c r="D102" s="22" t="n">
        <v>0.995687622713716</v>
      </c>
      <c r="E102" s="22" t="n">
        <v>0.9678164242729778</v>
      </c>
      <c r="F102" s="22" t="n">
        <v>0.9617052200302932</v>
      </c>
      <c r="G102" s="22" t="n">
        <v>0.9921091673524207</v>
      </c>
      <c r="H102" s="22" t="n">
        <v>0.9934276238744578</v>
      </c>
      <c r="I102" s="22" t="n">
        <v>0.997050197854527</v>
      </c>
      <c r="J102" s="22" t="n">
        <v>0.9805450984254737</v>
      </c>
      <c r="K102" s="22" t="n">
        <v>0.9856781663520626</v>
      </c>
      <c r="L102" s="22" t="n">
        <v>0.9843321363930208</v>
      </c>
    </row>
    <row r="103">
      <c r="A103" s="10" t="n">
        <v>0.965</v>
      </c>
      <c r="B103" s="22" t="n">
        <v>0.9889425860724941</v>
      </c>
      <c r="C103" s="22" t="n">
        <v>0.9892706507092455</v>
      </c>
      <c r="D103" s="22" t="n">
        <v>0.9975830756013069</v>
      </c>
      <c r="E103" s="22" t="n">
        <v>0.9759435898606097</v>
      </c>
      <c r="F103" s="22" t="n">
        <v>0.9734432302706216</v>
      </c>
      <c r="G103" s="22" t="n">
        <v>0.9941125393717543</v>
      </c>
      <c r="H103" s="22" t="n">
        <v>0.9950707179058432</v>
      </c>
      <c r="I103" s="22" t="n">
        <v>0.9977936439237112</v>
      </c>
      <c r="J103" s="22" t="n">
        <v>0.9853095641171943</v>
      </c>
      <c r="K103" s="22" t="n">
        <v>0.9892805907665744</v>
      </c>
      <c r="L103" s="22" t="n">
        <v>0.9924149529878972</v>
      </c>
    </row>
    <row r="104">
      <c r="A104" s="10" t="n">
        <v>0.975</v>
      </c>
      <c r="B104" s="22" t="n">
        <v>0.9926286057682913</v>
      </c>
      <c r="C104" s="22" t="n">
        <v>0.9928876236646341</v>
      </c>
      <c r="D104" s="22" t="n">
        <v>0.998388717067538</v>
      </c>
      <c r="E104" s="22" t="n">
        <v>0.9839082121364889</v>
      </c>
      <c r="F104" s="22" t="n">
        <v>0.982368046327216</v>
      </c>
      <c r="G104" s="22" t="n">
        <v>0.9960750262478361</v>
      </c>
      <c r="H104" s="22" t="n">
        <v>0.9967138119372286</v>
      </c>
      <c r="I104" s="22" t="n">
        <v>0.9985370899928954</v>
      </c>
      <c r="J104" s="22" t="n">
        <v>0.9902063760781293</v>
      </c>
      <c r="K104" s="22" t="n">
        <v>0.9927951511709762</v>
      </c>
      <c r="L104" s="22" t="n">
        <v>0.9949640261640957</v>
      </c>
    </row>
    <row r="105">
      <c r="A105" s="10" t="n">
        <v>0.985</v>
      </c>
      <c r="B105" s="22" t="n">
        <v>0.9963050321221193</v>
      </c>
      <c r="C105" s="22" t="n">
        <v>0.9964438118323171</v>
      </c>
      <c r="D105" s="22" t="n">
        <v>0.999194358533769</v>
      </c>
      <c r="E105" s="22" t="n">
        <v>0.9920353777241209</v>
      </c>
      <c r="F105" s="22" t="n">
        <v>0.9910751839434055</v>
      </c>
      <c r="G105" s="22" t="n">
        <v>0.9980375131239179</v>
      </c>
      <c r="H105" s="22" t="n">
        <v>0.998356905968614</v>
      </c>
      <c r="I105" s="22" t="n">
        <v>0.9992565539308155</v>
      </c>
      <c r="J105" s="22" t="n">
        <v>0.9951031880390644</v>
      </c>
      <c r="K105" s="22" t="n">
        <v>0.9963975755854879</v>
      </c>
      <c r="L105" s="22" t="n">
        <v>0.9974509268238017</v>
      </c>
    </row>
    <row r="106">
      <c r="A106" s="10" t="n">
        <v>0.995</v>
      </c>
      <c r="B106" s="22" t="n">
        <v>0.9999999999999998</v>
      </c>
      <c r="C106" s="22" t="n">
        <v>1</v>
      </c>
      <c r="D106" s="22" t="n">
        <v>1</v>
      </c>
      <c r="E106" s="22" t="n">
        <v>1</v>
      </c>
      <c r="F106" s="22" t="n">
        <v>0.9999999999999999</v>
      </c>
      <c r="G106" s="22" t="n">
        <v>0.9999999999999997</v>
      </c>
      <c r="H106" s="22" t="n">
        <v>0.9999999999999994</v>
      </c>
      <c r="I106" s="22" t="n">
        <v>0.9999999999999997</v>
      </c>
      <c r="J106" s="22" t="n">
        <v>0.9999999999999994</v>
      </c>
      <c r="K106" s="22" t="n">
        <v>0.9999999999999997</v>
      </c>
      <c r="L106" s="22"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PJ-2022-F</t>
        </is>
      </c>
      <c r="I133" s="8" t="inlineStr">
        <is>
          <t>PJ-2022-G</t>
        </is>
      </c>
      <c r="J133" s="8" t="inlineStr">
        <is>
          <t>PJ-2023-H</t>
        </is>
      </c>
      <c r="K133" s="8" t="inlineStr">
        <is>
          <t>PJ-2023-I</t>
        </is>
      </c>
      <c r="L133" s="8" t="inlineStr">
        <is>
          <t>PJ-2024-J</t>
        </is>
      </c>
    </row>
    <row r="134">
      <c r="A134" s="10" t="n">
        <v>0.005</v>
      </c>
      <c r="B134" s="22" t="n">
        <v>0.3987343643999136</v>
      </c>
      <c r="C134" s="22" t="n">
        <v>0.4030185742334645</v>
      </c>
      <c r="D134" s="22" t="n">
        <v>0.3016495208973412</v>
      </c>
      <c r="E134" s="22" t="n">
        <v>0.05267418597291087</v>
      </c>
      <c r="F134" s="22" t="n">
        <v>0.9562210727203252</v>
      </c>
      <c r="G134" s="22" t="n">
        <v>0.6300363439021183</v>
      </c>
      <c r="H134" s="22" t="n">
        <v>0.2446625743472623</v>
      </c>
      <c r="I134" s="22" t="n">
        <v>0.9715068779946887</v>
      </c>
      <c r="J134" s="22" t="n">
        <v>0.2300994215790587</v>
      </c>
      <c r="K134" s="22" t="n">
        <v>0.1566546697324483</v>
      </c>
      <c r="L134" s="22" t="n">
        <v>0.0303200398786301</v>
      </c>
    </row>
    <row r="135">
      <c r="A135" s="10" t="n">
        <v>0.015</v>
      </c>
      <c r="B135" s="22" t="n">
        <v>0.3989463544637141</v>
      </c>
      <c r="C135" s="22" t="n">
        <v>0.4030185742334645</v>
      </c>
      <c r="D135" s="22" t="n">
        <v>0.3016495208973412</v>
      </c>
      <c r="E135" s="22" t="n">
        <v>0.05267418597291087</v>
      </c>
      <c r="F135" s="22" t="n">
        <v>0.9813847851603337</v>
      </c>
      <c r="G135" s="22" t="n">
        <v>0.6300363439021183</v>
      </c>
      <c r="H135" s="22" t="n">
        <v>0.2382240855486501</v>
      </c>
      <c r="I135" s="22" t="n">
        <v>0.9715068779946887</v>
      </c>
      <c r="J135" s="22" t="n">
        <v>0.2233317915326158</v>
      </c>
      <c r="K135" s="22" t="n">
        <v>0.1525321784236997</v>
      </c>
      <c r="L135" s="22" t="n">
        <v>0.0303200398786301</v>
      </c>
    </row>
    <row r="136">
      <c r="A136" s="10" t="n">
        <v>0.025</v>
      </c>
      <c r="B136" s="22" t="n">
        <v>0.406036202814082</v>
      </c>
      <c r="C136" s="22" t="n">
        <v>0.4085451277816212</v>
      </c>
      <c r="D136" s="22" t="n">
        <v>0.3739634198261709</v>
      </c>
      <c r="E136" s="22" t="n">
        <v>0.05377156484734651</v>
      </c>
      <c r="F136" s="22" t="n">
        <v>0.9562210727203252</v>
      </c>
      <c r="G136" s="22" t="n">
        <v>0.6300363439021183</v>
      </c>
      <c r="H136" s="22" t="n">
        <v>0.2446625743472623</v>
      </c>
      <c r="I136" s="22" t="n">
        <v>0.9715068779946887</v>
      </c>
      <c r="J136" s="22" t="n">
        <v>0.2300994215790587</v>
      </c>
      <c r="K136" s="22" t="n">
        <v>0.1566546697324483</v>
      </c>
      <c r="L136" s="22" t="n">
        <v>0.0303200398786301</v>
      </c>
    </row>
    <row r="137">
      <c r="A137" s="10" t="n">
        <v>0.035</v>
      </c>
      <c r="B137" s="22" t="n">
        <v>0.4346549563422828</v>
      </c>
      <c r="C137" s="22" t="n">
        <v>0.4457044465952031</v>
      </c>
      <c r="D137" s="22" t="n">
        <v>0.5167965199060005</v>
      </c>
      <c r="E137" s="22" t="n">
        <v>0.05267418597291087</v>
      </c>
      <c r="F137" s="22" t="n">
        <v>1.038760837633789</v>
      </c>
      <c r="G137" s="22" t="n">
        <v>0.6440371515443876</v>
      </c>
      <c r="H137" s="22" t="n">
        <v>0.2382240855486501</v>
      </c>
      <c r="I137" s="22" t="n">
        <v>0.9715068779946887</v>
      </c>
      <c r="J137" s="22" t="n">
        <v>0.2233317915326158</v>
      </c>
      <c r="K137" s="22" t="n">
        <v>0.1525321784236997</v>
      </c>
      <c r="L137" s="22" t="n">
        <v>0.06890296310663355</v>
      </c>
    </row>
    <row r="138">
      <c r="A138" s="10" t="n">
        <v>0.045</v>
      </c>
      <c r="B138" s="22" t="n">
        <v>0.4645299509945451</v>
      </c>
      <c r="C138" s="22" t="n">
        <v>0.4709020022601713</v>
      </c>
      <c r="D138" s="22" t="n">
        <v>0.5297164329036504</v>
      </c>
      <c r="E138" s="22" t="n">
        <v>0.05267418597291087</v>
      </c>
      <c r="F138" s="22" t="n">
        <v>1.140721723703363</v>
      </c>
      <c r="G138" s="22" t="n">
        <v>0.6300363439021183</v>
      </c>
      <c r="H138" s="22" t="n">
        <v>0.2446625743472623</v>
      </c>
      <c r="I138" s="22" t="n">
        <v>1.051751405116747</v>
      </c>
      <c r="J138" s="22" t="n">
        <v>0.2300994215790587</v>
      </c>
      <c r="K138" s="22" t="n">
        <v>0.1566546697324483</v>
      </c>
      <c r="L138" s="22" t="n">
        <v>0.08681646317677798</v>
      </c>
    </row>
    <row r="139">
      <c r="A139" s="10" t="n">
        <v>0.055</v>
      </c>
      <c r="B139" s="22" t="n">
        <v>0.4798052970633879</v>
      </c>
      <c r="C139" s="22" t="n">
        <v>0.517791175624211</v>
      </c>
      <c r="D139" s="22" t="n">
        <v>0.6139553147918279</v>
      </c>
      <c r="E139" s="22" t="n">
        <v>0.05267418597291087</v>
      </c>
      <c r="F139" s="22" t="n">
        <v>1.170740716432399</v>
      </c>
      <c r="G139" s="22" t="n">
        <v>0.6556544525015198</v>
      </c>
      <c r="H139" s="22" t="n">
        <v>0.2721555931106643</v>
      </c>
      <c r="I139" s="22" t="n">
        <v>1.056209434401306</v>
      </c>
      <c r="J139" s="22" t="n">
        <v>0.2233317915326158</v>
      </c>
      <c r="K139" s="22" t="n">
        <v>0.1525321784236997</v>
      </c>
      <c r="L139" s="22" t="n">
        <v>0.08469898846514924</v>
      </c>
    </row>
    <row r="140">
      <c r="A140" s="10" t="n">
        <v>0.065</v>
      </c>
      <c r="B140" s="22" t="n">
        <v>0.5637055088251488</v>
      </c>
      <c r="C140" s="22" t="n">
        <v>0.5567292663865858</v>
      </c>
      <c r="D140" s="22" t="n">
        <v>0.6867070764225262</v>
      </c>
      <c r="E140" s="22" t="n">
        <v>0.1594420338690865</v>
      </c>
      <c r="F140" s="22" t="n">
        <v>1.140721723703363</v>
      </c>
      <c r="G140" s="22" t="n">
        <v>0.7947241848982715</v>
      </c>
      <c r="H140" s="22" t="n">
        <v>0.4595621222400185</v>
      </c>
      <c r="I140" s="22" t="n">
        <v>1.056209434401306</v>
      </c>
      <c r="J140" s="22" t="n">
        <v>0.3881065441637731</v>
      </c>
      <c r="K140" s="22" t="n">
        <v>0.3057482598692232</v>
      </c>
      <c r="L140" s="22" t="n">
        <v>0.1163710207258791</v>
      </c>
    </row>
    <row r="141">
      <c r="A141" s="10" t="n">
        <v>0.075</v>
      </c>
      <c r="B141" s="22" t="n">
        <v>0.5524965113277727</v>
      </c>
      <c r="C141" s="22" t="n">
        <v>0.5591197970596887</v>
      </c>
      <c r="D141" s="22" t="n">
        <v>0.6867070764225262</v>
      </c>
      <c r="E141" s="22" t="n">
        <v>0.1629390232129873</v>
      </c>
      <c r="F141" s="22" t="n">
        <v>0.9934275548210691</v>
      </c>
      <c r="G141" s="22" t="n">
        <v>0.7947241848982715</v>
      </c>
      <c r="H141" s="22" t="n">
        <v>0.4474683821810705</v>
      </c>
      <c r="I141" s="22" t="n">
        <v>1.056209434401306</v>
      </c>
      <c r="J141" s="22" t="n">
        <v>0.3915329220260215</v>
      </c>
      <c r="K141" s="22" t="n">
        <v>0.3016257685604746</v>
      </c>
      <c r="L141" s="22" t="n">
        <v>0.1395006744599582</v>
      </c>
    </row>
    <row r="142">
      <c r="A142" s="10" t="n">
        <v>0.08500000000000001</v>
      </c>
      <c r="B142" s="22" t="n">
        <v>0.5675960115850419</v>
      </c>
      <c r="C142" s="22" t="n">
        <v>0.5709168236801593</v>
      </c>
      <c r="D142" s="22" t="n">
        <v>0.7657405857677417</v>
      </c>
      <c r="E142" s="22" t="n">
        <v>0.1629390232129873</v>
      </c>
      <c r="F142" s="22" t="n">
        <v>1.001785640361532</v>
      </c>
      <c r="G142" s="22" t="n">
        <v>0.7947241848982715</v>
      </c>
      <c r="H142" s="22" t="n">
        <v>0.4595621222400185</v>
      </c>
      <c r="I142" s="22" t="n">
        <v>1.046313782496454</v>
      </c>
      <c r="J142" s="22" t="n">
        <v>0.40339755602681</v>
      </c>
      <c r="K142" s="22" t="n">
        <v>0.3097778163594063</v>
      </c>
      <c r="L142" s="22" t="n">
        <v>0.1395006744599582</v>
      </c>
    </row>
    <row r="143">
      <c r="A143" s="10" t="n">
        <v>0.095</v>
      </c>
      <c r="B143" s="22" t="n">
        <v>0.5640745790820783</v>
      </c>
      <c r="C143" s="22" t="n">
        <v>0.580551336025522</v>
      </c>
      <c r="D143" s="22" t="n">
        <v>0.7577731337226227</v>
      </c>
      <c r="E143" s="22" t="n">
        <v>0.1629390232129873</v>
      </c>
      <c r="F143" s="22" t="n">
        <v>0.9760988290702112</v>
      </c>
      <c r="G143" s="22" t="n">
        <v>0.7947241848982715</v>
      </c>
      <c r="H143" s="22" t="n">
        <v>0.4474683821810705</v>
      </c>
      <c r="I143" s="22" t="n">
        <v>1.035318613713284</v>
      </c>
      <c r="J143" s="22" t="n">
        <v>0.3915329220260215</v>
      </c>
      <c r="K143" s="22" t="n">
        <v>0.3097778163594063</v>
      </c>
      <c r="L143" s="22" t="n">
        <v>0.153586788819964</v>
      </c>
    </row>
    <row r="144">
      <c r="A144" s="10" t="n">
        <v>0.105</v>
      </c>
      <c r="B144" s="22" t="n">
        <v>0.5678884050707853</v>
      </c>
      <c r="C144" s="22" t="n">
        <v>0.5898298448857331</v>
      </c>
      <c r="D144" s="22" t="n">
        <v>0.7837267626834855</v>
      </c>
      <c r="E144" s="22" t="n">
        <v>0.1663335861965912</v>
      </c>
      <c r="F144" s="22" t="n">
        <v>0.9096102297002714</v>
      </c>
      <c r="G144" s="22" t="n">
        <v>0.7947241848982715</v>
      </c>
      <c r="H144" s="22" t="n">
        <v>0.4595621222400185</v>
      </c>
      <c r="I144" s="22" t="n">
        <v>1.035318613713284</v>
      </c>
      <c r="J144" s="22" t="n">
        <v>0.40339755602681</v>
      </c>
      <c r="K144" s="22" t="n">
        <v>0.3016257685604746</v>
      </c>
      <c r="L144" s="22" t="n">
        <v>0.2036707509888731</v>
      </c>
    </row>
    <row r="145">
      <c r="A145" s="10" t="n">
        <v>0.115</v>
      </c>
      <c r="B145" s="22" t="n">
        <v>0.593348928291932</v>
      </c>
      <c r="C145" s="22" t="n">
        <v>0.6281033342270244</v>
      </c>
      <c r="D145" s="22" t="n">
        <v>0.8725112371755831</v>
      </c>
      <c r="E145" s="22" t="n">
        <v>0.1995891158371675</v>
      </c>
      <c r="F145" s="22" t="n">
        <v>0.8577270083933308</v>
      </c>
      <c r="G145" s="22" t="n">
        <v>0.8266386840224835</v>
      </c>
      <c r="H145" s="22" t="n">
        <v>0.4806887177063067</v>
      </c>
      <c r="I145" s="22" t="n">
        <v>1.035318613713284</v>
      </c>
      <c r="J145" s="22" t="n">
        <v>0.4620563575466586</v>
      </c>
      <c r="K145" s="22" t="n">
        <v>0.3327499807204671</v>
      </c>
      <c r="L145" s="22" t="n">
        <v>0.2036707509888731</v>
      </c>
    </row>
    <row r="146">
      <c r="A146" s="10" t="n">
        <v>0.125</v>
      </c>
      <c r="B146" s="22" t="n">
        <v>0.6398957769011815</v>
      </c>
      <c r="C146" s="22" t="n">
        <v>0.6447870536279821</v>
      </c>
      <c r="D146" s="22" t="n">
        <v>0.8725112371755831</v>
      </c>
      <c r="E146" s="22" t="n">
        <v>0.2982624421330377</v>
      </c>
      <c r="F146" s="22" t="n">
        <v>0.8357340081781172</v>
      </c>
      <c r="G146" s="22" t="n">
        <v>0.9016288975134845</v>
      </c>
      <c r="H146" s="22" t="n">
        <v>0.6038051886316036</v>
      </c>
      <c r="I146" s="22" t="n">
        <v>1.019950449433638</v>
      </c>
      <c r="J146" s="22" t="n">
        <v>0.5746687565769291</v>
      </c>
      <c r="K146" s="22" t="n">
        <v>0.423050065897511</v>
      </c>
      <c r="L146" s="22" t="n">
        <v>0.2049784084333269</v>
      </c>
    </row>
    <row r="147">
      <c r="A147" s="10" t="n">
        <v>0.135</v>
      </c>
      <c r="B147" s="22" t="n">
        <v>0.6646149507081331</v>
      </c>
      <c r="C147" s="22" t="n">
        <v>0.6519455034846195</v>
      </c>
      <c r="D147" s="22" t="n">
        <v>0.9045741666692522</v>
      </c>
      <c r="E147" s="22" t="n">
        <v>0.2982624421330377</v>
      </c>
      <c r="F147" s="22" t="n">
        <v>0.8357340081781172</v>
      </c>
      <c r="G147" s="22" t="n">
        <v>0.9016288975134845</v>
      </c>
      <c r="H147" s="22" t="n">
        <v>0.6201242477838093</v>
      </c>
      <c r="I147" s="22" t="n">
        <v>1.125584287930631</v>
      </c>
      <c r="J147" s="22" t="n">
        <v>0.5577667343246664</v>
      </c>
      <c r="K147" s="22" t="n">
        <v>0.4344838514623086</v>
      </c>
      <c r="L147" s="22" t="n">
        <v>0.2572847062114789</v>
      </c>
    </row>
    <row r="148">
      <c r="A148" s="10" t="n">
        <v>0.145</v>
      </c>
      <c r="B148" s="22" t="n">
        <v>0.6666867580063962</v>
      </c>
      <c r="C148" s="22" t="n">
        <v>0.677599555201311</v>
      </c>
      <c r="D148" s="22" t="n">
        <v>0.9736327840402329</v>
      </c>
      <c r="E148" s="22" t="n">
        <v>0.3044762430108093</v>
      </c>
      <c r="F148" s="22" t="n">
        <v>0.7793068367552167</v>
      </c>
      <c r="G148" s="22" t="n">
        <v>0.9016288975134845</v>
      </c>
      <c r="H148" s="22" t="n">
        <v>0.6038051886316036</v>
      </c>
      <c r="I148" s="22" t="n">
        <v>1.125584287930631</v>
      </c>
      <c r="J148" s="22" t="n">
        <v>0.5746687565769291</v>
      </c>
      <c r="K148" s="22" t="n">
        <v>0.423050065897511</v>
      </c>
      <c r="L148" s="22" t="n">
        <v>0.2572847062114789</v>
      </c>
    </row>
    <row r="149">
      <c r="A149" s="10" t="n">
        <v>0.155</v>
      </c>
      <c r="B149" s="22" t="n">
        <v>0.6667723166313522</v>
      </c>
      <c r="C149" s="22" t="n">
        <v>0.6909347456413495</v>
      </c>
      <c r="D149" s="22" t="n">
        <v>0.9498856429660809</v>
      </c>
      <c r="E149" s="22" t="n">
        <v>0.2982624421330377</v>
      </c>
      <c r="F149" s="22" t="n">
        <v>0.7948510173792419</v>
      </c>
      <c r="G149" s="22" t="n">
        <v>0.9016288975134845</v>
      </c>
      <c r="H149" s="22" t="n">
        <v>0.6201242477838093</v>
      </c>
      <c r="I149" s="22" t="n">
        <v>1.125584287930631</v>
      </c>
      <c r="J149" s="22" t="n">
        <v>0.5577667343246664</v>
      </c>
      <c r="K149" s="22" t="n">
        <v>0.4344838514623086</v>
      </c>
      <c r="L149" s="22" t="n">
        <v>0.2572847062114789</v>
      </c>
    </row>
    <row r="150">
      <c r="A150" s="10" t="n">
        <v>0.165</v>
      </c>
      <c r="B150" s="22" t="n">
        <v>0.6518317860161517</v>
      </c>
      <c r="C150" s="22" t="n">
        <v>0.6922387279014627</v>
      </c>
      <c r="D150" s="22" t="n">
        <v>0.8110965570795537</v>
      </c>
      <c r="E150" s="22" t="n">
        <v>0.2982624421330377</v>
      </c>
      <c r="F150" s="22" t="n">
        <v>0.7744702220618255</v>
      </c>
      <c r="G150" s="22" t="n">
        <v>0.9016288975134845</v>
      </c>
      <c r="H150" s="22" t="n">
        <v>0.6038051886316036</v>
      </c>
      <c r="I150" s="22" t="n">
        <v>1.125584287930631</v>
      </c>
      <c r="J150" s="22" t="n">
        <v>0.5746687565769291</v>
      </c>
      <c r="K150" s="22" t="n">
        <v>0.423050065897511</v>
      </c>
      <c r="L150" s="22" t="n">
        <v>0.2781459193329066</v>
      </c>
    </row>
    <row r="151">
      <c r="A151" s="10" t="n">
        <v>0.175</v>
      </c>
      <c r="B151" s="22" t="n">
        <v>0.6584573633322558</v>
      </c>
      <c r="C151" s="22" t="n">
        <v>0.6951520785342868</v>
      </c>
      <c r="D151" s="22" t="n">
        <v>0.717325656909931</v>
      </c>
      <c r="E151" s="22" t="n">
        <v>0.3208149029783915</v>
      </c>
      <c r="F151" s="22" t="n">
        <v>0.765289376407112</v>
      </c>
      <c r="G151" s="22" t="n">
        <v>0.9300356692270589</v>
      </c>
      <c r="H151" s="22" t="n">
        <v>0.6564059384737799</v>
      </c>
      <c r="I151" s="22" t="n">
        <v>1.097149639513985</v>
      </c>
      <c r="J151" s="22" t="n">
        <v>0.5964380494393919</v>
      </c>
      <c r="K151" s="22" t="n">
        <v>0.4565860787096481</v>
      </c>
      <c r="L151" s="22" t="n">
        <v>0.2970202220754078</v>
      </c>
    </row>
    <row r="152">
      <c r="A152" s="10" t="n">
        <v>0.185</v>
      </c>
      <c r="B152" s="22" t="n">
        <v>0.7033707826429927</v>
      </c>
      <c r="C152" s="22" t="n">
        <v>0.6951520785342868</v>
      </c>
      <c r="D152" s="22" t="n">
        <v>0.717325656909931</v>
      </c>
      <c r="E152" s="22" t="n">
        <v>0.4149833011530432</v>
      </c>
      <c r="F152" s="22" t="n">
        <v>0.7760061236669347</v>
      </c>
      <c r="G152" s="22" t="n">
        <v>1.030557720138039</v>
      </c>
      <c r="H152" s="22" t="n">
        <v>0.7258436027705961</v>
      </c>
      <c r="I152" s="22" t="n">
        <v>1.08236362233733</v>
      </c>
      <c r="J152" s="22" t="n">
        <v>0.6941982760224437</v>
      </c>
      <c r="K152" s="22" t="n">
        <v>0.5593471339227719</v>
      </c>
      <c r="L152" s="22" t="n">
        <v>0.2970202220754078</v>
      </c>
    </row>
    <row r="153">
      <c r="A153" s="10" t="n">
        <v>0.195</v>
      </c>
      <c r="B153" s="22" t="n">
        <v>0.7064621406442646</v>
      </c>
      <c r="C153" s="22" t="n">
        <v>0.7003475611261661</v>
      </c>
      <c r="D153" s="22" t="n">
        <v>0.7537903618128078</v>
      </c>
      <c r="E153" s="22" t="n">
        <v>0.4065142541907363</v>
      </c>
      <c r="F153" s="22" t="n">
        <v>0.7561085307523979</v>
      </c>
      <c r="G153" s="22" t="n">
        <v>1.008154291439386</v>
      </c>
      <c r="H153" s="22" t="n">
        <v>0.7454609974400717</v>
      </c>
      <c r="I153" s="22" t="n">
        <v>1.08236362233733</v>
      </c>
      <c r="J153" s="22" t="n">
        <v>0.6737806796688425</v>
      </c>
      <c r="K153" s="22" t="n">
        <v>0.5744646240287927</v>
      </c>
      <c r="L153" s="22" t="n">
        <v>0.3272306808361696</v>
      </c>
    </row>
    <row r="154">
      <c r="A154" s="10" t="n">
        <v>0.205</v>
      </c>
      <c r="B154" s="22" t="n">
        <v>0.7109506266144117</v>
      </c>
      <c r="C154" s="22" t="n">
        <v>0.7274527262621387</v>
      </c>
      <c r="D154" s="22" t="n">
        <v>0.7600414540818722</v>
      </c>
      <c r="E154" s="22" t="n">
        <v>0.4065142541907363</v>
      </c>
      <c r="F154" s="22" t="n">
        <v>0.7561085307523979</v>
      </c>
      <c r="G154" s="22" t="n">
        <v>1.008154291439386</v>
      </c>
      <c r="H154" s="22" t="n">
        <v>0.7258436027705961</v>
      </c>
      <c r="I154" s="22" t="n">
        <v>1.08236362233733</v>
      </c>
      <c r="J154" s="22" t="n">
        <v>0.6941982760224437</v>
      </c>
      <c r="K154" s="22" t="n">
        <v>0.5744646240287927</v>
      </c>
      <c r="L154" s="22" t="n">
        <v>0.3622112120328414</v>
      </c>
    </row>
    <row r="155">
      <c r="A155" s="10" t="n">
        <v>0.215</v>
      </c>
      <c r="B155" s="22" t="n">
        <v>0.711442538323297</v>
      </c>
      <c r="C155" s="22" t="n">
        <v>0.7417807370914953</v>
      </c>
      <c r="D155" s="22" t="n">
        <v>0.7409909117878863</v>
      </c>
      <c r="E155" s="22" t="n">
        <v>0.4065142541907363</v>
      </c>
      <c r="F155" s="22" t="n">
        <v>0.7486912925994499</v>
      </c>
      <c r="G155" s="22" t="n">
        <v>1.008154291439386</v>
      </c>
      <c r="H155" s="22" t="n">
        <v>0.7454609974400717</v>
      </c>
      <c r="I155" s="22" t="n">
        <v>1.123560882345053</v>
      </c>
      <c r="J155" s="22" t="n">
        <v>0.6737806796688425</v>
      </c>
      <c r="K155" s="22" t="n">
        <v>0.5593471339227719</v>
      </c>
      <c r="L155" s="22" t="n">
        <v>0.3622112120328414</v>
      </c>
    </row>
    <row r="156">
      <c r="A156" s="10" t="n">
        <v>0.225</v>
      </c>
      <c r="B156" s="22" t="n">
        <v>0.7291914706625985</v>
      </c>
      <c r="C156" s="22" t="n">
        <v>0.7706718828848819</v>
      </c>
      <c r="D156" s="22" t="n">
        <v>0.7570370569430803</v>
      </c>
      <c r="E156" s="22" t="n">
        <v>0.4149833011530432</v>
      </c>
      <c r="F156" s="22" t="n">
        <v>0.7280554610074135</v>
      </c>
      <c r="G156" s="22" t="n">
        <v>1.008154291439386</v>
      </c>
      <c r="H156" s="22" t="n">
        <v>0.7454609974400717</v>
      </c>
      <c r="I156" s="22" t="n">
        <v>1.212821612361784</v>
      </c>
      <c r="J156" s="22" t="n">
        <v>0.6941982760224437</v>
      </c>
      <c r="K156" s="22" t="n">
        <v>0.5744646240287927</v>
      </c>
      <c r="L156" s="22" t="n">
        <v>0.3819409133399029</v>
      </c>
    </row>
    <row r="157">
      <c r="A157" s="10" t="n">
        <v>0.235</v>
      </c>
      <c r="B157" s="22" t="n">
        <v>0.7537001048312372</v>
      </c>
      <c r="C157" s="22" t="n">
        <v>0.790860332726471</v>
      </c>
      <c r="D157" s="22" t="n">
        <v>0.7570370569430803</v>
      </c>
      <c r="E157" s="22" t="n">
        <v>0.4586315018786141</v>
      </c>
      <c r="F157" s="22" t="n">
        <v>0.7280554610074135</v>
      </c>
      <c r="G157" s="22" t="n">
        <v>1.036688922758238</v>
      </c>
      <c r="H157" s="22" t="n">
        <v>0.7680731782215857</v>
      </c>
      <c r="I157" s="22" t="n">
        <v>1.212821612361784</v>
      </c>
      <c r="J157" s="22" t="n">
        <v>0.7145300358980869</v>
      </c>
      <c r="K157" s="22" t="n">
        <v>0.5770264715512642</v>
      </c>
      <c r="L157" s="22" t="n">
        <v>0.4970308376310948</v>
      </c>
    </row>
    <row r="158">
      <c r="A158" s="10" t="n">
        <v>0.245</v>
      </c>
      <c r="B158" s="22" t="n">
        <v>0.8155543358060174</v>
      </c>
      <c r="C158" s="22" t="n">
        <v>0.8011035795521886</v>
      </c>
      <c r="D158" s="22" t="n">
        <v>0.7789751534588619</v>
      </c>
      <c r="E158" s="22" t="n">
        <v>0.5628659972543687</v>
      </c>
      <c r="F158" s="22" t="n">
        <v>0.7170655502114293</v>
      </c>
      <c r="G158" s="22" t="n">
        <v>1.136560132374223</v>
      </c>
      <c r="H158" s="22" t="n">
        <v>0.9237636493442503</v>
      </c>
      <c r="I158" s="22" t="n">
        <v>1.212821612361784</v>
      </c>
      <c r="J158" s="22" t="n">
        <v>0.786563483475398</v>
      </c>
      <c r="K158" s="22" t="n">
        <v>0.7088275900053356</v>
      </c>
      <c r="L158" s="22" t="n">
        <v>0.4970308376310948</v>
      </c>
    </row>
    <row r="159">
      <c r="A159" s="10" t="n">
        <v>0.255</v>
      </c>
      <c r="B159" s="22" t="n">
        <v>0.8154499165850303</v>
      </c>
      <c r="C159" s="22" t="n">
        <v>0.8376644051802591</v>
      </c>
      <c r="D159" s="22" t="n">
        <v>0.8132534292647714</v>
      </c>
      <c r="E159" s="22" t="n">
        <v>0.5628659972543687</v>
      </c>
      <c r="F159" s="22" t="n">
        <v>0.7186410471748919</v>
      </c>
      <c r="G159" s="22" t="n">
        <v>1.161817024204761</v>
      </c>
      <c r="H159" s="22" t="n">
        <v>0.8994540796246647</v>
      </c>
      <c r="I159" s="22" t="n">
        <v>1.212821612361784</v>
      </c>
      <c r="J159" s="22" t="n">
        <v>0.7634292633731803</v>
      </c>
      <c r="K159" s="22" t="n">
        <v>0.6901742323736163</v>
      </c>
      <c r="L159" s="22" t="n">
        <v>0.4970308376310948</v>
      </c>
    </row>
    <row r="160">
      <c r="A160" s="10" t="n">
        <v>0.265</v>
      </c>
      <c r="B160" s="22" t="n">
        <v>0.8397796057620169</v>
      </c>
      <c r="C160" s="22" t="n">
        <v>0.8432626259128819</v>
      </c>
      <c r="D160" s="22" t="n">
        <v>0.8132534292647714</v>
      </c>
      <c r="E160" s="22" t="n">
        <v>0.5745923721971681</v>
      </c>
      <c r="F160" s="22" t="n">
        <v>0.7002143536575869</v>
      </c>
      <c r="G160" s="22" t="n">
        <v>1.136560132374223</v>
      </c>
      <c r="H160" s="22" t="n">
        <v>0.9237636493442503</v>
      </c>
      <c r="I160" s="22" t="n">
        <v>1.32576605814971</v>
      </c>
      <c r="J160" s="22" t="n">
        <v>0.786563483475398</v>
      </c>
      <c r="K160" s="22" t="n">
        <v>0.7088275900053356</v>
      </c>
      <c r="L160" s="22" t="n">
        <v>0.5645028110067501</v>
      </c>
    </row>
    <row r="161">
      <c r="A161" s="10" t="n">
        <v>0.275</v>
      </c>
      <c r="B161" s="22" t="n">
        <v>0.8348367756901358</v>
      </c>
      <c r="C161" s="22" t="n">
        <v>0.8621794783997206</v>
      </c>
      <c r="D161" s="22" t="n">
        <v>0.8230963450505817</v>
      </c>
      <c r="E161" s="22" t="n">
        <v>0.5628659972543687</v>
      </c>
      <c r="F161" s="22" t="n">
        <v>0.7037567727335474</v>
      </c>
      <c r="G161" s="22" t="n">
        <v>1.136560132374223</v>
      </c>
      <c r="H161" s="22" t="n">
        <v>0.8994540796246647</v>
      </c>
      <c r="I161" s="22" t="n">
        <v>1.346943141734946</v>
      </c>
      <c r="J161" s="22" t="n">
        <v>0.7634292633731803</v>
      </c>
      <c r="K161" s="22" t="n">
        <v>0.6901742323736163</v>
      </c>
      <c r="L161" s="22" t="n">
        <v>0.5642869264808922</v>
      </c>
    </row>
    <row r="162">
      <c r="A162" s="10" t="n">
        <v>0.285</v>
      </c>
      <c r="B162" s="22" t="n">
        <v>0.846326621168292</v>
      </c>
      <c r="C162" s="22" t="n">
        <v>0.8953448300597654</v>
      </c>
      <c r="D162" s="22" t="n">
        <v>0.8085609271332937</v>
      </c>
      <c r="E162" s="22" t="n">
        <v>0.5628659972543687</v>
      </c>
      <c r="F162" s="22" t="n">
        <v>0.738377382026672</v>
      </c>
      <c r="G162" s="22" t="n">
        <v>1.136560132374223</v>
      </c>
      <c r="H162" s="22" t="n">
        <v>0.9237636493442503</v>
      </c>
      <c r="I162" s="22" t="n">
        <v>1.346943141734946</v>
      </c>
      <c r="J162" s="22" t="n">
        <v>0.786563483475398</v>
      </c>
      <c r="K162" s="22" t="n">
        <v>0.7088275900053356</v>
      </c>
      <c r="L162" s="22" t="n">
        <v>0.5783940996429144</v>
      </c>
    </row>
    <row r="163">
      <c r="A163" s="10" t="n">
        <v>0.295</v>
      </c>
      <c r="B163" s="22" t="n">
        <v>0.8691503471364425</v>
      </c>
      <c r="C163" s="22" t="n">
        <v>0.9390363226351716</v>
      </c>
      <c r="D163" s="22" t="n">
        <v>0.8302709227801732</v>
      </c>
      <c r="E163" s="22" t="n">
        <v>0.5979156165787569</v>
      </c>
      <c r="F163" s="22" t="n">
        <v>0.7194446286413726</v>
      </c>
      <c r="G163" s="22" t="n">
        <v>1.184207815148161</v>
      </c>
      <c r="H163" s="22" t="n">
        <v>0.9239694118637034</v>
      </c>
      <c r="I163" s="22" t="n">
        <v>1.346943141734946</v>
      </c>
      <c r="J163" s="22" t="n">
        <v>0.8176015610265674</v>
      </c>
      <c r="K163" s="22" t="n">
        <v>0.7474316652505659</v>
      </c>
      <c r="L163" s="22" t="n">
        <v>0.6423670114718547</v>
      </c>
    </row>
    <row r="164">
      <c r="A164" s="10" t="n">
        <v>0.305</v>
      </c>
      <c r="B164" s="22" t="n">
        <v>0.9566462617521307</v>
      </c>
      <c r="C164" s="22" t="n">
        <v>0.9653334711325867</v>
      </c>
      <c r="D164" s="22" t="n">
        <v>0.8901098215220603</v>
      </c>
      <c r="E164" s="22" t="n">
        <v>0.7067024758044772</v>
      </c>
      <c r="F164" s="22" t="n">
        <v>0.7194446286413726</v>
      </c>
      <c r="G164" s="22" t="n">
        <v>1.374798546243915</v>
      </c>
      <c r="H164" s="22" t="n">
        <v>1.056846881499032</v>
      </c>
      <c r="I164" s="22" t="n">
        <v>1.44584201960218</v>
      </c>
      <c r="J164" s="22" t="n">
        <v>0.9400516601599953</v>
      </c>
      <c r="K164" s="22" t="n">
        <v>0.8092034643797427</v>
      </c>
      <c r="L164" s="22" t="n">
        <v>0.6876811573506876</v>
      </c>
    </row>
    <row r="165">
      <c r="A165" s="10" t="n">
        <v>0.315</v>
      </c>
      <c r="B165" s="22" t="n">
        <v>0.9744464751406867</v>
      </c>
      <c r="C165" s="22" t="n">
        <v>0.9708378066225778</v>
      </c>
      <c r="D165" s="22" t="n">
        <v>0.8901098215220603</v>
      </c>
      <c r="E165" s="22" t="n">
        <v>0.6922799762982633</v>
      </c>
      <c r="F165" s="22" t="n">
        <v>0.7110558491203206</v>
      </c>
      <c r="G165" s="22" t="n">
        <v>1.374798546243915</v>
      </c>
      <c r="H165" s="22" t="n">
        <v>1.029035121459584</v>
      </c>
      <c r="I165" s="22" t="n">
        <v>1.615382953088865</v>
      </c>
      <c r="J165" s="22" t="n">
        <v>0.9400516601599953</v>
      </c>
      <c r="K165" s="22" t="n">
        <v>0.8310738282818978</v>
      </c>
      <c r="L165" s="22" t="n">
        <v>0.6876811573506876</v>
      </c>
    </row>
    <row r="166">
      <c r="A166" s="10" t="n">
        <v>0.325</v>
      </c>
      <c r="B166" s="22" t="n">
        <v>0.9721228189216233</v>
      </c>
      <c r="C166" s="22" t="n">
        <v>0.9708378066225778</v>
      </c>
      <c r="D166" s="22" t="n">
        <v>0.8894592793982992</v>
      </c>
      <c r="E166" s="22" t="n">
        <v>0.6922799762982633</v>
      </c>
      <c r="F166" s="22" t="n">
        <v>0.6795131574705512</v>
      </c>
      <c r="G166" s="22" t="n">
        <v>1.374798546243915</v>
      </c>
      <c r="H166" s="22" t="n">
        <v>1.056846881499032</v>
      </c>
      <c r="I166" s="22" t="n">
        <v>1.615382953088865</v>
      </c>
      <c r="J166" s="22" t="n">
        <v>0.9124030819199954</v>
      </c>
      <c r="K166" s="22" t="n">
        <v>0.8092034643797427</v>
      </c>
      <c r="L166" s="22" t="n">
        <v>0.7210093299587963</v>
      </c>
    </row>
    <row r="167">
      <c r="A167" s="10" t="n">
        <v>0.335</v>
      </c>
      <c r="B167" s="22" t="n">
        <v>0.9881229649205939</v>
      </c>
      <c r="C167" s="22" t="n">
        <v>0.9943589761495487</v>
      </c>
      <c r="D167" s="22" t="n">
        <v>0.8876850736062261</v>
      </c>
      <c r="E167" s="22" t="n">
        <v>0.6922799762982633</v>
      </c>
      <c r="F167" s="22" t="n">
        <v>0.6795131574705512</v>
      </c>
      <c r="G167" s="22" t="n">
        <v>1.405349625049336</v>
      </c>
      <c r="H167" s="22" t="n">
        <v>1.029035121459584</v>
      </c>
      <c r="I167" s="22" t="n">
        <v>1.615382953088865</v>
      </c>
      <c r="J167" s="22" t="n">
        <v>0.9400516601599953</v>
      </c>
      <c r="K167" s="22" t="n">
        <v>0.8310738282818978</v>
      </c>
      <c r="L167" s="22" t="n">
        <v>0.8119043461627278</v>
      </c>
    </row>
    <row r="168">
      <c r="A168" s="10" t="n">
        <v>0.345</v>
      </c>
      <c r="B168" s="22" t="n">
        <v>0.9810361832043033</v>
      </c>
      <c r="C168" s="22" t="n">
        <v>1.028458342807462</v>
      </c>
      <c r="D168" s="22" t="n">
        <v>0.8660342181524157</v>
      </c>
      <c r="E168" s="22" t="n">
        <v>0.7067024758044772</v>
      </c>
      <c r="F168" s="22" t="n">
        <v>0.6772980251641282</v>
      </c>
      <c r="G168" s="22" t="n">
        <v>1.374798546243915</v>
      </c>
      <c r="H168" s="22" t="n">
        <v>1.056846881499032</v>
      </c>
      <c r="I168" s="22" t="n">
        <v>1.614385807335371</v>
      </c>
      <c r="J168" s="22" t="n">
        <v>0.9124030819199954</v>
      </c>
      <c r="K168" s="22" t="n">
        <v>0.8092034643797427</v>
      </c>
      <c r="L168" s="22" t="n">
        <v>0.8119043461627278</v>
      </c>
    </row>
    <row r="169">
      <c r="A169" s="10" t="n">
        <v>0.355</v>
      </c>
      <c r="B169" s="22" t="n">
        <v>1.014833658301118</v>
      </c>
      <c r="C169" s="22" t="n">
        <v>1.056014514984144</v>
      </c>
      <c r="D169" s="22" t="n">
        <v>0.9064359103574547</v>
      </c>
      <c r="E169" s="22" t="n">
        <v>0.7642701550096807</v>
      </c>
      <c r="F169" s="22" t="n">
        <v>0.6865963126733342</v>
      </c>
      <c r="G169" s="22" t="n">
        <v>1.425714834348421</v>
      </c>
      <c r="H169" s="22" t="n">
        <v>1.08336438824768</v>
      </c>
      <c r="I169" s="22" t="n">
        <v>1.577491414456106</v>
      </c>
      <c r="J169" s="22" t="n">
        <v>1.008934239628743</v>
      </c>
      <c r="K169" s="22" t="n">
        <v>0.8833497906411882</v>
      </c>
      <c r="L169" s="22" t="n">
        <v>0.8143966806927515</v>
      </c>
    </row>
    <row r="170">
      <c r="A170" s="10" t="n">
        <v>0.365</v>
      </c>
      <c r="B170" s="22" t="n">
        <v>1.054823136874782</v>
      </c>
      <c r="C170" s="22" t="n">
        <v>1.073179501686188</v>
      </c>
      <c r="D170" s="22" t="n">
        <v>0.9211104782497197</v>
      </c>
      <c r="E170" s="22" t="n">
        <v>0.8650564052056666</v>
      </c>
      <c r="F170" s="22" t="n">
        <v>0.6689912790150435</v>
      </c>
      <c r="G170" s="22" t="n">
        <v>1.51800060653784</v>
      </c>
      <c r="H170" s="22" t="n">
        <v>1.09911710358101</v>
      </c>
      <c r="I170" s="22" t="n">
        <v>1.577491414456106</v>
      </c>
      <c r="J170" s="22" t="n">
        <v>1.054473402074288</v>
      </c>
      <c r="K170" s="22" t="n">
        <v>0.9850407923155391</v>
      </c>
      <c r="L170" s="22" t="n">
        <v>0.8629972040282154</v>
      </c>
    </row>
    <row r="171">
      <c r="A171" s="10" t="n">
        <v>0.375</v>
      </c>
      <c r="B171" s="22" t="n">
        <v>1.057711919696189</v>
      </c>
      <c r="C171" s="22" t="n">
        <v>1.080759958263372</v>
      </c>
      <c r="D171" s="22" t="n">
        <v>0.9211104782497197</v>
      </c>
      <c r="E171" s="22" t="n">
        <v>0.8650564052056666</v>
      </c>
      <c r="F171" s="22" t="n">
        <v>0.6689912790150435</v>
      </c>
      <c r="G171" s="22" t="n">
        <v>1.51800060653784</v>
      </c>
      <c r="H171" s="22" t="n">
        <v>1.128822971245362</v>
      </c>
      <c r="I171" s="22" t="n">
        <v>1.535978482496735</v>
      </c>
      <c r="J171" s="22" t="n">
        <v>1.086427141531085</v>
      </c>
      <c r="K171" s="22" t="n">
        <v>1.011663516432175</v>
      </c>
      <c r="L171" s="22" t="n">
        <v>0.8419484917348443</v>
      </c>
    </row>
    <row r="172">
      <c r="A172" s="10" t="n">
        <v>0.385</v>
      </c>
      <c r="B172" s="22" t="n">
        <v>1.073008168201693</v>
      </c>
      <c r="C172" s="22" t="n">
        <v>1.078768069380019</v>
      </c>
      <c r="D172" s="22" t="n">
        <v>1.004877671227019</v>
      </c>
      <c r="E172" s="22" t="n">
        <v>0.8830784136474512</v>
      </c>
      <c r="F172" s="22" t="n">
        <v>0.7300226209852662</v>
      </c>
      <c r="G172" s="22" t="n">
        <v>1.51800060653784</v>
      </c>
      <c r="H172" s="22" t="n">
        <v>1.09911710358101</v>
      </c>
      <c r="I172" s="22" t="n">
        <v>1.577491414456106</v>
      </c>
      <c r="J172" s="22" t="n">
        <v>1.054473402074288</v>
      </c>
      <c r="K172" s="22" t="n">
        <v>0.9850407923155391</v>
      </c>
      <c r="L172" s="22" t="n">
        <v>0.8629972040282154</v>
      </c>
    </row>
    <row r="173">
      <c r="A173" s="10" t="n">
        <v>0.395</v>
      </c>
      <c r="B173" s="22" t="n">
        <v>1.085955684433195</v>
      </c>
      <c r="C173" s="22" t="n">
        <v>1.137865411613435</v>
      </c>
      <c r="D173" s="22" t="n">
        <v>1.025184869524546</v>
      </c>
      <c r="E173" s="22" t="n">
        <v>0.8650564052056666</v>
      </c>
      <c r="F173" s="22" t="n">
        <v>0.7324604988555594</v>
      </c>
      <c r="G173" s="22" t="n">
        <v>1.51800060653784</v>
      </c>
      <c r="H173" s="22" t="n">
        <v>1.128822971245362</v>
      </c>
      <c r="I173" s="22" t="n">
        <v>1.554665763328031</v>
      </c>
      <c r="J173" s="22" t="n">
        <v>1.086427141531085</v>
      </c>
      <c r="K173" s="22" t="n">
        <v>1.011663516432175</v>
      </c>
      <c r="L173" s="22" t="n">
        <v>0.9100610545471375</v>
      </c>
    </row>
    <row r="174">
      <c r="A174" s="10" t="n">
        <v>0.405</v>
      </c>
      <c r="B174" s="22" t="n">
        <v>1.080863011605806</v>
      </c>
      <c r="C174" s="22" t="n">
        <v>1.178684953139068</v>
      </c>
      <c r="D174" s="22" t="n">
        <v>1.007197509903029</v>
      </c>
      <c r="E174" s="22" t="n">
        <v>0.8650564052056666</v>
      </c>
      <c r="F174" s="22" t="n">
        <v>0.7324604988555594</v>
      </c>
      <c r="G174" s="22" t="n">
        <v>1.551733953349792</v>
      </c>
      <c r="H174" s="22" t="n">
        <v>1.09911710358101</v>
      </c>
      <c r="I174" s="22" t="n">
        <v>1.534122677312764</v>
      </c>
      <c r="J174" s="22" t="n">
        <v>1.054473402074288</v>
      </c>
      <c r="K174" s="22" t="n">
        <v>1.011663516432175</v>
      </c>
      <c r="L174" s="22" t="n">
        <v>0.9295357513135881</v>
      </c>
    </row>
    <row r="175">
      <c r="A175" s="10" t="n">
        <v>0.415</v>
      </c>
      <c r="B175" s="22" t="n">
        <v>1.123436029317088</v>
      </c>
      <c r="C175" s="22" t="n">
        <v>1.167762397485374</v>
      </c>
      <c r="D175" s="22" t="n">
        <v>1.082725494533013</v>
      </c>
      <c r="E175" s="22" t="n">
        <v>0.9338183619172303</v>
      </c>
      <c r="F175" s="22" t="n">
        <v>0.7766082444786315</v>
      </c>
      <c r="G175" s="22" t="n">
        <v>1.434806614067808</v>
      </c>
      <c r="H175" s="22" t="n">
        <v>1.223736162454989</v>
      </c>
      <c r="I175" s="22" t="n">
        <v>1.534122677312764</v>
      </c>
      <c r="J175" s="22" t="n">
        <v>1.171349571630397</v>
      </c>
      <c r="K175" s="22" t="n">
        <v>1.096531492643319</v>
      </c>
      <c r="L175" s="22" t="n">
        <v>0.9295357513135881</v>
      </c>
    </row>
    <row r="176">
      <c r="A176" s="10" t="n">
        <v>0.425</v>
      </c>
      <c r="B176" s="22" t="n">
        <v>1.177304878125246</v>
      </c>
      <c r="C176" s="22" t="n">
        <v>1.152265662105932</v>
      </c>
      <c r="D176" s="22" t="n">
        <v>1.082725494533013</v>
      </c>
      <c r="E176" s="22" t="n">
        <v>1.081274641816073</v>
      </c>
      <c r="F176" s="22" t="n">
        <v>0.8269758823376775</v>
      </c>
      <c r="G176" s="22" t="n">
        <v>1.268418629127746</v>
      </c>
      <c r="H176" s="22" t="n">
        <v>1.391766109810693</v>
      </c>
      <c r="I176" s="22" t="n">
        <v>1.534122677312764</v>
      </c>
      <c r="J176" s="22" t="n">
        <v>1.270045724634081</v>
      </c>
      <c r="K176" s="22" t="n">
        <v>1.247032772679711</v>
      </c>
      <c r="L176" s="22" t="n">
        <v>0.9772544676597189</v>
      </c>
    </row>
    <row r="177">
      <c r="A177" s="10" t="n">
        <v>0.435</v>
      </c>
      <c r="B177" s="22" t="n">
        <v>1.184818621255331</v>
      </c>
      <c r="C177" s="22" t="n">
        <v>1.172070546180871</v>
      </c>
      <c r="D177" s="22" t="n">
        <v>1.11355963128626</v>
      </c>
      <c r="E177" s="22" t="n">
        <v>1.059207812391256</v>
      </c>
      <c r="F177" s="22" t="n">
        <v>0.8269758823376775</v>
      </c>
      <c r="G177" s="22" t="n">
        <v>1.268418629127746</v>
      </c>
      <c r="H177" s="22" t="n">
        <v>1.429381410075847</v>
      </c>
      <c r="I177" s="22" t="n">
        <v>1.47312483179957</v>
      </c>
      <c r="J177" s="22" t="n">
        <v>1.308531958713902</v>
      </c>
      <c r="K177" s="22" t="n">
        <v>1.214216120767087</v>
      </c>
      <c r="L177" s="22" t="n">
        <v>1.051814961950547</v>
      </c>
    </row>
    <row r="178">
      <c r="A178" s="10" t="n">
        <v>0.445</v>
      </c>
      <c r="B178" s="22" t="n">
        <v>1.156464877481055</v>
      </c>
      <c r="C178" s="22" t="n">
        <v>1.192272595513507</v>
      </c>
      <c r="D178" s="22" t="n">
        <v>1.173025466453239</v>
      </c>
      <c r="E178" s="22" t="n">
        <v>1.059207812391256</v>
      </c>
      <c r="F178" s="22" t="n">
        <v>0.8269758823376775</v>
      </c>
      <c r="G178" s="22" t="n">
        <v>1.268418629127746</v>
      </c>
      <c r="H178" s="22" t="n">
        <v>1.391766109810693</v>
      </c>
      <c r="I178" s="22" t="n">
        <v>1.202991515955425</v>
      </c>
      <c r="J178" s="22" t="n">
        <v>1.270045724634081</v>
      </c>
      <c r="K178" s="22" t="n">
        <v>1.247032772679711</v>
      </c>
      <c r="L178" s="22" t="n">
        <v>1.051814961950547</v>
      </c>
    </row>
    <row r="179">
      <c r="A179" s="10" t="n">
        <v>0.455</v>
      </c>
      <c r="B179" s="22" t="n">
        <v>1.169195183749655</v>
      </c>
      <c r="C179" s="22" t="n">
        <v>1.168320348800491</v>
      </c>
      <c r="D179" s="22" t="n">
        <v>1.173025466453239</v>
      </c>
      <c r="E179" s="22" t="n">
        <v>1.059207812391256</v>
      </c>
      <c r="F179" s="22" t="n">
        <v>0.8440678121322477</v>
      </c>
      <c r="G179" s="22" t="n">
        <v>1.268418629127746</v>
      </c>
      <c r="H179" s="22" t="n">
        <v>1.429381410075847</v>
      </c>
      <c r="I179" s="22" t="n">
        <v>1.202991515955425</v>
      </c>
      <c r="J179" s="22" t="n">
        <v>1.308531958713902</v>
      </c>
      <c r="K179" s="22" t="n">
        <v>1.214216120767087</v>
      </c>
      <c r="L179" s="22" t="n">
        <v>1.107243882251234</v>
      </c>
    </row>
    <row r="180">
      <c r="A180" s="10" t="n">
        <v>0.465</v>
      </c>
      <c r="B180" s="22" t="n">
        <v>1.17901651571881</v>
      </c>
      <c r="C180" s="22" t="n">
        <v>1.15796647503814</v>
      </c>
      <c r="D180" s="22" t="n">
        <v>1.183951431407744</v>
      </c>
      <c r="E180" s="22" t="n">
        <v>1.081274641816073</v>
      </c>
      <c r="F180" s="22" t="n">
        <v>0.820402454554566</v>
      </c>
      <c r="G180" s="22" t="n">
        <v>1.268418629127746</v>
      </c>
      <c r="H180" s="22" t="n">
        <v>1.429381410075847</v>
      </c>
      <c r="I180" s="22" t="n">
        <v>1.202991515955425</v>
      </c>
      <c r="J180" s="22" t="n">
        <v>1.270045724634081</v>
      </c>
      <c r="K180" s="22" t="n">
        <v>1.247032772679711</v>
      </c>
      <c r="L180" s="22" t="n">
        <v>1.193851570221059</v>
      </c>
    </row>
    <row r="181">
      <c r="A181" s="10" t="n">
        <v>0.475</v>
      </c>
      <c r="B181" s="22" t="n">
        <v>1.247678617756634</v>
      </c>
      <c r="C181" s="22" t="n">
        <v>1.161363195216883</v>
      </c>
      <c r="D181" s="22" t="n">
        <v>1.243503293826626</v>
      </c>
      <c r="E181" s="22" t="n">
        <v>1.504886457015323</v>
      </c>
      <c r="F181" s="22" t="n">
        <v>0.820402454554566</v>
      </c>
      <c r="G181" s="22" t="n">
        <v>1.251279352581812</v>
      </c>
      <c r="H181" s="22" t="n">
        <v>1.345473033285628</v>
      </c>
      <c r="I181" s="22" t="n">
        <v>1.202991515955425</v>
      </c>
      <c r="J181" s="22" t="n">
        <v>1.324696730860191</v>
      </c>
      <c r="K181" s="22" t="n">
        <v>1.400660748963342</v>
      </c>
      <c r="L181" s="22" t="n">
        <v>1.193851570221059</v>
      </c>
    </row>
    <row r="182">
      <c r="A182" s="10" t="n">
        <v>0.485</v>
      </c>
      <c r="B182" s="22" t="n">
        <v>1.390332237681092</v>
      </c>
      <c r="C182" s="22" t="n">
        <v>1.163892741014969</v>
      </c>
      <c r="D182" s="22" t="n">
        <v>1.243503293826626</v>
      </c>
      <c r="E182" s="22" t="n">
        <v>2.587248879673774</v>
      </c>
      <c r="F182" s="22" t="n">
        <v>0.8595035839400054</v>
      </c>
      <c r="G182" s="22" t="n">
        <v>1.259062532579175</v>
      </c>
      <c r="H182" s="22" t="n">
        <v>1.331651581856265</v>
      </c>
      <c r="I182" s="22" t="n">
        <v>1.067139452766303</v>
      </c>
      <c r="J182" s="22" t="n">
        <v>1.323389472716837</v>
      </c>
      <c r="K182" s="22" t="n">
        <v>1.663791353353691</v>
      </c>
      <c r="L182" s="22" t="n">
        <v>1.189297865274153</v>
      </c>
    </row>
    <row r="183">
      <c r="A183" s="10" t="n">
        <v>0.495</v>
      </c>
      <c r="B183" s="22" t="n">
        <v>1.456511834316079</v>
      </c>
      <c r="C183" s="22" t="n">
        <v>1.163892741014969</v>
      </c>
      <c r="D183" s="22" t="n">
        <v>1.336769434430628</v>
      </c>
      <c r="E183" s="22" t="n">
        <v>2.587248879673774</v>
      </c>
      <c r="F183" s="22" t="n">
        <v>0.9313091982365838</v>
      </c>
      <c r="G183" s="22" t="n">
        <v>1.231691607957888</v>
      </c>
      <c r="H183" s="22" t="n">
        <v>1.296608119175837</v>
      </c>
      <c r="I183" s="22" t="n">
        <v>1.011792315911477</v>
      </c>
      <c r="J183" s="22" t="n">
        <v>1.363492184011287</v>
      </c>
      <c r="K183" s="22" t="n">
        <v>1.663791353353691</v>
      </c>
      <c r="L183" s="22" t="n">
        <v>1.697426403920002</v>
      </c>
    </row>
    <row r="184">
      <c r="A184" s="10" t="n">
        <v>0.505</v>
      </c>
      <c r="B184" s="22" t="n">
        <v>1.448598396405794</v>
      </c>
      <c r="C184" s="22" t="n">
        <v>1.334296232688803</v>
      </c>
      <c r="D184" s="22" t="n">
        <v>1.478252480972785</v>
      </c>
      <c r="E184" s="22" t="n">
        <v>1.940436659755331</v>
      </c>
      <c r="F184" s="22" t="n">
        <v>0.8087685142580856</v>
      </c>
      <c r="G184" s="22" t="n">
        <v>1.06746606023017</v>
      </c>
      <c r="H184" s="22" t="n">
        <v>1.682086208660545</v>
      </c>
      <c r="I184" s="22" t="n">
        <v>1.065044543064712</v>
      </c>
      <c r="J184" s="22" t="n">
        <v>1.92493014213358</v>
      </c>
      <c r="K184" s="22" t="n">
        <v>1.620007370370699</v>
      </c>
      <c r="L184" s="22" t="n">
        <v>1.449022539931709</v>
      </c>
    </row>
    <row r="185">
      <c r="A185" s="10" t="n">
        <v>0.515</v>
      </c>
      <c r="B185" s="22" t="n">
        <v>1.436059602518988</v>
      </c>
      <c r="C185" s="22" t="n">
        <v>1.356651028046872</v>
      </c>
      <c r="D185" s="22" t="n">
        <v>1.655282219059488</v>
      </c>
      <c r="E185" s="22" t="n">
        <v>1.293624439836888</v>
      </c>
      <c r="F185" s="22" t="n">
        <v>0.6862278302795876</v>
      </c>
      <c r="G185" s="22" t="n">
        <v>0.9032405125024515</v>
      </c>
      <c r="H185" s="22" t="n">
        <v>1.997477372784397</v>
      </c>
      <c r="I185" s="22" t="n">
        <v>1.144922883794565</v>
      </c>
      <c r="J185" s="22" t="n">
        <v>2.406162677666975</v>
      </c>
      <c r="K185" s="22" t="n">
        <v>1.663791353353691</v>
      </c>
      <c r="L185" s="22" t="n">
        <v>1.159218031945367</v>
      </c>
    </row>
    <row r="186">
      <c r="A186" s="10" t="n">
        <v>0.525</v>
      </c>
      <c r="B186" s="22" t="n">
        <v>1.408281939711938</v>
      </c>
      <c r="C186" s="22" t="n">
        <v>1.35751481007341</v>
      </c>
      <c r="D186" s="22" t="n">
        <v>1.933057455398953</v>
      </c>
      <c r="E186" s="22" t="n">
        <v>1.347525458163425</v>
      </c>
      <c r="F186" s="22" t="n">
        <v>0.7641761441267343</v>
      </c>
      <c r="G186" s="22" t="n">
        <v>0.9306114371237378</v>
      </c>
      <c r="H186" s="22" t="n">
        <v>1.85564859907303</v>
      </c>
      <c r="I186" s="22" t="n">
        <v>1.097986561245833</v>
      </c>
      <c r="J186" s="22" t="n">
        <v>1.818030655878564</v>
      </c>
      <c r="K186" s="22" t="n">
        <v>1.663791353353691</v>
      </c>
      <c r="L186" s="22" t="n">
        <v>1.24297869725141</v>
      </c>
    </row>
    <row r="187">
      <c r="A187" s="10" t="n">
        <v>0.535</v>
      </c>
      <c r="B187" s="22" t="n">
        <v>1.470674014200446</v>
      </c>
      <c r="C187" s="22" t="n">
        <v>1.421266773700673</v>
      </c>
      <c r="D187" s="22" t="n">
        <v>1.887907248041526</v>
      </c>
      <c r="E187" s="22" t="n">
        <v>1.293624439836888</v>
      </c>
      <c r="F187" s="22" t="n">
        <v>1.185002816093095</v>
      </c>
      <c r="G187" s="22" t="n">
        <v>0.9306114371237378</v>
      </c>
      <c r="H187" s="22" t="n">
        <v>1.678776362681233</v>
      </c>
      <c r="I187" s="22" t="n">
        <v>1.101255934504519</v>
      </c>
      <c r="J187" s="22" t="n">
        <v>1.670997650431462</v>
      </c>
      <c r="K187" s="22" t="n">
        <v>1.844997419459682</v>
      </c>
      <c r="L187" s="22" t="n">
        <v>1.610098881920691</v>
      </c>
    </row>
    <row r="188">
      <c r="A188" s="10" t="n">
        <v>0.545</v>
      </c>
      <c r="B188" s="22" t="n">
        <v>1.505649434023164</v>
      </c>
      <c r="C188" s="22" t="n">
        <v>1.431772732423739</v>
      </c>
      <c r="D188" s="22" t="n">
        <v>1.698904957641426</v>
      </c>
      <c r="E188" s="22" t="n">
        <v>1.347525458163425</v>
      </c>
      <c r="F188" s="22" t="n">
        <v>1.227324345239277</v>
      </c>
      <c r="G188" s="22" t="n">
        <v>1.037035540170649</v>
      </c>
      <c r="H188" s="22" t="n">
        <v>1.708754512014826</v>
      </c>
      <c r="I188" s="22" t="n">
        <v>1.075645331376507</v>
      </c>
      <c r="J188" s="22" t="n">
        <v>1.670997650431462</v>
      </c>
      <c r="K188" s="22" t="n">
        <v>2.16671028661142</v>
      </c>
      <c r="L188" s="22" t="n">
        <v>1.610098881920691</v>
      </c>
    </row>
    <row r="189">
      <c r="A189" s="10" t="n">
        <v>0.555</v>
      </c>
      <c r="B189" s="22" t="n">
        <v>1.502942571150213</v>
      </c>
      <c r="C189" s="22" t="n">
        <v>1.403309725014856</v>
      </c>
      <c r="D189" s="22" t="n">
        <v>1.66351110435723</v>
      </c>
      <c r="E189" s="22" t="n">
        <v>1.347525458163425</v>
      </c>
      <c r="F189" s="22" t="n">
        <v>1.185002816093095</v>
      </c>
      <c r="G189" s="22" t="n">
        <v>1.208951398938737</v>
      </c>
      <c r="H189" s="22" t="n">
        <v>1.678776362681233</v>
      </c>
      <c r="I189" s="22" t="n">
        <v>1.101255934504519</v>
      </c>
      <c r="J189" s="22" t="n">
        <v>1.647839198386365</v>
      </c>
      <c r="K189" s="22" t="n">
        <v>2.16671028661142</v>
      </c>
      <c r="L189" s="22" t="n">
        <v>1.554578230819978</v>
      </c>
    </row>
    <row r="190">
      <c r="A190" s="10" t="n">
        <v>0.5649999999999999</v>
      </c>
      <c r="B190" s="22" t="n">
        <v>1.493950873711871</v>
      </c>
      <c r="C190" s="22" t="n">
        <v>1.364052393988526</v>
      </c>
      <c r="D190" s="22" t="n">
        <v>1.580685531401407</v>
      </c>
      <c r="E190" s="22" t="n">
        <v>1.456036234981073</v>
      </c>
      <c r="F190" s="22" t="n">
        <v>1.227324345239277</v>
      </c>
      <c r="G190" s="22" t="n">
        <v>1.208951398938737</v>
      </c>
      <c r="H190" s="22" t="n">
        <v>1.565151572693944</v>
      </c>
      <c r="I190" s="22" t="n">
        <v>1.062513092486632</v>
      </c>
      <c r="J190" s="22" t="n">
        <v>1.61310152031872</v>
      </c>
      <c r="K190" s="22" t="n">
        <v>2.16671028661142</v>
      </c>
      <c r="L190" s="22" t="n">
        <v>1.610098881920691</v>
      </c>
    </row>
    <row r="191">
      <c r="A191" s="10" t="n">
        <v>0.575</v>
      </c>
      <c r="B191" s="22" t="n">
        <v>1.49956309333707</v>
      </c>
      <c r="C191" s="22" t="n">
        <v>1.463299437852113</v>
      </c>
      <c r="D191" s="22" t="n">
        <v>1.478300669914532</v>
      </c>
      <c r="E191" s="22" t="n">
        <v>1.753554946023888</v>
      </c>
      <c r="F191" s="22" t="n">
        <v>1.147648432643992</v>
      </c>
      <c r="G191" s="22" t="n">
        <v>1.208951398938737</v>
      </c>
      <c r="H191" s="22" t="n">
        <v>1.405592751226297</v>
      </c>
      <c r="I191" s="22" t="n">
        <v>1.085994143362232</v>
      </c>
      <c r="J191" s="22" t="n">
        <v>1.61310152031872</v>
      </c>
      <c r="K191" s="22" t="n">
        <v>2.109691594858488</v>
      </c>
      <c r="L191" s="22" t="n">
        <v>1.751914627925198</v>
      </c>
    </row>
    <row r="192">
      <c r="A192" s="10" t="n">
        <v>0.585</v>
      </c>
      <c r="B192" s="22" t="n">
        <v>1.510629101067386</v>
      </c>
      <c r="C192" s="22" t="n">
        <v>1.552542557038653</v>
      </c>
      <c r="D192" s="22" t="n">
        <v>1.503199080947821</v>
      </c>
      <c r="E192" s="22" t="n">
        <v>1.753554946023888</v>
      </c>
      <c r="F192" s="22" t="n">
        <v>1.10696022079217</v>
      </c>
      <c r="G192" s="22" t="n">
        <v>1.173394004852303</v>
      </c>
      <c r="H192" s="22" t="n">
        <v>1.380933229274958</v>
      </c>
      <c r="I192" s="22" t="n">
        <v>1.060738465609622</v>
      </c>
      <c r="J192" s="22" t="n">
        <v>1.59142658790297</v>
      </c>
      <c r="K192" s="22" t="n">
        <v>2.16671028661142</v>
      </c>
      <c r="L192" s="22" t="n">
        <v>1.915563766104178</v>
      </c>
    </row>
    <row r="193">
      <c r="A193" s="10" t="n">
        <v>0.595</v>
      </c>
      <c r="B193" s="22" t="n">
        <v>1.476846358926682</v>
      </c>
      <c r="C193" s="22" t="n">
        <v>1.545868801882552</v>
      </c>
      <c r="D193" s="22" t="n">
        <v>1.452627723968697</v>
      </c>
      <c r="E193" s="22" t="n">
        <v>1.683412748182932</v>
      </c>
      <c r="F193" s="22" t="n">
        <v>1.068789178695888</v>
      </c>
      <c r="G193" s="22" t="n">
        <v>1.208951398938737</v>
      </c>
      <c r="H193" s="22" t="n">
        <v>1.405592751226297</v>
      </c>
      <c r="I193" s="22" t="n">
        <v>1.085994143362232</v>
      </c>
      <c r="J193" s="22" t="n">
        <v>1.427316385326576</v>
      </c>
      <c r="K193" s="22" t="n">
        <v>2.015436216853268</v>
      </c>
      <c r="L193" s="22" t="n">
        <v>1.983976757750755</v>
      </c>
    </row>
    <row r="194">
      <c r="A194" s="10" t="n">
        <v>0.605</v>
      </c>
      <c r="B194" s="22" t="n">
        <v>1.50001792170894</v>
      </c>
      <c r="C194" s="22" t="n">
        <v>1.538948006138729</v>
      </c>
      <c r="D194" s="22" t="n">
        <v>1.478843451235577</v>
      </c>
      <c r="E194" s="22" t="n">
        <v>1.753554946023888</v>
      </c>
      <c r="F194" s="22" t="n">
        <v>1.10696022079217</v>
      </c>
      <c r="G194" s="22" t="n">
        <v>1.208951398938737</v>
      </c>
      <c r="H194" s="22" t="n">
        <v>1.423332509333524</v>
      </c>
      <c r="I194" s="22" t="n">
        <v>1.230569197797916</v>
      </c>
      <c r="J194" s="22" t="n">
        <v>1.403527778904467</v>
      </c>
      <c r="K194" s="22" t="n">
        <v>1.940081274220561</v>
      </c>
      <c r="L194" s="22" t="n">
        <v>1.983976757750755</v>
      </c>
    </row>
    <row r="195">
      <c r="A195" s="10" t="n">
        <v>0.615</v>
      </c>
      <c r="B195" s="22" t="n">
        <v>1.491302775584308</v>
      </c>
      <c r="C195" s="22" t="n">
        <v>1.579513985031898</v>
      </c>
      <c r="D195" s="22" t="n">
        <v>1.408530015483634</v>
      </c>
      <c r="E195" s="22" t="n">
        <v>1.683412748182932</v>
      </c>
      <c r="F195" s="22" t="n">
        <v>1.068789178695888</v>
      </c>
      <c r="G195" s="22" t="n">
        <v>1.208951398938737</v>
      </c>
      <c r="H195" s="22" t="n">
        <v>1.400801758355052</v>
      </c>
      <c r="I195" s="22" t="n">
        <v>1.283364994283763</v>
      </c>
      <c r="J195" s="22" t="n">
        <v>1.427316385326576</v>
      </c>
      <c r="K195" s="22" t="n">
        <v>1.992515903253549</v>
      </c>
      <c r="L195" s="22" t="n">
        <v>1.983976757750755</v>
      </c>
    </row>
    <row r="196">
      <c r="A196" s="10" t="n">
        <v>0.625</v>
      </c>
      <c r="B196" s="22" t="n">
        <v>1.473809329164303</v>
      </c>
      <c r="C196" s="22" t="n">
        <v>1.587952951648698</v>
      </c>
      <c r="D196" s="22" t="n">
        <v>1.438498739217328</v>
      </c>
      <c r="E196" s="22" t="n">
        <v>1.753554946023888</v>
      </c>
      <c r="F196" s="22" t="n">
        <v>1.04708223086989</v>
      </c>
      <c r="G196" s="22" t="n">
        <v>1.301781924428379</v>
      </c>
      <c r="H196" s="22" t="n">
        <v>1.425816075468535</v>
      </c>
      <c r="I196" s="22" t="n">
        <v>1.25351929674228</v>
      </c>
      <c r="J196" s="22" t="n">
        <v>1.370111929674455</v>
      </c>
      <c r="K196" s="22" t="n">
        <v>1.992515903253549</v>
      </c>
      <c r="L196" s="22" t="n">
        <v>1.747607858814626</v>
      </c>
    </row>
    <row r="197">
      <c r="A197" s="10" t="n">
        <v>0.635</v>
      </c>
      <c r="B197" s="22" t="n">
        <v>1.481280280296155</v>
      </c>
      <c r="C197" s="22" t="n">
        <v>1.541423489689146</v>
      </c>
      <c r="D197" s="22" t="n">
        <v>1.434014618798236</v>
      </c>
      <c r="E197" s="22" t="n">
        <v>1.753554946023888</v>
      </c>
      <c r="F197" s="22" t="n">
        <v>0.9889518587995151</v>
      </c>
      <c r="G197" s="22" t="n">
        <v>1.47197122115939</v>
      </c>
      <c r="H197" s="22" t="n">
        <v>1.400801758355052</v>
      </c>
      <c r="I197" s="22" t="n">
        <v>1.283364994283763</v>
      </c>
      <c r="J197" s="22" t="n">
        <v>1.345595734394975</v>
      </c>
      <c r="K197" s="22" t="n">
        <v>1.992515903253549</v>
      </c>
      <c r="L197" s="22" t="n">
        <v>1.762580334505437</v>
      </c>
    </row>
    <row r="198">
      <c r="A198" s="10" t="n">
        <v>0.645</v>
      </c>
      <c r="B198" s="22" t="n">
        <v>1.477490487035347</v>
      </c>
      <c r="C198" s="22" t="n">
        <v>1.515877837168466</v>
      </c>
      <c r="D198" s="22" t="n">
        <v>1.474477002720296</v>
      </c>
      <c r="E198" s="22" t="n">
        <v>1.683412748182932</v>
      </c>
      <c r="F198" s="22" t="n">
        <v>1.024271568042355</v>
      </c>
      <c r="G198" s="22" t="n">
        <v>1.47197122115939</v>
      </c>
      <c r="H198" s="22" t="n">
        <v>1.401111651132714</v>
      </c>
      <c r="I198" s="22" t="n">
        <v>1.275699603587722</v>
      </c>
      <c r="J198" s="22" t="n">
        <v>1.345595734394975</v>
      </c>
      <c r="K198" s="22" t="n">
        <v>1.940081274220561</v>
      </c>
      <c r="L198" s="22" t="n">
        <v>1.762580334505437</v>
      </c>
    </row>
    <row r="199">
      <c r="A199" s="10" t="n">
        <v>0.655</v>
      </c>
      <c r="B199" s="22" t="n">
        <v>1.518566331759047</v>
      </c>
      <c r="C199" s="22" t="n">
        <v>1.569331545191917</v>
      </c>
      <c r="D199" s="22" t="n">
        <v>1.479256226386489</v>
      </c>
      <c r="E199" s="22" t="n">
        <v>1.753554946023888</v>
      </c>
      <c r="F199" s="22" t="n">
        <v>0.9889518587995151</v>
      </c>
      <c r="G199" s="22" t="n">
        <v>1.428677949948819</v>
      </c>
      <c r="H199" s="22" t="n">
        <v>1.397078275730947</v>
      </c>
      <c r="I199" s="22" t="n">
        <v>1.306073403673144</v>
      </c>
      <c r="J199" s="22" t="n">
        <v>1.38377014343443</v>
      </c>
      <c r="K199" s="22" t="n">
        <v>2.285820157638998</v>
      </c>
      <c r="L199" s="22" t="n">
        <v>1.762580334505437</v>
      </c>
    </row>
    <row r="200">
      <c r="A200" s="10" t="n">
        <v>0.665</v>
      </c>
      <c r="B200" s="22" t="n">
        <v>1.536831414573488</v>
      </c>
      <c r="C200" s="22" t="n">
        <v>1.494330857656098</v>
      </c>
      <c r="D200" s="22" t="n">
        <v>1.56415488370438</v>
      </c>
      <c r="E200" s="22" t="n">
        <v>1.753554946023888</v>
      </c>
      <c r="F200" s="22" t="n">
        <v>1.024271568042355</v>
      </c>
      <c r="G200" s="22" t="n">
        <v>1.47197122115939</v>
      </c>
      <c r="H200" s="22" t="n">
        <v>1.372568130542685</v>
      </c>
      <c r="I200" s="22" t="n">
        <v>1.275699603587722</v>
      </c>
      <c r="J200" s="22" t="n">
        <v>1.472843764526493</v>
      </c>
      <c r="K200" s="22" t="n">
        <v>2.330260196182249</v>
      </c>
      <c r="L200" s="22" t="n">
        <v>1.696145064059011</v>
      </c>
    </row>
    <row r="201">
      <c r="A201" s="10" t="n">
        <v>0.675</v>
      </c>
      <c r="B201" s="22" t="n">
        <v>1.524070942795786</v>
      </c>
      <c r="C201" s="22" t="n">
        <v>1.352056081536523</v>
      </c>
      <c r="D201" s="22" t="n">
        <v>1.534247633808388</v>
      </c>
      <c r="E201" s="22" t="n">
        <v>1.683412748182932</v>
      </c>
      <c r="F201" s="22" t="n">
        <v>1.094376768325846</v>
      </c>
      <c r="G201" s="22" t="n">
        <v>1.47197122115939</v>
      </c>
      <c r="H201" s="22" t="n">
        <v>1.397078275730947</v>
      </c>
      <c r="I201" s="22" t="n">
        <v>1.306073403673144</v>
      </c>
      <c r="J201" s="22" t="n">
        <v>1.472843764526493</v>
      </c>
      <c r="K201" s="22" t="n">
        <v>2.26893755944061</v>
      </c>
      <c r="L201" s="22" t="n">
        <v>1.598537826064531</v>
      </c>
    </row>
    <row r="202">
      <c r="A202" s="10" t="n">
        <v>0.6850000000000001</v>
      </c>
      <c r="B202" s="22" t="n">
        <v>1.552447220166122</v>
      </c>
      <c r="C202" s="22" t="n">
        <v>1.358650898507815</v>
      </c>
      <c r="D202" s="22" t="n">
        <v>1.692761772401165</v>
      </c>
      <c r="E202" s="22" t="n">
        <v>1.47582828022489</v>
      </c>
      <c r="F202" s="22" t="n">
        <v>1.137505730126192</v>
      </c>
      <c r="G202" s="22" t="n">
        <v>1.47197122115939</v>
      </c>
      <c r="H202" s="22" t="n">
        <v>1.78032118832813</v>
      </c>
      <c r="I202" s="22" t="n">
        <v>1.099067111946139</v>
      </c>
      <c r="J202" s="22" t="n">
        <v>1.492099174900678</v>
      </c>
      <c r="K202" s="22" t="n">
        <v>2.330260196182249</v>
      </c>
      <c r="L202" s="22" t="n">
        <v>1.598537826064531</v>
      </c>
    </row>
    <row r="203">
      <c r="A203" s="10" t="n">
        <v>0.695</v>
      </c>
      <c r="B203" s="22" t="n">
        <v>1.52752094149625</v>
      </c>
      <c r="C203" s="22" t="n">
        <v>1.364147271262789</v>
      </c>
      <c r="D203" s="22" t="n">
        <v>1.657495902142808</v>
      </c>
      <c r="E203" s="22" t="n">
        <v>1.207309892527507</v>
      </c>
      <c r="F203" s="22" t="n">
        <v>1.098281394604599</v>
      </c>
      <c r="G203" s="22" t="n">
        <v>1.44297508728256</v>
      </c>
      <c r="H203" s="22" t="n">
        <v>1.749087483269742</v>
      </c>
      <c r="I203" s="22" t="n">
        <v>1.125235376516285</v>
      </c>
      <c r="J203" s="22" t="n">
        <v>1.637890139162351</v>
      </c>
      <c r="K203" s="22" t="n">
        <v>2.330260196182249</v>
      </c>
      <c r="L203" s="22" t="n">
        <v>1.598537826064531</v>
      </c>
    </row>
    <row r="204">
      <c r="A204" s="10" t="n">
        <v>0.705</v>
      </c>
      <c r="B204" s="22" t="n">
        <v>1.514505277917243</v>
      </c>
      <c r="C204" s="22" t="n">
        <v>1.328684981125162</v>
      </c>
      <c r="D204" s="22" t="n">
        <v>1.8660685621525</v>
      </c>
      <c r="E204" s="22" t="n">
        <v>1.25761447138282</v>
      </c>
      <c r="F204" s="22" t="n">
        <v>1.137505730126192</v>
      </c>
      <c r="G204" s="22" t="n">
        <v>1.143348370555316</v>
      </c>
      <c r="H204" s="22" t="n">
        <v>1.78032118832813</v>
      </c>
      <c r="I204" s="22" t="n">
        <v>1.099067111946139</v>
      </c>
      <c r="J204" s="22" t="n">
        <v>1.637890139162351</v>
      </c>
      <c r="K204" s="22" t="n">
        <v>2.226739903951539</v>
      </c>
      <c r="L204" s="22" t="n">
        <v>1.543415832062306</v>
      </c>
    </row>
    <row r="205">
      <c r="A205" s="10" t="n">
        <v>0.715</v>
      </c>
      <c r="B205" s="22" t="n">
        <v>1.36384578589682</v>
      </c>
      <c r="C205" s="22" t="n">
        <v>1.295404518384739</v>
      </c>
      <c r="D205" s="22" t="n">
        <v>1.897067052681418</v>
      </c>
      <c r="E205" s="22" t="n">
        <v>1.25761447138282</v>
      </c>
      <c r="F205" s="22" t="n">
        <v>1.018577176352733</v>
      </c>
      <c r="G205" s="22" t="n">
        <v>1.10972047730369</v>
      </c>
      <c r="H205" s="22" t="n">
        <v>1.749087483269742</v>
      </c>
      <c r="I205" s="22" t="n">
        <v>1.097099990020613</v>
      </c>
      <c r="J205" s="22" t="n">
        <v>1.637890139162351</v>
      </c>
      <c r="K205" s="22" t="n">
        <v>0.992187288595185</v>
      </c>
      <c r="L205" s="22" t="n">
        <v>1.515153021996527</v>
      </c>
    </row>
    <row r="206">
      <c r="A206" s="10" t="n">
        <v>0.725</v>
      </c>
      <c r="B206" s="22" t="n">
        <v>1.441406204441297</v>
      </c>
      <c r="C206" s="22" t="n">
        <v>1.231872533947959</v>
      </c>
      <c r="D206" s="22" t="n">
        <v>2.032067716478261</v>
      </c>
      <c r="E206" s="22" t="n">
        <v>1.207309892527507</v>
      </c>
      <c r="F206" s="22" t="n">
        <v>0.6752212642653679</v>
      </c>
      <c r="G206" s="22" t="n">
        <v>1.143348370555316</v>
      </c>
      <c r="H206" s="22" t="n">
        <v>2.730459597996879</v>
      </c>
      <c r="I206" s="22" t="n">
        <v>0.8627298653824864</v>
      </c>
      <c r="J206" s="22" t="n">
        <v>1.942648214754486</v>
      </c>
      <c r="K206" s="22" t="n">
        <v>1.01900316125992</v>
      </c>
      <c r="L206" s="22" t="n">
        <v>1.329853457400966</v>
      </c>
    </row>
    <row r="207">
      <c r="A207" s="10" t="n">
        <v>0.735</v>
      </c>
      <c r="B207" s="22" t="n">
        <v>1.4556832465196</v>
      </c>
      <c r="C207" s="22" t="n">
        <v>1.228597679821872</v>
      </c>
      <c r="D207" s="22" t="n">
        <v>2.036230887635118</v>
      </c>
      <c r="E207" s="22" t="n">
        <v>1.307919050238133</v>
      </c>
      <c r="F207" s="22" t="n">
        <v>0.7916387236214661</v>
      </c>
      <c r="G207" s="22" t="n">
        <v>1.10972047730369</v>
      </c>
      <c r="H207" s="22" t="n">
        <v>2.458223581068983</v>
      </c>
      <c r="I207" s="22" t="n">
        <v>0.8832710526534979</v>
      </c>
      <c r="J207" s="22" t="n">
        <v>1.891206135105816</v>
      </c>
      <c r="K207" s="22" t="n">
        <v>1.072634906589389</v>
      </c>
      <c r="L207" s="22" t="n">
        <v>1.513281520490754</v>
      </c>
    </row>
    <row r="208">
      <c r="A208" s="10" t="n">
        <v>0.745</v>
      </c>
      <c r="B208" s="22" t="n">
        <v>1.388698929835313</v>
      </c>
      <c r="C208" s="22" t="n">
        <v>1.225419408151445</v>
      </c>
      <c r="D208" s="22" t="n">
        <v>1.434617216288378</v>
      </c>
      <c r="E208" s="22" t="n">
        <v>1.660051102225322</v>
      </c>
      <c r="F208" s="22" t="n">
        <v>1.343276707982561</v>
      </c>
      <c r="G208" s="22" t="n">
        <v>1.008836797548809</v>
      </c>
      <c r="H208" s="22" t="n">
        <v>1.205011559347541</v>
      </c>
      <c r="I208" s="22" t="n">
        <v>0.9654358017375446</v>
      </c>
      <c r="J208" s="22" t="n">
        <v>1.169109247156322</v>
      </c>
      <c r="K208" s="22" t="n">
        <v>1.313977760572002</v>
      </c>
      <c r="L208" s="22" t="n">
        <v>2.384564820167247</v>
      </c>
    </row>
    <row r="209">
      <c r="A209" s="10" t="n">
        <v>0.755</v>
      </c>
      <c r="B209" s="22" t="n">
        <v>1.260157105431685</v>
      </c>
      <c r="C209" s="22" t="n">
        <v>1.251744873738147</v>
      </c>
      <c r="D209" s="22" t="n">
        <v>1.432041114243569</v>
      </c>
      <c r="E209" s="22" t="n">
        <v>1.60974652337001</v>
      </c>
      <c r="F209" s="22" t="n">
        <v>0.9402698259822361</v>
      </c>
      <c r="G209" s="22" t="n">
        <v>1.008836797548809</v>
      </c>
      <c r="H209" s="22" t="n">
        <v>1.253212021721443</v>
      </c>
      <c r="I209" s="22" t="n">
        <v>0.8658695877064211</v>
      </c>
      <c r="J209" s="22" t="n">
        <v>1.169109247156322</v>
      </c>
      <c r="K209" s="22" t="n">
        <v>1.340793633236736</v>
      </c>
      <c r="L209" s="22" t="n">
        <v>1.695062125458024</v>
      </c>
    </row>
    <row r="210">
      <c r="A210" s="10" t="n">
        <v>0.765</v>
      </c>
      <c r="B210" s="22" t="n">
        <v>1.177306066229712</v>
      </c>
      <c r="C210" s="22" t="n">
        <v>1.262429598994619</v>
      </c>
      <c r="D210" s="22" t="n">
        <v>1.283169578320633</v>
      </c>
      <c r="E210" s="22" t="n">
        <v>1.660051102225322</v>
      </c>
      <c r="F210" s="22" t="n">
        <v>0.9245986622158654</v>
      </c>
      <c r="G210" s="22" t="n">
        <v>1.008836797548809</v>
      </c>
      <c r="H210" s="22" t="n">
        <v>1.205011559347541</v>
      </c>
      <c r="I210" s="22" t="n">
        <v>0.6311777974902005</v>
      </c>
      <c r="J210" s="22" t="n">
        <v>1.14012391084952</v>
      </c>
      <c r="K210" s="22" t="n">
        <v>1.137126822833362</v>
      </c>
      <c r="L210" s="22" t="n">
        <v>1.587670170055048</v>
      </c>
    </row>
    <row r="211">
      <c r="A211" s="10" t="n">
        <v>0.775</v>
      </c>
      <c r="B211" s="22" t="n">
        <v>1.211028820421536</v>
      </c>
      <c r="C211" s="22" t="n">
        <v>1.291366974353795</v>
      </c>
      <c r="D211" s="22" t="n">
        <v>1.283169578320633</v>
      </c>
      <c r="E211" s="22" t="n">
        <v>1.660051102225322</v>
      </c>
      <c r="F211" s="22" t="n">
        <v>1.079748603943749</v>
      </c>
      <c r="G211" s="22" t="n">
        <v>1.008836797548809</v>
      </c>
      <c r="H211" s="22" t="n">
        <v>1.205011559347541</v>
      </c>
      <c r="I211" s="22" t="n">
        <v>0.6177484826499835</v>
      </c>
      <c r="J211" s="22" t="n">
        <v>1.260913153518843</v>
      </c>
      <c r="K211" s="22" t="n">
        <v>1.119729961063437</v>
      </c>
      <c r="L211" s="22" t="n">
        <v>1.642764673795056</v>
      </c>
    </row>
    <row r="212">
      <c r="A212" s="10" t="n">
        <v>0.785</v>
      </c>
      <c r="B212" s="22" t="n">
        <v>1.186991429562189</v>
      </c>
      <c r="C212" s="22" t="n">
        <v>1.359723509750257</v>
      </c>
      <c r="D212" s="22" t="n">
        <v>1.283169578320633</v>
      </c>
      <c r="E212" s="22" t="n">
        <v>1.515990661927206</v>
      </c>
      <c r="F212" s="22" t="n">
        <v>1.099689043061168</v>
      </c>
      <c r="G212" s="22" t="n">
        <v>0.8431368137410103</v>
      </c>
      <c r="H212" s="22" t="n">
        <v>1.0480874861228</v>
      </c>
      <c r="I212" s="22" t="n">
        <v>0.6311777974902005</v>
      </c>
      <c r="J212" s="22" t="n">
        <v>1.260913153518843</v>
      </c>
      <c r="K212" s="22" t="n">
        <v>1.097335361842169</v>
      </c>
      <c r="L212" s="22" t="n">
        <v>1.874161589503082</v>
      </c>
    </row>
    <row r="213">
      <c r="A213" s="10" t="n">
        <v>0.795</v>
      </c>
      <c r="B213" s="22" t="n">
        <v>1.12228324953735</v>
      </c>
      <c r="C213" s="22" t="n">
        <v>1.329122887292363</v>
      </c>
      <c r="D213" s="22" t="n">
        <v>1.042397834384393</v>
      </c>
      <c r="E213" s="22" t="n">
        <v>1.488165356246849</v>
      </c>
      <c r="F213" s="22" t="n">
        <v>1.178732762496232</v>
      </c>
      <c r="G213" s="22" t="n">
        <v>0.6537654036749549</v>
      </c>
      <c r="H213" s="22" t="n">
        <v>0.9393638752719606</v>
      </c>
      <c r="I213" s="22" t="n">
        <v>0.5580517802336761</v>
      </c>
      <c r="J213" s="22" t="n">
        <v>1.223827472532995</v>
      </c>
      <c r="K213" s="22" t="n">
        <v>1.119729961063437</v>
      </c>
      <c r="L213" s="22" t="n">
        <v>1.874161589503082</v>
      </c>
    </row>
    <row r="214">
      <c r="A214" s="10" t="n">
        <v>0.805</v>
      </c>
      <c r="B214" s="22" t="n">
        <v>1.091855266703422</v>
      </c>
      <c r="C214" s="22" t="n">
        <v>1.282902408302327</v>
      </c>
      <c r="D214" s="22" t="n">
        <v>0.9721727424029899</v>
      </c>
      <c r="E214" s="22" t="n">
        <v>1.44306943636058</v>
      </c>
      <c r="F214" s="22" t="n">
        <v>1.201514483164241</v>
      </c>
      <c r="G214" s="22" t="n">
        <v>0.6319732235524564</v>
      </c>
      <c r="H214" s="22" t="n">
        <v>0.9032344954538083</v>
      </c>
      <c r="I214" s="22" t="n">
        <v>0.5203093197141794</v>
      </c>
      <c r="J214" s="22" t="n">
        <v>1.260913153518843</v>
      </c>
      <c r="K214" s="22" t="n">
        <v>0.9491121378315497</v>
      </c>
      <c r="L214" s="22" t="n">
        <v>1.902332076334041</v>
      </c>
    </row>
    <row r="215">
      <c r="A215" s="10" t="n">
        <v>0.8149999999999999</v>
      </c>
      <c r="B215" s="22" t="n">
        <v>1.097767697607792</v>
      </c>
      <c r="C215" s="22" t="n">
        <v>1.248588215244134</v>
      </c>
      <c r="D215" s="22" t="n">
        <v>0.9721727424029899</v>
      </c>
      <c r="E215" s="22" t="n">
        <v>1.488165356246849</v>
      </c>
      <c r="F215" s="22" t="n">
        <v>1.308503193651955</v>
      </c>
      <c r="G215" s="22" t="n">
        <v>0.6537654036749549</v>
      </c>
      <c r="H215" s="22" t="n">
        <v>0.9032344954538083</v>
      </c>
      <c r="I215" s="22" t="n">
        <v>0.5092389086564308</v>
      </c>
      <c r="J215" s="22" t="n">
        <v>1.260913153518843</v>
      </c>
      <c r="K215" s="22" t="n">
        <v>0.7491719010368898</v>
      </c>
      <c r="L215" s="22" t="n">
        <v>1.975344222979233</v>
      </c>
    </row>
    <row r="216">
      <c r="A216" s="10" t="n">
        <v>0.825</v>
      </c>
      <c r="B216" s="22" t="n">
        <v>1.103946060756642</v>
      </c>
      <c r="C216" s="22" t="n">
        <v>1.248588215244134</v>
      </c>
      <c r="D216" s="22" t="n">
        <v>0.9365113967434632</v>
      </c>
      <c r="E216" s="22" t="n">
        <v>1.44306943636058</v>
      </c>
      <c r="F216" s="22" t="n">
        <v>1.485448896253735</v>
      </c>
      <c r="G216" s="22" t="n">
        <v>0.6537654036749549</v>
      </c>
      <c r="H216" s="22" t="n">
        <v>0.9032344954538083</v>
      </c>
      <c r="I216" s="22" t="n">
        <v>0.5158146489139633</v>
      </c>
      <c r="J216" s="22" t="n">
        <v>1.223827472532995</v>
      </c>
      <c r="K216" s="22" t="n">
        <v>0.7341884630161519</v>
      </c>
      <c r="L216" s="22" t="n">
        <v>1.969086411552643</v>
      </c>
    </row>
    <row r="217">
      <c r="A217" s="10" t="n">
        <v>0.835</v>
      </c>
      <c r="B217" s="22" t="n">
        <v>1.004888551097552</v>
      </c>
      <c r="C217" s="22" t="n">
        <v>1.168154187413578</v>
      </c>
      <c r="D217" s="22" t="n">
        <v>0.6957973135416597</v>
      </c>
      <c r="E217" s="22" t="n">
        <v>1.488165356246849</v>
      </c>
      <c r="F217" s="22" t="n">
        <v>1.526248633680148</v>
      </c>
      <c r="G217" s="22" t="n">
        <v>0.6537654036749549</v>
      </c>
      <c r="H217" s="22" t="n">
        <v>0.9032344954538083</v>
      </c>
      <c r="I217" s="22" t="n">
        <v>0.4851010651124862</v>
      </c>
      <c r="J217" s="22" t="n">
        <v>0.8296796100008906</v>
      </c>
      <c r="K217" s="22" t="n">
        <v>0.7491719010368898</v>
      </c>
      <c r="L217" s="22" t="n">
        <v>1.649938028796541</v>
      </c>
    </row>
    <row r="218">
      <c r="A218" s="10" t="n">
        <v>0.845</v>
      </c>
      <c r="B218" s="22" t="n">
        <v>1.017879422006563</v>
      </c>
      <c r="C218" s="22" t="n">
        <v>1.095441344065277</v>
      </c>
      <c r="D218" s="22" t="n">
        <v>0.7182423881720359</v>
      </c>
      <c r="E218" s="22" t="n">
        <v>1.44306943636058</v>
      </c>
      <c r="F218" s="22" t="n">
        <v>1.639071498237842</v>
      </c>
      <c r="G218" s="22" t="n">
        <v>0.6537654036749549</v>
      </c>
      <c r="H218" s="22" t="n">
        <v>0.9393638752719606</v>
      </c>
      <c r="I218" s="22" t="n">
        <v>0.4851010651124862</v>
      </c>
      <c r="J218" s="22" t="n">
        <v>0.8296796100008906</v>
      </c>
      <c r="K218" s="22" t="n">
        <v>0.7341884630161519</v>
      </c>
      <c r="L218" s="22" t="n">
        <v>1.649938028796541</v>
      </c>
    </row>
    <row r="219">
      <c r="A219" s="10" t="n">
        <v>0.855</v>
      </c>
      <c r="B219" s="22" t="n">
        <v>0.9831803000313299</v>
      </c>
      <c r="C219" s="22" t="n">
        <v>1.039675857867174</v>
      </c>
      <c r="D219" s="22" t="n">
        <v>0.6957973135416597</v>
      </c>
      <c r="E219" s="22" t="n">
        <v>1.488165356246849</v>
      </c>
      <c r="F219" s="22" t="n">
        <v>1.666852371089331</v>
      </c>
      <c r="G219" s="22" t="n">
        <v>0.6537654036749549</v>
      </c>
      <c r="H219" s="22" t="n">
        <v>0.9032344954538083</v>
      </c>
      <c r="I219" s="22" t="n">
        <v>0.4747797658547738</v>
      </c>
      <c r="J219" s="22" t="n">
        <v>0.8052772685302763</v>
      </c>
      <c r="K219" s="22" t="n">
        <v>0.6262570500485646</v>
      </c>
      <c r="L219" s="22" t="n">
        <v>1.477770588487975</v>
      </c>
    </row>
    <row r="220">
      <c r="A220" s="10" t="n">
        <v>0.865</v>
      </c>
      <c r="B220" s="22" t="n">
        <v>0.9473882010668107</v>
      </c>
      <c r="C220" s="22" t="n">
        <v>0.9478431395478526</v>
      </c>
      <c r="D220" s="22" t="n">
        <v>0.6798152094361479</v>
      </c>
      <c r="E220" s="22" t="n">
        <v>1.488165356246849</v>
      </c>
      <c r="F220" s="22" t="n">
        <v>1.672150289317314</v>
      </c>
      <c r="G220" s="22" t="n">
        <v>0.6537654036749549</v>
      </c>
      <c r="H220" s="22" t="n">
        <v>0.9032344954538083</v>
      </c>
      <c r="I220" s="22" t="n">
        <v>0.4445962829376861</v>
      </c>
      <c r="J220" s="22" t="n">
        <v>0.8296796100008906</v>
      </c>
      <c r="K220" s="22" t="n">
        <v>0.5907878035297724</v>
      </c>
      <c r="L220" s="22" t="n">
        <v>1.200087524856029</v>
      </c>
    </row>
    <row r="221">
      <c r="A221" s="10" t="n">
        <v>0.875</v>
      </c>
      <c r="B221" s="22" t="n">
        <v>0.8656515054699693</v>
      </c>
      <c r="C221" s="22" t="n">
        <v>0.8782282280743247</v>
      </c>
      <c r="D221" s="22" t="n">
        <v>0.669721248948456</v>
      </c>
      <c r="E221" s="22" t="n">
        <v>1.122426943833749</v>
      </c>
      <c r="F221" s="22" t="n">
        <v>1.708200859938671</v>
      </c>
      <c r="G221" s="22" t="n">
        <v>0.5555126959129046</v>
      </c>
      <c r="H221" s="22" t="n">
        <v>0.6232108787206795</v>
      </c>
      <c r="I221" s="22" t="n">
        <v>0.4023304232770252</v>
      </c>
      <c r="J221" s="22" t="n">
        <v>0.8296796100008906</v>
      </c>
      <c r="K221" s="22" t="n">
        <v>0.6028446974793598</v>
      </c>
      <c r="L221" s="22" t="n">
        <v>1.220475350381651</v>
      </c>
    </row>
    <row r="222">
      <c r="A222" s="10" t="n">
        <v>0.885</v>
      </c>
      <c r="B222" s="22" t="n">
        <v>0.787707554519659</v>
      </c>
      <c r="C222" s="22" t="n">
        <v>0.874124684133158</v>
      </c>
      <c r="D222" s="22" t="n">
        <v>0.669721248948456</v>
      </c>
      <c r="E222" s="22" t="n">
        <v>0.9003207866143257</v>
      </c>
      <c r="F222" s="22" t="n">
        <v>1.682395918652163</v>
      </c>
      <c r="G222" s="22" t="n">
        <v>0.5263311909423686</v>
      </c>
      <c r="H222" s="22" t="n">
        <v>0.4193200156247213</v>
      </c>
      <c r="I222" s="22" t="n">
        <v>0.3937702015051736</v>
      </c>
      <c r="J222" s="22" t="n">
        <v>0.8071997846210601</v>
      </c>
      <c r="K222" s="22" t="n">
        <v>0.5907878035297724</v>
      </c>
      <c r="L222" s="22" t="n">
        <v>1.060166927332308</v>
      </c>
    </row>
    <row r="223">
      <c r="A223" s="10" t="n">
        <v>0.895</v>
      </c>
      <c r="B223" s="22" t="n">
        <v>0.7734472354761235</v>
      </c>
      <c r="C223" s="22" t="n">
        <v>0.7899852684212995</v>
      </c>
      <c r="D223" s="22" t="n">
        <v>0.669721248948456</v>
      </c>
      <c r="E223" s="22" t="n">
        <v>0.8730383385351037</v>
      </c>
      <c r="F223" s="22" t="n">
        <v>1.713359065833775</v>
      </c>
      <c r="G223" s="22" t="n">
        <v>0.5263311909423686</v>
      </c>
      <c r="H223" s="22" t="n">
        <v>0.4031923227160781</v>
      </c>
      <c r="I223" s="22" t="n">
        <v>0.4023304232770252</v>
      </c>
      <c r="J223" s="22" t="n">
        <v>0.6569104210233964</v>
      </c>
      <c r="K223" s="22" t="n">
        <v>0.617635902178525</v>
      </c>
      <c r="L223" s="22" t="n">
        <v>1.060166927332308</v>
      </c>
    </row>
    <row r="224">
      <c r="A224" s="10" t="n">
        <v>0.905</v>
      </c>
      <c r="B224" s="22" t="n">
        <v>0.7440255430123375</v>
      </c>
      <c r="C224" s="22" t="n">
        <v>0.7666256498001683</v>
      </c>
      <c r="D224" s="22" t="n">
        <v>0.4400683615273123</v>
      </c>
      <c r="E224" s="22" t="n">
        <v>0.9003207866143257</v>
      </c>
      <c r="F224" s="22" t="n">
        <v>1.721136028386681</v>
      </c>
      <c r="G224" s="22" t="n">
        <v>0.5263311909423686</v>
      </c>
      <c r="H224" s="22" t="n">
        <v>0.4031923227160781</v>
      </c>
      <c r="I224" s="22" t="n">
        <v>0.3517152383206321</v>
      </c>
      <c r="J224" s="22" t="n">
        <v>0.6768167974180446</v>
      </c>
      <c r="K224" s="22" t="n">
        <v>0.6425570199768521</v>
      </c>
      <c r="L224" s="22" t="n">
        <v>0.9987714352605388</v>
      </c>
    </row>
    <row r="225">
      <c r="A225" s="10" t="n">
        <v>0.915</v>
      </c>
      <c r="B225" s="22" t="n">
        <v>0.7450816123536418</v>
      </c>
      <c r="C225" s="22" t="n">
        <v>0.7591264104073934</v>
      </c>
      <c r="D225" s="22" t="n">
        <v>0.4463620802889711</v>
      </c>
      <c r="E225" s="22" t="n">
        <v>0.9821681308519916</v>
      </c>
      <c r="F225" s="22" t="n">
        <v>1.706221708694376</v>
      </c>
      <c r="G225" s="22" t="n">
        <v>0.5965086830680177</v>
      </c>
      <c r="H225" s="22" t="n">
        <v>0.4677030943506507</v>
      </c>
      <c r="I225" s="22" t="n">
        <v>0.3207753415564686</v>
      </c>
      <c r="J225" s="22" t="n">
        <v>0.6768167974180446</v>
      </c>
      <c r="K225" s="22" t="n">
        <v>0.629443611405896</v>
      </c>
      <c r="L225" s="22" t="n">
        <v>0.8557473025879845</v>
      </c>
    </row>
    <row r="226">
      <c r="A226" s="10" t="n">
        <v>0.925</v>
      </c>
      <c r="B226" s="22" t="n">
        <v>0.740065363397862</v>
      </c>
      <c r="C226" s="22" t="n">
        <v>0.7249969220077014</v>
      </c>
      <c r="D226" s="22" t="n">
        <v>0.4603108952980015</v>
      </c>
      <c r="E226" s="22" t="n">
        <v>1.336839955881876</v>
      </c>
      <c r="F226" s="22" t="n">
        <v>1.218729791924554</v>
      </c>
      <c r="G226" s="22" t="n">
        <v>0.8421299055077899</v>
      </c>
      <c r="H226" s="22" t="n">
        <v>0.6451077163457252</v>
      </c>
      <c r="I226" s="22" t="n">
        <v>0.2312566415872213</v>
      </c>
      <c r="J226" s="22" t="n">
        <v>0.7365359266019896</v>
      </c>
      <c r="K226" s="22" t="n">
        <v>0.5245363428382466</v>
      </c>
      <c r="L226" s="22" t="n">
        <v>0.7160334572674976</v>
      </c>
    </row>
    <row r="227">
      <c r="A227" s="10" t="n">
        <v>0.9350000000000001</v>
      </c>
      <c r="B227" s="22" t="n">
        <v>0.7501980141384421</v>
      </c>
      <c r="C227" s="22" t="n">
        <v>0.7076177139230863</v>
      </c>
      <c r="D227" s="22" t="n">
        <v>0.3620040609930308</v>
      </c>
      <c r="E227" s="22" t="n">
        <v>1.364122403961098</v>
      </c>
      <c r="F227" s="22" t="n">
        <v>1.27073019086915</v>
      </c>
      <c r="G227" s="22" t="n">
        <v>0.8421299055077899</v>
      </c>
      <c r="H227" s="22" t="n">
        <v>0.6451077163457252</v>
      </c>
      <c r="I227" s="22" t="n">
        <v>0.2312566415872213</v>
      </c>
      <c r="J227" s="22" t="n">
        <v>0.7365359266019896</v>
      </c>
      <c r="K227" s="22" t="n">
        <v>0.5376497514092029</v>
      </c>
      <c r="L227" s="22" t="n">
        <v>0.7886549189258499</v>
      </c>
    </row>
    <row r="228">
      <c r="A228" s="10" t="n">
        <v>0.945</v>
      </c>
      <c r="B228" s="22" t="n">
        <v>0.6819630147952482</v>
      </c>
      <c r="C228" s="22" t="n">
        <v>0.6264645143797848</v>
      </c>
      <c r="D228" s="22" t="n">
        <v>0.2366408337717013</v>
      </c>
      <c r="E228" s="22" t="n">
        <v>1.248615020650211</v>
      </c>
      <c r="F228" s="22" t="n">
        <v>1.261794100217516</v>
      </c>
      <c r="G228" s="22" t="n">
        <v>0.6537478836204045</v>
      </c>
      <c r="H228" s="22" t="n">
        <v>0.500868222383569</v>
      </c>
      <c r="I228" s="22" t="n">
        <v>0.1681182860083796</v>
      </c>
      <c r="J228" s="22" t="n">
        <v>0.6498031834503608</v>
      </c>
      <c r="K228" s="22" t="n">
        <v>0.4727446380099254</v>
      </c>
      <c r="L228" s="22" t="n">
        <v>0.9104288985969681</v>
      </c>
    </row>
    <row r="229">
      <c r="A229" s="10" t="n">
        <v>0.955</v>
      </c>
      <c r="B229" s="22" t="n">
        <v>0.5162238504539209</v>
      </c>
      <c r="C229" s="22" t="n">
        <v>0.5273877214128652</v>
      </c>
      <c r="D229" s="22" t="n">
        <v>0.244035859827067</v>
      </c>
      <c r="E229" s="22" t="n">
        <v>0.7964622275879247</v>
      </c>
      <c r="F229" s="22" t="n">
        <v>1.293338952722954</v>
      </c>
      <c r="G229" s="22" t="n">
        <v>0.1962486876081835</v>
      </c>
      <c r="H229" s="22" t="n">
        <v>0.164309403138537</v>
      </c>
      <c r="I229" s="22" t="n">
        <v>0.07434460691841446</v>
      </c>
      <c r="J229" s="22" t="n">
        <v>0.4896811960935061</v>
      </c>
      <c r="K229" s="22" t="n">
        <v>0.360242441451178</v>
      </c>
      <c r="L229" s="22" t="n">
        <v>0.9104288985969681</v>
      </c>
    </row>
    <row r="230">
      <c r="A230" s="10" t="n">
        <v>0.965</v>
      </c>
      <c r="B230" s="22" t="n">
        <v>0.4839299027600609</v>
      </c>
      <c r="C230" s="22" t="n">
        <v>0.4774901660562397</v>
      </c>
      <c r="D230" s="22" t="n">
        <v>0.1895452887590816</v>
      </c>
      <c r="E230" s="22" t="n">
        <v>0.8127165587631886</v>
      </c>
      <c r="F230" s="22" t="n">
        <v>1.173801024032839</v>
      </c>
      <c r="G230" s="22" t="n">
        <v>0.2003372019333539</v>
      </c>
      <c r="H230" s="22" t="n">
        <v>0.164309403138537</v>
      </c>
      <c r="I230" s="22" t="n">
        <v>0.07434460691841446</v>
      </c>
      <c r="J230" s="22" t="n">
        <v>0.47644656917206</v>
      </c>
      <c r="K230" s="22" t="n">
        <v>0.360242441451178</v>
      </c>
      <c r="L230" s="22" t="n">
        <v>0.8082816594876381</v>
      </c>
    </row>
    <row r="231">
      <c r="A231" s="10" t="n">
        <v>0.975</v>
      </c>
      <c r="B231" s="22" t="n">
        <v>0.3686019695797189</v>
      </c>
      <c r="C231" s="22" t="n">
        <v>0.3616972955388661</v>
      </c>
      <c r="D231" s="22" t="n">
        <v>0.08056414662311102</v>
      </c>
      <c r="E231" s="22" t="n">
        <v>0.7964622275879247</v>
      </c>
      <c r="F231" s="22" t="n">
        <v>0.8924816056594325</v>
      </c>
      <c r="G231" s="22" t="n">
        <v>0.1962486876081835</v>
      </c>
      <c r="H231" s="22" t="n">
        <v>0.164309403138537</v>
      </c>
      <c r="I231" s="22" t="n">
        <v>0.07434460691841446</v>
      </c>
      <c r="J231" s="22" t="n">
        <v>0.4896811960935061</v>
      </c>
      <c r="K231" s="22" t="n">
        <v>0.3514560404401736</v>
      </c>
      <c r="L231" s="22" t="n">
        <v>0.2549073176198551</v>
      </c>
    </row>
    <row r="232">
      <c r="A232" s="10" t="n">
        <v>0.985</v>
      </c>
      <c r="B232" s="22" t="n">
        <v>0.367642635382802</v>
      </c>
      <c r="C232" s="22" t="n">
        <v>0.3556188167683017</v>
      </c>
      <c r="D232" s="22" t="n">
        <v>0.08056414662311102</v>
      </c>
      <c r="E232" s="22" t="n">
        <v>0.8127165587631886</v>
      </c>
      <c r="F232" s="22" t="n">
        <v>0.8707137616189585</v>
      </c>
      <c r="G232" s="22" t="n">
        <v>0.1962486876081835</v>
      </c>
      <c r="H232" s="22" t="n">
        <v>0.164309403138537</v>
      </c>
      <c r="I232" s="22" t="n">
        <v>0.07194639379201401</v>
      </c>
      <c r="J232" s="22" t="n">
        <v>0.4896811960935061</v>
      </c>
      <c r="K232" s="22" t="n">
        <v>0.360242441451178</v>
      </c>
      <c r="L232" s="22" t="n">
        <v>0.2486900659705904</v>
      </c>
    </row>
    <row r="233">
      <c r="A233" s="10" t="n">
        <v>0.995</v>
      </c>
      <c r="B233" s="22" t="n">
        <v>0.3694967877880495</v>
      </c>
      <c r="C233" s="22" t="n">
        <v>0.3556188167683017</v>
      </c>
      <c r="D233" s="22" t="n">
        <v>0.08056414662311102</v>
      </c>
      <c r="E233" s="22" t="n">
        <v>0.7964622275879247</v>
      </c>
      <c r="F233" s="22" t="n">
        <v>0.8924816056594325</v>
      </c>
      <c r="G233" s="22" t="n">
        <v>0.1962486876081835</v>
      </c>
      <c r="H233" s="22" t="n">
        <v>0.164309403138537</v>
      </c>
      <c r="I233" s="22" t="n">
        <v>0.07434460691841446</v>
      </c>
      <c r="J233" s="22" t="n">
        <v>0.4896811960935061</v>
      </c>
      <c r="K233" s="22" t="n">
        <v>0.360242441451178</v>
      </c>
      <c r="L233" s="22" t="n">
        <v>0.2549073176198551</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2" t="n">
        <v>3.941437146295669</v>
      </c>
      <c r="C260" s="22" t="n">
        <v>0.6696951614754967</v>
      </c>
      <c r="D260" s="22" t="n">
        <v>0.1156237252927844</v>
      </c>
      <c r="E260" s="22" t="n">
        <v>0.04569951575529758</v>
      </c>
      <c r="F260" s="22" t="n">
        <v>0</v>
      </c>
      <c r="G260" s="22" t="n">
        <v>0</v>
      </c>
      <c r="H260" s="22" t="n">
        <v>0.4752873839002238</v>
      </c>
    </row>
    <row r="261">
      <c r="A261" s="10" t="n">
        <v>0.015</v>
      </c>
      <c r="B261" s="22" t="n">
        <v>3.940899936083637</v>
      </c>
      <c r="C261" s="22" t="n">
        <v>0.6705487861552633</v>
      </c>
      <c r="D261" s="22" t="n">
        <v>0.1159383883636126</v>
      </c>
      <c r="E261" s="22" t="n">
        <v>0.04589862615539415</v>
      </c>
      <c r="F261" s="22" t="n">
        <v>0</v>
      </c>
      <c r="G261" s="22" t="n">
        <v>0</v>
      </c>
      <c r="H261" s="22" t="n">
        <v>0.4752908733427151</v>
      </c>
    </row>
    <row r="262">
      <c r="A262" s="10" t="n">
        <v>0.025</v>
      </c>
      <c r="B262" s="22" t="n">
        <v>3.986605846595426</v>
      </c>
      <c r="C262" s="22" t="n">
        <v>0.6918250225451796</v>
      </c>
      <c r="D262" s="22" t="n">
        <v>0.1188402842651544</v>
      </c>
      <c r="E262" s="22" t="n">
        <v>0.04712673485450121</v>
      </c>
      <c r="F262" s="22" t="n">
        <v>0</v>
      </c>
      <c r="G262" s="22" t="n">
        <v>0</v>
      </c>
      <c r="H262" s="22" t="n">
        <v>0.485994194681533</v>
      </c>
    </row>
    <row r="263">
      <c r="A263" s="10" t="n">
        <v>0.035</v>
      </c>
      <c r="B263" s="22" t="n">
        <v>4.002596706559378</v>
      </c>
      <c r="C263" s="22" t="n">
        <v>0.7941953137122136</v>
      </c>
      <c r="D263" s="22" t="n">
        <v>0.1463147009129873</v>
      </c>
      <c r="E263" s="22" t="n">
        <v>0.06406837028246083</v>
      </c>
      <c r="F263" s="22" t="n">
        <v>0.003099932278402534</v>
      </c>
      <c r="G263" s="22" t="n">
        <v>0</v>
      </c>
      <c r="H263" s="22" t="n">
        <v>0.5381809018304463</v>
      </c>
    </row>
    <row r="264">
      <c r="A264" s="10" t="n">
        <v>0.045</v>
      </c>
      <c r="B264" s="22" t="n">
        <v>3.68680281788339</v>
      </c>
      <c r="C264" s="22" t="n">
        <v>0.9305619771983992</v>
      </c>
      <c r="D264" s="22" t="n">
        <v>0.2037999140348651</v>
      </c>
      <c r="E264" s="22" t="n">
        <v>0.1092191490046586</v>
      </c>
      <c r="F264" s="22" t="n">
        <v>0.01417166765650679</v>
      </c>
      <c r="G264" s="22" t="n">
        <v>0</v>
      </c>
      <c r="H264" s="22" t="n">
        <v>0.6067298587230039</v>
      </c>
    </row>
    <row r="265">
      <c r="A265" s="10" t="n">
        <v>0.055</v>
      </c>
      <c r="B265" s="22" t="n">
        <v>3.621025748783166</v>
      </c>
      <c r="C265" s="22" t="n">
        <v>0.9788713589446573</v>
      </c>
      <c r="D265" s="22" t="n">
        <v>0.2276862522119634</v>
      </c>
      <c r="E265" s="22" t="n">
        <v>0.126857318336063</v>
      </c>
      <c r="F265" s="22" t="n">
        <v>0.01648900295391208</v>
      </c>
      <c r="G265" s="22" t="n">
        <v>0</v>
      </c>
      <c r="H265" s="22" t="n">
        <v>0.6366192478574595</v>
      </c>
    </row>
    <row r="266">
      <c r="A266" s="10" t="n">
        <v>0.065</v>
      </c>
      <c r="B266" s="22" t="n">
        <v>3.621038433178061</v>
      </c>
      <c r="C266" s="22" t="n">
        <v>1.215766611880865</v>
      </c>
      <c r="D266" s="22" t="n">
        <v>0.3234078334422904</v>
      </c>
      <c r="E266" s="22" t="n">
        <v>0.1948034423924698</v>
      </c>
      <c r="F266" s="22" t="n">
        <v>0.0257123617758694</v>
      </c>
      <c r="G266" s="22" t="n">
        <v>0</v>
      </c>
      <c r="H266" s="22" t="n">
        <v>0.7910576592956137</v>
      </c>
    </row>
    <row r="267">
      <c r="A267" s="10" t="n">
        <v>0.075</v>
      </c>
      <c r="B267" s="22" t="n">
        <v>3.395543620317405</v>
      </c>
      <c r="C267" s="22" t="n">
        <v>1.175917866160372</v>
      </c>
      <c r="D267" s="22" t="n">
        <v>0.3373276612452294</v>
      </c>
      <c r="E267" s="22" t="n">
        <v>0.2072647884972477</v>
      </c>
      <c r="F267" s="22" t="n">
        <v>0.03073511366481365</v>
      </c>
      <c r="G267" s="22" t="n">
        <v>0</v>
      </c>
      <c r="H267" s="22" t="n">
        <v>0.7822269776707585</v>
      </c>
    </row>
    <row r="268">
      <c r="A268" s="10" t="n">
        <v>0.08500000000000001</v>
      </c>
      <c r="B268" s="22" t="n">
        <v>3.287820979991289</v>
      </c>
      <c r="C268" s="22" t="n">
        <v>1.214839158860828</v>
      </c>
      <c r="D268" s="22" t="n">
        <v>0.3613289806998426</v>
      </c>
      <c r="E268" s="22" t="n">
        <v>0.2342214248447398</v>
      </c>
      <c r="F268" s="22" t="n">
        <v>0.04149004041703386</v>
      </c>
      <c r="G268" s="22" t="n">
        <v>0.0003554133901994759</v>
      </c>
      <c r="H268" s="22" t="n">
        <v>0.8170284514085367</v>
      </c>
    </row>
    <row r="269">
      <c r="A269" s="10" t="n">
        <v>0.095</v>
      </c>
      <c r="B269" s="22" t="n">
        <v>3.146707745374763</v>
      </c>
      <c r="C269" s="22" t="n">
        <v>1.211021303365726</v>
      </c>
      <c r="D269" s="22" t="n">
        <v>0.3663266789714752</v>
      </c>
      <c r="E269" s="22" t="n">
        <v>0.2497215564146</v>
      </c>
      <c r="F269" s="22" t="n">
        <v>0.04908432049340618</v>
      </c>
      <c r="G269" s="22" t="n">
        <v>0.0007503171570877827</v>
      </c>
      <c r="H269" s="22" t="n">
        <v>0.8060630858577784</v>
      </c>
    </row>
    <row r="270">
      <c r="A270" s="10" t="n">
        <v>0.105</v>
      </c>
      <c r="B270" s="22" t="n">
        <v>3.129617727616574</v>
      </c>
      <c r="C270" s="22" t="n">
        <v>1.208828893415459</v>
      </c>
      <c r="D270" s="22" t="n">
        <v>0.3730913141735824</v>
      </c>
      <c r="E270" s="22" t="n">
        <v>0.2593720801141122</v>
      </c>
      <c r="F270" s="22" t="n">
        <v>0.0537808880985632</v>
      </c>
      <c r="G270" s="22" t="n">
        <v>0.001113507986853956</v>
      </c>
      <c r="H270" s="22" t="n">
        <v>0.8066349460767518</v>
      </c>
    </row>
    <row r="271">
      <c r="A271" s="10" t="n">
        <v>0.115</v>
      </c>
      <c r="B271" s="22" t="n">
        <v>2.976744302452556</v>
      </c>
      <c r="C271" s="22" t="n">
        <v>1.268251159510488</v>
      </c>
      <c r="D271" s="22" t="n">
        <v>0.4167121688454043</v>
      </c>
      <c r="E271" s="22" t="n">
        <v>0.3043127253644147</v>
      </c>
      <c r="F271" s="22" t="n">
        <v>0.06925459003391643</v>
      </c>
      <c r="G271" s="22" t="n">
        <v>0.001874073143064433</v>
      </c>
      <c r="H271" s="22" t="n">
        <v>0.8346228262768948</v>
      </c>
    </row>
    <row r="272">
      <c r="A272" s="10" t="n">
        <v>0.125</v>
      </c>
      <c r="B272" s="22" t="n">
        <v>2.773366167275966</v>
      </c>
      <c r="C272" s="22" t="n">
        <v>1.377254566661914</v>
      </c>
      <c r="D272" s="22" t="n">
        <v>0.4931014250842237</v>
      </c>
      <c r="E272" s="22" t="n">
        <v>0.3711776134776883</v>
      </c>
      <c r="F272" s="22" t="n">
        <v>0.09617235209063385</v>
      </c>
      <c r="G272" s="22" t="n">
        <v>0.004305867121199364</v>
      </c>
      <c r="H272" s="22" t="n">
        <v>0.8963819089251227</v>
      </c>
    </row>
    <row r="273">
      <c r="A273" s="10" t="n">
        <v>0.135</v>
      </c>
      <c r="B273" s="22" t="n">
        <v>2.721751782587371</v>
      </c>
      <c r="C273" s="22" t="n">
        <v>1.388710351907457</v>
      </c>
      <c r="D273" s="22" t="n">
        <v>0.5380745541206686</v>
      </c>
      <c r="E273" s="22" t="n">
        <v>0.4089504239720614</v>
      </c>
      <c r="F273" s="22" t="n">
        <v>0.1118570496449311</v>
      </c>
      <c r="G273" s="22" t="n">
        <v>0.006331312653109117</v>
      </c>
      <c r="H273" s="22" t="n">
        <v>0.920111829537297</v>
      </c>
    </row>
    <row r="274">
      <c r="A274" s="10" t="n">
        <v>0.145</v>
      </c>
      <c r="B274" s="22" t="n">
        <v>2.622744606459673</v>
      </c>
      <c r="C274" s="22" t="n">
        <v>1.395954171294194</v>
      </c>
      <c r="D274" s="22" t="n">
        <v>0.5491802567517343</v>
      </c>
      <c r="E274" s="22" t="n">
        <v>0.4215566299509213</v>
      </c>
      <c r="F274" s="22" t="n">
        <v>0.1220394356543271</v>
      </c>
      <c r="G274" s="22" t="n">
        <v>0.007720516766432262</v>
      </c>
      <c r="H274" s="22" t="n">
        <v>0.9185515657996102</v>
      </c>
    </row>
    <row r="275">
      <c r="A275" s="10" t="n">
        <v>0.155</v>
      </c>
      <c r="B275" s="22" t="n">
        <v>2.614155692111274</v>
      </c>
      <c r="C275" s="22" t="n">
        <v>1.398550873371592</v>
      </c>
      <c r="D275" s="22" t="n">
        <v>0.5499875704886119</v>
      </c>
      <c r="E275" s="22" t="n">
        <v>0.4218363157600059</v>
      </c>
      <c r="F275" s="22" t="n">
        <v>0.1228860404249435</v>
      </c>
      <c r="G275" s="22" t="n">
        <v>0.007853287342887519</v>
      </c>
      <c r="H275" s="22" t="n">
        <v>0.9180174312839249</v>
      </c>
    </row>
    <row r="276">
      <c r="A276" s="10" t="n">
        <v>0.165</v>
      </c>
      <c r="B276" s="22" t="n">
        <v>2.497454421947524</v>
      </c>
      <c r="C276" s="22" t="n">
        <v>1.366470756421465</v>
      </c>
      <c r="D276" s="22" t="n">
        <v>0.5466158315350722</v>
      </c>
      <c r="E276" s="22" t="n">
        <v>0.4129062515654055</v>
      </c>
      <c r="F276" s="22" t="n">
        <v>0.1235625130981966</v>
      </c>
      <c r="G276" s="22" t="n">
        <v>0.007951855206471625</v>
      </c>
      <c r="H276" s="22" t="n">
        <v>0.9113940350957216</v>
      </c>
    </row>
    <row r="277">
      <c r="A277" s="10" t="n">
        <v>0.175</v>
      </c>
      <c r="B277" s="22" t="n">
        <v>2.266770100479235</v>
      </c>
      <c r="C277" s="22" t="n">
        <v>1.322894203488604</v>
      </c>
      <c r="D277" s="22" t="n">
        <v>0.5886281913619439</v>
      </c>
      <c r="E277" s="22" t="n">
        <v>0.4486774378615246</v>
      </c>
      <c r="F277" s="22" t="n">
        <v>0.1558601319589893</v>
      </c>
      <c r="G277" s="22" t="n">
        <v>0.0122925676196888</v>
      </c>
      <c r="H277" s="22" t="n">
        <v>0.9313816735623041</v>
      </c>
    </row>
    <row r="278">
      <c r="A278" s="10" t="n">
        <v>0.185</v>
      </c>
      <c r="B278" s="22" t="n">
        <v>2.018336940109962</v>
      </c>
      <c r="C278" s="22" t="n">
        <v>1.34068132711384</v>
      </c>
      <c r="D278" s="22" t="n">
        <v>0.6808319765926664</v>
      </c>
      <c r="E278" s="22" t="n">
        <v>0.531735241073745</v>
      </c>
      <c r="F278" s="22" t="n">
        <v>0.2145163107678408</v>
      </c>
      <c r="G278" s="22" t="n">
        <v>0.01819957202921684</v>
      </c>
      <c r="H278" s="22" t="n">
        <v>0.9944359207725129</v>
      </c>
    </row>
    <row r="279">
      <c r="A279" s="10" t="n">
        <v>0.195</v>
      </c>
      <c r="B279" s="22" t="n">
        <v>2.021762320862856</v>
      </c>
      <c r="C279" s="22" t="n">
        <v>1.349891908526715</v>
      </c>
      <c r="D279" s="22" t="n">
        <v>0.6830875846404364</v>
      </c>
      <c r="E279" s="22" t="n">
        <v>0.5409962129345118</v>
      </c>
      <c r="F279" s="22" t="n">
        <v>0.2176272790458388</v>
      </c>
      <c r="G279" s="22" t="n">
        <v>0.01819350719360937</v>
      </c>
      <c r="H279" s="22" t="n">
        <v>0.9653471360904929</v>
      </c>
    </row>
    <row r="280">
      <c r="A280" s="10" t="n">
        <v>0.205</v>
      </c>
      <c r="B280" s="22" t="n">
        <v>2.034064728219875</v>
      </c>
      <c r="C280" s="22" t="n">
        <v>1.362332974250458</v>
      </c>
      <c r="D280" s="22" t="n">
        <v>0.6871191713489559</v>
      </c>
      <c r="E280" s="22" t="n">
        <v>0.5449199456798166</v>
      </c>
      <c r="F280" s="22" t="n">
        <v>0.2183533372678222</v>
      </c>
      <c r="G280" s="22" t="n">
        <v>0.01823101279078325</v>
      </c>
      <c r="H280" s="22" t="n">
        <v>0.9644587948155157</v>
      </c>
    </row>
    <row r="281">
      <c r="A281" s="10" t="n">
        <v>0.215</v>
      </c>
      <c r="B281" s="22" t="n">
        <v>1.987908317657882</v>
      </c>
      <c r="C281" s="22" t="n">
        <v>1.343660489493916</v>
      </c>
      <c r="D281" s="22" t="n">
        <v>0.6859458428706053</v>
      </c>
      <c r="E281" s="22" t="n">
        <v>0.5642119100950238</v>
      </c>
      <c r="F281" s="22" t="n">
        <v>0.2342595524659145</v>
      </c>
      <c r="G281" s="22" t="n">
        <v>0.02214347892141027</v>
      </c>
      <c r="H281" s="22" t="n">
        <v>0.9447582039681246</v>
      </c>
    </row>
    <row r="282">
      <c r="A282" s="10" t="n">
        <v>0.225</v>
      </c>
      <c r="B282" s="22" t="n">
        <v>1.967708434770405</v>
      </c>
      <c r="C282" s="22" t="n">
        <v>1.351386568767934</v>
      </c>
      <c r="D282" s="22" t="n">
        <v>0.7104373285744373</v>
      </c>
      <c r="E282" s="22" t="n">
        <v>0.5917159936404778</v>
      </c>
      <c r="F282" s="22" t="n">
        <v>0.2577755214549224</v>
      </c>
      <c r="G282" s="22" t="n">
        <v>0.02839262286203822</v>
      </c>
      <c r="H282" s="22" t="n">
        <v>0.9613986352318162</v>
      </c>
    </row>
    <row r="283">
      <c r="A283" s="10" t="n">
        <v>0.235</v>
      </c>
      <c r="B283" s="22" t="n">
        <v>1.878676104990299</v>
      </c>
      <c r="C283" s="22" t="n">
        <v>1.397601088814945</v>
      </c>
      <c r="D283" s="22" t="n">
        <v>0.7493237780334793</v>
      </c>
      <c r="E283" s="22" t="n">
        <v>0.6284245030556027</v>
      </c>
      <c r="F283" s="22" t="n">
        <v>0.2801251273365847</v>
      </c>
      <c r="G283" s="22" t="n">
        <v>0.03208243849568906</v>
      </c>
      <c r="H283" s="22" t="n">
        <v>0.983113062410604</v>
      </c>
    </row>
    <row r="284">
      <c r="A284" s="10" t="n">
        <v>0.245</v>
      </c>
      <c r="B284" s="22" t="n">
        <v>1.655505651794141</v>
      </c>
      <c r="C284" s="22" t="n">
        <v>1.49410254623543</v>
      </c>
      <c r="D284" s="22" t="n">
        <v>0.8452812816464791</v>
      </c>
      <c r="E284" s="22" t="n">
        <v>0.7257556489682224</v>
      </c>
      <c r="F284" s="22" t="n">
        <v>0.3475359640406961</v>
      </c>
      <c r="G284" s="22" t="n">
        <v>0.04501521685836282</v>
      </c>
      <c r="H284" s="22" t="n">
        <v>1.044957686832376</v>
      </c>
    </row>
    <row r="285">
      <c r="A285" s="10" t="n">
        <v>0.255</v>
      </c>
      <c r="B285" s="22" t="n">
        <v>1.612154705033007</v>
      </c>
      <c r="C285" s="22" t="n">
        <v>1.493480335175173</v>
      </c>
      <c r="D285" s="22" t="n">
        <v>0.8523169135190923</v>
      </c>
      <c r="E285" s="22" t="n">
        <v>0.7244240232215735</v>
      </c>
      <c r="F285" s="22" t="n">
        <v>0.3514189174036141</v>
      </c>
      <c r="G285" s="22" t="n">
        <v>0.04731734244231432</v>
      </c>
      <c r="H285" s="22" t="n">
        <v>1.054948142951241</v>
      </c>
    </row>
    <row r="286">
      <c r="A286" s="10" t="n">
        <v>0.265</v>
      </c>
      <c r="B286" s="22" t="n">
        <v>1.60253340943102</v>
      </c>
      <c r="C286" s="22" t="n">
        <v>1.533324106875994</v>
      </c>
      <c r="D286" s="22" t="n">
        <v>0.8716453946038606</v>
      </c>
      <c r="E286" s="22" t="n">
        <v>0.7623677676242789</v>
      </c>
      <c r="F286" s="22" t="n">
        <v>0.3919518488992418</v>
      </c>
      <c r="G286" s="22" t="n">
        <v>0.05518781884873324</v>
      </c>
      <c r="H286" s="22" t="n">
        <v>1.067900697146331</v>
      </c>
    </row>
    <row r="287">
      <c r="A287" s="10" t="n">
        <v>0.275</v>
      </c>
      <c r="B287" s="22" t="n">
        <v>1.565440592535214</v>
      </c>
      <c r="C287" s="22" t="n">
        <v>1.508187412234804</v>
      </c>
      <c r="D287" s="22" t="n">
        <v>0.8622534066208311</v>
      </c>
      <c r="E287" s="22" t="n">
        <v>0.7714457039289203</v>
      </c>
      <c r="F287" s="22" t="n">
        <v>0.4057553251316742</v>
      </c>
      <c r="G287" s="22" t="n">
        <v>0.05733673008072217</v>
      </c>
      <c r="H287" s="22" t="n">
        <v>1.056435987447274</v>
      </c>
    </row>
    <row r="288">
      <c r="A288" s="10" t="n">
        <v>0.285</v>
      </c>
      <c r="B288" s="22" t="n">
        <v>1.572175325879598</v>
      </c>
      <c r="C288" s="22" t="n">
        <v>1.518533682617156</v>
      </c>
      <c r="D288" s="22" t="n">
        <v>0.8685793733990662</v>
      </c>
      <c r="E288" s="22" t="n">
        <v>0.7943637602854606</v>
      </c>
      <c r="F288" s="22" t="n">
        <v>0.4188742048084919</v>
      </c>
      <c r="G288" s="22" t="n">
        <v>0.05897779317037696</v>
      </c>
      <c r="H288" s="22" t="n">
        <v>1.063871622307835</v>
      </c>
    </row>
    <row r="289">
      <c r="A289" s="10" t="n">
        <v>0.295</v>
      </c>
      <c r="B289" s="22" t="n">
        <v>1.483352345701816</v>
      </c>
      <c r="C289" s="22" t="n">
        <v>1.534785884014695</v>
      </c>
      <c r="D289" s="22" t="n">
        <v>0.9143051177320795</v>
      </c>
      <c r="E289" s="22" t="n">
        <v>0.8301738794406962</v>
      </c>
      <c r="F289" s="22" t="n">
        <v>0.4450224121713859</v>
      </c>
      <c r="G289" s="22" t="n">
        <v>0.06523929565005573</v>
      </c>
      <c r="H289" s="22" t="n">
        <v>1.075362451968884</v>
      </c>
    </row>
    <row r="290">
      <c r="A290" s="10" t="n">
        <v>0.305</v>
      </c>
      <c r="B290" s="22" t="n">
        <v>1.259312251230786</v>
      </c>
      <c r="C290" s="22" t="n">
        <v>1.584885941512126</v>
      </c>
      <c r="D290" s="22" t="n">
        <v>1.099010696193711</v>
      </c>
      <c r="E290" s="22" t="n">
        <v>0.9432311811703245</v>
      </c>
      <c r="F290" s="22" t="n">
        <v>0.5230271184945803</v>
      </c>
      <c r="G290" s="22" t="n">
        <v>0.09350583946643319</v>
      </c>
      <c r="H290" s="22" t="n">
        <v>1.100261304511646</v>
      </c>
    </row>
    <row r="291">
      <c r="A291" s="10" t="n">
        <v>0.315</v>
      </c>
      <c r="B291" s="22" t="n">
        <v>1.237495589331734</v>
      </c>
      <c r="C291" s="22" t="n">
        <v>1.580682895341179</v>
      </c>
      <c r="D291" s="22" t="n">
        <v>1.157549046169112</v>
      </c>
      <c r="E291" s="22" t="n">
        <v>0.9450512868495856</v>
      </c>
      <c r="F291" s="22" t="n">
        <v>0.530540958704289</v>
      </c>
      <c r="G291" s="22" t="n">
        <v>0.1033063538639509</v>
      </c>
      <c r="H291" s="22" t="n">
        <v>1.107987513383467</v>
      </c>
    </row>
    <row r="292">
      <c r="A292" s="10" t="n">
        <v>0.325</v>
      </c>
      <c r="B292" s="22" t="n">
        <v>1.215836554002666</v>
      </c>
      <c r="C292" s="22" t="n">
        <v>1.569819803709331</v>
      </c>
      <c r="D292" s="22" t="n">
        <v>1.155515708630444</v>
      </c>
      <c r="E292" s="22" t="n">
        <v>0.9466803633122224</v>
      </c>
      <c r="F292" s="22" t="n">
        <v>0.5330054477040521</v>
      </c>
      <c r="G292" s="22" t="n">
        <v>0.1039669735902085</v>
      </c>
      <c r="H292" s="22" t="n">
        <v>1.110722932235025</v>
      </c>
    </row>
    <row r="293">
      <c r="A293" s="10" t="n">
        <v>0.335</v>
      </c>
      <c r="B293" s="22" t="n">
        <v>1.183684420722426</v>
      </c>
      <c r="C293" s="22" t="n">
        <v>1.594510563876252</v>
      </c>
      <c r="D293" s="22" t="n">
        <v>1.177443082870669</v>
      </c>
      <c r="E293" s="22" t="n">
        <v>0.9684079278584957</v>
      </c>
      <c r="F293" s="22" t="n">
        <v>0.5442233266989086</v>
      </c>
      <c r="G293" s="22" t="n">
        <v>0.1059704324620117</v>
      </c>
      <c r="H293" s="22" t="n">
        <v>1.139174359252587</v>
      </c>
    </row>
    <row r="294">
      <c r="A294" s="10" t="n">
        <v>0.345</v>
      </c>
      <c r="B294" s="22" t="n">
        <v>1.176686544339332</v>
      </c>
      <c r="C294" s="22" t="n">
        <v>1.586838339022585</v>
      </c>
      <c r="D294" s="22" t="n">
        <v>1.171835103741269</v>
      </c>
      <c r="E294" s="22" t="n">
        <v>0.9570884305160624</v>
      </c>
      <c r="F294" s="22" t="n">
        <v>0.5418995326898584</v>
      </c>
      <c r="G294" s="22" t="n">
        <v>0.1057479576870023</v>
      </c>
      <c r="H294" s="22" t="n">
        <v>1.128194759801896</v>
      </c>
    </row>
    <row r="295">
      <c r="A295" s="10" t="n">
        <v>0.355</v>
      </c>
      <c r="B295" s="22" t="n">
        <v>1.065634458306042</v>
      </c>
      <c r="C295" s="22" t="n">
        <v>1.62215330171042</v>
      </c>
      <c r="D295" s="22" t="n">
        <v>1.231477454197138</v>
      </c>
      <c r="E295" s="22" t="n">
        <v>0.9947717910509638</v>
      </c>
      <c r="F295" s="22" t="n">
        <v>0.6291563334067974</v>
      </c>
      <c r="G295" s="22" t="n">
        <v>0.1296130023761027</v>
      </c>
      <c r="H295" s="22" t="n">
        <v>1.151661142087336</v>
      </c>
    </row>
    <row r="296">
      <c r="A296" s="10" t="n">
        <v>0.365</v>
      </c>
      <c r="B296" s="22" t="n">
        <v>0.8860738341460124</v>
      </c>
      <c r="C296" s="22" t="n">
        <v>1.624382124842446</v>
      </c>
      <c r="D296" s="22" t="n">
        <v>1.29807974513839</v>
      </c>
      <c r="E296" s="22" t="n">
        <v>1.070766356227333</v>
      </c>
      <c r="F296" s="22" t="n">
        <v>0.7193551327527773</v>
      </c>
      <c r="G296" s="22" t="n">
        <v>0.1511434982529592</v>
      </c>
      <c r="H296" s="22" t="n">
        <v>1.19021116838994</v>
      </c>
    </row>
    <row r="297">
      <c r="A297" s="10" t="n">
        <v>0.375</v>
      </c>
      <c r="B297" s="22" t="n">
        <v>0.8884219989553435</v>
      </c>
      <c r="C297" s="22" t="n">
        <v>1.628492437930918</v>
      </c>
      <c r="D297" s="22" t="n">
        <v>1.299289547684296</v>
      </c>
      <c r="E297" s="22" t="n">
        <v>1.076109711587465</v>
      </c>
      <c r="F297" s="22" t="n">
        <v>0.7211513435449222</v>
      </c>
      <c r="G297" s="22" t="n">
        <v>0.1509904678973487</v>
      </c>
      <c r="H297" s="22" t="n">
        <v>1.194925844010417</v>
      </c>
    </row>
    <row r="298">
      <c r="A298" s="10" t="n">
        <v>0.385</v>
      </c>
      <c r="B298" s="22" t="n">
        <v>0.8786303842094979</v>
      </c>
      <c r="C298" s="22" t="n">
        <v>1.652561934321469</v>
      </c>
      <c r="D298" s="22" t="n">
        <v>1.321068013454048</v>
      </c>
      <c r="E298" s="22" t="n">
        <v>1.093543312786124</v>
      </c>
      <c r="F298" s="22" t="n">
        <v>0.7446924098083531</v>
      </c>
      <c r="G298" s="22" t="n">
        <v>0.1561385580566181</v>
      </c>
      <c r="H298" s="22" t="n">
        <v>1.195017074066585</v>
      </c>
    </row>
    <row r="299">
      <c r="A299" s="10" t="n">
        <v>0.395</v>
      </c>
      <c r="B299" s="22" t="n">
        <v>0.8606569796327885</v>
      </c>
      <c r="C299" s="22" t="n">
        <v>1.637751975076295</v>
      </c>
      <c r="D299" s="22" t="n">
        <v>1.316336437102325</v>
      </c>
      <c r="E299" s="22" t="n">
        <v>1.14028440941909</v>
      </c>
      <c r="F299" s="22" t="n">
        <v>0.7830851880246965</v>
      </c>
      <c r="G299" s="22" t="n">
        <v>0.1709395468047197</v>
      </c>
      <c r="H299" s="22" t="n">
        <v>1.186179905616896</v>
      </c>
    </row>
    <row r="300">
      <c r="A300" s="10" t="n">
        <v>0.405</v>
      </c>
      <c r="B300" s="22" t="n">
        <v>0.8414215709275684</v>
      </c>
      <c r="C300" s="22" t="n">
        <v>1.60309247895672</v>
      </c>
      <c r="D300" s="22" t="n">
        <v>1.298588492041786</v>
      </c>
      <c r="E300" s="22" t="n">
        <v>1.15392226210558</v>
      </c>
      <c r="F300" s="22" t="n">
        <v>0.7974403654728535</v>
      </c>
      <c r="G300" s="22" t="n">
        <v>0.1814787779333058</v>
      </c>
      <c r="H300" s="22" t="n">
        <v>1.16936001159408</v>
      </c>
    </row>
    <row r="301">
      <c r="A301" s="10" t="n">
        <v>0.415</v>
      </c>
      <c r="B301" s="22" t="n">
        <v>0.7611528480376705</v>
      </c>
      <c r="C301" s="22" t="n">
        <v>1.619938076562635</v>
      </c>
      <c r="D301" s="22" t="n">
        <v>1.403527914007125</v>
      </c>
      <c r="E301" s="22" t="n">
        <v>1.181277684243822</v>
      </c>
      <c r="F301" s="22" t="n">
        <v>0.8544509660436451</v>
      </c>
      <c r="G301" s="22" t="n">
        <v>0.2027666746379999</v>
      </c>
      <c r="H301" s="22" t="n">
        <v>1.200263841564073</v>
      </c>
    </row>
    <row r="302">
      <c r="A302" s="10" t="n">
        <v>0.425</v>
      </c>
      <c r="B302" s="22" t="n">
        <v>0.6260963639579376</v>
      </c>
      <c r="C302" s="22" t="n">
        <v>1.627621006347223</v>
      </c>
      <c r="D302" s="22" t="n">
        <v>1.518829731341083</v>
      </c>
      <c r="E302" s="22" t="n">
        <v>1.24290256613782</v>
      </c>
      <c r="F302" s="22" t="n">
        <v>0.9356149442435504</v>
      </c>
      <c r="G302" s="22" t="n">
        <v>0.2359203548735381</v>
      </c>
      <c r="H302" s="22" t="n">
        <v>1.229118458653277</v>
      </c>
    </row>
    <row r="303">
      <c r="A303" s="10" t="n">
        <v>0.435</v>
      </c>
      <c r="B303" s="22" t="n">
        <v>0.5897264423305012</v>
      </c>
      <c r="C303" s="22" t="n">
        <v>1.628485001891924</v>
      </c>
      <c r="D303" s="22" t="n">
        <v>1.522313038930735</v>
      </c>
      <c r="E303" s="22" t="n">
        <v>1.260919471394593</v>
      </c>
      <c r="F303" s="22" t="n">
        <v>0.9507905463062273</v>
      </c>
      <c r="G303" s="22" t="n">
        <v>0.2474033815754338</v>
      </c>
      <c r="H303" s="22" t="n">
        <v>1.248195992739131</v>
      </c>
    </row>
    <row r="304">
      <c r="A304" s="10" t="n">
        <v>0.445</v>
      </c>
      <c r="B304" s="22" t="n">
        <v>0.5688442031258565</v>
      </c>
      <c r="C304" s="22" t="n">
        <v>1.560727722645253</v>
      </c>
      <c r="D304" s="22" t="n">
        <v>1.461715806033357</v>
      </c>
      <c r="E304" s="22" t="n">
        <v>1.239381962481739</v>
      </c>
      <c r="F304" s="22" t="n">
        <v>0.960148275576949</v>
      </c>
      <c r="G304" s="22" t="n">
        <v>0.280445177145894</v>
      </c>
      <c r="H304" s="22" t="n">
        <v>1.243013268903739</v>
      </c>
    </row>
    <row r="305">
      <c r="A305" s="10" t="n">
        <v>0.455</v>
      </c>
      <c r="B305" s="22" t="n">
        <v>0.5590434579549864</v>
      </c>
      <c r="C305" s="22" t="n">
        <v>1.594283529256043</v>
      </c>
      <c r="D305" s="22" t="n">
        <v>1.472340550492014</v>
      </c>
      <c r="E305" s="22" t="n">
        <v>1.25345136623157</v>
      </c>
      <c r="F305" s="22" t="n">
        <v>0.9871359432603668</v>
      </c>
      <c r="G305" s="22" t="n">
        <v>0.2856307181924254</v>
      </c>
      <c r="H305" s="22" t="n">
        <v>1.251286060482568</v>
      </c>
    </row>
    <row r="306">
      <c r="A306" s="10" t="n">
        <v>0.465</v>
      </c>
      <c r="B306" s="22" t="n">
        <v>0.5481480043386464</v>
      </c>
      <c r="C306" s="22" t="n">
        <v>1.614059815535884</v>
      </c>
      <c r="D306" s="22" t="n">
        <v>1.485466164190614</v>
      </c>
      <c r="E306" s="22" t="n">
        <v>1.264578736226849</v>
      </c>
      <c r="F306" s="22" t="n">
        <v>1.006883376664885</v>
      </c>
      <c r="G306" s="22" t="n">
        <v>0.2871291039071457</v>
      </c>
      <c r="H306" s="22" t="n">
        <v>1.253533862525748</v>
      </c>
    </row>
    <row r="307">
      <c r="A307" s="10" t="n">
        <v>0.475</v>
      </c>
      <c r="B307" s="22" t="n">
        <v>0.5164946361153259</v>
      </c>
      <c r="C307" s="22" t="n">
        <v>1.658279203619953</v>
      </c>
      <c r="D307" s="22" t="n">
        <v>1.592832253308727</v>
      </c>
      <c r="E307" s="22" t="n">
        <v>1.342784829247838</v>
      </c>
      <c r="F307" s="22" t="n">
        <v>1.101000252533762</v>
      </c>
      <c r="G307" s="22" t="n">
        <v>0.3311962515216497</v>
      </c>
      <c r="H307" s="22" t="n">
        <v>1.274241770709935</v>
      </c>
    </row>
    <row r="308">
      <c r="A308" s="10" t="n">
        <v>0.485</v>
      </c>
      <c r="B308" s="22" t="n">
        <v>0.4704547050788586</v>
      </c>
      <c r="C308" s="22" t="n">
        <v>1.777113635074958</v>
      </c>
      <c r="D308" s="22" t="n">
        <v>1.813646377747369</v>
      </c>
      <c r="E308" s="22" t="n">
        <v>1.507285512202958</v>
      </c>
      <c r="F308" s="22" t="n">
        <v>1.256832131608094</v>
      </c>
      <c r="G308" s="22" t="n">
        <v>0.3971074254121512</v>
      </c>
      <c r="H308" s="22" t="n">
        <v>1.333379389023543</v>
      </c>
    </row>
    <row r="309">
      <c r="A309" s="10" t="n">
        <v>0.495</v>
      </c>
      <c r="B309" s="22" t="n">
        <v>0.4546413721058041</v>
      </c>
      <c r="C309" s="22" t="n">
        <v>1.848312826272379</v>
      </c>
      <c r="D309" s="22" t="n">
        <v>1.902090774284113</v>
      </c>
      <c r="E309" s="22" t="n">
        <v>1.591960481180173</v>
      </c>
      <c r="F309" s="22" t="n">
        <v>1.30398405059973</v>
      </c>
      <c r="G309" s="22" t="n">
        <v>0.4241170365470153</v>
      </c>
      <c r="H309" s="22" t="n">
        <v>1.377403097771239</v>
      </c>
    </row>
    <row r="310">
      <c r="A310" s="10" t="n">
        <v>0.505</v>
      </c>
      <c r="B310" s="22" t="n">
        <v>0.422340308641259</v>
      </c>
      <c r="C310" s="22" t="n">
        <v>1.831943003353085</v>
      </c>
      <c r="D310" s="22" t="n">
        <v>1.91163967549333</v>
      </c>
      <c r="E310" s="22" t="n">
        <v>1.573898868132588</v>
      </c>
      <c r="F310" s="22" t="n">
        <v>1.307131957260921</v>
      </c>
      <c r="G310" s="22" t="n">
        <v>0.4278786690671491</v>
      </c>
      <c r="H310" s="22" t="n">
        <v>1.342328914083158</v>
      </c>
    </row>
    <row r="311">
      <c r="A311" s="10" t="n">
        <v>0.515</v>
      </c>
      <c r="B311" s="22" t="n">
        <v>0.3837842824825642</v>
      </c>
      <c r="C311" s="22" t="n">
        <v>1.790927898519373</v>
      </c>
      <c r="D311" s="22" t="n">
        <v>1.921087710512691</v>
      </c>
      <c r="E311" s="22" t="n">
        <v>1.555523294475488</v>
      </c>
      <c r="F311" s="22" t="n">
        <v>1.301174801223332</v>
      </c>
      <c r="G311" s="22" t="n">
        <v>0.4334878844908445</v>
      </c>
      <c r="H311" s="22" t="n">
        <v>1.286192951306004</v>
      </c>
    </row>
    <row r="312">
      <c r="A312" s="10" t="n">
        <v>0.525</v>
      </c>
      <c r="B312" s="22" t="n">
        <v>0.350543161212712</v>
      </c>
      <c r="C312" s="22" t="n">
        <v>1.682102504251893</v>
      </c>
      <c r="D312" s="22" t="n">
        <v>1.876669182830209</v>
      </c>
      <c r="E312" s="22" t="n">
        <v>1.543981445779723</v>
      </c>
      <c r="F312" s="22" t="n">
        <v>1.304522945069172</v>
      </c>
      <c r="G312" s="22" t="n">
        <v>0.4673924090857842</v>
      </c>
      <c r="H312" s="22" t="n">
        <v>1.252996215609076</v>
      </c>
    </row>
    <row r="313">
      <c r="A313" s="10" t="n">
        <v>0.535</v>
      </c>
      <c r="B313" s="22" t="n">
        <v>0.3059196210729086</v>
      </c>
      <c r="C313" s="22" t="n">
        <v>1.658775642671551</v>
      </c>
      <c r="D313" s="22" t="n">
        <v>1.977857738671318</v>
      </c>
      <c r="E313" s="22" t="n">
        <v>1.60795671767789</v>
      </c>
      <c r="F313" s="22" t="n">
        <v>1.45433459317637</v>
      </c>
      <c r="G313" s="22" t="n">
        <v>0.5348202391537457</v>
      </c>
      <c r="H313" s="22" t="n">
        <v>1.317944631822089</v>
      </c>
    </row>
    <row r="314">
      <c r="A314" s="10" t="n">
        <v>0.545</v>
      </c>
      <c r="B314" s="22" t="n">
        <v>0.2889178609749564</v>
      </c>
      <c r="C314" s="22" t="n">
        <v>1.601429940431982</v>
      </c>
      <c r="D314" s="22" t="n">
        <v>1.986601755119484</v>
      </c>
      <c r="E314" s="22" t="n">
        <v>1.671706754464501</v>
      </c>
      <c r="F314" s="22" t="n">
        <v>1.623875025666387</v>
      </c>
      <c r="G314" s="22" t="n">
        <v>0.6077323644433731</v>
      </c>
      <c r="H314" s="22" t="n">
        <v>1.382297959835939</v>
      </c>
    </row>
    <row r="315">
      <c r="A315" s="10" t="n">
        <v>0.555</v>
      </c>
      <c r="B315" s="22" t="n">
        <v>0.2770058168077227</v>
      </c>
      <c r="C315" s="22" t="n">
        <v>1.543525340875494</v>
      </c>
      <c r="D315" s="22" t="n">
        <v>1.958085196951064</v>
      </c>
      <c r="E315" s="22" t="n">
        <v>1.677594501412794</v>
      </c>
      <c r="F315" s="22" t="n">
        <v>1.66751670268608</v>
      </c>
      <c r="G315" s="22" t="n">
        <v>0.6795931202670398</v>
      </c>
      <c r="H315" s="22" t="n">
        <v>1.373199068916437</v>
      </c>
    </row>
    <row r="316">
      <c r="A316" s="10" t="n">
        <v>0.5649999999999999</v>
      </c>
      <c r="B316" s="22" t="n">
        <v>0.2388284178364385</v>
      </c>
      <c r="C316" s="22" t="n">
        <v>1.458077088522538</v>
      </c>
      <c r="D316" s="22" t="n">
        <v>1.877841338817378</v>
      </c>
      <c r="E316" s="22" t="n">
        <v>1.695924023660227</v>
      </c>
      <c r="F316" s="22" t="n">
        <v>1.766764619768609</v>
      </c>
      <c r="G316" s="22" t="n">
        <v>0.7914484755319819</v>
      </c>
      <c r="H316" s="22" t="n">
        <v>1.398078820775328</v>
      </c>
    </row>
    <row r="317">
      <c r="A317" s="10" t="n">
        <v>0.575</v>
      </c>
      <c r="B317" s="22" t="n">
        <v>0.1905930484503253</v>
      </c>
      <c r="C317" s="22" t="n">
        <v>1.420596547985813</v>
      </c>
      <c r="D317" s="22" t="n">
        <v>1.823396932317301</v>
      </c>
      <c r="E317" s="22" t="n">
        <v>1.742228215631218</v>
      </c>
      <c r="F317" s="22" t="n">
        <v>1.861840012779293</v>
      </c>
      <c r="G317" s="22" t="n">
        <v>0.8675989326510348</v>
      </c>
      <c r="H317" s="22" t="n">
        <v>1.406401678299634</v>
      </c>
    </row>
    <row r="318">
      <c r="A318" s="10" t="n">
        <v>0.585</v>
      </c>
      <c r="B318" s="22" t="n">
        <v>0.1722000541936092</v>
      </c>
      <c r="C318" s="22" t="n">
        <v>1.404256288818149</v>
      </c>
      <c r="D318" s="22" t="n">
        <v>1.805778630269227</v>
      </c>
      <c r="E318" s="22" t="n">
        <v>1.795157260134731</v>
      </c>
      <c r="F318" s="22" t="n">
        <v>1.874728297127508</v>
      </c>
      <c r="G318" s="22" t="n">
        <v>0.8890281237146004</v>
      </c>
      <c r="H318" s="22" t="n">
        <v>1.404249145057066</v>
      </c>
    </row>
    <row r="319">
      <c r="A319" s="10" t="n">
        <v>0.595</v>
      </c>
      <c r="B319" s="22" t="n">
        <v>0.1476110267317855</v>
      </c>
      <c r="C319" s="22" t="n">
        <v>1.21893613218811</v>
      </c>
      <c r="D319" s="22" t="n">
        <v>1.700773897128284</v>
      </c>
      <c r="E319" s="22" t="n">
        <v>1.805980379045599</v>
      </c>
      <c r="F319" s="22" t="n">
        <v>1.917966338824886</v>
      </c>
      <c r="G319" s="22" t="n">
        <v>0.9930575207997401</v>
      </c>
      <c r="H319" s="22" t="n">
        <v>1.400085731559653</v>
      </c>
    </row>
    <row r="320">
      <c r="A320" s="10" t="n">
        <v>0.605</v>
      </c>
      <c r="B320" s="22" t="n">
        <v>0.1386571428182587</v>
      </c>
      <c r="C320" s="22" t="n">
        <v>1.194178873658199</v>
      </c>
      <c r="D320" s="22" t="n">
        <v>1.706492451054391</v>
      </c>
      <c r="E320" s="22" t="n">
        <v>1.842639117278567</v>
      </c>
      <c r="F320" s="22" t="n">
        <v>1.964978601051419</v>
      </c>
      <c r="G320" s="22" t="n">
        <v>1.083808722645591</v>
      </c>
      <c r="H320" s="22" t="n">
        <v>1.393751351234105</v>
      </c>
    </row>
    <row r="321">
      <c r="A321" s="10" t="n">
        <v>0.615</v>
      </c>
      <c r="B321" s="22" t="n">
        <v>0.1323956611052593</v>
      </c>
      <c r="C321" s="22" t="n">
        <v>1.169970677506126</v>
      </c>
      <c r="D321" s="22" t="n">
        <v>1.675609739263515</v>
      </c>
      <c r="E321" s="22" t="n">
        <v>1.842147058186182</v>
      </c>
      <c r="F321" s="22" t="n">
        <v>1.970372129304049</v>
      </c>
      <c r="G321" s="22" t="n">
        <v>1.109877998783678</v>
      </c>
      <c r="H321" s="22" t="n">
        <v>1.389451372293237</v>
      </c>
    </row>
    <row r="322">
      <c r="A322" s="10" t="n">
        <v>0.625</v>
      </c>
      <c r="B322" s="22" t="n">
        <v>0.1123865973693586</v>
      </c>
      <c r="C322" s="22" t="n">
        <v>1.062197563496094</v>
      </c>
      <c r="D322" s="22" t="n">
        <v>1.599464993046647</v>
      </c>
      <c r="E322" s="22" t="n">
        <v>1.847515058731367</v>
      </c>
      <c r="F322" s="22" t="n">
        <v>2.096654685531354</v>
      </c>
      <c r="G322" s="22" t="n">
        <v>1.193133915241555</v>
      </c>
      <c r="H322" s="22" t="n">
        <v>1.38408658108239</v>
      </c>
    </row>
    <row r="323">
      <c r="A323" s="10" t="n">
        <v>0.635</v>
      </c>
      <c r="B323" s="22" t="n">
        <v>0.1039017205241344</v>
      </c>
      <c r="C323" s="22" t="n">
        <v>1.000698818741992</v>
      </c>
      <c r="D323" s="22" t="n">
        <v>1.590742201285335</v>
      </c>
      <c r="E323" s="22" t="n">
        <v>1.853153990038049</v>
      </c>
      <c r="F323" s="22" t="n">
        <v>2.174154644460916</v>
      </c>
      <c r="G323" s="22" t="n">
        <v>1.296208306383637</v>
      </c>
      <c r="H323" s="22" t="n">
        <v>1.358731709400478</v>
      </c>
    </row>
    <row r="324">
      <c r="A324" s="10" t="n">
        <v>0.645</v>
      </c>
      <c r="B324" s="22" t="n">
        <v>0.09683135210142332</v>
      </c>
      <c r="C324" s="22" t="n">
        <v>0.9466011324805457</v>
      </c>
      <c r="D324" s="22" t="n">
        <v>1.574952813335231</v>
      </c>
      <c r="E324" s="22" t="n">
        <v>1.815472954815739</v>
      </c>
      <c r="F324" s="22" t="n">
        <v>2.200971857939042</v>
      </c>
      <c r="G324" s="22" t="n">
        <v>1.424595889925639</v>
      </c>
      <c r="H324" s="22" t="n">
        <v>1.360557009696995</v>
      </c>
    </row>
    <row r="325">
      <c r="A325" s="10" t="n">
        <v>0.655</v>
      </c>
      <c r="B325" s="22" t="n">
        <v>0.08295624549386009</v>
      </c>
      <c r="C325" s="22" t="n">
        <v>0.8879399784701902</v>
      </c>
      <c r="D325" s="22" t="n">
        <v>1.556006653050781</v>
      </c>
      <c r="E325" s="22" t="n">
        <v>1.842713098893836</v>
      </c>
      <c r="F325" s="22" t="n">
        <v>2.248929515165511</v>
      </c>
      <c r="G325" s="22" t="n">
        <v>1.754762211216929</v>
      </c>
      <c r="H325" s="22" t="n">
        <v>1.348764592613721</v>
      </c>
    </row>
    <row r="326">
      <c r="A326" s="10" t="n">
        <v>0.665</v>
      </c>
      <c r="B326" s="22" t="n">
        <v>0.07462171482982528</v>
      </c>
      <c r="C326" s="22" t="n">
        <v>0.8514677258747118</v>
      </c>
      <c r="D326" s="22" t="n">
        <v>1.538821115381508</v>
      </c>
      <c r="E326" s="22" t="n">
        <v>1.875984464376832</v>
      </c>
      <c r="F326" s="22" t="n">
        <v>2.280351049480754</v>
      </c>
      <c r="G326" s="22" t="n">
        <v>1.873906415475932</v>
      </c>
      <c r="H326" s="22" t="n">
        <v>1.357074998536994</v>
      </c>
    </row>
    <row r="327">
      <c r="A327" s="10" t="n">
        <v>0.675</v>
      </c>
      <c r="B327" s="22" t="n">
        <v>0.05756566279360897</v>
      </c>
      <c r="C327" s="22" t="n">
        <v>0.746395624385811</v>
      </c>
      <c r="D327" s="22" t="n">
        <v>1.475592122761482</v>
      </c>
      <c r="E327" s="22" t="n">
        <v>1.909194095124418</v>
      </c>
      <c r="F327" s="22" t="n">
        <v>2.29426442903095</v>
      </c>
      <c r="G327" s="22" t="n">
        <v>1.937946191481906</v>
      </c>
      <c r="H327" s="22" t="n">
        <v>1.343149884463795</v>
      </c>
    </row>
    <row r="328">
      <c r="A328" s="10" t="n">
        <v>0.6850000000000001</v>
      </c>
      <c r="B328" s="22" t="n">
        <v>0.04115862938149368</v>
      </c>
      <c r="C328" s="22" t="n">
        <v>0.6451594761343566</v>
      </c>
      <c r="D328" s="22" t="n">
        <v>1.469675618622054</v>
      </c>
      <c r="E328" s="22" t="n">
        <v>1.944034023358954</v>
      </c>
      <c r="F328" s="22" t="n">
        <v>2.313586300152178</v>
      </c>
      <c r="G328" s="22" t="n">
        <v>2.203178373784703</v>
      </c>
      <c r="H328" s="22" t="n">
        <v>1.264534445230557</v>
      </c>
    </row>
    <row r="329">
      <c r="A329" s="10" t="n">
        <v>0.695</v>
      </c>
      <c r="B329" s="22" t="n">
        <v>0.0276367733231517</v>
      </c>
      <c r="C329" s="22" t="n">
        <v>0.5533465170992905</v>
      </c>
      <c r="D329" s="22" t="n">
        <v>1.426374836518551</v>
      </c>
      <c r="E329" s="22" t="n">
        <v>1.903242735070855</v>
      </c>
      <c r="F329" s="22" t="n">
        <v>2.263392429758005</v>
      </c>
      <c r="G329" s="22" t="n">
        <v>2.329377260269396</v>
      </c>
      <c r="H329" s="22" t="n">
        <v>1.197103722161111</v>
      </c>
    </row>
    <row r="330">
      <c r="A330" s="10" t="n">
        <v>0.705</v>
      </c>
      <c r="B330" s="22" t="n">
        <v>0.02711460103243768</v>
      </c>
      <c r="C330" s="22" t="n">
        <v>0.5311514696805734</v>
      </c>
      <c r="D330" s="22" t="n">
        <v>1.388703462988568</v>
      </c>
      <c r="E330" s="22" t="n">
        <v>1.865704332021649</v>
      </c>
      <c r="F330" s="22" t="n">
        <v>2.264616624974659</v>
      </c>
      <c r="G330" s="22" t="n">
        <v>2.421945623109649</v>
      </c>
      <c r="H330" s="22" t="n">
        <v>1.182648247457551</v>
      </c>
    </row>
    <row r="331">
      <c r="A331" s="10" t="n">
        <v>0.715</v>
      </c>
      <c r="B331" s="22" t="n">
        <v>0.02382600925553447</v>
      </c>
      <c r="C331" s="22" t="n">
        <v>0.4549836075742931</v>
      </c>
      <c r="D331" s="22" t="n">
        <v>1.240257716519147</v>
      </c>
      <c r="E331" s="22" t="n">
        <v>1.677345673233193</v>
      </c>
      <c r="F331" s="22" t="n">
        <v>2.081422792289271</v>
      </c>
      <c r="G331" s="22" t="n">
        <v>2.218663573247748</v>
      </c>
      <c r="H331" s="22" t="n">
        <v>1.058085800617116</v>
      </c>
    </row>
    <row r="332">
      <c r="A332" s="10" t="n">
        <v>0.725</v>
      </c>
      <c r="B332" s="22" t="n">
        <v>0.01405941699962837</v>
      </c>
      <c r="C332" s="22" t="n">
        <v>0.3765295693956712</v>
      </c>
      <c r="D332" s="22" t="n">
        <v>1.304285823047437</v>
      </c>
      <c r="E332" s="22" t="n">
        <v>1.731220754996101</v>
      </c>
      <c r="F332" s="22" t="n">
        <v>2.186981829619778</v>
      </c>
      <c r="G332" s="22" t="n">
        <v>2.569639942405599</v>
      </c>
      <c r="H332" s="22" t="n">
        <v>1.064874879557707</v>
      </c>
    </row>
    <row r="333">
      <c r="A333" s="10" t="n">
        <v>0.735</v>
      </c>
      <c r="B333" s="22" t="n">
        <v>0.01470290937569481</v>
      </c>
      <c r="C333" s="22" t="n">
        <v>0.3806526542782987</v>
      </c>
      <c r="D333" s="22" t="n">
        <v>1.3086138071764</v>
      </c>
      <c r="E333" s="22" t="n">
        <v>1.74672604514735</v>
      </c>
      <c r="F333" s="22" t="n">
        <v>2.224674314993087</v>
      </c>
      <c r="G333" s="22" t="n">
        <v>2.60937569579474</v>
      </c>
      <c r="H333" s="22" t="n">
        <v>1.0807113178348</v>
      </c>
    </row>
    <row r="334">
      <c r="A334" s="10" t="n">
        <v>0.745</v>
      </c>
      <c r="B334" s="22" t="n">
        <v>0.02234771745983235</v>
      </c>
      <c r="C334" s="22" t="n">
        <v>0.4277571248391886</v>
      </c>
      <c r="D334" s="22" t="n">
        <v>1.251454953695535</v>
      </c>
      <c r="E334" s="22" t="n">
        <v>1.692948499080549</v>
      </c>
      <c r="F334" s="22" t="n">
        <v>2.173900400902838</v>
      </c>
      <c r="G334" s="22" t="n">
        <v>2.319704896872501</v>
      </c>
      <c r="H334" s="22" t="n">
        <v>1.100955026731682</v>
      </c>
    </row>
    <row r="335">
      <c r="A335" s="10" t="n">
        <v>0.755</v>
      </c>
      <c r="B335" s="22" t="n">
        <v>0.0106134330325608</v>
      </c>
      <c r="C335" s="22" t="n">
        <v>0.3284585379025476</v>
      </c>
      <c r="D335" s="22" t="n">
        <v>1.115474727066334</v>
      </c>
      <c r="E335" s="22" t="n">
        <v>1.517112161992355</v>
      </c>
      <c r="F335" s="22" t="n">
        <v>1.946959257754776</v>
      </c>
      <c r="G335" s="22" t="n">
        <v>2.264905586559173</v>
      </c>
      <c r="H335" s="22" t="n">
        <v>0.9712456362272236</v>
      </c>
    </row>
    <row r="336">
      <c r="A336" s="10" t="n">
        <v>0.765</v>
      </c>
      <c r="B336" s="22" t="n">
        <v>0.009191579342609588</v>
      </c>
      <c r="C336" s="22" t="n">
        <v>0.2982289030299097</v>
      </c>
      <c r="D336" s="22" t="n">
        <v>1.06106171067643</v>
      </c>
      <c r="E336" s="22" t="n">
        <v>1.390512788902016</v>
      </c>
      <c r="F336" s="22" t="n">
        <v>1.834605721977482</v>
      </c>
      <c r="G336" s="22" t="n">
        <v>2.137792172043269</v>
      </c>
      <c r="H336" s="22" t="n">
        <v>0.9065530137349376</v>
      </c>
    </row>
    <row r="337">
      <c r="A337" s="10" t="n">
        <v>0.775</v>
      </c>
      <c r="B337" s="22" t="n">
        <v>0.00718303250077953</v>
      </c>
      <c r="C337" s="22" t="n">
        <v>0.292051591396394</v>
      </c>
      <c r="D337" s="22" t="n">
        <v>1.088674633179141</v>
      </c>
      <c r="E337" s="22" t="n">
        <v>1.421997984016733</v>
      </c>
      <c r="F337" s="22" t="n">
        <v>1.902312928674731</v>
      </c>
      <c r="G337" s="22" t="n">
        <v>2.233764751958896</v>
      </c>
      <c r="H337" s="22" t="n">
        <v>0.9284982196452838</v>
      </c>
    </row>
    <row r="338">
      <c r="A338" s="10" t="n">
        <v>0.785</v>
      </c>
      <c r="B338" s="22" t="n">
        <v>0.002821214581580509</v>
      </c>
      <c r="C338" s="22" t="n">
        <v>0.2444924123362924</v>
      </c>
      <c r="D338" s="22" t="n">
        <v>1.037393181249685</v>
      </c>
      <c r="E338" s="22" t="n">
        <v>1.362247912766628</v>
      </c>
      <c r="F338" s="22" t="n">
        <v>1.87925844842619</v>
      </c>
      <c r="G338" s="22" t="n">
        <v>2.357803525323333</v>
      </c>
      <c r="H338" s="22" t="n">
        <v>0.9043678141454798</v>
      </c>
    </row>
    <row r="339">
      <c r="A339" s="10" t="n">
        <v>0.795</v>
      </c>
      <c r="B339" s="22" t="n">
        <v>0.000836242045948969</v>
      </c>
      <c r="C339" s="22" t="n">
        <v>0.2053663165440571</v>
      </c>
      <c r="D339" s="22" t="n">
        <v>0.9307336561981924</v>
      </c>
      <c r="E339" s="22" t="n">
        <v>1.251719175781017</v>
      </c>
      <c r="F339" s="22" t="n">
        <v>1.765376959980147</v>
      </c>
      <c r="G339" s="22" t="n">
        <v>2.440819341241937</v>
      </c>
      <c r="H339" s="22" t="n">
        <v>0.861762879332758</v>
      </c>
    </row>
    <row r="340">
      <c r="A340" s="10" t="n">
        <v>0.805</v>
      </c>
      <c r="B340" s="22" t="n">
        <v>0.0002894684005207968</v>
      </c>
      <c r="C340" s="22" t="n">
        <v>0.1888531354174269</v>
      </c>
      <c r="D340" s="22" t="n">
        <v>0.8910142029408024</v>
      </c>
      <c r="E340" s="22" t="n">
        <v>1.214240941320669</v>
      </c>
      <c r="F340" s="22" t="n">
        <v>1.707735402409206</v>
      </c>
      <c r="G340" s="22" t="n">
        <v>2.435874873976271</v>
      </c>
      <c r="H340" s="22" t="n">
        <v>0.8159738208531102</v>
      </c>
    </row>
    <row r="341">
      <c r="A341" s="10" t="n">
        <v>0.8149999999999999</v>
      </c>
      <c r="B341" s="22" t="n">
        <v>0</v>
      </c>
      <c r="C341" s="22" t="n">
        <v>0.1819834737252586</v>
      </c>
      <c r="D341" s="22" t="n">
        <v>0.8958915651826374</v>
      </c>
      <c r="E341" s="22" t="n">
        <v>1.216322368087667</v>
      </c>
      <c r="F341" s="22" t="n">
        <v>1.70073791243242</v>
      </c>
      <c r="G341" s="22" t="n">
        <v>2.471350304508206</v>
      </c>
      <c r="H341" s="22" t="n">
        <v>0.8188747523192483</v>
      </c>
    </row>
    <row r="342">
      <c r="A342" s="10" t="n">
        <v>0.825</v>
      </c>
      <c r="B342" s="22" t="n">
        <v>0</v>
      </c>
      <c r="C342" s="22" t="n">
        <v>0.1767745918451939</v>
      </c>
      <c r="D342" s="22" t="n">
        <v>0.9061555596856847</v>
      </c>
      <c r="E342" s="22" t="n">
        <v>1.214213073833827</v>
      </c>
      <c r="F342" s="22" t="n">
        <v>1.667018565819276</v>
      </c>
      <c r="G342" s="22" t="n">
        <v>2.5139179113253</v>
      </c>
      <c r="H342" s="22" t="n">
        <v>0.8205742068571702</v>
      </c>
    </row>
    <row r="343">
      <c r="A343" s="10" t="n">
        <v>0.835</v>
      </c>
      <c r="B343" s="22" t="n">
        <v>0</v>
      </c>
      <c r="C343" s="22" t="n">
        <v>0.149482064677171</v>
      </c>
      <c r="D343" s="22" t="n">
        <v>0.7906625818648274</v>
      </c>
      <c r="E343" s="22" t="n">
        <v>1.064860992597957</v>
      </c>
      <c r="F343" s="22" t="n">
        <v>1.527632278834599</v>
      </c>
      <c r="G343" s="22" t="n">
        <v>2.437118104974993</v>
      </c>
      <c r="H343" s="22" t="n">
        <v>0.7952294730501501</v>
      </c>
    </row>
    <row r="344">
      <c r="A344" s="10" t="n">
        <v>0.845</v>
      </c>
      <c r="B344" s="22" t="n">
        <v>0</v>
      </c>
      <c r="C344" s="22" t="n">
        <v>0.1430147153672029</v>
      </c>
      <c r="D344" s="22" t="n">
        <v>0.8141729866015598</v>
      </c>
      <c r="E344" s="22" t="n">
        <v>1.072836543603744</v>
      </c>
      <c r="F344" s="22" t="n">
        <v>1.556087747945814</v>
      </c>
      <c r="G344" s="22" t="n">
        <v>2.460225155200114</v>
      </c>
      <c r="H344" s="22" t="n">
        <v>0.7981447642911718</v>
      </c>
    </row>
    <row r="345">
      <c r="A345" s="10" t="n">
        <v>0.855</v>
      </c>
      <c r="B345" s="22" t="n">
        <v>0</v>
      </c>
      <c r="C345" s="22" t="n">
        <v>0.1331727973723904</v>
      </c>
      <c r="D345" s="22" t="n">
        <v>0.7842047669693174</v>
      </c>
      <c r="E345" s="22" t="n">
        <v>1.021473071348137</v>
      </c>
      <c r="F345" s="22" t="n">
        <v>1.479099874958276</v>
      </c>
      <c r="G345" s="22" t="n">
        <v>2.417960293073901</v>
      </c>
      <c r="H345" s="22" t="n">
        <v>0.7885698199134749</v>
      </c>
    </row>
    <row r="346">
      <c r="A346" s="10" t="n">
        <v>0.865</v>
      </c>
      <c r="B346" s="22" t="n">
        <v>0</v>
      </c>
      <c r="C346" s="22" t="n">
        <v>0.1222785696417974</v>
      </c>
      <c r="D346" s="22" t="n">
        <v>0.7238834997533989</v>
      </c>
      <c r="E346" s="22" t="n">
        <v>0.9498911564339515</v>
      </c>
      <c r="F346" s="22" t="n">
        <v>1.399403883115146</v>
      </c>
      <c r="G346" s="22" t="n">
        <v>2.483366288180608</v>
      </c>
      <c r="H346" s="22" t="n">
        <v>0.7707072363920261</v>
      </c>
    </row>
    <row r="347">
      <c r="A347" s="10" t="n">
        <v>0.875</v>
      </c>
      <c r="B347" s="22" t="n">
        <v>0</v>
      </c>
      <c r="C347" s="22" t="n">
        <v>0.101613983130155</v>
      </c>
      <c r="D347" s="22" t="n">
        <v>0.6232867473682051</v>
      </c>
      <c r="E347" s="22" t="n">
        <v>0.8106382798936539</v>
      </c>
      <c r="F347" s="22" t="n">
        <v>1.2206544676794</v>
      </c>
      <c r="G347" s="22" t="n">
        <v>2.504227305456649</v>
      </c>
      <c r="H347" s="22" t="n">
        <v>0.7069436423295047</v>
      </c>
    </row>
    <row r="348">
      <c r="A348" s="10" t="n">
        <v>0.885</v>
      </c>
      <c r="B348" s="22" t="n">
        <v>0</v>
      </c>
      <c r="C348" s="22" t="n">
        <v>0.07793215583147345</v>
      </c>
      <c r="D348" s="22" t="n">
        <v>0.5316433266955207</v>
      </c>
      <c r="E348" s="22" t="n">
        <v>0.6858986819020769</v>
      </c>
      <c r="F348" s="22" t="n">
        <v>1.070981581286067</v>
      </c>
      <c r="G348" s="22" t="n">
        <v>2.482012206827657</v>
      </c>
      <c r="H348" s="22" t="n">
        <v>0.6729772444761617</v>
      </c>
    </row>
    <row r="349">
      <c r="A349" s="10" t="n">
        <v>0.895</v>
      </c>
      <c r="B349" s="22" t="n">
        <v>0</v>
      </c>
      <c r="C349" s="22" t="n">
        <v>0.06798848918211331</v>
      </c>
      <c r="D349" s="22" t="n">
        <v>0.4990651201376258</v>
      </c>
      <c r="E349" s="22" t="n">
        <v>0.6438204304994507</v>
      </c>
      <c r="F349" s="22" t="n">
        <v>1.036445110252034</v>
      </c>
      <c r="G349" s="22" t="n">
        <v>2.56041905638189</v>
      </c>
      <c r="H349" s="22" t="n">
        <v>0.6698408265383217</v>
      </c>
    </row>
    <row r="350">
      <c r="A350" s="10" t="n">
        <v>0.905</v>
      </c>
      <c r="B350" s="22" t="n">
        <v>0</v>
      </c>
      <c r="C350" s="22" t="n">
        <v>0.06403650607103265</v>
      </c>
      <c r="D350" s="22" t="n">
        <v>0.4571274654812431</v>
      </c>
      <c r="E350" s="22" t="n">
        <v>0.5897852864416897</v>
      </c>
      <c r="F350" s="22" t="n">
        <v>0.965789687077649</v>
      </c>
      <c r="G350" s="22" t="n">
        <v>2.59082725711556</v>
      </c>
      <c r="H350" s="22" t="n">
        <v>0.6406175468283012</v>
      </c>
    </row>
    <row r="351">
      <c r="A351" s="10" t="n">
        <v>0.915</v>
      </c>
      <c r="B351" s="22" t="n">
        <v>0</v>
      </c>
      <c r="C351" s="22" t="n">
        <v>0.06383364804045087</v>
      </c>
      <c r="D351" s="22" t="n">
        <v>0.4371868685665111</v>
      </c>
      <c r="E351" s="22" t="n">
        <v>0.5680133928343902</v>
      </c>
      <c r="F351" s="22" t="n">
        <v>0.9651578636690299</v>
      </c>
      <c r="G351" s="22" t="n">
        <v>2.684866230353655</v>
      </c>
      <c r="H351" s="22" t="n">
        <v>0.6535017740339714</v>
      </c>
    </row>
    <row r="352">
      <c r="A352" s="10" t="n">
        <v>0.925</v>
      </c>
      <c r="B352" s="22" t="n">
        <v>0</v>
      </c>
      <c r="C352" s="22" t="n">
        <v>0.06005177668557287</v>
      </c>
      <c r="D352" s="22" t="n">
        <v>0.4200032524178631</v>
      </c>
      <c r="E352" s="22" t="n">
        <v>0.5451418156614537</v>
      </c>
      <c r="F352" s="22" t="n">
        <v>0.9344122291192126</v>
      </c>
      <c r="G352" s="22" t="n">
        <v>2.748479264849576</v>
      </c>
      <c r="H352" s="22" t="n">
        <v>0.6531893969357391</v>
      </c>
    </row>
    <row r="353">
      <c r="A353" s="10" t="n">
        <v>0.9350000000000001</v>
      </c>
      <c r="B353" s="22" t="n">
        <v>0</v>
      </c>
      <c r="C353" s="22" t="n">
        <v>0.05334896783378055</v>
      </c>
      <c r="D353" s="22" t="n">
        <v>0.4036987815847771</v>
      </c>
      <c r="E353" s="22" t="n">
        <v>0.5179224444435196</v>
      </c>
      <c r="F353" s="22" t="n">
        <v>0.9064092055060966</v>
      </c>
      <c r="G353" s="22" t="n">
        <v>2.925632659355228</v>
      </c>
      <c r="H353" s="22" t="n">
        <v>0.6718225831346661</v>
      </c>
    </row>
    <row r="354">
      <c r="A354" s="10" t="n">
        <v>0.945</v>
      </c>
      <c r="B354" s="22" t="n">
        <v>0</v>
      </c>
      <c r="C354" s="22" t="n">
        <v>0.03886628477735389</v>
      </c>
      <c r="D354" s="22" t="n">
        <v>0.3383365819290655</v>
      </c>
      <c r="E354" s="22" t="n">
        <v>0.4218956289736497</v>
      </c>
      <c r="F354" s="22" t="n">
        <v>0.7591160488168763</v>
      </c>
      <c r="G354" s="22" t="n">
        <v>2.847573164775347</v>
      </c>
      <c r="H354" s="22" t="n">
        <v>0.6356617642909591</v>
      </c>
    </row>
    <row r="355">
      <c r="A355" s="10" t="n">
        <v>0.955</v>
      </c>
      <c r="B355" s="22" t="n">
        <v>0</v>
      </c>
      <c r="C355" s="22" t="n">
        <v>0.01831221381336892</v>
      </c>
      <c r="D355" s="22" t="n">
        <v>0.2265359441190087</v>
      </c>
      <c r="E355" s="22" t="n">
        <v>0.2602128622108958</v>
      </c>
      <c r="F355" s="22" t="n">
        <v>0.4831902905340909</v>
      </c>
      <c r="G355" s="22" t="n">
        <v>2.373926539611424</v>
      </c>
      <c r="H355" s="22" t="n">
        <v>0.5152338713982342</v>
      </c>
    </row>
    <row r="356">
      <c r="A356" s="10" t="n">
        <v>0.965</v>
      </c>
      <c r="B356" s="22" t="n">
        <v>0</v>
      </c>
      <c r="C356" s="22" t="n">
        <v>0.01532952457807489</v>
      </c>
      <c r="D356" s="22" t="n">
        <v>0.2049929640816143</v>
      </c>
      <c r="E356" s="22" t="n">
        <v>0.232188128216494</v>
      </c>
      <c r="F356" s="22" t="n">
        <v>0.4346709199064008</v>
      </c>
      <c r="G356" s="22" t="n">
        <v>2.271393130691175</v>
      </c>
      <c r="H356" s="22" t="n">
        <v>0.4906128470524677</v>
      </c>
    </row>
    <row r="357">
      <c r="A357" s="10" t="n">
        <v>0.975</v>
      </c>
      <c r="B357" s="22" t="n">
        <v>0</v>
      </c>
      <c r="C357" s="22" t="n">
        <v>0.004279925623950786</v>
      </c>
      <c r="D357" s="22" t="n">
        <v>0.1299903416275092</v>
      </c>
      <c r="E357" s="22" t="n">
        <v>0.1361552941325274</v>
      </c>
      <c r="F357" s="22" t="n">
        <v>0.2646498489538843</v>
      </c>
      <c r="G357" s="22" t="n">
        <v>1.88545763966471</v>
      </c>
      <c r="H357" s="22" t="n">
        <v>0.416228152812553</v>
      </c>
    </row>
    <row r="358">
      <c r="A358" s="10" t="n">
        <v>0.985</v>
      </c>
      <c r="B358" s="22" t="n">
        <v>0</v>
      </c>
      <c r="C358" s="22" t="n">
        <v>0.004249814322526254</v>
      </c>
      <c r="D358" s="22" t="n">
        <v>0.1296886601558943</v>
      </c>
      <c r="E358" s="22" t="n">
        <v>0.1358256299121158</v>
      </c>
      <c r="F358" s="22" t="n">
        <v>0.2641041725960386</v>
      </c>
      <c r="G358" s="22" t="n">
        <v>1.88056031497965</v>
      </c>
      <c r="H358" s="22" t="n">
        <v>0.4147475826936678</v>
      </c>
    </row>
    <row r="359">
      <c r="A359" s="10" t="n">
        <v>0.995</v>
      </c>
      <c r="B359" s="22" t="n">
        <v>0</v>
      </c>
      <c r="C359" s="22" t="n">
        <v>0.004279925623950786</v>
      </c>
      <c r="D359" s="22" t="n">
        <v>0.130271669668545</v>
      </c>
      <c r="E359" s="22" t="n">
        <v>0.1364759566424775</v>
      </c>
      <c r="F359" s="22" t="n">
        <v>0.2652538088610226</v>
      </c>
      <c r="G359" s="22" t="n">
        <v>1.890181085792771</v>
      </c>
      <c r="H359" s="22" t="n">
        <v>0.4171701241449634</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2" t="n">
        <v>0.181</v>
      </c>
      <c r="F385" s="22" t="n">
        <v>0.515</v>
      </c>
      <c r="G385" s="22" t="n">
        <v>0.793</v>
      </c>
      <c r="H385" s="22" t="n">
        <v>0.9320000000000001</v>
      </c>
    </row>
    <row r="386">
      <c r="A386" s="10" t="inlineStr">
        <is>
          <t>PJ-2020-B</t>
        </is>
      </c>
      <c r="B386" s="10" t="inlineStr">
        <is>
          <t>ブレイブフロンティア外伝(後半集中)</t>
        </is>
      </c>
      <c r="C386" s="10" t="inlineStr">
        <is>
          <t>大型アップデート</t>
        </is>
      </c>
      <c r="D386" s="10" t="n">
        <v>14</v>
      </c>
      <c r="E386" s="22" t="n">
        <v/>
      </c>
      <c r="F386" s="22" t="n">
        <v>0.608</v>
      </c>
      <c r="G386" s="22" t="n">
        <v>0.752</v>
      </c>
      <c r="H386" s="22" t="n">
        <v>0.899</v>
      </c>
    </row>
    <row r="387">
      <c r="A387" s="10" t="inlineStr">
        <is>
          <t>PJ-2020-C</t>
        </is>
      </c>
      <c r="B387" s="10" t="inlineStr">
        <is>
          <t>クロノスギア(二山)</t>
        </is>
      </c>
      <c r="C387" s="10" t="inlineStr">
        <is>
          <t>新規タイトル開発</t>
        </is>
      </c>
      <c r="D387" s="10" t="n">
        <v>30</v>
      </c>
      <c r="E387" s="22" t="n">
        <v>0.218</v>
      </c>
      <c r="F387" s="22" t="n">
        <v>0.483</v>
      </c>
      <c r="G387" s="22" t="n">
        <v>0.65</v>
      </c>
      <c r="H387" s="22" t="n">
        <v>0.917</v>
      </c>
    </row>
    <row r="388">
      <c r="A388" s="10" t="inlineStr">
        <is>
          <t>PJ-2021-D</t>
        </is>
      </c>
      <c r="B388" s="10" t="inlineStr">
        <is>
          <t>蒼穹のレガリア HD Edition(前倒し)</t>
        </is>
      </c>
      <c r="C388" s="10" t="inlineStr">
        <is>
          <t>移植・リマスター</t>
        </is>
      </c>
      <c r="D388" s="10" t="n">
        <v>15</v>
      </c>
      <c r="E388" s="22" t="n">
        <v/>
      </c>
      <c r="F388" s="22" t="n">
        <v>0.569</v>
      </c>
      <c r="G388" s="22" t="n">
        <v>0.767</v>
      </c>
      <c r="H388" s="22" t="n">
        <v>0.901</v>
      </c>
    </row>
    <row r="389">
      <c r="A389" s="10" t="inlineStr">
        <is>
          <t>PJ-2022-F</t>
        </is>
      </c>
      <c r="B389" s="10" t="inlineStr">
        <is>
          <t>ネオンハーツ Season2</t>
        </is>
      </c>
      <c r="C389" s="10" t="inlineStr">
        <is>
          <t>大型アップデート</t>
        </is>
      </c>
      <c r="D389" s="10" t="n">
        <v>18</v>
      </c>
      <c r="E389" s="22" t="n">
        <v/>
      </c>
      <c r="F389" s="22" t="n">
        <v>0.473</v>
      </c>
      <c r="G389" s="22" t="n">
        <v>0.804</v>
      </c>
      <c r="H389" s="22" t="n">
        <v>0.918</v>
      </c>
    </row>
    <row r="390">
      <c r="A390" s="10" t="inlineStr">
        <is>
          <t>PJ-2022-G</t>
        </is>
      </c>
      <c r="B390" s="10" t="inlineStr">
        <is>
          <t>ギルドマスターズ(前倒し)</t>
        </is>
      </c>
      <c r="C390" s="10" t="inlineStr">
        <is>
          <t>新規タイトル開発</t>
        </is>
      </c>
      <c r="D390" s="10" t="n">
        <v>24</v>
      </c>
      <c r="E390" s="22" t="n">
        <v>0.226</v>
      </c>
      <c r="F390" s="22" t="n">
        <v>0.479</v>
      </c>
      <c r="G390" s="22" t="n">
        <v>0.727</v>
      </c>
      <c r="H390" s="22" t="n">
        <v>0.9370000000000001</v>
      </c>
    </row>
    <row r="391">
      <c r="A391" s="10" t="inlineStr">
        <is>
          <t>PJ-2023-H</t>
        </is>
      </c>
      <c r="B391" s="10" t="inlineStr">
        <is>
          <t>クロノスギア:蒼き遺産</t>
        </is>
      </c>
      <c r="C391" s="10" t="inlineStr">
        <is>
          <t>大型アップデート</t>
        </is>
      </c>
      <c r="D391" s="10" t="n">
        <v>20</v>
      </c>
      <c r="E391" s="22" t="n">
        <v/>
      </c>
      <c r="F391" s="22" t="n">
        <v>0.423</v>
      </c>
      <c r="G391" s="22" t="n">
        <v>0.773</v>
      </c>
      <c r="H391" s="22" t="n">
        <v>0.924</v>
      </c>
    </row>
    <row r="392">
      <c r="A392" s="10" t="inlineStr">
        <is>
          <t>PJ-2023-I</t>
        </is>
      </c>
      <c r="B392" s="10" t="inlineStr">
        <is>
          <t>ブレイブフロンティア Remaster</t>
        </is>
      </c>
      <c r="C392" s="10" t="inlineStr">
        <is>
          <t>移植・リマスター</t>
        </is>
      </c>
      <c r="D392" s="10" t="n">
        <v>18</v>
      </c>
      <c r="E392" s="22" t="n">
        <v/>
      </c>
      <c r="F392" s="22" t="n">
        <v>0.474</v>
      </c>
      <c r="G392" s="22" t="n">
        <v>0.694</v>
      </c>
      <c r="H392" s="22" t="n">
        <v>0.916</v>
      </c>
    </row>
    <row r="393">
      <c r="A393" s="10" t="inlineStr">
        <is>
          <t>PJ-2024-J</t>
        </is>
      </c>
      <c r="B393" s="10" t="inlineStr">
        <is>
          <t>オーヴァーロード・サーガ(後半集中)</t>
        </is>
      </c>
      <c r="C393" s="10" t="inlineStr">
        <is>
          <t>新規タイトル開発</t>
        </is>
      </c>
      <c r="D393" s="10" t="n">
        <v>30</v>
      </c>
      <c r="E393" s="22" t="n">
        <v>0.25</v>
      </c>
      <c r="F393" s="22" t="n">
        <v>0.516</v>
      </c>
      <c r="G393" s="22" t="n">
        <v>0.6840000000000001</v>
      </c>
      <c r="H393" s="22" t="n">
        <v>0.917</v>
      </c>
    </row>
    <row r="394">
      <c r="A394" s="10" t="inlineStr">
        <is>
          <t>(正準位置)</t>
        </is>
      </c>
      <c r="B394" s="10" t="inlineStr"/>
      <c r="C394" s="10" t="inlineStr"/>
      <c r="D394" s="10" t="n"/>
      <c r="E394" s="22" t="n"/>
      <c r="F394" s="22" t="n">
        <v>0.504</v>
      </c>
      <c r="G394" s="22" t="n">
        <v>0.738</v>
      </c>
      <c r="H394" s="22" t="n">
        <v>0.918</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2" t="n">
        <v>0.3515</v>
      </c>
      <c r="D7" s="22" t="n">
        <v>0.6358</v>
      </c>
      <c r="E7" s="22" t="n">
        <v>0.4413</v>
      </c>
      <c r="F7" s="22" t="n">
        <v>0.1309</v>
      </c>
      <c r="G7" s="24" t="n">
        <v>3.3</v>
      </c>
      <c r="H7" s="13" t="n">
        <v>0</v>
      </c>
    </row>
    <row r="8">
      <c r="A8" s="10" t="inlineStr">
        <is>
          <t>位置合わせ(MS学習値)／月内均等</t>
        </is>
      </c>
      <c r="B8" s="10" t="n">
        <v>10</v>
      </c>
      <c r="C8" s="22" t="n">
        <v>0.3578</v>
      </c>
      <c r="D8" s="22" t="n">
        <v>0.6329</v>
      </c>
      <c r="E8" s="22" t="n">
        <v>0.447</v>
      </c>
      <c r="F8" s="22" t="n">
        <v>0.1362</v>
      </c>
      <c r="G8" s="24" t="n">
        <v>3.7</v>
      </c>
      <c r="H8" s="13" t="n">
        <v>-0.0179</v>
      </c>
    </row>
    <row r="9">
      <c r="A9" s="10" t="inlineStr">
        <is>
          <t>位置合わせ(MS指定)／月内均等</t>
        </is>
      </c>
      <c r="B9" s="10" t="n">
        <v>10</v>
      </c>
      <c r="C9" s="22" t="n">
        <v>0.2866</v>
      </c>
      <c r="D9" s="22" t="n">
        <v>0.4797</v>
      </c>
      <c r="E9" s="22" t="n">
        <v>0.387</v>
      </c>
      <c r="F9" s="22" t="n">
        <v>0.1151</v>
      </c>
      <c r="G9" s="24" t="n">
        <v>1.4</v>
      </c>
      <c r="H9" s="13" t="n">
        <v>0.1846</v>
      </c>
    </row>
    <row r="10">
      <c r="A10" s="10" t="inlineStr">
        <is>
          <t>素朴版／単調補間</t>
        </is>
      </c>
      <c r="B10" s="10" t="n">
        <v>10</v>
      </c>
      <c r="C10" s="22" t="n">
        <v>0.3512</v>
      </c>
      <c r="D10" s="22" t="n">
        <v>0.6358</v>
      </c>
      <c r="E10" s="22" t="n">
        <v>0.4413</v>
      </c>
      <c r="F10" s="22" t="n">
        <v>0.1311</v>
      </c>
      <c r="G10" s="24" t="n">
        <v>3.4</v>
      </c>
      <c r="H10" s="13" t="n">
        <v>0.0009</v>
      </c>
    </row>
    <row r="11">
      <c r="A11" s="10" t="inlineStr">
        <is>
          <t>位置合わせ(MS学習値)／単調補間</t>
        </is>
      </c>
      <c r="B11" s="10" t="n">
        <v>10</v>
      </c>
      <c r="C11" s="22" t="n">
        <v>0.358</v>
      </c>
      <c r="D11" s="22" t="n">
        <v>0.6324</v>
      </c>
      <c r="E11" s="22" t="n">
        <v>0.4474</v>
      </c>
      <c r="F11" s="22" t="n">
        <v>0.1366</v>
      </c>
      <c r="G11" s="24" t="n">
        <v>4.2</v>
      </c>
      <c r="H11" s="13" t="n">
        <v>-0.0185</v>
      </c>
    </row>
    <row r="12">
      <c r="A12" s="10" t="inlineStr">
        <is>
          <t>位置合わせ(MS指定)／単調補間</t>
        </is>
      </c>
      <c r="B12" s="10" t="n">
        <v>10</v>
      </c>
      <c r="C12" s="22" t="n">
        <v>0.2866</v>
      </c>
      <c r="D12" s="22" t="n">
        <v>0.4815</v>
      </c>
      <c r="E12" s="22" t="n">
        <v>0.3866</v>
      </c>
      <c r="F12" s="22" t="n">
        <v>0.1151</v>
      </c>
      <c r="G12" s="24"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2" t="n">
        <v>0.1921</v>
      </c>
      <c r="C19" s="22" t="n">
        <v>0.2018</v>
      </c>
      <c r="D19" s="22" t="n">
        <v>0.171</v>
      </c>
      <c r="E19" s="22" t="n">
        <v>0.1903</v>
      </c>
      <c r="F19" s="22" t="n">
        <v>0.2</v>
      </c>
      <c r="G19" s="22" t="n">
        <v>0.1695</v>
      </c>
    </row>
    <row r="20">
      <c r="A20" s="10" t="inlineStr">
        <is>
          <t>PJ-2020-B</t>
        </is>
      </c>
      <c r="B20" s="22" t="n">
        <v>0.6358</v>
      </c>
      <c r="C20" s="22" t="n">
        <v>0.6329</v>
      </c>
      <c r="D20" s="22" t="n">
        <v>0.3062</v>
      </c>
      <c r="E20" s="22" t="n">
        <v>0.6358</v>
      </c>
      <c r="F20" s="22" t="n">
        <v>0.6324</v>
      </c>
      <c r="G20" s="22" t="n">
        <v>0.3064</v>
      </c>
    </row>
    <row r="21">
      <c r="A21" s="10" t="inlineStr">
        <is>
          <t>PJ-2020-C</t>
        </is>
      </c>
      <c r="B21" s="22" t="n">
        <v>0.3825</v>
      </c>
      <c r="C21" s="22" t="n">
        <v>0.3845</v>
      </c>
      <c r="D21" s="22" t="n">
        <v>0.4602</v>
      </c>
      <c r="E21" s="22" t="n">
        <v>0.385</v>
      </c>
      <c r="F21" s="22" t="n">
        <v>0.3857</v>
      </c>
      <c r="G21" s="22" t="n">
        <v>0.4625</v>
      </c>
    </row>
    <row r="22">
      <c r="A22" s="10" t="inlineStr">
        <is>
          <t>PJ-2021-D</t>
        </is>
      </c>
      <c r="B22" s="22" t="n">
        <v>0.1611</v>
      </c>
      <c r="C22" s="22" t="n">
        <v>0.1625</v>
      </c>
      <c r="D22" s="22" t="n">
        <v>0.2935</v>
      </c>
      <c r="E22" s="22" t="n">
        <v>0.1612</v>
      </c>
      <c r="F22" s="22" t="n">
        <v>0.163</v>
      </c>
      <c r="G22" s="22" t="n">
        <v>0.2937</v>
      </c>
    </row>
    <row r="23">
      <c r="A23" s="10" t="inlineStr">
        <is>
          <t>PJ-2021-E</t>
        </is>
      </c>
      <c r="B23" s="22" t="n">
        <v>0.3767</v>
      </c>
      <c r="C23" s="22" t="n">
        <v>0.3706</v>
      </c>
      <c r="D23" s="22" t="n">
        <v>0.3008</v>
      </c>
      <c r="E23" s="22" t="n">
        <v>0.3774</v>
      </c>
      <c r="F23" s="22" t="n">
        <v>0.3705</v>
      </c>
      <c r="G23" s="22" t="n">
        <v>0.3</v>
      </c>
    </row>
    <row r="24">
      <c r="A24" s="10" t="inlineStr">
        <is>
          <t>PJ-2022-F</t>
        </is>
      </c>
      <c r="B24" s="22" t="n">
        <v>0.2442</v>
      </c>
      <c r="C24" s="22" t="n">
        <v>0.26</v>
      </c>
      <c r="D24" s="22" t="n">
        <v>0.1504</v>
      </c>
      <c r="E24" s="22" t="n">
        <v>0.2431</v>
      </c>
      <c r="F24" s="22" t="n">
        <v>0.2632</v>
      </c>
      <c r="G24" s="22" t="n">
        <v>0.1517</v>
      </c>
    </row>
    <row r="25">
      <c r="A25" s="10" t="inlineStr">
        <is>
          <t>PJ-2022-G</t>
        </is>
      </c>
      <c r="B25" s="22" t="n">
        <v>0.4951</v>
      </c>
      <c r="C25" s="22" t="n">
        <v>0.5234</v>
      </c>
      <c r="D25" s="22" t="n">
        <v>0.4797</v>
      </c>
      <c r="E25" s="22" t="n">
        <v>0.4954</v>
      </c>
      <c r="F25" s="22" t="n">
        <v>0.5249</v>
      </c>
      <c r="G25" s="22" t="n">
        <v>0.4815</v>
      </c>
    </row>
    <row r="26">
      <c r="A26" s="10" t="inlineStr">
        <is>
          <t>PJ-2023-H</t>
        </is>
      </c>
      <c r="B26" s="22" t="n">
        <v>0.2502</v>
      </c>
      <c r="C26" s="22" t="n">
        <v>0.3002</v>
      </c>
      <c r="D26" s="22" t="n">
        <v>0.1009</v>
      </c>
      <c r="E26" s="22" t="n">
        <v>0.25</v>
      </c>
      <c r="F26" s="22" t="n">
        <v>0.3034</v>
      </c>
      <c r="G26" s="22" t="n">
        <v>0.1014</v>
      </c>
    </row>
    <row r="27">
      <c r="A27" s="10" t="inlineStr">
        <is>
          <t>PJ-2023-I</t>
        </is>
      </c>
      <c r="B27" s="22" t="n">
        <v>0.3793</v>
      </c>
      <c r="C27" s="22" t="n">
        <v>0.3448</v>
      </c>
      <c r="D27" s="22" t="n">
        <v>0.2717</v>
      </c>
      <c r="E27" s="22" t="n">
        <v>0.3792</v>
      </c>
      <c r="F27" s="22" t="n">
        <v>0.3433</v>
      </c>
      <c r="G27" s="22" t="n">
        <v>0.2712</v>
      </c>
    </row>
    <row r="28">
      <c r="A28" s="10" t="inlineStr">
        <is>
          <t>PJ-2024-J</t>
        </is>
      </c>
      <c r="B28" s="22" t="n">
        <v>0.3979</v>
      </c>
      <c r="C28" s="22" t="n">
        <v>0.3971</v>
      </c>
      <c r="D28" s="22" t="n">
        <v>0.3318</v>
      </c>
      <c r="E28" s="22" t="n">
        <v>0.3945</v>
      </c>
      <c r="F28" s="22" t="n">
        <v>0.3935</v>
      </c>
      <c r="G28" s="22"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2" t="n">
        <v>0.1921</v>
      </c>
      <c r="J52" s="22" t="n">
        <v>0.2332</v>
      </c>
      <c r="K52" s="22"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2" t="n">
        <v>0.2018</v>
      </c>
      <c r="J53" s="22" t="n">
        <v>0.2403</v>
      </c>
      <c r="K53" s="22"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2" t="n">
        <v>0.171</v>
      </c>
      <c r="J54" s="22" t="n">
        <v>0.2259</v>
      </c>
      <c r="K54" s="22"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2" t="n">
        <v>0.1903</v>
      </c>
      <c r="J55" s="22" t="n">
        <v>0.2317</v>
      </c>
      <c r="K55" s="22"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2" t="n">
        <v>0.2</v>
      </c>
      <c r="J56" s="22" t="n">
        <v>0.2388</v>
      </c>
      <c r="K56" s="22"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2" t="n">
        <v>0.1695</v>
      </c>
      <c r="J57" s="22" t="n">
        <v>0.2216</v>
      </c>
      <c r="K57" s="22"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2" t="n">
        <v>0.6358</v>
      </c>
      <c r="J58" s="22" t="n">
        <v>0.7104</v>
      </c>
      <c r="K58" s="22"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2" t="n">
        <v>0.6329</v>
      </c>
      <c r="J59" s="22" t="n">
        <v>0.7086</v>
      </c>
      <c r="K59" s="22"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2" t="n">
        <v>0.3062</v>
      </c>
      <c r="J60" s="22" t="n">
        <v>0.4069</v>
      </c>
      <c r="K60" s="22"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2" t="n">
        <v>0.6358</v>
      </c>
      <c r="J61" s="22" t="n">
        <v>0.7108</v>
      </c>
      <c r="K61" s="22"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2" t="n">
        <v>0.6324</v>
      </c>
      <c r="J62" s="22" t="n">
        <v>0.7087</v>
      </c>
      <c r="K62" s="22"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2" t="n">
        <v>0.3064</v>
      </c>
      <c r="J63" s="22" t="n">
        <v>0.4069</v>
      </c>
      <c r="K63" s="22"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2" t="n">
        <v>0.3825</v>
      </c>
      <c r="J64" s="22" t="n">
        <v>0.4106</v>
      </c>
      <c r="K64" s="22"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2" t="n">
        <v>0.3845</v>
      </c>
      <c r="J65" s="22" t="n">
        <v>0.4142</v>
      </c>
      <c r="K65" s="22"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2" t="n">
        <v>0.4602</v>
      </c>
      <c r="J66" s="22" t="n">
        <v>0.4841</v>
      </c>
      <c r="K66" s="22"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2" t="n">
        <v>0.385</v>
      </c>
      <c r="J67" s="22" t="n">
        <v>0.4138</v>
      </c>
      <c r="K67" s="22"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2" t="n">
        <v>0.3857</v>
      </c>
      <c r="J68" s="22" t="n">
        <v>0.4157</v>
      </c>
      <c r="K68" s="22"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2" t="n">
        <v>0.4625</v>
      </c>
      <c r="J69" s="22" t="n">
        <v>0.4869</v>
      </c>
      <c r="K69" s="22"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2" t="n">
        <v>0.1611</v>
      </c>
      <c r="J70" s="22" t="n">
        <v>0.4514</v>
      </c>
      <c r="K70" s="22"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2" t="n">
        <v>0.1625</v>
      </c>
      <c r="J71" s="22" t="n">
        <v>0.4574</v>
      </c>
      <c r="K71" s="22"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2" t="n">
        <v>0.2935</v>
      </c>
      <c r="J72" s="22" t="n">
        <v>0.545</v>
      </c>
      <c r="K72" s="22"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2" t="n">
        <v>0.1612</v>
      </c>
      <c r="J73" s="22" t="n">
        <v>0.4505</v>
      </c>
      <c r="K73" s="22"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2" t="n">
        <v>0.163</v>
      </c>
      <c r="J74" s="22" t="n">
        <v>0.4574</v>
      </c>
      <c r="K74" s="22"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2" t="n">
        <v>0.2937</v>
      </c>
      <c r="J75" s="22" t="n">
        <v>0.545</v>
      </c>
      <c r="K75" s="22"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2" t="n">
        <v>0.3767</v>
      </c>
      <c r="J76" s="22" t="n">
        <v>0.424</v>
      </c>
      <c r="K76" s="22"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2" t="n">
        <v>0.3706</v>
      </c>
      <c r="J77" s="22" t="n">
        <v>0.4141</v>
      </c>
      <c r="K77" s="22"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2" t="n">
        <v>0.3008</v>
      </c>
      <c r="J78" s="22" t="n">
        <v>0.3413</v>
      </c>
      <c r="K78" s="22"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2" t="n">
        <v>0.3774</v>
      </c>
      <c r="J79" s="22" t="n">
        <v>0.4243</v>
      </c>
      <c r="K79" s="22"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2" t="n">
        <v>0.3705</v>
      </c>
      <c r="J80" s="22" t="n">
        <v>0.4132</v>
      </c>
      <c r="K80" s="22"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2" t="n">
        <v>0.3</v>
      </c>
      <c r="J81" s="22" t="n">
        <v>0.3392</v>
      </c>
      <c r="K81" s="22"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2" t="n">
        <v>0.2442</v>
      </c>
      <c r="J82" s="22" t="n">
        <v>0.307</v>
      </c>
      <c r="K82" s="22"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2" t="n">
        <v>0.26</v>
      </c>
      <c r="J83" s="22" t="n">
        <v>0.3203</v>
      </c>
      <c r="K83" s="22"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2" t="n">
        <v>0.1504</v>
      </c>
      <c r="J84" s="22" t="n">
        <v>0.2323</v>
      </c>
      <c r="K84" s="22"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2" t="n">
        <v>0.2431</v>
      </c>
      <c r="J85" s="22" t="n">
        <v>0.3059</v>
      </c>
      <c r="K85" s="22"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2" t="n">
        <v>0.2632</v>
      </c>
      <c r="J86" s="22" t="n">
        <v>0.3224</v>
      </c>
      <c r="K86" s="22"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2" t="n">
        <v>0.1517</v>
      </c>
      <c r="J87" s="22" t="n">
        <v>0.2322</v>
      </c>
      <c r="K87" s="22"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2" t="n">
        <v>0.4951</v>
      </c>
      <c r="J88" s="22" t="n">
        <v>0.5812</v>
      </c>
      <c r="K88" s="22"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2" t="n">
        <v>0.5234</v>
      </c>
      <c r="J89" s="22" t="n">
        <v>0.6022</v>
      </c>
      <c r="K89" s="22"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2" t="n">
        <v>0.4797</v>
      </c>
      <c r="J90" s="22" t="n">
        <v>0.5479000000000001</v>
      </c>
      <c r="K90" s="22"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2" t="n">
        <v>0.4954</v>
      </c>
      <c r="J91" s="22" t="n">
        <v>0.5824</v>
      </c>
      <c r="K91" s="22"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2" t="n">
        <v>0.5249</v>
      </c>
      <c r="J92" s="22" t="n">
        <v>0.6039</v>
      </c>
      <c r="K92" s="22"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2" t="n">
        <v>0.4815</v>
      </c>
      <c r="J93" s="22" t="n">
        <v>0.5498</v>
      </c>
      <c r="K93" s="22"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2" t="n">
        <v>0.2502</v>
      </c>
      <c r="J94" s="22" t="n">
        <v>0.2853</v>
      </c>
      <c r="K94" s="22"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2" t="n">
        <v>0.3002</v>
      </c>
      <c r="J95" s="22" t="n">
        <v>0.3254</v>
      </c>
      <c r="K95" s="22"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2" t="n">
        <v>0.1009</v>
      </c>
      <c r="J96" s="22" t="n">
        <v>0.2045</v>
      </c>
      <c r="K96" s="22"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2" t="n">
        <v>0.25</v>
      </c>
      <c r="J97" s="22" t="n">
        <v>0.2849</v>
      </c>
      <c r="K97" s="22"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2" t="n">
        <v>0.3034</v>
      </c>
      <c r="J98" s="22" t="n">
        <v>0.3284</v>
      </c>
      <c r="K98" s="22"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2" t="n">
        <v>0.1014</v>
      </c>
      <c r="J99" s="22" t="n">
        <v>0.2048</v>
      </c>
      <c r="K99" s="22"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2" t="n">
        <v>0.3793</v>
      </c>
      <c r="J100" s="22" t="n">
        <v>0.5123</v>
      </c>
      <c r="K100" s="22"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2" t="n">
        <v>0.3448</v>
      </c>
      <c r="J101" s="22" t="n">
        <v>0.4983</v>
      </c>
      <c r="K101" s="22"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2" t="n">
        <v>0.2717</v>
      </c>
      <c r="J102" s="22" t="n">
        <v>0.4293</v>
      </c>
      <c r="K102" s="22"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2" t="n">
        <v>0.3792</v>
      </c>
      <c r="J103" s="22" t="n">
        <v>0.5128</v>
      </c>
      <c r="K103" s="22"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2" t="n">
        <v>0.3433</v>
      </c>
      <c r="J104" s="22" t="n">
        <v>0.4975</v>
      </c>
      <c r="K104" s="22"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2" t="n">
        <v>0.2712</v>
      </c>
      <c r="J105" s="22" t="n">
        <v>0.4277</v>
      </c>
      <c r="K105" s="22"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2" t="n">
        <v>0.3979</v>
      </c>
      <c r="J106" s="22" t="n">
        <v>0.4974</v>
      </c>
      <c r="K106" s="22"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2" t="n">
        <v>0.3971</v>
      </c>
      <c r="J107" s="22" t="n">
        <v>0.4892</v>
      </c>
      <c r="K107" s="22"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2" t="n">
        <v>0.3318</v>
      </c>
      <c r="J108" s="22" t="n">
        <v>0.4533</v>
      </c>
      <c r="K108" s="22"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2" t="n">
        <v>0.3945</v>
      </c>
      <c r="J109" s="22" t="n">
        <v>0.4961</v>
      </c>
      <c r="K109" s="22"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2" t="n">
        <v>0.3935</v>
      </c>
      <c r="J110" s="22" t="n">
        <v>0.488</v>
      </c>
      <c r="K110" s="22"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2" t="n">
        <v>0.3282</v>
      </c>
      <c r="J111" s="22" t="n">
        <v>0.4519</v>
      </c>
      <c r="K111" s="22"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K92"/>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2026-09-04 23:01:05</t>
        </is>
      </c>
    </row>
    <row r="7">
      <c r="A7" s="10" t="inlineStr">
        <is>
          <t>マスタ</t>
        </is>
      </c>
      <c r="B7" s="10" t="inlineStr">
        <is>
          <t>/home/user/Man-hour-forecasting/data/master.xlsx</t>
        </is>
      </c>
    </row>
    <row r="8">
      <c r="A8" s="10" t="inlineStr">
        <is>
          <t>実績データ</t>
        </is>
      </c>
      <c r="B8" s="10" t="inlineStr">
        <is>
          <t>/home/user/Man-hour-forecasting/data/actuals.csv</t>
        </is>
      </c>
    </row>
    <row r="9">
      <c r="A9" s="10" t="inlineStr">
        <is>
          <t>集約軸</t>
        </is>
      </c>
      <c r="B9" s="10" t="inlineStr">
        <is>
          <t>行程グループ</t>
        </is>
      </c>
    </row>
    <row r="10">
      <c r="A10" s="10" t="inlineStr">
        <is>
          <t>位置合わせ</t>
        </is>
      </c>
      <c r="B10" s="10" t="inlineStr">
        <is>
          <t>ON</t>
        </is>
      </c>
    </row>
    <row r="11">
      <c r="A11" s="10" t="inlineStr">
        <is>
          <t>背骨マイルストーン</t>
        </is>
      </c>
      <c r="B11" s="10" t="inlineStr">
        <is>
          <t>α版, β版, マスターアップ</t>
        </is>
      </c>
    </row>
    <row r="12">
      <c r="A12" s="10" t="inlineStr">
        <is>
          <t>背骨最小カバー率</t>
        </is>
      </c>
      <c r="B12" s="10" t="n">
        <v>0.6</v>
      </c>
    </row>
    <row r="13">
      <c r="A13" s="10" t="inlineStr">
        <is>
          <t>マイルストーン精度</t>
        </is>
      </c>
      <c r="B13" s="10" t="inlineStr">
        <is>
          <t>月</t>
        </is>
      </c>
    </row>
    <row r="14">
      <c r="A14" s="10" t="inlineStr">
        <is>
          <t>位置合わせ強度</t>
        </is>
      </c>
      <c r="B14" s="10" t="n">
        <v>1</v>
      </c>
    </row>
    <row r="15">
      <c r="A15" s="10" t="inlineStr">
        <is>
          <t>伸縮率上限</t>
        </is>
      </c>
      <c r="B15" s="10" t="inlineStr">
        <is>
          <t>無制限</t>
        </is>
      </c>
    </row>
    <row r="16">
      <c r="A16" s="10" t="inlineStr">
        <is>
          <t>区間弾力性</t>
        </is>
      </c>
      <c r="B16" s="10" t="n">
        <v>0</v>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見積もりを使う</t>
        </is>
      </c>
      <c r="B20" s="10" t="inlineStr">
        <is>
          <t>ON</t>
        </is>
      </c>
    </row>
    <row r="21">
      <c r="A21" s="10" t="inlineStr">
        <is>
          <t>除外する行程グループ</t>
        </is>
      </c>
      <c r="B21" s="10" t="inlineStr">
        <is>
          <t>(なし)</t>
        </is>
      </c>
    </row>
    <row r="22">
      <c r="A22" s="10" t="inlineStr">
        <is>
          <t>立ち上がり上限</t>
        </is>
      </c>
      <c r="B22" s="10" t="inlineStr">
        <is>
          <t>1.33 倍/月(段階予測のみ)</t>
        </is>
      </c>
    </row>
    <row r="23">
      <c r="A23" s="10" t="inlineStr">
        <is>
          <t>立ち上がり上限の適用範囲</t>
        </is>
      </c>
      <c r="B23" s="10" t="inlineStr">
        <is>
          <t>段階予測のみ</t>
        </is>
      </c>
    </row>
    <row r="24">
      <c r="A24" s="10" t="inlineStr">
        <is>
          <t>段階予測の動作</t>
        </is>
      </c>
      <c r="B24" s="10" t="inlineStr">
        <is>
          <t>自動</t>
        </is>
      </c>
    </row>
    <row r="25">
      <c r="A25" s="10" t="inlineStr">
        <is>
          <t>段階予測の残工数</t>
        </is>
      </c>
      <c r="B25" s="10" t="inlineStr">
        <is>
          <t>固定</t>
        </is>
      </c>
    </row>
    <row r="26">
      <c r="A26" s="10" t="inlineStr">
        <is>
          <t>段階予測のマイルストーン</t>
        </is>
      </c>
      <c r="B26" s="10" t="inlineStr">
        <is>
          <t>すべて</t>
        </is>
      </c>
    </row>
    <row r="27">
      <c r="A27" s="10" t="inlineStr">
        <is>
          <t>検証</t>
        </is>
      </c>
      <c r="B27" s="10" t="inlineStr">
        <is>
          <t>ON</t>
        </is>
      </c>
    </row>
    <row r="28">
      <c r="A28" s="10" t="inlineStr">
        <is>
          <t>カーブ復元の比較</t>
        </is>
      </c>
      <c r="B28" s="10" t="inlineStr">
        <is>
          <t>ON</t>
        </is>
      </c>
    </row>
    <row r="29">
      <c r="A29" s="10" t="inlineStr">
        <is>
          <t>出力先フォルダ</t>
        </is>
      </c>
      <c r="B29" s="10" t="inlineStr">
        <is>
          <t>/home/user/Man-hour-forecasting/output</t>
        </is>
      </c>
    </row>
    <row r="30">
      <c r="A30" s="10" t="inlineStr">
        <is>
          <t>実装範囲</t>
        </is>
      </c>
      <c r="B30" s="10" t="inlineStr">
        <is>
          <t>実装順序 1〜2(素朴版 + マイルストーン位置合わせ) + 見積もりによる総量指定</t>
        </is>
      </c>
    </row>
    <row r="31">
      <c r="A31" s="10" t="inlineStr">
        <is>
          <t>未使用パラメータ</t>
        </is>
      </c>
      <c r="B31" s="10" t="inlineStr">
        <is>
          <t>k=3.0, タグ重み係数=0.5 (実装順序 3・4 で使用予定)</t>
        </is>
      </c>
    </row>
    <row r="32">
      <c r="A32" s="10" t="inlineStr">
        <is>
          <t>予測対象</t>
        </is>
      </c>
      <c r="B32" s="10" t="inlineStr">
        <is>
          <t>PJ-2021-E  シャドウヴェイル</t>
        </is>
      </c>
    </row>
    <row r="33">
      <c r="A33" s="10" t="inlineStr">
        <is>
          <t>学習案件数</t>
        </is>
      </c>
      <c r="B33" s="10" t="n">
        <v>9</v>
      </c>
    </row>
    <row r="34">
      <c r="A34" s="10" t="inlineStr">
        <is>
          <t>総量の根拠</t>
        </is>
      </c>
      <c r="B34" s="10" t="inlineStr">
        <is>
          <t>契約人月 + 学習比率</t>
        </is>
      </c>
    </row>
    <row r="35">
      <c r="A35" s="10" t="inlineStr">
        <is>
          <t>予測した行程グループ</t>
        </is>
      </c>
      <c r="B35" s="10" t="inlineStr">
        <is>
          <t>企画・プリプロ, ゲームデザイン・シナリオ, プログラム, アート, サウンド, QA・デバッグ, PM・運営</t>
        </is>
      </c>
    </row>
    <row r="36">
      <c r="A36" s="10" t="inlineStr">
        <is>
          <t>除外した行程グループ</t>
        </is>
      </c>
      <c r="B36" s="10" t="inlineStr">
        <is>
          <t>(なし)</t>
        </is>
      </c>
    </row>
    <row r="37">
      <c r="A37" s="10" t="inlineStr">
        <is>
          <t>段階予測</t>
        </is>
      </c>
      <c r="B37" s="10" t="inlineStr">
        <is>
          <t>5 段階 / 残工数の決め方: 契約総量固定</t>
        </is>
      </c>
    </row>
    <row r="39">
      <c r="A39" s="6" t="inlineStr">
        <is>
          <t>■ 人月換算</t>
        </is>
      </c>
    </row>
    <row r="40">
      <c r="A40" s="2" t="inlineStr">
        <is>
          <t>換算係数</t>
        </is>
      </c>
      <c r="B40" s="4" t="n">
        <v>160</v>
      </c>
      <c r="C40" s="2" t="inlineStr">
        <is>
          <t>時間 / 人月</t>
        </is>
      </c>
    </row>
    <row r="41">
      <c r="A41" s="5" t="inlineStr">
        <is>
          <t>人月の定義は組織によって揺れる。この係数を明記しないまま数字が独り歩きすると議論が噛み合わなくなる(設計書 4-3)。</t>
        </is>
      </c>
    </row>
    <row r="43">
      <c r="A43" s="6" t="inlineStr">
        <is>
          <t>■ 学習に使用した案件と重み</t>
        </is>
      </c>
    </row>
    <row r="44">
      <c r="A44" s="5" t="inlineStr">
        <is>
          <t>第1版(素朴版+位置合わせ)では全案件の重みを 1.0 で固定している。種別・タグによる重み付けは実装順序 3・4 で導入する。</t>
        </is>
      </c>
    </row>
    <row r="45">
      <c r="A45" s="8" t="inlineStr">
        <is>
          <t>案件ID</t>
        </is>
      </c>
      <c r="B45" s="8" t="inlineStr">
        <is>
          <t>名称</t>
        </is>
      </c>
      <c r="C45" s="8" t="inlineStr">
        <is>
          <t>種別</t>
        </is>
      </c>
      <c r="D45" s="8" t="inlineStr">
        <is>
          <t>重み</t>
        </is>
      </c>
      <c r="E45" s="8" t="inlineStr">
        <is>
          <t>契約人月</t>
        </is>
      </c>
      <c r="F45" s="8" t="inlineStr">
        <is>
          <t>実績人月</t>
        </is>
      </c>
      <c r="G45" s="8" t="inlineStr">
        <is>
          <t>乖離率(%)</t>
        </is>
      </c>
      <c r="H45" s="8" t="inlineStr">
        <is>
          <t>期間(月)</t>
        </is>
      </c>
      <c r="I45" s="8" t="inlineStr">
        <is>
          <t>マイルストーン数</t>
        </is>
      </c>
    </row>
    <row r="46">
      <c r="A46" s="10" t="inlineStr">
        <is>
          <t>PJ-2019-A</t>
        </is>
      </c>
      <c r="B46" s="10" t="inlineStr">
        <is>
          <t>蒼穹のレガリア</t>
        </is>
      </c>
      <c r="C46" s="10" t="inlineStr">
        <is>
          <t>新規タイトル開発</t>
        </is>
      </c>
      <c r="D46" s="23" t="n">
        <v>1</v>
      </c>
      <c r="E46" s="12" t="n">
        <v>2400</v>
      </c>
      <c r="F46" s="12" t="n">
        <v>2372.3</v>
      </c>
      <c r="G46" s="10" t="n">
        <v>-1.2</v>
      </c>
      <c r="H46" s="10" t="n">
        <v>36</v>
      </c>
      <c r="I46" s="10" t="n">
        <v>4</v>
      </c>
    </row>
    <row r="47">
      <c r="A47" s="10" t="inlineStr">
        <is>
          <t>PJ-2020-B</t>
        </is>
      </c>
      <c r="B47" s="10" t="inlineStr">
        <is>
          <t>ブレイブフロンティア外伝(後半集中)</t>
        </is>
      </c>
      <c r="C47" s="10" t="inlineStr">
        <is>
          <t>大型アップデート</t>
        </is>
      </c>
      <c r="D47" s="23" t="n">
        <v>1</v>
      </c>
      <c r="E47" s="12" t="n">
        <v>620</v>
      </c>
      <c r="F47" s="12" t="n">
        <v>625.1</v>
      </c>
      <c r="G47" s="10" t="n">
        <v>0.8</v>
      </c>
      <c r="H47" s="10" t="n">
        <v>14</v>
      </c>
      <c r="I47" s="10" t="n">
        <v>3</v>
      </c>
    </row>
    <row r="48">
      <c r="A48" s="10" t="inlineStr">
        <is>
          <t>PJ-2020-C</t>
        </is>
      </c>
      <c r="B48" s="10" t="inlineStr">
        <is>
          <t>クロノスギア(二山)</t>
        </is>
      </c>
      <c r="C48" s="10" t="inlineStr">
        <is>
          <t>新規タイトル開発</t>
        </is>
      </c>
      <c r="D48" s="23" t="n">
        <v>1</v>
      </c>
      <c r="E48" s="12" t="n">
        <v>1800</v>
      </c>
      <c r="F48" s="12" t="n">
        <v>1806.5</v>
      </c>
      <c r="G48" s="10" t="n">
        <v>0.4</v>
      </c>
      <c r="H48" s="10" t="n">
        <v>30</v>
      </c>
      <c r="I48" s="10" t="n">
        <v>4</v>
      </c>
    </row>
    <row r="49">
      <c r="A49" s="10" t="inlineStr">
        <is>
          <t>PJ-2021-D</t>
        </is>
      </c>
      <c r="B49" s="10" t="inlineStr">
        <is>
          <t>蒼穹のレガリア HD Edition(前倒し)</t>
        </is>
      </c>
      <c r="C49" s="10" t="inlineStr">
        <is>
          <t>移植・リマスター</t>
        </is>
      </c>
      <c r="D49" s="23" t="n">
        <v>1</v>
      </c>
      <c r="E49" s="12" t="n">
        <v>520</v>
      </c>
      <c r="F49" s="12" t="n">
        <v>518.2</v>
      </c>
      <c r="G49" s="10" t="n">
        <v>-0.3</v>
      </c>
      <c r="H49" s="10" t="n">
        <v>15</v>
      </c>
      <c r="I49" s="10" t="n">
        <v>3</v>
      </c>
    </row>
    <row r="50">
      <c r="A50" s="10" t="inlineStr">
        <is>
          <t>PJ-2022-F</t>
        </is>
      </c>
      <c r="B50" s="10" t="inlineStr">
        <is>
          <t>ネオンハーツ Season2</t>
        </is>
      </c>
      <c r="C50" s="10" t="inlineStr">
        <is>
          <t>大型アップデート</t>
        </is>
      </c>
      <c r="D50" s="23" t="n">
        <v>1</v>
      </c>
      <c r="E50" s="12" t="n">
        <v>880</v>
      </c>
      <c r="F50" s="12" t="n">
        <v>881.8</v>
      </c>
      <c r="G50" s="10" t="n">
        <v>0.2</v>
      </c>
      <c r="H50" s="10" t="n">
        <v>18</v>
      </c>
      <c r="I50" s="10" t="n">
        <v>3</v>
      </c>
    </row>
    <row r="51">
      <c r="A51" s="10" t="inlineStr">
        <is>
          <t>PJ-2022-G</t>
        </is>
      </c>
      <c r="B51" s="10" t="inlineStr">
        <is>
          <t>ギルドマスターズ(前倒し)</t>
        </is>
      </c>
      <c r="C51" s="10" t="inlineStr">
        <is>
          <t>新規タイトル開発</t>
        </is>
      </c>
      <c r="D51" s="23" t="n">
        <v>1</v>
      </c>
      <c r="E51" s="12" t="n">
        <v>1450</v>
      </c>
      <c r="F51" s="12" t="n">
        <v>1461</v>
      </c>
      <c r="G51" s="10" t="n">
        <v>0.8</v>
      </c>
      <c r="H51" s="10" t="n">
        <v>24</v>
      </c>
      <c r="I51" s="10" t="n">
        <v>4</v>
      </c>
    </row>
    <row r="52">
      <c r="A52" s="10" t="inlineStr">
        <is>
          <t>PJ-2023-H</t>
        </is>
      </c>
      <c r="B52" s="10" t="inlineStr">
        <is>
          <t>クロノスギア:蒼き遺産</t>
        </is>
      </c>
      <c r="C52" s="10" t="inlineStr">
        <is>
          <t>大型アップデート</t>
        </is>
      </c>
      <c r="D52" s="23" t="n">
        <v>1</v>
      </c>
      <c r="E52" s="12" t="n">
        <v>1100</v>
      </c>
      <c r="F52" s="12" t="n">
        <v>1104.9</v>
      </c>
      <c r="G52" s="10" t="n">
        <v>0.4</v>
      </c>
      <c r="H52" s="10" t="n">
        <v>20</v>
      </c>
      <c r="I52" s="10" t="n">
        <v>3</v>
      </c>
    </row>
    <row r="53">
      <c r="A53" s="10" t="inlineStr">
        <is>
          <t>PJ-2023-I</t>
        </is>
      </c>
      <c r="B53" s="10" t="inlineStr">
        <is>
          <t>ブレイブフロンティア Remaster</t>
        </is>
      </c>
      <c r="C53" s="10" t="inlineStr">
        <is>
          <t>移植・リマスター</t>
        </is>
      </c>
      <c r="D53" s="23" t="n">
        <v>1</v>
      </c>
      <c r="E53" s="12" t="n">
        <v>700</v>
      </c>
      <c r="F53" s="12" t="n">
        <v>709.7</v>
      </c>
      <c r="G53" s="10" t="n">
        <v>1.4</v>
      </c>
      <c r="H53" s="10" t="n">
        <v>18</v>
      </c>
      <c r="I53" s="10" t="n">
        <v>3</v>
      </c>
    </row>
    <row r="54">
      <c r="A54" s="10" t="inlineStr">
        <is>
          <t>PJ-2024-J</t>
        </is>
      </c>
      <c r="B54" s="10" t="inlineStr">
        <is>
          <t>オーヴァーロード・サーガ(後半集中)</t>
        </is>
      </c>
      <c r="C54" s="10" t="inlineStr">
        <is>
          <t>新規タイトル開発</t>
        </is>
      </c>
      <c r="D54" s="23" t="n">
        <v>1</v>
      </c>
      <c r="E54" s="12" t="n">
        <v>2200</v>
      </c>
      <c r="F54" s="12" t="n">
        <v>2162.6</v>
      </c>
      <c r="G54" s="10" t="n">
        <v>-1.7</v>
      </c>
      <c r="H54" s="10" t="n">
        <v>30</v>
      </c>
      <c r="I54" s="10" t="n">
        <v>4</v>
      </c>
    </row>
    <row r="56">
      <c r="A56" s="6" t="inlineStr">
        <is>
          <t>■ 案件別 × 行程グループ 実績工数(人月)</t>
        </is>
      </c>
    </row>
    <row r="57">
      <c r="A57"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59">
      <c r="A59" s="8" t="inlineStr">
        <is>
          <t>案件ID</t>
        </is>
      </c>
      <c r="B59" s="8" t="inlineStr">
        <is>
          <t>名称</t>
        </is>
      </c>
      <c r="C59" s="8" t="inlineStr">
        <is>
          <t>期間(月)</t>
        </is>
      </c>
      <c r="D59" s="8" t="inlineStr">
        <is>
          <t>企画・プリプロ</t>
        </is>
      </c>
      <c r="E59" s="8" t="inlineStr">
        <is>
          <t>ゲームデザイン・シナリオ</t>
        </is>
      </c>
      <c r="F59" s="8" t="inlineStr">
        <is>
          <t>プログラム</t>
        </is>
      </c>
      <c r="G59" s="8" t="inlineStr">
        <is>
          <t>アート</t>
        </is>
      </c>
      <c r="H59" s="8" t="inlineStr">
        <is>
          <t>サウンド</t>
        </is>
      </c>
      <c r="I59" s="8" t="inlineStr">
        <is>
          <t>QA・デバッグ</t>
        </is>
      </c>
      <c r="J59" s="8" t="inlineStr">
        <is>
          <t>PM・運営</t>
        </is>
      </c>
      <c r="K59" s="8" t="inlineStr">
        <is>
          <t>合計</t>
        </is>
      </c>
    </row>
    <row r="60">
      <c r="A60" s="10" t="inlineStr">
        <is>
          <t>PJ-2019-A</t>
        </is>
      </c>
      <c r="B60" s="10" t="inlineStr">
        <is>
          <t>蒼穹のレガリア</t>
        </is>
      </c>
      <c r="C60" s="10" t="n">
        <v>36</v>
      </c>
      <c r="D60" s="19" t="n">
        <v>185</v>
      </c>
      <c r="E60" s="19" t="n">
        <v>297.4</v>
      </c>
      <c r="F60" s="19" t="n">
        <v>589.6</v>
      </c>
      <c r="G60" s="19" t="n">
        <v>772.4</v>
      </c>
      <c r="H60" s="19" t="n">
        <v>119.1</v>
      </c>
      <c r="I60" s="19" t="n">
        <v>272.4</v>
      </c>
      <c r="J60" s="19" t="n">
        <v>136.4</v>
      </c>
      <c r="K60" s="19" t="n">
        <v>2372.3</v>
      </c>
    </row>
    <row r="61">
      <c r="A61" s="10" t="inlineStr">
        <is>
          <t>PJ-2020-B</t>
        </is>
      </c>
      <c r="B61" s="10" t="inlineStr">
        <is>
          <t>ブレイブフロンティア外伝(後半集中)</t>
        </is>
      </c>
      <c r="C61" s="10" t="n">
        <v>14</v>
      </c>
      <c r="D61" s="19" t="n">
        <v>40.2</v>
      </c>
      <c r="E61" s="19" t="n">
        <v>85.5</v>
      </c>
      <c r="F61" s="19" t="n">
        <v>145.7</v>
      </c>
      <c r="G61" s="19" t="n">
        <v>202.1</v>
      </c>
      <c r="H61" s="19" t="n">
        <v>25.6</v>
      </c>
      <c r="I61" s="19" t="n">
        <v>87.59999999999999</v>
      </c>
      <c r="J61" s="19" t="n">
        <v>38.5</v>
      </c>
      <c r="K61" s="19" t="n">
        <v>625.1</v>
      </c>
    </row>
    <row r="62">
      <c r="A62" s="10" t="inlineStr">
        <is>
          <t>PJ-2020-C</t>
        </is>
      </c>
      <c r="B62" s="10" t="inlineStr">
        <is>
          <t>クロノスギア(二山)</t>
        </is>
      </c>
      <c r="C62" s="10" t="n">
        <v>30</v>
      </c>
      <c r="D62" s="19" t="n">
        <v>141.4</v>
      </c>
      <c r="E62" s="19" t="n">
        <v>217.4</v>
      </c>
      <c r="F62" s="19" t="n">
        <v>502.4</v>
      </c>
      <c r="G62" s="19" t="n">
        <v>524.6</v>
      </c>
      <c r="H62" s="19" t="n">
        <v>87.40000000000001</v>
      </c>
      <c r="I62" s="19" t="n">
        <v>225.2</v>
      </c>
      <c r="J62" s="19" t="n">
        <v>108.2</v>
      </c>
      <c r="K62" s="19" t="n">
        <v>1806.5</v>
      </c>
    </row>
    <row r="63">
      <c r="A63" s="10" t="inlineStr">
        <is>
          <t>PJ-2021-D</t>
        </is>
      </c>
      <c r="B63" s="10" t="inlineStr">
        <is>
          <t>蒼穹のレガリア HD Edition(前倒し)</t>
        </is>
      </c>
      <c r="C63" s="10" t="n">
        <v>15</v>
      </c>
      <c r="D63" s="19" t="n">
        <v>19.6</v>
      </c>
      <c r="E63" s="19" t="n">
        <v>24.2</v>
      </c>
      <c r="F63" s="19" t="n">
        <v>211.1</v>
      </c>
      <c r="G63" s="19" t="n">
        <v>127.2</v>
      </c>
      <c r="H63" s="19" t="n">
        <v>14</v>
      </c>
      <c r="I63" s="19" t="n">
        <v>93.2</v>
      </c>
      <c r="J63" s="19" t="n">
        <v>28.8</v>
      </c>
      <c r="K63" s="19" t="n">
        <v>518.2</v>
      </c>
    </row>
    <row r="64">
      <c r="A64" s="10" t="inlineStr">
        <is>
          <t>PJ-2022-F</t>
        </is>
      </c>
      <c r="B64" s="10" t="inlineStr">
        <is>
          <t>ネオンハーツ Season2</t>
        </is>
      </c>
      <c r="C64" s="10" t="n">
        <v>18</v>
      </c>
      <c r="D64" s="19" t="n">
        <v>51.8</v>
      </c>
      <c r="E64" s="19" t="n">
        <v>129.1</v>
      </c>
      <c r="F64" s="19" t="n">
        <v>204.3</v>
      </c>
      <c r="G64" s="19" t="n">
        <v>286.5</v>
      </c>
      <c r="H64" s="19" t="n">
        <v>37.3</v>
      </c>
      <c r="I64" s="19" t="n">
        <v>124.6</v>
      </c>
      <c r="J64" s="19" t="n">
        <v>48.2</v>
      </c>
      <c r="K64" s="19" t="n">
        <v>881.8</v>
      </c>
    </row>
    <row r="65">
      <c r="A65" s="10" t="inlineStr">
        <is>
          <t>PJ-2022-G</t>
        </is>
      </c>
      <c r="B65" s="10" t="inlineStr">
        <is>
          <t>ギルドマスターズ(前倒し)</t>
        </is>
      </c>
      <c r="C65" s="10" t="n">
        <v>24</v>
      </c>
      <c r="D65" s="19" t="n">
        <v>123.2</v>
      </c>
      <c r="E65" s="19" t="n">
        <v>170</v>
      </c>
      <c r="F65" s="19" t="n">
        <v>392.3</v>
      </c>
      <c r="G65" s="19" t="n">
        <v>446</v>
      </c>
      <c r="H65" s="19" t="n">
        <v>71.7</v>
      </c>
      <c r="I65" s="19" t="n">
        <v>171.6</v>
      </c>
      <c r="J65" s="19" t="n">
        <v>86.40000000000001</v>
      </c>
      <c r="K65" s="19" t="n">
        <v>1461</v>
      </c>
    </row>
    <row r="66">
      <c r="A66" s="10" t="inlineStr">
        <is>
          <t>PJ-2023-H</t>
        </is>
      </c>
      <c r="B66" s="10" t="inlineStr">
        <is>
          <t>クロノスギア:蒼き遺産</t>
        </is>
      </c>
      <c r="C66" s="10" t="n">
        <v>20</v>
      </c>
      <c r="D66" s="19" t="n">
        <v>61.4</v>
      </c>
      <c r="E66" s="19" t="n">
        <v>155.3</v>
      </c>
      <c r="F66" s="19" t="n">
        <v>260.3</v>
      </c>
      <c r="G66" s="19" t="n">
        <v>371</v>
      </c>
      <c r="H66" s="19" t="n">
        <v>40.6</v>
      </c>
      <c r="I66" s="19" t="n">
        <v>150.1</v>
      </c>
      <c r="J66" s="19" t="n">
        <v>66.3</v>
      </c>
      <c r="K66" s="19" t="n">
        <v>1104.9</v>
      </c>
    </row>
    <row r="67">
      <c r="A67" s="10" t="inlineStr">
        <is>
          <t>PJ-2023-I</t>
        </is>
      </c>
      <c r="B67" s="10" t="inlineStr">
        <is>
          <t>ブレイブフロンティア Remaster</t>
        </is>
      </c>
      <c r="C67" s="10" t="n">
        <v>18</v>
      </c>
      <c r="D67" s="19" t="n">
        <v>29.2</v>
      </c>
      <c r="E67" s="19" t="n">
        <v>34.4</v>
      </c>
      <c r="F67" s="19" t="n">
        <v>308.5</v>
      </c>
      <c r="G67" s="19" t="n">
        <v>171.1</v>
      </c>
      <c r="H67" s="19" t="n">
        <v>20.9</v>
      </c>
      <c r="I67" s="19" t="n">
        <v>106.1</v>
      </c>
      <c r="J67" s="19" t="n">
        <v>39.5</v>
      </c>
      <c r="K67" s="19" t="n">
        <v>709.7</v>
      </c>
    </row>
    <row r="68">
      <c r="A68" s="10" t="inlineStr">
        <is>
          <t>PJ-2024-J</t>
        </is>
      </c>
      <c r="B68" s="10" t="inlineStr">
        <is>
          <t>オーヴァーロード・サーガ(後半集中)</t>
        </is>
      </c>
      <c r="C68" s="10" t="n">
        <v>30</v>
      </c>
      <c r="D68" s="19" t="n">
        <v>153.8</v>
      </c>
      <c r="E68" s="19" t="n">
        <v>254</v>
      </c>
      <c r="F68" s="19" t="n">
        <v>600.1</v>
      </c>
      <c r="G68" s="19" t="n">
        <v>658.4</v>
      </c>
      <c r="H68" s="19" t="n">
        <v>122.6</v>
      </c>
      <c r="I68" s="19" t="n">
        <v>234.8</v>
      </c>
      <c r="J68" s="19" t="n">
        <v>138.9</v>
      </c>
      <c r="K68" s="19" t="n">
        <v>2162.6</v>
      </c>
    </row>
    <row r="69">
      <c r="A69" s="10" t="inlineStr">
        <is>
          <t>合計</t>
        </is>
      </c>
      <c r="B69" s="10" t="inlineStr"/>
      <c r="C69" s="10" t="n"/>
      <c r="D69" s="19" t="n">
        <v>805.6</v>
      </c>
      <c r="E69" s="19" t="n">
        <v>1367.3</v>
      </c>
      <c r="F69" s="19" t="n">
        <v>3214.3</v>
      </c>
      <c r="G69" s="19" t="n">
        <v>3559.3</v>
      </c>
      <c r="H69" s="19" t="n">
        <v>539.2</v>
      </c>
      <c r="I69" s="19" t="n">
        <v>1465.6</v>
      </c>
      <c r="J69" s="19" t="n">
        <v>691.2</v>
      </c>
      <c r="K69" s="19" t="n">
        <v>11642.1</v>
      </c>
    </row>
    <row r="70">
      <c r="A70" s="10" t="inlineStr">
        <is>
          <t>構成比</t>
        </is>
      </c>
      <c r="B70" s="10" t="inlineStr">
        <is>
          <t>(全案件の単純合計)</t>
        </is>
      </c>
      <c r="C70" s="10" t="n"/>
      <c r="D70" s="17" t="n">
        <v>0.0692</v>
      </c>
      <c r="E70" s="17" t="n">
        <v>0.1174</v>
      </c>
      <c r="F70" s="17" t="n">
        <v>0.2761</v>
      </c>
      <c r="G70" s="17" t="n">
        <v>0.3057</v>
      </c>
      <c r="H70" s="17" t="n">
        <v>0.0463</v>
      </c>
      <c r="I70" s="17" t="n">
        <v>0.1259</v>
      </c>
      <c r="J70" s="17" t="n">
        <v>0.0594</v>
      </c>
      <c r="K70" s="17" t="n">
        <v>1</v>
      </c>
    </row>
    <row r="72">
      <c r="A72" s="6" t="inlineStr">
        <is>
          <t>■ マイルストーン位置分布(学習値)</t>
        </is>
      </c>
    </row>
    <row r="73">
      <c r="A73" s="8" t="inlineStr">
        <is>
          <t>マイルストーン名</t>
        </is>
      </c>
      <c r="B73" s="8" t="inlineStr">
        <is>
          <t>平均位置</t>
        </is>
      </c>
      <c r="C73" s="8" t="inlineStr">
        <is>
          <t>標準偏差</t>
        </is>
      </c>
      <c r="D73" s="8" t="inlineStr">
        <is>
          <t>件数</t>
        </is>
      </c>
      <c r="E73" s="8" t="inlineStr">
        <is>
          <t>背骨</t>
        </is>
      </c>
    </row>
    <row r="74">
      <c r="A74" s="10" t="inlineStr">
        <is>
          <t>プロトタイプ</t>
        </is>
      </c>
      <c r="B74" s="22" t="n">
        <v>0.2188491375523833</v>
      </c>
      <c r="C74" s="22" t="n">
        <v>0.02881248871725813</v>
      </c>
      <c r="D74" s="10" t="n">
        <v>4</v>
      </c>
      <c r="E74" s="10" t="inlineStr"/>
    </row>
    <row r="75">
      <c r="A75" s="10" t="inlineStr">
        <is>
          <t>α版</t>
        </is>
      </c>
      <c r="B75" s="22" t="n">
        <v>0.5044716540148783</v>
      </c>
      <c r="C75" s="22" t="n">
        <v>0.05587909695418786</v>
      </c>
      <c r="D75" s="10" t="n">
        <v>9</v>
      </c>
      <c r="E75" s="10" t="inlineStr">
        <is>
          <t>○</t>
        </is>
      </c>
    </row>
    <row r="76">
      <c r="A76" s="10" t="inlineStr">
        <is>
          <t>β版</t>
        </is>
      </c>
      <c r="B76" s="22" t="n">
        <v>0.738209200194635</v>
      </c>
      <c r="C76" s="22" t="n">
        <v>0.05302527273021282</v>
      </c>
      <c r="D76" s="10" t="n">
        <v>9</v>
      </c>
      <c r="E76" s="10" t="inlineStr">
        <is>
          <t>○</t>
        </is>
      </c>
    </row>
    <row r="77">
      <c r="A77" s="10" t="inlineStr">
        <is>
          <t>マスターアップ</t>
        </is>
      </c>
      <c r="B77" s="22" t="n">
        <v>0.9178470424403719</v>
      </c>
      <c r="C77" s="22" t="n">
        <v>0.0126223616916674</v>
      </c>
      <c r="D77" s="10" t="n">
        <v>9</v>
      </c>
      <c r="E77" s="10" t="inlineStr">
        <is>
          <t>○</t>
        </is>
      </c>
    </row>
    <row r="79">
      <c r="A79" s="6" t="inlineStr">
        <is>
          <t>■ 行程グループ別 工数比率(学習値)</t>
        </is>
      </c>
    </row>
    <row r="80">
      <c r="A80"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81">
      <c r="A81" s="8" t="inlineStr">
        <is>
          <t>行程グループ</t>
        </is>
      </c>
      <c r="B81" s="8" t="inlineStr">
        <is>
          <t>比率</t>
        </is>
      </c>
      <c r="C81" s="8" t="inlineStr">
        <is>
          <t>件数</t>
        </is>
      </c>
    </row>
    <row r="82">
      <c r="A82" s="10" t="inlineStr">
        <is>
          <t>企画・プリプロ</t>
        </is>
      </c>
      <c r="B82" s="13" t="n">
        <v>0.06324308295704884</v>
      </c>
      <c r="C82" s="11" t="n">
        <v>9</v>
      </c>
    </row>
    <row r="83">
      <c r="A83" s="10" t="inlineStr">
        <is>
          <t>ゲームデザイン・シナリオ</t>
        </is>
      </c>
      <c r="B83" s="13" t="n">
        <v>0.1109177035248541</v>
      </c>
      <c r="C83" s="11" t="n">
        <v>9</v>
      </c>
    </row>
    <row r="84">
      <c r="A84" s="10" t="inlineStr">
        <is>
          <t>プログラム</t>
        </is>
      </c>
      <c r="B84" s="13" t="n">
        <v>0.2905690710695205</v>
      </c>
      <c r="C84" s="11" t="n">
        <v>9</v>
      </c>
    </row>
    <row r="85">
      <c r="A85" s="10" t="inlineStr">
        <is>
          <t>アート</t>
        </is>
      </c>
      <c r="B85" s="13" t="n">
        <v>0.2995656090132583</v>
      </c>
      <c r="C85" s="11" t="n">
        <v>9</v>
      </c>
    </row>
    <row r="86">
      <c r="A86" s="10" t="inlineStr">
        <is>
          <t>サウンド</t>
        </is>
      </c>
      <c r="B86" s="13" t="n">
        <v>0.04232627212754041</v>
      </c>
      <c r="C86" s="11" t="n">
        <v>9</v>
      </c>
    </row>
    <row r="87">
      <c r="A87" s="10" t="inlineStr">
        <is>
          <t>QA・デバッグ</t>
        </is>
      </c>
      <c r="B87" s="13" t="n">
        <v>0.1346811491217273</v>
      </c>
      <c r="C87" s="11" t="n">
        <v>9</v>
      </c>
    </row>
    <row r="88">
      <c r="A88" s="10" t="inlineStr">
        <is>
          <t>PM・運営</t>
        </is>
      </c>
      <c r="B88" s="13" t="n">
        <v>0.05869711218605067</v>
      </c>
      <c r="C88" s="11" t="n">
        <v>9</v>
      </c>
    </row>
    <row r="90">
      <c r="A90" s="6" t="inlineStr">
        <is>
          <t>■ 警告</t>
        </is>
      </c>
    </row>
    <row r="91">
      <c r="A91" s="26" t="inlineStr">
        <is>
          <t>⚠ マイルストーン「プロトタイプ」はカバー率 5/10 が閾値 60% 未満のため位置合わせには使っていない。</t>
        </is>
      </c>
    </row>
    <row r="92">
      <c r="A92" s="26" t="inlineStr">
        <is>
          <t>⚠ PJ-2021-E は完了案件のため、自分自身を学習から外した 9 件で学習し直している(自分の実績で学習したカーブで自分を予測すると評価にならない)。「予測」シートの数字は、全案件で学習した場合とは一致しない。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2026-09-04T23:01:06Z</dcterms:created>
  <dcterms:modified xsi:type="dcterms:W3CDTF">2026-09-04T23:01:06Z</dcterms:modified>
</cp:coreProperties>
</file>