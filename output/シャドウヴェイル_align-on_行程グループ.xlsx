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予測" sheetId="1" state="visible" r:id="rId1"/>
    <sheet name="段階予測" sheetId="2" state="visible" r:id="rId2"/>
    <sheet name="カーブ" sheetId="3" state="visible" r:id="rId3"/>
    <sheet name="検証" sheetId="4" state="visible" r:id="rId4"/>
    <sheet name="条件" sheetId="5" state="visible" r:id="rId5"/>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
  </numFmts>
  <fonts count="8">
    <font>
      <name val="Calibri"/>
      <family val="2"/>
      <color theme="1"/>
      <sz val="11"/>
      <scheme val="minor"/>
    </font>
    <font>
      <name val="Arial"/>
      <b val="1"/>
      <color rgb="001F3864"/>
      <sz val="14"/>
    </font>
    <font>
      <name val="Arial"/>
      <sz val="10"/>
    </font>
    <font>
      <name val="Arial"/>
      <i val="1"/>
      <color rgb="007F7F7F"/>
      <sz val="9"/>
    </font>
    <font>
      <name val="Arial"/>
      <b val="1"/>
      <color rgb="001F3864"/>
      <sz val="11"/>
    </font>
    <font>
      <name val="Arial"/>
      <b val="1"/>
      <color rgb="00FFFFFF"/>
      <sz val="10"/>
    </font>
    <font>
      <name val="Arial"/>
      <b val="1"/>
      <sz val="10"/>
    </font>
    <font>
      <name val="Arial"/>
      <color rgb="00C00000"/>
      <sz val="10"/>
    </font>
  </fonts>
  <fills count="5">
    <fill>
      <patternFill/>
    </fill>
    <fill>
      <patternFill patternType="gray125"/>
    </fill>
    <fill>
      <patternFill patternType="solid">
        <fgColor rgb="00FFF2CC"/>
      </patternFill>
    </fill>
    <fill>
      <patternFill patternType="solid">
        <fgColor rgb="001F3864"/>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3" fontId="2" fillId="0" borderId="0" pivotButton="0" quotePrefix="0" xfId="0"/>
    <xf numFmtId="3" fontId="2" fillId="2"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5" fillId="3" borderId="1" applyAlignment="1" pivotButton="0" quotePrefix="0" xfId="0">
      <alignment horizontal="center" wrapText="1"/>
    </xf>
    <xf numFmtId="0" fontId="5" fillId="3" borderId="0" pivotButton="0" quotePrefix="0" xfId="0"/>
    <xf numFmtId="0" fontId="2" fillId="0" borderId="1" pivotButton="0" quotePrefix="0" xfId="0"/>
    <xf numFmtId="1" fontId="2" fillId="0" borderId="1" pivotButton="0" quotePrefix="0" xfId="0"/>
    <xf numFmtId="3" fontId="2" fillId="0" borderId="1" pivotButton="0" quotePrefix="0" xfId="0"/>
    <xf numFmtId="164" fontId="2" fillId="0" borderId="1" pivotButton="0" quotePrefix="0" xfId="0"/>
    <xf numFmtId="0" fontId="6" fillId="0" borderId="1" pivotButton="0" quotePrefix="0" xfId="0"/>
    <xf numFmtId="3" fontId="6" fillId="4" borderId="1" pivotButton="0" quotePrefix="0" xfId="0"/>
    <xf numFmtId="0" fontId="3" fillId="0" borderId="1" pivotButton="0" quotePrefix="0" xfId="0"/>
    <xf numFmtId="164" fontId="3" fillId="0" borderId="1" pivotButton="0" quotePrefix="0" xfId="0"/>
    <xf numFmtId="0" fontId="5" fillId="3" borderId="1" pivotButton="0" quotePrefix="0" xfId="0"/>
    <xf numFmtId="165" fontId="2" fillId="0" borderId="1" pivotButton="0" quotePrefix="0" xfId="0"/>
    <xf numFmtId="165" fontId="6" fillId="4" borderId="1" pivotButton="0" quotePrefix="0" xfId="0"/>
    <xf numFmtId="164" fontId="6" fillId="4" borderId="1" pivotButton="0" quotePrefix="0" xfId="0"/>
    <xf numFmtId="166" fontId="2" fillId="0" borderId="1" pivotButton="0" quotePrefix="0" xfId="0"/>
    <xf numFmtId="2" fontId="2" fillId="0" borderId="1" pivotButton="0" quotePrefix="0" xfId="0"/>
    <xf numFmtId="167" fontId="2" fillId="0" borderId="1"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月次工数 予測 vs 実績(時間)</a:t>
            </a:r>
          </a:p>
        </rich>
      </tx>
    </title>
    <plotArea>
      <lineChart>
        <grouping val="standard"/>
        <ser>
          <idx val="0"/>
          <order val="0"/>
          <tx>
            <strRef>
              <f>'予測'!B137</f>
            </strRef>
          </tx>
          <spPr>
            <a:ln>
              <a:prstDash val="solid"/>
            </a:ln>
          </spPr>
          <marker>
            <symbol val="none"/>
            <spPr>
              <a:ln>
                <a:prstDash val="solid"/>
              </a:ln>
            </spPr>
          </marker>
          <cat>
            <numRef>
              <f>'予測'!$A$138:$A$173</f>
            </numRef>
          </cat>
          <val>
            <numRef>
              <f>'予測'!$B$138:$B$173</f>
            </numRef>
          </val>
          <smooth val="0"/>
        </ser>
        <ser>
          <idx val="1"/>
          <order val="1"/>
          <tx>
            <strRef>
              <f>'予測'!C137</f>
            </strRef>
          </tx>
          <spPr>
            <a:ln>
              <a:prstDash val="solid"/>
            </a:ln>
          </spPr>
          <marker>
            <symbol val="none"/>
            <spPr>
              <a:ln>
                <a:prstDash val="solid"/>
              </a:ln>
            </spPr>
          </marker>
          <cat>
            <numRef>
              <f>'予測'!$A$138:$A$173</f>
            </numRef>
          </cat>
          <val>
            <numRef>
              <f>'予測'!$C$138:$C$173</f>
            </numRef>
          </val>
          <smooth val="0"/>
        </ser>
        <axId val="10"/>
        <axId val="100"/>
      </lineChart>
      <catAx>
        <axId val="10"/>
        <scaling>
          <orientation val="minMax"/>
        </scaling>
        <axPos val="l"/>
        <title>
          <tx>
            <rich>
              <a:bodyPr/>
              <a:p>
                <a:pPr>
                  <a:defRPr/>
                </a:pPr>
                <a:r>
                  <a:t>月</a:t>
                </a:r>
              </a:p>
            </rich>
          </tx>
        </title>
        <majorTickMark val="none"/>
        <minorTickMark val="none"/>
        <crossAx val="100"/>
        <lblOffset val="100"/>
      </catAx>
      <valAx>
        <axId val="100"/>
        <scaling>
          <orientation val="minMax"/>
        </scaling>
        <axPos val="l"/>
        <majorGridlines/>
        <title>
          <tx>
            <rich>
              <a:bodyPr/>
              <a:p>
                <a:pPr>
                  <a:defRPr/>
                </a:pPr>
                <a:r>
                  <a:t>時間</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シャドウヴェイル 月次工数(時間・行程グループ積み上げ)</a:t>
            </a:r>
          </a:p>
        </rich>
      </tx>
    </title>
    <plotArea>
      <barChart>
        <barDir val="col"/>
        <grouping val="stacked"/>
        <ser>
          <idx val="0"/>
          <order val="0"/>
          <tx>
            <strRef>
              <f>'予測'!C11</f>
            </strRef>
          </tx>
          <spPr>
            <a:ln>
              <a:prstDash val="solid"/>
            </a:ln>
          </spPr>
          <cat>
            <numRef>
              <f>'予測'!$A$12:$A$47</f>
            </numRef>
          </cat>
          <val>
            <numRef>
              <f>'予測'!$C$12:$C$47</f>
            </numRef>
          </val>
        </ser>
        <ser>
          <idx val="1"/>
          <order val="1"/>
          <tx>
            <strRef>
              <f>'予測'!D11</f>
            </strRef>
          </tx>
          <spPr>
            <a:ln>
              <a:prstDash val="solid"/>
            </a:ln>
          </spPr>
          <cat>
            <numRef>
              <f>'予測'!$A$12:$A$47</f>
            </numRef>
          </cat>
          <val>
            <numRef>
              <f>'予測'!$D$12:$D$47</f>
            </numRef>
          </val>
        </ser>
        <ser>
          <idx val="2"/>
          <order val="2"/>
          <tx>
            <strRef>
              <f>'予測'!E11</f>
            </strRef>
          </tx>
          <spPr>
            <a:ln>
              <a:prstDash val="solid"/>
            </a:ln>
          </spPr>
          <cat>
            <numRef>
              <f>'予測'!$A$12:$A$47</f>
            </numRef>
          </cat>
          <val>
            <numRef>
              <f>'予測'!$E$12:$E$47</f>
            </numRef>
          </val>
        </ser>
        <ser>
          <idx val="3"/>
          <order val="3"/>
          <tx>
            <strRef>
              <f>'予測'!F11</f>
            </strRef>
          </tx>
          <spPr>
            <a:ln>
              <a:prstDash val="solid"/>
            </a:ln>
          </spPr>
          <cat>
            <numRef>
              <f>'予測'!$A$12:$A$47</f>
            </numRef>
          </cat>
          <val>
            <numRef>
              <f>'予測'!$F$12:$F$47</f>
            </numRef>
          </val>
        </ser>
        <ser>
          <idx val="4"/>
          <order val="4"/>
          <tx>
            <strRef>
              <f>'予測'!G11</f>
            </strRef>
          </tx>
          <spPr>
            <a:ln>
              <a:prstDash val="solid"/>
            </a:ln>
          </spPr>
          <cat>
            <numRef>
              <f>'予測'!$A$12:$A$47</f>
            </numRef>
          </cat>
          <val>
            <numRef>
              <f>'予測'!$G$12:$G$47</f>
            </numRef>
          </val>
        </ser>
        <ser>
          <idx val="5"/>
          <order val="5"/>
          <tx>
            <strRef>
              <f>'予測'!H11</f>
            </strRef>
          </tx>
          <spPr>
            <a:ln>
              <a:prstDash val="solid"/>
            </a:ln>
          </spPr>
          <cat>
            <numRef>
              <f>'予測'!$A$12:$A$47</f>
            </numRef>
          </cat>
          <val>
            <numRef>
              <f>'予測'!$H$12:$H$47</f>
            </numRef>
          </val>
        </ser>
        <ser>
          <idx val="6"/>
          <order val="6"/>
          <tx>
            <strRef>
              <f>'予測'!I11</f>
            </strRef>
          </tx>
          <spPr>
            <a:ln>
              <a:prstDash val="solid"/>
            </a:ln>
          </spPr>
          <cat>
            <numRef>
              <f>'予測'!$A$12:$A$47</f>
            </numRef>
          </cat>
          <val>
            <numRef>
              <f>'予測'!$I$12:$I$47</f>
            </numRef>
          </val>
        </ser>
        <gapWidth val="150"/>
        <overlap val="100"/>
        <axId val="10"/>
        <axId val="100"/>
      </barChart>
      <catAx>
        <axId val="10"/>
        <scaling>
          <orientation val="minMax"/>
        </scaling>
        <axPos val="l"/>
        <title>
          <tx>
            <rich>
              <a:bodyPr/>
              <a:p>
                <a:pPr>
                  <a:defRPr/>
                </a:pPr>
                <a:r>
                  <a:t>月</a:t>
                </a:r>
              </a:p>
            </rich>
          </tx>
        </title>
        <majorTickMark val="none"/>
        <minorTickMark val="none"/>
        <crossAx val="100"/>
        <lblOffset val="100"/>
      </catAx>
      <valAx>
        <axId val="100"/>
        <scaling>
          <orientation val="minMax"/>
        </scaling>
        <axPos val="l"/>
        <majorGridlines/>
        <title>
          <tx>
            <rich>
              <a:bodyPr/>
              <a:p>
                <a:pPr>
                  <a:defRPr/>
                </a:pPr>
                <a:r>
                  <a:t>時間</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累積消化率</a:t>
            </a:r>
          </a:p>
        </rich>
      </tx>
    </title>
    <plotArea>
      <lineChart>
        <grouping val="standard"/>
        <ser>
          <idx val="0"/>
          <order val="0"/>
          <tx>
            <strRef>
              <f>'予測'!K11</f>
            </strRef>
          </tx>
          <spPr>
            <a:ln>
              <a:prstDash val="solid"/>
            </a:ln>
          </spPr>
          <marker>
            <symbol val="none"/>
            <spPr>
              <a:ln>
                <a:prstDash val="solid"/>
              </a:ln>
            </spPr>
          </marker>
          <cat>
            <numRef>
              <f>'予測'!$A$12:$A$47</f>
            </numRef>
          </cat>
          <val>
            <numRef>
              <f>'予測'!$K$12:$K$47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累積比率</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シャドウヴェイル 月次工数 実績 vs 段階予測(時間)</a:t>
            </a:r>
          </a:p>
        </rich>
      </tx>
    </title>
    <plotArea>
      <lineChart>
        <grouping val="standard"/>
        <ser>
          <idx val="0"/>
          <order val="0"/>
          <tx>
            <strRef>
              <f>'段階予測'!B9</f>
            </strRef>
          </tx>
          <spPr>
            <a:ln w="28000">
              <a:solidFill>
                <a:srgbClr val="C00000"/>
              </a:solidFill>
              <a:prstDash val="solid"/>
            </a:ln>
          </spPr>
          <marker>
            <symbol val="none"/>
            <spPr>
              <a:ln>
                <a:prstDash val="solid"/>
              </a:ln>
            </spPr>
          </marker>
          <cat>
            <numRef>
              <f>'段階予測'!$A$10:$A$45</f>
            </numRef>
          </cat>
          <val>
            <numRef>
              <f>'段階予測'!$B$10:$B$45</f>
            </numRef>
          </val>
          <smooth val="0"/>
        </ser>
        <ser>
          <idx val="1"/>
          <order val="1"/>
          <tx>
            <strRef>
              <f>'段階予測'!C9</f>
            </strRef>
          </tx>
          <spPr>
            <a:ln>
              <a:prstDash val="solid"/>
            </a:ln>
          </spPr>
          <marker>
            <symbol val="none"/>
            <spPr>
              <a:ln>
                <a:prstDash val="solid"/>
              </a:ln>
            </spPr>
          </marker>
          <cat>
            <numRef>
              <f>'段階予測'!$A$10:$A$45</f>
            </numRef>
          </cat>
          <val>
            <numRef>
              <f>'段階予測'!$C$10:$C$45</f>
            </numRef>
          </val>
          <smooth val="0"/>
        </ser>
        <ser>
          <idx val="2"/>
          <order val="2"/>
          <tx>
            <strRef>
              <f>'段階予測'!D9</f>
            </strRef>
          </tx>
          <spPr>
            <a:ln>
              <a:prstDash val="solid"/>
            </a:ln>
          </spPr>
          <marker>
            <symbol val="none"/>
            <spPr>
              <a:ln>
                <a:prstDash val="solid"/>
              </a:ln>
            </spPr>
          </marker>
          <cat>
            <numRef>
              <f>'段階予測'!$A$10:$A$45</f>
            </numRef>
          </cat>
          <val>
            <numRef>
              <f>'段階予測'!$D$10:$D$45</f>
            </numRef>
          </val>
          <smooth val="0"/>
        </ser>
        <ser>
          <idx val="3"/>
          <order val="3"/>
          <tx>
            <strRef>
              <f>'段階予測'!E9</f>
            </strRef>
          </tx>
          <spPr>
            <a:ln>
              <a:prstDash val="solid"/>
            </a:ln>
          </spPr>
          <marker>
            <symbol val="none"/>
            <spPr>
              <a:ln>
                <a:prstDash val="solid"/>
              </a:ln>
            </spPr>
          </marker>
          <cat>
            <numRef>
              <f>'段階予測'!$A$10:$A$45</f>
            </numRef>
          </cat>
          <val>
            <numRef>
              <f>'段階予測'!$E$10:$E$45</f>
            </numRef>
          </val>
          <smooth val="0"/>
        </ser>
        <ser>
          <idx val="4"/>
          <order val="4"/>
          <tx>
            <strRef>
              <f>'段階予測'!F9</f>
            </strRef>
          </tx>
          <spPr>
            <a:ln>
              <a:prstDash val="solid"/>
            </a:ln>
          </spPr>
          <marker>
            <symbol val="none"/>
            <spPr>
              <a:ln>
                <a:prstDash val="solid"/>
              </a:ln>
            </spPr>
          </marker>
          <cat>
            <numRef>
              <f>'段階予測'!$A$10:$A$45</f>
            </numRef>
          </cat>
          <val>
            <numRef>
              <f>'段階予測'!$F$10:$F$45</f>
            </numRef>
          </val>
          <smooth val="0"/>
        </ser>
        <ser>
          <idx val="5"/>
          <order val="5"/>
          <tx>
            <strRef>
              <f>'段階予測'!G9</f>
            </strRef>
          </tx>
          <spPr>
            <a:ln>
              <a:prstDash val="solid"/>
            </a:ln>
          </spPr>
          <marker>
            <symbol val="none"/>
            <spPr>
              <a:ln>
                <a:prstDash val="solid"/>
              </a:ln>
            </spPr>
          </marker>
          <cat>
            <numRef>
              <f>'段階予測'!$A$10:$A$45</f>
            </numRef>
          </cat>
          <val>
            <numRef>
              <f>'段階予測'!$G$10:$G$45</f>
            </numRef>
          </val>
          <smooth val="0"/>
        </ser>
        <axId val="10"/>
        <axId val="100"/>
      </lineChart>
      <catAx>
        <axId val="10"/>
        <scaling>
          <orientation val="minMax"/>
        </scaling>
        <axPos val="l"/>
        <title>
          <tx>
            <rich>
              <a:bodyPr/>
              <a:p>
                <a:pPr>
                  <a:defRPr/>
                </a:pPr>
                <a:r>
                  <a:t>月</a:t>
                </a:r>
              </a:p>
            </rich>
          </tx>
        </title>
        <majorTickMark val="none"/>
        <minorTickMark val="none"/>
        <crossAx val="100"/>
        <lblOffset val="100"/>
      </catAx>
      <valAx>
        <axId val="100"/>
        <scaling>
          <orientation val="minMax"/>
        </scaling>
        <axPos val="l"/>
        <majorGridlines/>
        <title>
          <tx>
            <rich>
              <a:bodyPr/>
              <a:p>
                <a:pPr>
                  <a:defRPr/>
                </a:pPr>
                <a:r>
                  <a:t>時間</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累積工数 実績 vs 段階予測(時間)</a:t>
            </a:r>
          </a:p>
        </rich>
      </tx>
    </title>
    <plotArea>
      <lineChart>
        <grouping val="standard"/>
        <ser>
          <idx val="0"/>
          <order val="0"/>
          <tx>
            <strRef>
              <f>'段階予測'!B71</f>
            </strRef>
          </tx>
          <spPr>
            <a:ln w="28000">
              <a:solidFill>
                <a:srgbClr val="C00000"/>
              </a:solidFill>
              <a:prstDash val="solid"/>
            </a:ln>
          </spPr>
          <marker>
            <symbol val="none"/>
            <spPr>
              <a:ln>
                <a:prstDash val="solid"/>
              </a:ln>
            </spPr>
          </marker>
          <cat>
            <numRef>
              <f>'段階予測'!$A$72:$A$107</f>
            </numRef>
          </cat>
          <val>
            <numRef>
              <f>'段階予測'!$B$72:$B$107</f>
            </numRef>
          </val>
          <smooth val="0"/>
        </ser>
        <ser>
          <idx val="1"/>
          <order val="1"/>
          <tx>
            <strRef>
              <f>'段階予測'!C71</f>
            </strRef>
          </tx>
          <spPr>
            <a:ln>
              <a:prstDash val="solid"/>
            </a:ln>
          </spPr>
          <marker>
            <symbol val="none"/>
            <spPr>
              <a:ln>
                <a:prstDash val="solid"/>
              </a:ln>
            </spPr>
          </marker>
          <cat>
            <numRef>
              <f>'段階予測'!$A$72:$A$107</f>
            </numRef>
          </cat>
          <val>
            <numRef>
              <f>'段階予測'!$C$72:$C$107</f>
            </numRef>
          </val>
          <smooth val="0"/>
        </ser>
        <ser>
          <idx val="2"/>
          <order val="2"/>
          <tx>
            <strRef>
              <f>'段階予測'!D71</f>
            </strRef>
          </tx>
          <spPr>
            <a:ln>
              <a:prstDash val="solid"/>
            </a:ln>
          </spPr>
          <marker>
            <symbol val="none"/>
            <spPr>
              <a:ln>
                <a:prstDash val="solid"/>
              </a:ln>
            </spPr>
          </marker>
          <cat>
            <numRef>
              <f>'段階予測'!$A$72:$A$107</f>
            </numRef>
          </cat>
          <val>
            <numRef>
              <f>'段階予測'!$D$72:$D$107</f>
            </numRef>
          </val>
          <smooth val="0"/>
        </ser>
        <ser>
          <idx val="3"/>
          <order val="3"/>
          <tx>
            <strRef>
              <f>'段階予測'!E71</f>
            </strRef>
          </tx>
          <spPr>
            <a:ln>
              <a:prstDash val="solid"/>
            </a:ln>
          </spPr>
          <marker>
            <symbol val="none"/>
            <spPr>
              <a:ln>
                <a:prstDash val="solid"/>
              </a:ln>
            </spPr>
          </marker>
          <cat>
            <numRef>
              <f>'段階予測'!$A$72:$A$107</f>
            </numRef>
          </cat>
          <val>
            <numRef>
              <f>'段階予測'!$E$72:$E$107</f>
            </numRef>
          </val>
          <smooth val="0"/>
        </ser>
        <ser>
          <idx val="4"/>
          <order val="4"/>
          <tx>
            <strRef>
              <f>'段階予測'!F71</f>
            </strRef>
          </tx>
          <spPr>
            <a:ln>
              <a:prstDash val="solid"/>
            </a:ln>
          </spPr>
          <marker>
            <symbol val="none"/>
            <spPr>
              <a:ln>
                <a:prstDash val="solid"/>
              </a:ln>
            </spPr>
          </marker>
          <cat>
            <numRef>
              <f>'段階予測'!$A$72:$A$107</f>
            </numRef>
          </cat>
          <val>
            <numRef>
              <f>'段階予測'!$F$72:$F$107</f>
            </numRef>
          </val>
          <smooth val="0"/>
        </ser>
        <ser>
          <idx val="5"/>
          <order val="5"/>
          <tx>
            <strRef>
              <f>'段階予測'!G71</f>
            </strRef>
          </tx>
          <spPr>
            <a:ln>
              <a:prstDash val="solid"/>
            </a:ln>
          </spPr>
          <marker>
            <symbol val="none"/>
            <spPr>
              <a:ln>
                <a:prstDash val="solid"/>
              </a:ln>
            </spPr>
          </marker>
          <cat>
            <numRef>
              <f>'段階予測'!$A$72:$A$107</f>
            </numRef>
          </cat>
          <val>
            <numRef>
              <f>'段階予測'!$G$72:$G$107</f>
            </numRef>
          </val>
          <smooth val="0"/>
        </ser>
        <axId val="10"/>
        <axId val="100"/>
      </lineChart>
      <catAx>
        <axId val="10"/>
        <scaling>
          <orientation val="minMax"/>
        </scaling>
        <axPos val="l"/>
        <title>
          <tx>
            <rich>
              <a:bodyPr/>
              <a:p>
                <a:pPr>
                  <a:defRPr/>
                </a:pPr>
                <a:r>
                  <a:t>月</a:t>
                </a:r>
              </a:p>
            </rich>
          </tx>
        </title>
        <majorTickMark val="none"/>
        <minorTickMark val="none"/>
        <crossAx val="100"/>
        <lblOffset val="100"/>
      </catAx>
      <valAx>
        <axId val="100"/>
        <scaling>
          <orientation val="minMax"/>
        </scaling>
        <axPos val="l"/>
        <majorGridlines/>
        <title>
          <tx>
            <rich>
              <a:bodyPr/>
              <a:p>
                <a:pPr>
                  <a:defRPr/>
                </a:pPr>
                <a:r>
                  <a:t>累積時間</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残り区間の月次誤差WAPE(小さいほど良い)</a:t>
            </a:r>
          </a:p>
        </rich>
      </tx>
    </title>
    <plotArea>
      <barChart>
        <barDir val="col"/>
        <grouping val="clustered"/>
        <ser>
          <idx val="0"/>
          <order val="0"/>
          <tx>
            <strRef>
              <f>'段階予測'!O137</f>
            </strRef>
          </tx>
          <spPr>
            <a:ln>
              <a:prstDash val="solid"/>
            </a:ln>
          </spPr>
          <cat>
            <numRef>
              <f>'段階予測'!$B$138:$B$142</f>
            </numRef>
          </cat>
          <val>
            <numRef>
              <f>'段階予測'!$O$138:$O$142</f>
            </numRef>
          </val>
        </ser>
        <gapWidth val="150"/>
        <axId val="10"/>
        <axId val="100"/>
      </barChart>
      <catAx>
        <axId val="10"/>
        <scaling>
          <orientation val="minMax"/>
        </scaling>
        <axPos val="l"/>
        <title>
          <tx>
            <rich>
              <a:bodyPr/>
              <a:p>
                <a:pPr>
                  <a:defRPr/>
                </a:pPr>
                <a:r>
                  <a:t>段階</a:t>
                </a:r>
              </a:p>
            </rich>
          </tx>
        </title>
        <majorTickMark val="none"/>
        <minorTickMark val="none"/>
        <crossAx val="100"/>
        <lblOffset val="100"/>
      </catAx>
      <valAx>
        <axId val="100"/>
        <scaling>
          <orientation val="minMax"/>
        </scaling>
        <axPos val="l"/>
        <majorGridlines/>
        <title>
          <tx>
            <rich>
              <a:bodyPr/>
              <a:p>
                <a:pPr>
                  <a:defRPr/>
                </a:pPr>
                <a:r>
                  <a:t>WAPE</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累積消化率カーブ(太線=平均)</a:t>
            </a:r>
          </a:p>
        </rich>
      </tx>
    </title>
    <plotArea>
      <lineChart>
        <grouping val="standard"/>
        <ser>
          <idx val="0"/>
          <order val="0"/>
          <tx>
            <strRef>
              <f>'カーブ'!B6</f>
            </strRef>
          </tx>
          <spPr>
            <a:ln>
              <a:prstDash val="solid"/>
            </a:ln>
          </spPr>
          <marker>
            <symbol val="none"/>
            <spPr>
              <a:ln>
                <a:prstDash val="solid"/>
              </a:ln>
            </spPr>
          </marker>
          <cat>
            <numRef>
              <f>'カーブ'!$A$7:$A$106</f>
            </numRef>
          </cat>
          <val>
            <numRef>
              <f>'カーブ'!$B$7:$B$106</f>
            </numRef>
          </val>
          <smooth val="0"/>
        </ser>
        <ser>
          <idx val="1"/>
          <order val="1"/>
          <tx>
            <strRef>
              <f>'カーブ'!C6</f>
            </strRef>
          </tx>
          <spPr>
            <a:ln>
              <a:prstDash val="solid"/>
            </a:ln>
          </spPr>
          <marker>
            <symbol val="none"/>
            <spPr>
              <a:ln>
                <a:prstDash val="solid"/>
              </a:ln>
            </spPr>
          </marker>
          <cat>
            <numRef>
              <f>'カーブ'!$A$7:$A$106</f>
            </numRef>
          </cat>
          <val>
            <numRef>
              <f>'カーブ'!$C$7:$C$106</f>
            </numRef>
          </val>
          <smooth val="0"/>
        </ser>
        <ser>
          <idx val="2"/>
          <order val="2"/>
          <tx>
            <strRef>
              <f>'カーブ'!D6</f>
            </strRef>
          </tx>
          <spPr>
            <a:ln>
              <a:prstDash val="solid"/>
            </a:ln>
          </spPr>
          <marker>
            <symbol val="none"/>
            <spPr>
              <a:ln>
                <a:prstDash val="solid"/>
              </a:ln>
            </spPr>
          </marker>
          <cat>
            <numRef>
              <f>'カーブ'!$A$7:$A$106</f>
            </numRef>
          </cat>
          <val>
            <numRef>
              <f>'カーブ'!$D$7:$D$106</f>
            </numRef>
          </val>
          <smooth val="0"/>
        </ser>
        <ser>
          <idx val="3"/>
          <order val="3"/>
          <tx>
            <strRef>
              <f>'カーブ'!E6</f>
            </strRef>
          </tx>
          <spPr>
            <a:ln>
              <a:prstDash val="solid"/>
            </a:ln>
          </spPr>
          <marker>
            <symbol val="none"/>
            <spPr>
              <a:ln>
                <a:prstDash val="solid"/>
              </a:ln>
            </spPr>
          </marker>
          <cat>
            <numRef>
              <f>'カーブ'!$A$7:$A$106</f>
            </numRef>
          </cat>
          <val>
            <numRef>
              <f>'カーブ'!$E$7:$E$106</f>
            </numRef>
          </val>
          <smooth val="0"/>
        </ser>
        <ser>
          <idx val="4"/>
          <order val="4"/>
          <tx>
            <strRef>
              <f>'カーブ'!F6</f>
            </strRef>
          </tx>
          <spPr>
            <a:ln>
              <a:prstDash val="solid"/>
            </a:ln>
          </spPr>
          <marker>
            <symbol val="none"/>
            <spPr>
              <a:ln>
                <a:prstDash val="solid"/>
              </a:ln>
            </spPr>
          </marker>
          <cat>
            <numRef>
              <f>'カーブ'!$A$7:$A$106</f>
            </numRef>
          </cat>
          <val>
            <numRef>
              <f>'カーブ'!$F$7:$F$106</f>
            </numRef>
          </val>
          <smooth val="0"/>
        </ser>
        <ser>
          <idx val="5"/>
          <order val="5"/>
          <tx>
            <strRef>
              <f>'カーブ'!G6</f>
            </strRef>
          </tx>
          <spPr>
            <a:ln>
              <a:prstDash val="solid"/>
            </a:ln>
          </spPr>
          <marker>
            <symbol val="none"/>
            <spPr>
              <a:ln>
                <a:prstDash val="solid"/>
              </a:ln>
            </spPr>
          </marker>
          <cat>
            <numRef>
              <f>'カーブ'!$A$7:$A$106</f>
            </numRef>
          </cat>
          <val>
            <numRef>
              <f>'カーブ'!$G$7:$G$106</f>
            </numRef>
          </val>
          <smooth val="0"/>
        </ser>
        <ser>
          <idx val="6"/>
          <order val="6"/>
          <tx>
            <strRef>
              <f>'カーブ'!H6</f>
            </strRef>
          </tx>
          <spPr>
            <a:ln>
              <a:prstDash val="solid"/>
            </a:ln>
          </spPr>
          <marker>
            <symbol val="none"/>
            <spPr>
              <a:ln>
                <a:prstDash val="solid"/>
              </a:ln>
            </spPr>
          </marker>
          <cat>
            <numRef>
              <f>'カーブ'!$A$7:$A$106</f>
            </numRef>
          </cat>
          <val>
            <numRef>
              <f>'カーブ'!$H$7:$H$106</f>
            </numRef>
          </val>
          <smooth val="0"/>
        </ser>
        <ser>
          <idx val="7"/>
          <order val="7"/>
          <tx>
            <strRef>
              <f>'カーブ'!I6</f>
            </strRef>
          </tx>
          <spPr>
            <a:ln>
              <a:prstDash val="solid"/>
            </a:ln>
          </spPr>
          <marker>
            <symbol val="none"/>
            <spPr>
              <a:ln>
                <a:prstDash val="solid"/>
              </a:ln>
            </spPr>
          </marker>
          <cat>
            <numRef>
              <f>'カーブ'!$A$7:$A$106</f>
            </numRef>
          </cat>
          <val>
            <numRef>
              <f>'カーブ'!$I$7:$I$106</f>
            </numRef>
          </val>
          <smooth val="0"/>
        </ser>
        <ser>
          <idx val="8"/>
          <order val="8"/>
          <tx>
            <strRef>
              <f>'カーブ'!J6</f>
            </strRef>
          </tx>
          <spPr>
            <a:ln>
              <a:prstDash val="solid"/>
            </a:ln>
          </spPr>
          <marker>
            <symbol val="none"/>
            <spPr>
              <a:ln>
                <a:prstDash val="solid"/>
              </a:ln>
            </spPr>
          </marker>
          <cat>
            <numRef>
              <f>'カーブ'!$A$7:$A$106</f>
            </numRef>
          </cat>
          <val>
            <numRef>
              <f>'カーブ'!$J$7:$J$106</f>
            </numRef>
          </val>
          <smooth val="0"/>
        </ser>
        <ser>
          <idx val="9"/>
          <order val="9"/>
          <tx>
            <strRef>
              <f>'カーブ'!K6</f>
            </strRef>
          </tx>
          <spPr>
            <a:ln>
              <a:prstDash val="solid"/>
            </a:ln>
          </spPr>
          <marker>
            <symbol val="none"/>
            <spPr>
              <a:ln>
                <a:prstDash val="solid"/>
              </a:ln>
            </spPr>
          </marker>
          <cat>
            <numRef>
              <f>'カーブ'!$A$7:$A$106</f>
            </numRef>
          </cat>
          <val>
            <numRef>
              <f>'カーブ'!$K$7:$K$106</f>
            </numRef>
          </val>
          <smooth val="0"/>
        </ser>
        <ser>
          <idx val="10"/>
          <order val="10"/>
          <tx>
            <strRef>
              <f>'カーブ'!L6</f>
            </strRef>
          </tx>
          <spPr>
            <a:ln>
              <a:prstDash val="solid"/>
            </a:ln>
          </spPr>
          <marker>
            <symbol val="none"/>
            <spPr>
              <a:ln>
                <a:prstDash val="solid"/>
              </a:ln>
            </spPr>
          </marker>
          <cat>
            <numRef>
              <f>'カーブ'!$A$7:$A$106</f>
            </numRef>
          </cat>
          <val>
            <numRef>
              <f>'カーブ'!$L$7:$L$106</f>
            </numRef>
          </val>
          <smooth val="0"/>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累積比率</a:t>
                </a:r>
              </a:p>
            </rich>
          </tx>
        </title>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工数密度カーブ(非累積・太線=平均)</a:t>
            </a:r>
          </a:p>
        </rich>
      </tx>
    </title>
    <plotArea>
      <lineChart>
        <grouping val="standard"/>
        <ser>
          <idx val="0"/>
          <order val="0"/>
          <tx>
            <strRef>
              <f>'カーブ'!B133</f>
            </strRef>
          </tx>
          <spPr>
            <a:ln>
              <a:prstDash val="solid"/>
            </a:ln>
          </spPr>
          <marker>
            <symbol val="none"/>
            <spPr>
              <a:ln>
                <a:prstDash val="solid"/>
              </a:ln>
            </spPr>
          </marker>
          <cat>
            <numRef>
              <f>'カーブ'!$A$134:$A$233</f>
            </numRef>
          </cat>
          <val>
            <numRef>
              <f>'カーブ'!$B$134:$B$233</f>
            </numRef>
          </val>
          <smooth val="0"/>
        </ser>
        <ser>
          <idx val="1"/>
          <order val="1"/>
          <tx>
            <strRef>
              <f>'カーブ'!C133</f>
            </strRef>
          </tx>
          <spPr>
            <a:ln>
              <a:prstDash val="solid"/>
            </a:ln>
          </spPr>
          <marker>
            <symbol val="none"/>
            <spPr>
              <a:ln>
                <a:prstDash val="solid"/>
              </a:ln>
            </spPr>
          </marker>
          <cat>
            <numRef>
              <f>'カーブ'!$A$134:$A$233</f>
            </numRef>
          </cat>
          <val>
            <numRef>
              <f>'カーブ'!$C$134:$C$233</f>
            </numRef>
          </val>
          <smooth val="0"/>
        </ser>
        <ser>
          <idx val="2"/>
          <order val="2"/>
          <tx>
            <strRef>
              <f>'カーブ'!D133</f>
            </strRef>
          </tx>
          <spPr>
            <a:ln>
              <a:prstDash val="solid"/>
            </a:ln>
          </spPr>
          <marker>
            <symbol val="none"/>
            <spPr>
              <a:ln>
                <a:prstDash val="solid"/>
              </a:ln>
            </spPr>
          </marker>
          <cat>
            <numRef>
              <f>'カーブ'!$A$134:$A$233</f>
            </numRef>
          </cat>
          <val>
            <numRef>
              <f>'カーブ'!$D$134:$D$233</f>
            </numRef>
          </val>
          <smooth val="0"/>
        </ser>
        <ser>
          <idx val="3"/>
          <order val="3"/>
          <tx>
            <strRef>
              <f>'カーブ'!E133</f>
            </strRef>
          </tx>
          <spPr>
            <a:ln>
              <a:prstDash val="solid"/>
            </a:ln>
          </spPr>
          <marker>
            <symbol val="none"/>
            <spPr>
              <a:ln>
                <a:prstDash val="solid"/>
              </a:ln>
            </spPr>
          </marker>
          <cat>
            <numRef>
              <f>'カーブ'!$A$134:$A$233</f>
            </numRef>
          </cat>
          <val>
            <numRef>
              <f>'カーブ'!$E$134:$E$233</f>
            </numRef>
          </val>
          <smooth val="0"/>
        </ser>
        <ser>
          <idx val="4"/>
          <order val="4"/>
          <tx>
            <strRef>
              <f>'カーブ'!F133</f>
            </strRef>
          </tx>
          <spPr>
            <a:ln>
              <a:prstDash val="solid"/>
            </a:ln>
          </spPr>
          <marker>
            <symbol val="none"/>
            <spPr>
              <a:ln>
                <a:prstDash val="solid"/>
              </a:ln>
            </spPr>
          </marker>
          <cat>
            <numRef>
              <f>'カーブ'!$A$134:$A$233</f>
            </numRef>
          </cat>
          <val>
            <numRef>
              <f>'カーブ'!$F$134:$F$233</f>
            </numRef>
          </val>
          <smooth val="0"/>
        </ser>
        <ser>
          <idx val="5"/>
          <order val="5"/>
          <tx>
            <strRef>
              <f>'カーブ'!G133</f>
            </strRef>
          </tx>
          <spPr>
            <a:ln>
              <a:prstDash val="solid"/>
            </a:ln>
          </spPr>
          <marker>
            <symbol val="none"/>
            <spPr>
              <a:ln>
                <a:prstDash val="solid"/>
              </a:ln>
            </spPr>
          </marker>
          <cat>
            <numRef>
              <f>'カーブ'!$A$134:$A$233</f>
            </numRef>
          </cat>
          <val>
            <numRef>
              <f>'カーブ'!$G$134:$G$233</f>
            </numRef>
          </val>
          <smooth val="0"/>
        </ser>
        <ser>
          <idx val="6"/>
          <order val="6"/>
          <tx>
            <strRef>
              <f>'カーブ'!H133</f>
            </strRef>
          </tx>
          <spPr>
            <a:ln>
              <a:prstDash val="solid"/>
            </a:ln>
          </spPr>
          <marker>
            <symbol val="none"/>
            <spPr>
              <a:ln>
                <a:prstDash val="solid"/>
              </a:ln>
            </spPr>
          </marker>
          <cat>
            <numRef>
              <f>'カーブ'!$A$134:$A$233</f>
            </numRef>
          </cat>
          <val>
            <numRef>
              <f>'カーブ'!$H$134:$H$233</f>
            </numRef>
          </val>
          <smooth val="0"/>
        </ser>
        <ser>
          <idx val="7"/>
          <order val="7"/>
          <tx>
            <strRef>
              <f>'カーブ'!I133</f>
            </strRef>
          </tx>
          <spPr>
            <a:ln>
              <a:prstDash val="solid"/>
            </a:ln>
          </spPr>
          <marker>
            <symbol val="none"/>
            <spPr>
              <a:ln>
                <a:prstDash val="solid"/>
              </a:ln>
            </spPr>
          </marker>
          <cat>
            <numRef>
              <f>'カーブ'!$A$134:$A$233</f>
            </numRef>
          </cat>
          <val>
            <numRef>
              <f>'カーブ'!$I$134:$I$233</f>
            </numRef>
          </val>
          <smooth val="0"/>
        </ser>
        <ser>
          <idx val="8"/>
          <order val="8"/>
          <tx>
            <strRef>
              <f>'カーブ'!J133</f>
            </strRef>
          </tx>
          <spPr>
            <a:ln>
              <a:prstDash val="solid"/>
            </a:ln>
          </spPr>
          <marker>
            <symbol val="none"/>
            <spPr>
              <a:ln>
                <a:prstDash val="solid"/>
              </a:ln>
            </spPr>
          </marker>
          <cat>
            <numRef>
              <f>'カーブ'!$A$134:$A$233</f>
            </numRef>
          </cat>
          <val>
            <numRef>
              <f>'カーブ'!$J$134:$J$233</f>
            </numRef>
          </val>
          <smooth val="0"/>
        </ser>
        <ser>
          <idx val="9"/>
          <order val="9"/>
          <tx>
            <strRef>
              <f>'カーブ'!K133</f>
            </strRef>
          </tx>
          <spPr>
            <a:ln>
              <a:prstDash val="solid"/>
            </a:ln>
          </spPr>
          <marker>
            <symbol val="none"/>
            <spPr>
              <a:ln>
                <a:prstDash val="solid"/>
              </a:ln>
            </spPr>
          </marker>
          <cat>
            <numRef>
              <f>'カーブ'!$A$134:$A$233</f>
            </numRef>
          </cat>
          <val>
            <numRef>
              <f>'カーブ'!$K$134:$K$233</f>
            </numRef>
          </val>
          <smooth val="0"/>
        </ser>
        <ser>
          <idx val="10"/>
          <order val="10"/>
          <tx>
            <strRef>
              <f>'カーブ'!L133</f>
            </strRef>
          </tx>
          <spPr>
            <a:ln>
              <a:prstDash val="solid"/>
            </a:ln>
          </spPr>
          <marker>
            <symbol val="none"/>
            <spPr>
              <a:ln>
                <a:prstDash val="solid"/>
              </a:ln>
            </spPr>
          </marker>
          <cat>
            <numRef>
              <f>'カーブ'!$A$134:$A$233</f>
            </numRef>
          </cat>
          <val>
            <numRef>
              <f>'カーブ'!$L$134:$L$233</f>
            </numRef>
          </val>
          <smooth val="0"/>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密度</a:t>
                </a:r>
              </a:p>
            </rich>
          </tx>
        </title>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行程グループ別 工数密度(平均カーブ)</a:t>
            </a:r>
          </a:p>
        </rich>
      </tx>
    </title>
    <plotArea>
      <lineChart>
        <grouping val="standard"/>
        <ser>
          <idx val="0"/>
          <order val="0"/>
          <tx>
            <strRef>
              <f>'カーブ'!B259</f>
            </strRef>
          </tx>
          <spPr>
            <a:ln>
              <a:prstDash val="solid"/>
            </a:ln>
          </spPr>
          <marker>
            <symbol val="none"/>
            <spPr>
              <a:ln>
                <a:prstDash val="solid"/>
              </a:ln>
            </spPr>
          </marker>
          <cat>
            <numRef>
              <f>'カーブ'!$A$260:$A$359</f>
            </numRef>
          </cat>
          <val>
            <numRef>
              <f>'カーブ'!$B$260:$B$359</f>
            </numRef>
          </val>
        </ser>
        <ser>
          <idx val="1"/>
          <order val="1"/>
          <tx>
            <strRef>
              <f>'カーブ'!C259</f>
            </strRef>
          </tx>
          <spPr>
            <a:ln>
              <a:prstDash val="solid"/>
            </a:ln>
          </spPr>
          <marker>
            <symbol val="none"/>
            <spPr>
              <a:ln>
                <a:prstDash val="solid"/>
              </a:ln>
            </spPr>
          </marker>
          <cat>
            <numRef>
              <f>'カーブ'!$A$260:$A$359</f>
            </numRef>
          </cat>
          <val>
            <numRef>
              <f>'カーブ'!$C$260:$C$359</f>
            </numRef>
          </val>
        </ser>
        <ser>
          <idx val="2"/>
          <order val="2"/>
          <tx>
            <strRef>
              <f>'カーブ'!D259</f>
            </strRef>
          </tx>
          <spPr>
            <a:ln>
              <a:prstDash val="solid"/>
            </a:ln>
          </spPr>
          <marker>
            <symbol val="none"/>
            <spPr>
              <a:ln>
                <a:prstDash val="solid"/>
              </a:ln>
            </spPr>
          </marker>
          <cat>
            <numRef>
              <f>'カーブ'!$A$260:$A$359</f>
            </numRef>
          </cat>
          <val>
            <numRef>
              <f>'カーブ'!$D$260:$D$359</f>
            </numRef>
          </val>
        </ser>
        <ser>
          <idx val="3"/>
          <order val="3"/>
          <tx>
            <strRef>
              <f>'カーブ'!E259</f>
            </strRef>
          </tx>
          <spPr>
            <a:ln>
              <a:prstDash val="solid"/>
            </a:ln>
          </spPr>
          <marker>
            <symbol val="none"/>
            <spPr>
              <a:ln>
                <a:prstDash val="solid"/>
              </a:ln>
            </spPr>
          </marker>
          <cat>
            <numRef>
              <f>'カーブ'!$A$260:$A$359</f>
            </numRef>
          </cat>
          <val>
            <numRef>
              <f>'カーブ'!$E$260:$E$359</f>
            </numRef>
          </val>
        </ser>
        <ser>
          <idx val="4"/>
          <order val="4"/>
          <tx>
            <strRef>
              <f>'カーブ'!F259</f>
            </strRef>
          </tx>
          <spPr>
            <a:ln>
              <a:prstDash val="solid"/>
            </a:ln>
          </spPr>
          <marker>
            <symbol val="none"/>
            <spPr>
              <a:ln>
                <a:prstDash val="solid"/>
              </a:ln>
            </spPr>
          </marker>
          <cat>
            <numRef>
              <f>'カーブ'!$A$260:$A$359</f>
            </numRef>
          </cat>
          <val>
            <numRef>
              <f>'カーブ'!$F$260:$F$359</f>
            </numRef>
          </val>
        </ser>
        <ser>
          <idx val="5"/>
          <order val="5"/>
          <tx>
            <strRef>
              <f>'カーブ'!G259</f>
            </strRef>
          </tx>
          <spPr>
            <a:ln>
              <a:prstDash val="solid"/>
            </a:ln>
          </spPr>
          <marker>
            <symbol val="none"/>
            <spPr>
              <a:ln>
                <a:prstDash val="solid"/>
              </a:ln>
            </spPr>
          </marker>
          <cat>
            <numRef>
              <f>'カーブ'!$A$260:$A$359</f>
            </numRef>
          </cat>
          <val>
            <numRef>
              <f>'カーブ'!$G$260:$G$359</f>
            </numRef>
          </val>
        </ser>
        <ser>
          <idx val="6"/>
          <order val="6"/>
          <tx>
            <strRef>
              <f>'カーブ'!H259</f>
            </strRef>
          </tx>
          <spPr>
            <a:ln>
              <a:prstDash val="solid"/>
            </a:ln>
          </spPr>
          <marker>
            <symbol val="none"/>
            <spPr>
              <a:ln>
                <a:prstDash val="solid"/>
              </a:ln>
            </spPr>
          </marker>
          <cat>
            <numRef>
              <f>'カーブ'!$A$260:$A$359</f>
            </numRef>
          </cat>
          <val>
            <numRef>
              <f>'カーブ'!$H$260:$H$359</f>
            </numRef>
          </val>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密度</a:t>
                </a:r>
              </a:p>
            </rich>
          </tx>
        </title>
        <majorTickMark val="none"/>
        <minorTickMark val="none"/>
        <crossAx val="10"/>
      </valAx>
    </plotArea>
    <legend>
      <legendPos val="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案件別 月次誤差WAPE(低いほど良い)</a:t>
            </a:r>
          </a:p>
        </rich>
      </tx>
    </title>
    <plotArea>
      <barChart>
        <barDir val="col"/>
        <grouping val="clustered"/>
        <ser>
          <idx val="0"/>
          <order val="0"/>
          <tx>
            <strRef>
              <f>'検証'!B18</f>
            </strRef>
          </tx>
          <spPr>
            <a:ln>
              <a:prstDash val="solid"/>
            </a:ln>
          </spPr>
          <cat>
            <numRef>
              <f>'検証'!$A$19:$A$28</f>
            </numRef>
          </cat>
          <val>
            <numRef>
              <f>'検証'!$B$19:$B$28</f>
            </numRef>
          </val>
        </ser>
        <ser>
          <idx val="1"/>
          <order val="1"/>
          <tx>
            <strRef>
              <f>'検証'!C18</f>
            </strRef>
          </tx>
          <spPr>
            <a:ln>
              <a:prstDash val="solid"/>
            </a:ln>
          </spPr>
          <cat>
            <numRef>
              <f>'検証'!$A$19:$A$28</f>
            </numRef>
          </cat>
          <val>
            <numRef>
              <f>'検証'!$C$19:$C$28</f>
            </numRef>
          </val>
        </ser>
        <ser>
          <idx val="2"/>
          <order val="2"/>
          <tx>
            <strRef>
              <f>'検証'!D18</f>
            </strRef>
          </tx>
          <spPr>
            <a:ln>
              <a:prstDash val="solid"/>
            </a:ln>
          </spPr>
          <cat>
            <numRef>
              <f>'検証'!$A$19:$A$28</f>
            </numRef>
          </cat>
          <val>
            <numRef>
              <f>'検証'!$D$19:$D$28</f>
            </numRef>
          </val>
        </ser>
        <ser>
          <idx val="3"/>
          <order val="3"/>
          <tx>
            <strRef>
              <f>'検証'!E18</f>
            </strRef>
          </tx>
          <spPr>
            <a:ln>
              <a:prstDash val="solid"/>
            </a:ln>
          </spPr>
          <cat>
            <numRef>
              <f>'検証'!$A$19:$A$28</f>
            </numRef>
          </cat>
          <val>
            <numRef>
              <f>'検証'!$E$19:$E$28</f>
            </numRef>
          </val>
        </ser>
        <ser>
          <idx val="4"/>
          <order val="4"/>
          <tx>
            <strRef>
              <f>'検証'!F18</f>
            </strRef>
          </tx>
          <spPr>
            <a:ln>
              <a:prstDash val="solid"/>
            </a:ln>
          </spPr>
          <cat>
            <numRef>
              <f>'検証'!$A$19:$A$28</f>
            </numRef>
          </cat>
          <val>
            <numRef>
              <f>'検証'!$F$19:$F$28</f>
            </numRef>
          </val>
        </ser>
        <ser>
          <idx val="5"/>
          <order val="5"/>
          <tx>
            <strRef>
              <f>'検証'!G18</f>
            </strRef>
          </tx>
          <spPr>
            <a:ln>
              <a:prstDash val="solid"/>
            </a:ln>
          </spPr>
          <cat>
            <numRef>
              <f>'検証'!$A$19:$A$28</f>
            </numRef>
          </cat>
          <val>
            <numRef>
              <f>'検証'!$G$19:$G$28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WAPE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s>
</file>

<file path=xl/drawings/_rels/drawing3.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s>
</file>

<file path=xl/drawings/_rels/drawing4.xml.rels><Relationships xmlns="http://schemas.openxmlformats.org/package/2006/relationships"><Relationship Type="http://schemas.openxmlformats.org/officeDocument/2006/relationships/chart" Target="/xl/charts/chart10.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136</row>
      <rowOff>0</rowOff>
    </from>
    <ext cx="9360000" cy="324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10</row>
      <rowOff>0</rowOff>
    </from>
    <ext cx="11952000" cy="360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31</row>
      <rowOff>0</rowOff>
    </from>
    <ext cx="936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8</row>
      <rowOff>0</rowOff>
    </from>
    <ext cx="10728000" cy="4320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70</row>
      <rowOff>0</rowOff>
    </from>
    <ext cx="10728000" cy="4320000"/>
    <graphicFrame>
      <nvGraphicFramePr>
        <cNvPr id="2" name="Chart 2"/>
        <cNvGraphicFramePr/>
      </nvGraphicFramePr>
      <xfrm/>
      <a:graphic>
        <a:graphicData uri="http://schemas.openxmlformats.org/drawingml/2006/chart">
          <c:chart r:id="rId2"/>
        </a:graphicData>
      </a:graphic>
    </graphicFrame>
    <clientData/>
  </oneCellAnchor>
  <oneCellAnchor>
    <from>
      <col>19</col>
      <colOff>0</colOff>
      <row>136</row>
      <rowOff>0</rowOff>
    </from>
    <ext cx="6480000" cy="324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5</row>
      <rowOff>0</rowOff>
    </from>
    <ext cx="8640000" cy="396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132</row>
      <rowOff>0</rowOff>
    </from>
    <ext cx="8640000" cy="3960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258</row>
      <rowOff>0</rowOff>
    </from>
    <ext cx="8640000" cy="396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17</row>
      <rowOff>0</rowOff>
    </from>
    <ext cx="864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fitToPage="1"/>
  </sheetPr>
  <dimension ref="A1:K185"/>
  <sheetViews>
    <sheetView workbookViewId="0">
      <pane xSplit="2" ySplit="11" topLeftCell="C12"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10" customWidth="1" min="3" max="3"/>
    <col width="22" customWidth="1" min="4" max="4"/>
    <col width="20" customWidth="1" min="5" max="5"/>
    <col width="15" customWidth="1" min="6" max="6"/>
    <col width="15" customWidth="1" min="7" max="7"/>
    <col width="15" customWidth="1" min="8" max="8"/>
    <col width="15" customWidth="1" min="9" max="9"/>
  </cols>
  <sheetData>
    <row r="1">
      <c r="A1" s="1" t="inlineStr">
        <is>
          <t>工数予測  シャドウヴェイル  (PJ-2021-E)</t>
        </is>
      </c>
    </row>
    <row r="2">
      <c r="A2" s="2" t="inlineStr">
        <is>
          <t>生成日時</t>
        </is>
      </c>
      <c r="B2" s="2" t="inlineStr">
        <is>
          <t>2026-09-04 03:12</t>
        </is>
      </c>
    </row>
    <row r="3">
      <c r="A3" s="2" t="inlineStr">
        <is>
          <t>種別</t>
        </is>
      </c>
      <c r="B3" s="2" t="inlineStr">
        <is>
          <t>新規タイトル開発</t>
        </is>
      </c>
    </row>
    <row r="4">
      <c r="A4" s="2" t="inlineStr">
        <is>
          <t>タグ</t>
        </is>
      </c>
      <c r="B4" s="2" t="inlineStr">
        <is>
          <t>コンソール;新規IP;オンライン要素;外注比率高</t>
        </is>
      </c>
    </row>
    <row r="5">
      <c r="A5" s="2" t="inlineStr">
        <is>
          <t>期間</t>
        </is>
      </c>
      <c r="B5" s="2" t="inlineStr">
        <is>
          <t>2021-01 〜 2023-12  (36ヶ月)</t>
        </is>
      </c>
    </row>
    <row r="6">
      <c r="A6" s="2" t="inlineStr">
        <is>
          <t>契約人月</t>
        </is>
      </c>
      <c r="B6" s="3" t="n">
        <v>2950</v>
      </c>
    </row>
    <row r="7">
      <c r="A7" s="2" t="inlineStr">
        <is>
          <t>人月換算係数</t>
        </is>
      </c>
      <c r="B7" s="4" t="n">
        <v>160</v>
      </c>
      <c r="C7" s="5" t="inlineStr">
        <is>
          <t>← 人月表示はこのセルを参照。定義が違う場合はここを書き換える</t>
        </is>
      </c>
    </row>
    <row r="8">
      <c r="A8" s="2" t="inlineStr">
        <is>
          <t>総工数(時間)</t>
        </is>
      </c>
      <c r="B8" s="3" t="n">
        <v>472000</v>
      </c>
    </row>
    <row r="10">
      <c r="A10" s="6" t="inlineStr">
        <is>
          <t>■ 月 × 行程グループ 工数(時間)</t>
        </is>
      </c>
    </row>
    <row r="11">
      <c r="A11" s="7" t="inlineStr">
        <is>
          <t>月</t>
        </is>
      </c>
      <c r="B11" s="8" t="inlineStr">
        <is>
          <t>経過月</t>
        </is>
      </c>
      <c r="C11" s="8" t="inlineStr">
        <is>
          <t>企画・プリプロ</t>
        </is>
      </c>
      <c r="D11" s="8" t="inlineStr">
        <is>
          <t>ゲームデザイン・シナリオ</t>
        </is>
      </c>
      <c r="E11" s="8" t="inlineStr">
        <is>
          <t>プログラム</t>
        </is>
      </c>
      <c r="F11" s="8" t="inlineStr">
        <is>
          <t>アート</t>
        </is>
      </c>
      <c r="G11" s="8" t="inlineStr">
        <is>
          <t>サウンド</t>
        </is>
      </c>
      <c r="H11" s="8" t="inlineStr">
        <is>
          <t>QA・デバッグ</t>
        </is>
      </c>
      <c r="I11" s="8" t="inlineStr">
        <is>
          <t>PM・運営</t>
        </is>
      </c>
      <c r="J11" s="7" t="inlineStr">
        <is>
          <t>合計</t>
        </is>
      </c>
      <c r="K11" s="9" t="inlineStr">
        <is>
          <t>累積率</t>
        </is>
      </c>
    </row>
    <row r="12">
      <c r="A12" s="10" t="inlineStr">
        <is>
          <t>2021-01</t>
        </is>
      </c>
      <c r="B12" s="11" t="n">
        <v>1</v>
      </c>
      <c r="C12" s="12" t="n">
        <v>3931.3</v>
      </c>
      <c r="D12" s="12" t="n">
        <v>1199</v>
      </c>
      <c r="E12" s="12" t="n">
        <v>545.8</v>
      </c>
      <c r="F12" s="12" t="n">
        <v>225.6</v>
      </c>
      <c r="G12" s="12" t="n">
        <v>0.2</v>
      </c>
      <c r="H12" s="12" t="n">
        <v>0</v>
      </c>
      <c r="I12" s="12" t="n">
        <v>446.5</v>
      </c>
      <c r="J12" s="12">
        <f>SUM(C12:I12)</f>
        <v/>
      </c>
      <c r="K12" s="13">
        <f>SUM($J$12:J12)/$J$48</f>
        <v/>
      </c>
    </row>
    <row r="13">
      <c r="A13" s="10" t="inlineStr">
        <is>
          <t>2021-02</t>
        </is>
      </c>
      <c r="B13" s="11" t="n">
        <v>2</v>
      </c>
      <c r="C13" s="12" t="n">
        <v>3366.3</v>
      </c>
      <c r="D13" s="12" t="n">
        <v>1503.1</v>
      </c>
      <c r="E13" s="12" t="n">
        <v>882.5</v>
      </c>
      <c r="F13" s="12" t="n">
        <v>491.4</v>
      </c>
      <c r="G13" s="12" t="n">
        <v>8.300000000000001</v>
      </c>
      <c r="H13" s="12" t="n">
        <v>0</v>
      </c>
      <c r="I13" s="12" t="n">
        <v>521.8</v>
      </c>
      <c r="J13" s="12">
        <f>SUM(C13:I13)</f>
        <v/>
      </c>
      <c r="K13" s="13">
        <f>SUM($J$12:J13)/$J$48</f>
        <v/>
      </c>
    </row>
    <row r="14">
      <c r="A14" s="10" t="inlineStr">
        <is>
          <t>2021-03</t>
        </is>
      </c>
      <c r="B14" s="11" t="n">
        <v>3</v>
      </c>
      <c r="C14" s="12" t="n">
        <v>3331.7</v>
      </c>
      <c r="D14" s="12" t="n">
        <v>2093.3</v>
      </c>
      <c r="E14" s="12" t="n">
        <v>1585.6</v>
      </c>
      <c r="F14" s="12" t="n">
        <v>1041.6</v>
      </c>
      <c r="G14" s="12" t="n">
        <v>24.4</v>
      </c>
      <c r="H14" s="12" t="n">
        <v>0.5</v>
      </c>
      <c r="I14" s="12" t="n">
        <v>736.3</v>
      </c>
      <c r="J14" s="12">
        <f>SUM(C14:I14)</f>
        <v/>
      </c>
      <c r="K14" s="13">
        <f>SUM($J$12:J14)/$J$48</f>
        <v/>
      </c>
    </row>
    <row r="15">
      <c r="A15" s="10" t="inlineStr">
        <is>
          <t>2021-04</t>
        </is>
      </c>
      <c r="B15" s="11" t="n">
        <v>4</v>
      </c>
      <c r="C15" s="12" t="n">
        <v>2873.2</v>
      </c>
      <c r="D15" s="12" t="n">
        <v>2151.8</v>
      </c>
      <c r="E15" s="12" t="n">
        <v>1855.1</v>
      </c>
      <c r="F15" s="12" t="n">
        <v>1384.1</v>
      </c>
      <c r="G15" s="12" t="n">
        <v>45.1</v>
      </c>
      <c r="H15" s="12" t="n">
        <v>4.5</v>
      </c>
      <c r="I15" s="12" t="n">
        <v>750.8</v>
      </c>
      <c r="J15" s="12">
        <f>SUM(C15:I15)</f>
        <v/>
      </c>
      <c r="K15" s="13">
        <f>SUM($J$12:J15)/$J$48</f>
        <v/>
      </c>
    </row>
    <row r="16">
      <c r="A16" s="10" t="inlineStr">
        <is>
          <t>2021-05</t>
        </is>
      </c>
      <c r="B16" s="11" t="n">
        <v>5</v>
      </c>
      <c r="C16" s="12" t="n">
        <v>2644.9</v>
      </c>
      <c r="D16" s="12" t="n">
        <v>2441</v>
      </c>
      <c r="E16" s="12" t="n">
        <v>2500.5</v>
      </c>
      <c r="F16" s="12" t="n">
        <v>1969.2</v>
      </c>
      <c r="G16" s="12" t="n">
        <v>79.40000000000001</v>
      </c>
      <c r="H16" s="12" t="n">
        <v>15.5</v>
      </c>
      <c r="I16" s="12" t="n">
        <v>851.7</v>
      </c>
      <c r="J16" s="12">
        <f>SUM(C16:I16)</f>
        <v/>
      </c>
      <c r="K16" s="13">
        <f>SUM($J$12:J16)/$J$48</f>
        <v/>
      </c>
    </row>
    <row r="17">
      <c r="A17" s="10" t="inlineStr">
        <is>
          <t>2021-06</t>
        </is>
      </c>
      <c r="B17" s="11" t="n">
        <v>6</v>
      </c>
      <c r="C17" s="12" t="n">
        <v>2124.9</v>
      </c>
      <c r="D17" s="12" t="n">
        <v>2266.7</v>
      </c>
      <c r="E17" s="12" t="n">
        <v>2748.3</v>
      </c>
      <c r="F17" s="12" t="n">
        <v>2187.5</v>
      </c>
      <c r="G17" s="12" t="n">
        <v>113.2</v>
      </c>
      <c r="H17" s="12" t="n">
        <v>28.7</v>
      </c>
      <c r="I17" s="12" t="n">
        <v>850</v>
      </c>
      <c r="J17" s="12">
        <f>SUM(C17:I17)</f>
        <v/>
      </c>
      <c r="K17" s="13">
        <f>SUM($J$12:J17)/$J$48</f>
        <v/>
      </c>
    </row>
    <row r="18">
      <c r="A18" s="10" t="inlineStr">
        <is>
          <t>2021-07</t>
        </is>
      </c>
      <c r="B18" s="11" t="n">
        <v>7</v>
      </c>
      <c r="C18" s="12" t="n">
        <v>1987.3</v>
      </c>
      <c r="D18" s="12" t="n">
        <v>2353.7</v>
      </c>
      <c r="E18" s="12" t="n">
        <v>3154.5</v>
      </c>
      <c r="F18" s="12" t="n">
        <v>2639.2</v>
      </c>
      <c r="G18" s="12" t="n">
        <v>154.4</v>
      </c>
      <c r="H18" s="12" t="n">
        <v>46.2</v>
      </c>
      <c r="I18" s="12" t="n">
        <v>882.4</v>
      </c>
      <c r="J18" s="12">
        <f>SUM(C18:I18)</f>
        <v/>
      </c>
      <c r="K18" s="13">
        <f>SUM($J$12:J18)/$J$48</f>
        <v/>
      </c>
    </row>
    <row r="19">
      <c r="A19" s="10" t="inlineStr">
        <is>
          <t>2021-08</t>
        </is>
      </c>
      <c r="B19" s="11" t="n">
        <v>8</v>
      </c>
      <c r="C19" s="12" t="n">
        <v>1725.4</v>
      </c>
      <c r="D19" s="12" t="n">
        <v>2557.7</v>
      </c>
      <c r="E19" s="12" t="n">
        <v>3730.1</v>
      </c>
      <c r="F19" s="12" t="n">
        <v>3268.1</v>
      </c>
      <c r="G19" s="12" t="n">
        <v>217.6</v>
      </c>
      <c r="H19" s="12" t="n">
        <v>88</v>
      </c>
      <c r="I19" s="12" t="n">
        <v>951.8</v>
      </c>
      <c r="J19" s="12">
        <f>SUM(C19:I19)</f>
        <v/>
      </c>
      <c r="K19" s="13">
        <f>SUM($J$12:J19)/$J$48</f>
        <v/>
      </c>
    </row>
    <row r="20">
      <c r="A20" s="10" t="inlineStr">
        <is>
          <t>2021-09</t>
        </is>
      </c>
      <c r="B20" s="11" t="n">
        <v>9</v>
      </c>
      <c r="C20" s="12" t="n">
        <v>1509.3</v>
      </c>
      <c r="D20" s="12" t="n">
        <v>2568.2</v>
      </c>
      <c r="E20" s="12" t="n">
        <v>3860.2</v>
      </c>
      <c r="F20" s="12" t="n">
        <v>3570.4</v>
      </c>
      <c r="G20" s="12" t="n">
        <v>264.6</v>
      </c>
      <c r="H20" s="12" t="n">
        <v>119.3</v>
      </c>
      <c r="I20" s="12" t="n">
        <v>950.6</v>
      </c>
      <c r="J20" s="12">
        <f>SUM(C20:I20)</f>
        <v/>
      </c>
      <c r="K20" s="13">
        <f>SUM($J$12:J20)/$J$48</f>
        <v/>
      </c>
    </row>
    <row r="21">
      <c r="A21" s="10" t="inlineStr">
        <is>
          <t>2021-10</t>
        </is>
      </c>
      <c r="B21" s="11" t="n">
        <v>10</v>
      </c>
      <c r="C21" s="12" t="n">
        <v>1276.1</v>
      </c>
      <c r="D21" s="12" t="n">
        <v>2734.8</v>
      </c>
      <c r="E21" s="12" t="n">
        <v>4987.9</v>
      </c>
      <c r="F21" s="12" t="n">
        <v>4340.6</v>
      </c>
      <c r="G21" s="12" t="n">
        <v>340.6</v>
      </c>
      <c r="H21" s="12" t="n">
        <v>197.3</v>
      </c>
      <c r="I21" s="12" t="n">
        <v>1013.4</v>
      </c>
      <c r="J21" s="12">
        <f>SUM(C21:I21)</f>
        <v/>
      </c>
      <c r="K21" s="13">
        <f>SUM($J$12:J21)/$J$48</f>
        <v/>
      </c>
    </row>
    <row r="22">
      <c r="A22" s="10" t="inlineStr">
        <is>
          <t>2021-11</t>
        </is>
      </c>
      <c r="B22" s="11" t="n">
        <v>11</v>
      </c>
      <c r="C22" s="12" t="n">
        <v>1107.7</v>
      </c>
      <c r="D22" s="12" t="n">
        <v>2697.6</v>
      </c>
      <c r="E22" s="12" t="n">
        <v>5259.7</v>
      </c>
      <c r="F22" s="12" t="n">
        <v>4425.2</v>
      </c>
      <c r="G22" s="12" t="n">
        <v>365.2</v>
      </c>
      <c r="H22" s="12" t="n">
        <v>230.6</v>
      </c>
      <c r="I22" s="12" t="n">
        <v>1015.6</v>
      </c>
      <c r="J22" s="12">
        <f>SUM(C22:I22)</f>
        <v/>
      </c>
      <c r="K22" s="13">
        <f>SUM($J$12:J22)/$J$48</f>
        <v/>
      </c>
    </row>
    <row r="23">
      <c r="A23" s="10" t="inlineStr">
        <is>
          <t>2021-12</t>
        </is>
      </c>
      <c r="B23" s="11" t="n">
        <v>12</v>
      </c>
      <c r="C23" s="12" t="n">
        <v>880.1</v>
      </c>
      <c r="D23" s="12" t="n">
        <v>2846.2</v>
      </c>
      <c r="E23" s="12" t="n">
        <v>5952.1</v>
      </c>
      <c r="F23" s="12" t="n">
        <v>5090.4</v>
      </c>
      <c r="G23" s="12" t="n">
        <v>485.1</v>
      </c>
      <c r="H23" s="12" t="n">
        <v>324.7</v>
      </c>
      <c r="I23" s="12" t="n">
        <v>1098</v>
      </c>
      <c r="J23" s="12">
        <f>SUM(C23:I23)</f>
        <v/>
      </c>
      <c r="K23" s="13">
        <f>SUM($J$12:J23)/$J$48</f>
        <v/>
      </c>
    </row>
    <row r="24">
      <c r="A24" s="10" t="inlineStr">
        <is>
          <t>2022-01</t>
        </is>
      </c>
      <c r="B24" s="11" t="n">
        <v>13</v>
      </c>
      <c r="C24" s="12" t="n">
        <v>783.2</v>
      </c>
      <c r="D24" s="12" t="n">
        <v>2841.7</v>
      </c>
      <c r="E24" s="12" t="n">
        <v>6309.7</v>
      </c>
      <c r="F24" s="12" t="n">
        <v>5565.5</v>
      </c>
      <c r="G24" s="12" t="n">
        <v>559.5</v>
      </c>
      <c r="H24" s="12" t="n">
        <v>415.7</v>
      </c>
      <c r="I24" s="12" t="n">
        <v>1107.3</v>
      </c>
      <c r="J24" s="12">
        <f>SUM(C24:I24)</f>
        <v/>
      </c>
      <c r="K24" s="13">
        <f>SUM($J$12:J24)/$J$48</f>
        <v/>
      </c>
    </row>
    <row r="25">
      <c r="A25" s="10" t="inlineStr">
        <is>
          <t>2022-02</t>
        </is>
      </c>
      <c r="B25" s="11" t="n">
        <v>14</v>
      </c>
      <c r="C25" s="12" t="n">
        <v>520.7</v>
      </c>
      <c r="D25" s="12" t="n">
        <v>2511.3</v>
      </c>
      <c r="E25" s="12" t="n">
        <v>6137.4</v>
      </c>
      <c r="F25" s="12" t="n">
        <v>5301.7</v>
      </c>
      <c r="G25" s="12" t="n">
        <v>574.9</v>
      </c>
      <c r="H25" s="12" t="n">
        <v>504.5</v>
      </c>
      <c r="I25" s="12" t="n">
        <v>1034.4</v>
      </c>
      <c r="J25" s="12">
        <f>SUM(C25:I25)</f>
        <v/>
      </c>
      <c r="K25" s="13">
        <f>SUM($J$12:J25)/$J$48</f>
        <v/>
      </c>
    </row>
    <row r="26">
      <c r="A26" s="10" t="inlineStr">
        <is>
          <t>2022-03</t>
        </is>
      </c>
      <c r="B26" s="11" t="n">
        <v>15</v>
      </c>
      <c r="C26" s="12" t="n">
        <v>518</v>
      </c>
      <c r="D26" s="12" t="n">
        <v>2930.9</v>
      </c>
      <c r="E26" s="12" t="n">
        <v>7392.2</v>
      </c>
      <c r="F26" s="12" t="n">
        <v>6420.3</v>
      </c>
      <c r="G26" s="12" t="n">
        <v>738.5</v>
      </c>
      <c r="H26" s="12" t="n">
        <v>705.5</v>
      </c>
      <c r="I26" s="12" t="n">
        <v>1189.9</v>
      </c>
      <c r="J26" s="12">
        <f>SUM(C26:I26)</f>
        <v/>
      </c>
      <c r="K26" s="13">
        <f>SUM($J$12:J26)/$J$48</f>
        <v/>
      </c>
    </row>
    <row r="27">
      <c r="A27" s="10" t="inlineStr">
        <is>
          <t>2022-04</t>
        </is>
      </c>
      <c r="B27" s="11" t="n">
        <v>16</v>
      </c>
      <c r="C27" s="12" t="n">
        <v>334.7</v>
      </c>
      <c r="D27" s="12" t="n">
        <v>2512.4</v>
      </c>
      <c r="E27" s="12" t="n">
        <v>6869.8</v>
      </c>
      <c r="F27" s="12" t="n">
        <v>5847.6</v>
      </c>
      <c r="G27" s="12" t="n">
        <v>683.7</v>
      </c>
      <c r="H27" s="12" t="n">
        <v>712.7</v>
      </c>
      <c r="I27" s="12" t="n">
        <v>976.9</v>
      </c>
      <c r="J27" s="12">
        <f>SUM(C27:I27)</f>
        <v/>
      </c>
      <c r="K27" s="13">
        <f>SUM($J$12:J27)/$J$48</f>
        <v/>
      </c>
    </row>
    <row r="28">
      <c r="A28" s="10" t="inlineStr">
        <is>
          <t>2022-05</t>
        </is>
      </c>
      <c r="B28" s="11" t="n">
        <v>17</v>
      </c>
      <c r="C28" s="12" t="n">
        <v>219.5</v>
      </c>
      <c r="D28" s="12" t="n">
        <v>1908.7</v>
      </c>
      <c r="E28" s="12" t="n">
        <v>5660.2</v>
      </c>
      <c r="F28" s="12" t="n">
        <v>4766.2</v>
      </c>
      <c r="G28" s="12" t="n">
        <v>581.7</v>
      </c>
      <c r="H28" s="12" t="n">
        <v>660.7</v>
      </c>
      <c r="I28" s="12" t="n">
        <v>763.3</v>
      </c>
      <c r="J28" s="12">
        <f>SUM(C28:I28)</f>
        <v/>
      </c>
      <c r="K28" s="13">
        <f>SUM($J$12:J28)/$J$48</f>
        <v/>
      </c>
    </row>
    <row r="29">
      <c r="A29" s="10" t="inlineStr">
        <is>
          <t>2022-06</t>
        </is>
      </c>
      <c r="B29" s="11" t="n">
        <v>18</v>
      </c>
      <c r="C29" s="12" t="n">
        <v>179.6</v>
      </c>
      <c r="D29" s="12" t="n">
        <v>1743.9</v>
      </c>
      <c r="E29" s="12" t="n">
        <v>5686.1</v>
      </c>
      <c r="F29" s="12" t="n">
        <v>4945.9</v>
      </c>
      <c r="G29" s="12" t="n">
        <v>679.2</v>
      </c>
      <c r="H29" s="12" t="n">
        <v>836.2</v>
      </c>
      <c r="I29" s="12" t="n">
        <v>797.2</v>
      </c>
      <c r="J29" s="12">
        <f>SUM(C29:I29)</f>
        <v/>
      </c>
      <c r="K29" s="13">
        <f>SUM($J$12:J29)/$J$48</f>
        <v/>
      </c>
    </row>
    <row r="30">
      <c r="A30" s="10" t="inlineStr">
        <is>
          <t>2022-07</t>
        </is>
      </c>
      <c r="B30" s="11" t="n">
        <v>19</v>
      </c>
      <c r="C30" s="12" t="n">
        <v>141.2</v>
      </c>
      <c r="D30" s="12" t="n">
        <v>1629.9</v>
      </c>
      <c r="E30" s="12" t="n">
        <v>5483.6</v>
      </c>
      <c r="F30" s="12" t="n">
        <v>5214.9</v>
      </c>
      <c r="G30" s="12" t="n">
        <v>773.9</v>
      </c>
      <c r="H30" s="12" t="n">
        <v>1116.5</v>
      </c>
      <c r="I30" s="12" t="n">
        <v>833.8</v>
      </c>
      <c r="J30" s="12">
        <f>SUM(C30:I30)</f>
        <v/>
      </c>
      <c r="K30" s="13">
        <f>SUM($J$12:J30)/$J$48</f>
        <v/>
      </c>
    </row>
    <row r="31">
      <c r="A31" s="10" t="inlineStr">
        <is>
          <t>2022-08</t>
        </is>
      </c>
      <c r="B31" s="11" t="n">
        <v>20</v>
      </c>
      <c r="C31" s="12" t="n">
        <v>103.1</v>
      </c>
      <c r="D31" s="12" t="n">
        <v>1485.7</v>
      </c>
      <c r="E31" s="12" t="n">
        <v>5222.8</v>
      </c>
      <c r="F31" s="12" t="n">
        <v>5544.2</v>
      </c>
      <c r="G31" s="12" t="n">
        <v>825.9</v>
      </c>
      <c r="H31" s="12" t="n">
        <v>1313.6</v>
      </c>
      <c r="I31" s="12" t="n">
        <v>844.6</v>
      </c>
      <c r="J31" s="12">
        <f>SUM(C31:I31)</f>
        <v/>
      </c>
      <c r="K31" s="13">
        <f>SUM($J$12:J31)/$J$48</f>
        <v/>
      </c>
    </row>
    <row r="32">
      <c r="A32" s="10" t="inlineStr">
        <is>
          <t>2022-09</t>
        </is>
      </c>
      <c r="B32" s="11" t="n">
        <v>21</v>
      </c>
      <c r="C32" s="12" t="n">
        <v>83.09999999999999</v>
      </c>
      <c r="D32" s="12" t="n">
        <v>1283</v>
      </c>
      <c r="E32" s="12" t="n">
        <v>4835.9</v>
      </c>
      <c r="F32" s="12" t="n">
        <v>5472.4</v>
      </c>
      <c r="G32" s="12" t="n">
        <v>832</v>
      </c>
      <c r="H32" s="12" t="n">
        <v>1480.8</v>
      </c>
      <c r="I32" s="12" t="n">
        <v>809</v>
      </c>
      <c r="J32" s="12">
        <f>SUM(C32:I32)</f>
        <v/>
      </c>
      <c r="K32" s="13">
        <f>SUM($J$12:J32)/$J$48</f>
        <v/>
      </c>
    </row>
    <row r="33">
      <c r="A33" s="10" t="inlineStr">
        <is>
          <t>2022-10</t>
        </is>
      </c>
      <c r="B33" s="11" t="n">
        <v>22</v>
      </c>
      <c r="C33" s="12" t="n">
        <v>67.7</v>
      </c>
      <c r="D33" s="12" t="n">
        <v>1139.2</v>
      </c>
      <c r="E33" s="12" t="n">
        <v>4690.9</v>
      </c>
      <c r="F33" s="12" t="n">
        <v>5606.3</v>
      </c>
      <c r="G33" s="12" t="n">
        <v>924.4</v>
      </c>
      <c r="H33" s="12" t="n">
        <v>1755.1</v>
      </c>
      <c r="I33" s="12" t="n">
        <v>814.8</v>
      </c>
      <c r="J33" s="12">
        <f>SUM(C33:I33)</f>
        <v/>
      </c>
      <c r="K33" s="13">
        <f>SUM($J$12:J33)/$J$48</f>
        <v/>
      </c>
    </row>
    <row r="34">
      <c r="A34" s="10" t="inlineStr">
        <is>
          <t>2022-11</t>
        </is>
      </c>
      <c r="B34" s="11" t="n">
        <v>23</v>
      </c>
      <c r="C34" s="12" t="n">
        <v>53.2</v>
      </c>
      <c r="D34" s="12" t="n">
        <v>985.1</v>
      </c>
      <c r="E34" s="12" t="n">
        <v>4485.3</v>
      </c>
      <c r="F34" s="12" t="n">
        <v>5472</v>
      </c>
      <c r="G34" s="12" t="n">
        <v>940.9</v>
      </c>
      <c r="H34" s="12" t="n">
        <v>2254.5</v>
      </c>
      <c r="I34" s="12" t="n">
        <v>787.8</v>
      </c>
      <c r="J34" s="12">
        <f>SUM(C34:I34)</f>
        <v/>
      </c>
      <c r="K34" s="13">
        <f>SUM($J$12:J34)/$J$48</f>
        <v/>
      </c>
    </row>
    <row r="35">
      <c r="A35" s="10" t="inlineStr">
        <is>
          <t>2022-12</t>
        </is>
      </c>
      <c r="B35" s="11" t="n">
        <v>24</v>
      </c>
      <c r="C35" s="12" t="n">
        <v>36.3</v>
      </c>
      <c r="D35" s="12" t="n">
        <v>833.2</v>
      </c>
      <c r="E35" s="12" t="n">
        <v>4389.2</v>
      </c>
      <c r="F35" s="12" t="n">
        <v>5812.5</v>
      </c>
      <c r="G35" s="12" t="n">
        <v>986.6</v>
      </c>
      <c r="H35" s="12" t="n">
        <v>2737.9</v>
      </c>
      <c r="I35" s="12" t="n">
        <v>787.8</v>
      </c>
      <c r="J35" s="12">
        <f>SUM(C35:I35)</f>
        <v/>
      </c>
      <c r="K35" s="13">
        <f>SUM($J$12:J35)/$J$48</f>
        <v/>
      </c>
    </row>
    <row r="36">
      <c r="A36" s="10" t="inlineStr">
        <is>
          <t>2023-01</t>
        </is>
      </c>
      <c r="B36" s="11" t="n">
        <v>25</v>
      </c>
      <c r="C36" s="12" t="n">
        <v>19.2</v>
      </c>
      <c r="D36" s="12" t="n">
        <v>637.3</v>
      </c>
      <c r="E36" s="12" t="n">
        <v>4233</v>
      </c>
      <c r="F36" s="12" t="n">
        <v>5829.5</v>
      </c>
      <c r="G36" s="12" t="n">
        <v>987.2</v>
      </c>
      <c r="H36" s="12" t="n">
        <v>3241.2</v>
      </c>
      <c r="I36" s="12" t="n">
        <v>724.6</v>
      </c>
      <c r="J36" s="12">
        <f>SUM(C36:I36)</f>
        <v/>
      </c>
      <c r="K36" s="13">
        <f>SUM($J$12:J36)/$J$48</f>
        <v/>
      </c>
    </row>
    <row r="37">
      <c r="A37" s="10" t="inlineStr">
        <is>
          <t>2023-02</t>
        </is>
      </c>
      <c r="B37" s="11" t="n">
        <v>26</v>
      </c>
      <c r="C37" s="12" t="n">
        <v>11.8</v>
      </c>
      <c r="D37" s="12" t="n">
        <v>439.6</v>
      </c>
      <c r="E37" s="12" t="n">
        <v>3420.6</v>
      </c>
      <c r="F37" s="12" t="n">
        <v>4730.4</v>
      </c>
      <c r="G37" s="12" t="n">
        <v>833.6</v>
      </c>
      <c r="H37" s="12" t="n">
        <v>2945.8</v>
      </c>
      <c r="I37" s="12" t="n">
        <v>579.1</v>
      </c>
      <c r="J37" s="12">
        <f>SUM(C37:I37)</f>
        <v/>
      </c>
      <c r="K37" s="13">
        <f>SUM($J$12:J37)/$J$48</f>
        <v/>
      </c>
    </row>
    <row r="38">
      <c r="A38" s="10" t="inlineStr">
        <is>
          <t>2023-03</t>
        </is>
      </c>
      <c r="B38" s="11" t="n">
        <v>27</v>
      </c>
      <c r="C38" s="12" t="n">
        <v>14.2</v>
      </c>
      <c r="D38" s="12" t="n">
        <v>588</v>
      </c>
      <c r="E38" s="12" t="n">
        <v>4984.5</v>
      </c>
      <c r="F38" s="12" t="n">
        <v>6915.9</v>
      </c>
      <c r="G38" s="12" t="n">
        <v>1249.3</v>
      </c>
      <c r="H38" s="12" t="n">
        <v>4508.8</v>
      </c>
      <c r="I38" s="12" t="n">
        <v>859.2</v>
      </c>
      <c r="J38" s="12">
        <f>SUM(C38:I38)</f>
        <v/>
      </c>
      <c r="K38" s="13">
        <f>SUM($J$12:J38)/$J$48</f>
        <v/>
      </c>
    </row>
    <row r="39">
      <c r="A39" s="10" t="inlineStr">
        <is>
          <t>2023-04</t>
        </is>
      </c>
      <c r="B39" s="11" t="n">
        <v>28</v>
      </c>
      <c r="C39" s="12" t="n">
        <v>6.7</v>
      </c>
      <c r="D39" s="12" t="n">
        <v>512.8</v>
      </c>
      <c r="E39" s="12" t="n">
        <v>5117.3</v>
      </c>
      <c r="F39" s="12" t="n">
        <v>6944.7</v>
      </c>
      <c r="G39" s="12" t="n">
        <v>1318</v>
      </c>
      <c r="H39" s="12" t="n">
        <v>5058.9</v>
      </c>
      <c r="I39" s="12" t="n">
        <v>893.4</v>
      </c>
      <c r="J39" s="12">
        <f>SUM(C39:I39)</f>
        <v/>
      </c>
      <c r="K39" s="13">
        <f>SUM($J$12:J39)/$J$48</f>
        <v/>
      </c>
    </row>
    <row r="40">
      <c r="A40" s="10" t="inlineStr">
        <is>
          <t>2023-05</t>
        </is>
      </c>
      <c r="B40" s="11" t="n">
        <v>29</v>
      </c>
      <c r="C40" s="12" t="n">
        <v>0.3</v>
      </c>
      <c r="D40" s="12" t="n">
        <v>356.1</v>
      </c>
      <c r="E40" s="12" t="n">
        <v>4496.4</v>
      </c>
      <c r="F40" s="12" t="n">
        <v>6267.7</v>
      </c>
      <c r="G40" s="12" t="n">
        <v>1237.4</v>
      </c>
      <c r="H40" s="12" t="n">
        <v>5680.4</v>
      </c>
      <c r="I40" s="12" t="n">
        <v>831.2</v>
      </c>
      <c r="J40" s="12">
        <f>SUM(C40:I40)</f>
        <v/>
      </c>
      <c r="K40" s="13">
        <f>SUM($J$12:J40)/$J$48</f>
        <v/>
      </c>
    </row>
    <row r="41">
      <c r="A41" s="10" t="inlineStr">
        <is>
          <t>2023-06</t>
        </is>
      </c>
      <c r="B41" s="11" t="n">
        <v>30</v>
      </c>
      <c r="C41" s="12" t="n">
        <v>0</v>
      </c>
      <c r="D41" s="12" t="n">
        <v>260.7</v>
      </c>
      <c r="E41" s="12" t="n">
        <v>3835.3</v>
      </c>
      <c r="F41" s="12" t="n">
        <v>5228.1</v>
      </c>
      <c r="G41" s="12" t="n">
        <v>1066.4</v>
      </c>
      <c r="H41" s="12" t="n">
        <v>5482</v>
      </c>
      <c r="I41" s="12" t="n">
        <v>774.1</v>
      </c>
      <c r="J41" s="12">
        <f>SUM(C41:I41)</f>
        <v/>
      </c>
      <c r="K41" s="13">
        <f>SUM($J$12:J41)/$J$48</f>
        <v/>
      </c>
    </row>
    <row r="42">
      <c r="A42" s="10" t="inlineStr">
        <is>
          <t>2023-07</t>
        </is>
      </c>
      <c r="B42" s="11" t="n">
        <v>31</v>
      </c>
      <c r="C42" s="12" t="n">
        <v>0</v>
      </c>
      <c r="D42" s="12" t="n">
        <v>170.4</v>
      </c>
      <c r="E42" s="12" t="n">
        <v>2904.6</v>
      </c>
      <c r="F42" s="12" t="n">
        <v>3886.6</v>
      </c>
      <c r="G42" s="12" t="n">
        <v>844.4</v>
      </c>
      <c r="H42" s="12" t="n">
        <v>5825.2</v>
      </c>
      <c r="I42" s="12" t="n">
        <v>705.8</v>
      </c>
      <c r="J42" s="12">
        <f>SUM(C42:I42)</f>
        <v/>
      </c>
      <c r="K42" s="13">
        <f>SUM($J$12:J42)/$J$48</f>
        <v/>
      </c>
    </row>
    <row r="43">
      <c r="A43" s="10" t="inlineStr">
        <is>
          <t>2023-08</t>
        </is>
      </c>
      <c r="B43" s="11" t="n">
        <v>32</v>
      </c>
      <c r="C43" s="12" t="n">
        <v>0</v>
      </c>
      <c r="D43" s="12" t="n">
        <v>89.7</v>
      </c>
      <c r="E43" s="12" t="n">
        <v>1642.9</v>
      </c>
      <c r="F43" s="12" t="n">
        <v>2194.3</v>
      </c>
      <c r="G43" s="12" t="n">
        <v>520.9</v>
      </c>
      <c r="H43" s="12" t="n">
        <v>4623</v>
      </c>
      <c r="I43" s="12" t="n">
        <v>489.8</v>
      </c>
      <c r="J43" s="12">
        <f>SUM(C43:I43)</f>
        <v/>
      </c>
      <c r="K43" s="13">
        <f>SUM($J$12:J43)/$J$48</f>
        <v/>
      </c>
    </row>
    <row r="44">
      <c r="A44" s="10" t="inlineStr">
        <is>
          <t>2023-09</t>
        </is>
      </c>
      <c r="B44" s="11" t="n">
        <v>33</v>
      </c>
      <c r="C44" s="12" t="n">
        <v>0</v>
      </c>
      <c r="D44" s="12" t="n">
        <v>47</v>
      </c>
      <c r="E44" s="12" t="n">
        <v>952.9</v>
      </c>
      <c r="F44" s="12" t="n">
        <v>1253.1</v>
      </c>
      <c r="G44" s="12" t="n">
        <v>311.2</v>
      </c>
      <c r="H44" s="12" t="n">
        <v>3292.2</v>
      </c>
      <c r="I44" s="12" t="n">
        <v>328.2</v>
      </c>
      <c r="J44" s="12">
        <f>SUM(C44:I44)</f>
        <v/>
      </c>
      <c r="K44" s="13">
        <f>SUM($J$12:J44)/$J$48</f>
        <v/>
      </c>
    </row>
    <row r="45">
      <c r="A45" s="10" t="inlineStr">
        <is>
          <t>2023-10</t>
        </is>
      </c>
      <c r="B45" s="11" t="n">
        <v>34</v>
      </c>
      <c r="C45" s="12" t="n">
        <v>0</v>
      </c>
      <c r="D45" s="12" t="n">
        <v>22</v>
      </c>
      <c r="E45" s="12" t="n">
        <v>632</v>
      </c>
      <c r="F45" s="12" t="n">
        <v>767.7</v>
      </c>
      <c r="G45" s="12" t="n">
        <v>199.5</v>
      </c>
      <c r="H45" s="12" t="n">
        <v>2901.2</v>
      </c>
      <c r="I45" s="12" t="n">
        <v>276.4</v>
      </c>
      <c r="J45" s="12">
        <f>SUM(C45:I45)</f>
        <v/>
      </c>
      <c r="K45" s="13">
        <f>SUM($J$12:J45)/$J$48</f>
        <v/>
      </c>
    </row>
    <row r="46">
      <c r="A46" s="10" t="inlineStr">
        <is>
          <t>2023-11</t>
        </is>
      </c>
      <c r="B46" s="11" t="n">
        <v>35</v>
      </c>
      <c r="C46" s="12" t="n">
        <v>0</v>
      </c>
      <c r="D46" s="12" t="n">
        <v>7.5</v>
      </c>
      <c r="E46" s="12" t="n">
        <v>382.5</v>
      </c>
      <c r="F46" s="12" t="n">
        <v>427.9</v>
      </c>
      <c r="G46" s="12" t="n">
        <v>115.5</v>
      </c>
      <c r="H46" s="12" t="n">
        <v>2304</v>
      </c>
      <c r="I46" s="12" t="n">
        <v>219.9</v>
      </c>
      <c r="J46" s="12">
        <f>SUM(C46:I46)</f>
        <v/>
      </c>
      <c r="K46" s="13">
        <f>SUM($J$12:J46)/$J$48</f>
        <v/>
      </c>
    </row>
    <row r="47">
      <c r="A47" s="10" t="inlineStr">
        <is>
          <t>2023-12</t>
        </is>
      </c>
      <c r="B47" s="11" t="n">
        <v>36</v>
      </c>
      <c r="C47" s="12" t="n">
        <v>0</v>
      </c>
      <c r="D47" s="12" t="n">
        <v>4</v>
      </c>
      <c r="E47" s="12" t="n">
        <v>321</v>
      </c>
      <c r="F47" s="12" t="n">
        <v>346.6</v>
      </c>
      <c r="G47" s="12" t="n">
        <v>95.2</v>
      </c>
      <c r="H47" s="12" t="n">
        <v>2157.9</v>
      </c>
      <c r="I47" s="12" t="n">
        <v>207.5</v>
      </c>
      <c r="J47" s="12">
        <f>SUM(C47:I47)</f>
        <v/>
      </c>
      <c r="K47" s="13">
        <f>SUM($J$12:J47)/$J$48</f>
        <v/>
      </c>
    </row>
    <row r="48">
      <c r="A48" s="14" t="inlineStr">
        <is>
          <t>合計</t>
        </is>
      </c>
      <c r="C48" s="15">
        <f>SUM(C12:C47)</f>
        <v/>
      </c>
      <c r="D48" s="15">
        <f>SUM(D12:D47)</f>
        <v/>
      </c>
      <c r="E48" s="15">
        <f>SUM(E12:E47)</f>
        <v/>
      </c>
      <c r="F48" s="15">
        <f>SUM(F12:F47)</f>
        <v/>
      </c>
      <c r="G48" s="15">
        <f>SUM(G12:G47)</f>
        <v/>
      </c>
      <c r="H48" s="15">
        <f>SUM(H12:H47)</f>
        <v/>
      </c>
      <c r="I48" s="15">
        <f>SUM(I12:I47)</f>
        <v/>
      </c>
      <c r="J48" s="15">
        <f>SUM(J12:J47)</f>
        <v/>
      </c>
    </row>
    <row r="49">
      <c r="A49" s="16" t="inlineStr">
        <is>
          <t>構成比</t>
        </is>
      </c>
      <c r="C49" s="17">
        <f>C48/$J$48</f>
        <v/>
      </c>
      <c r="D49" s="17">
        <f>D48/$J$48</f>
        <v/>
      </c>
      <c r="E49" s="17">
        <f>E48/$J$48</f>
        <v/>
      </c>
      <c r="F49" s="17">
        <f>F48/$J$48</f>
        <v/>
      </c>
      <c r="G49" s="17">
        <f>G48/$J$48</f>
        <v/>
      </c>
      <c r="H49" s="17">
        <f>H48/$J$48</f>
        <v/>
      </c>
      <c r="I49" s="17">
        <f>I48/$J$48</f>
        <v/>
      </c>
    </row>
    <row r="52">
      <c r="A52" s="6" t="inlineStr">
        <is>
          <t>■ 月 × 行程グループ 工数(人月)</t>
        </is>
      </c>
    </row>
    <row r="53">
      <c r="A53" s="5" t="inlineStr">
        <is>
          <t>上の時間表を換算係数(160時間/人月)で割った値。係数セルを書き換えると自動で追従する。</t>
        </is>
      </c>
    </row>
    <row r="54">
      <c r="A54" s="18" t="inlineStr">
        <is>
          <t>月</t>
        </is>
      </c>
      <c r="B54" s="8" t="inlineStr">
        <is>
          <t>企画・プリプロ</t>
        </is>
      </c>
      <c r="C54" s="8" t="inlineStr">
        <is>
          <t>ゲームデザイン・シナリオ</t>
        </is>
      </c>
      <c r="D54" s="8" t="inlineStr">
        <is>
          <t>プログラム</t>
        </is>
      </c>
      <c r="E54" s="8" t="inlineStr">
        <is>
          <t>アート</t>
        </is>
      </c>
      <c r="F54" s="8" t="inlineStr">
        <is>
          <t>サウンド</t>
        </is>
      </c>
      <c r="G54" s="8" t="inlineStr">
        <is>
          <t>QA・デバッグ</t>
        </is>
      </c>
      <c r="H54" s="8" t="inlineStr">
        <is>
          <t>PM・運営</t>
        </is>
      </c>
      <c r="I54" s="18" t="inlineStr">
        <is>
          <t>合計</t>
        </is>
      </c>
    </row>
    <row r="55">
      <c r="A55" s="10">
        <f>A12</f>
        <v/>
      </c>
      <c r="B55" s="19">
        <f>C12/$B$7</f>
        <v/>
      </c>
      <c r="C55" s="19">
        <f>D12/$B$7</f>
        <v/>
      </c>
      <c r="D55" s="19">
        <f>E12/$B$7</f>
        <v/>
      </c>
      <c r="E55" s="19">
        <f>F12/$B$7</f>
        <v/>
      </c>
      <c r="F55" s="19">
        <f>G12/$B$7</f>
        <v/>
      </c>
      <c r="G55" s="19">
        <f>H12/$B$7</f>
        <v/>
      </c>
      <c r="H55" s="19">
        <f>I12/$B$7</f>
        <v/>
      </c>
      <c r="I55" s="19">
        <f>SUM(B55:H55)</f>
        <v/>
      </c>
    </row>
    <row r="56">
      <c r="A56" s="10">
        <f>A13</f>
        <v/>
      </c>
      <c r="B56" s="19">
        <f>C13/$B$7</f>
        <v/>
      </c>
      <c r="C56" s="19">
        <f>D13/$B$7</f>
        <v/>
      </c>
      <c r="D56" s="19">
        <f>E13/$B$7</f>
        <v/>
      </c>
      <c r="E56" s="19">
        <f>F13/$B$7</f>
        <v/>
      </c>
      <c r="F56" s="19">
        <f>G13/$B$7</f>
        <v/>
      </c>
      <c r="G56" s="19">
        <f>H13/$B$7</f>
        <v/>
      </c>
      <c r="H56" s="19">
        <f>I13/$B$7</f>
        <v/>
      </c>
      <c r="I56" s="19">
        <f>SUM(B56:H56)</f>
        <v/>
      </c>
    </row>
    <row r="57">
      <c r="A57" s="10">
        <f>A14</f>
        <v/>
      </c>
      <c r="B57" s="19">
        <f>C14/$B$7</f>
        <v/>
      </c>
      <c r="C57" s="19">
        <f>D14/$B$7</f>
        <v/>
      </c>
      <c r="D57" s="19">
        <f>E14/$B$7</f>
        <v/>
      </c>
      <c r="E57" s="19">
        <f>F14/$B$7</f>
        <v/>
      </c>
      <c r="F57" s="19">
        <f>G14/$B$7</f>
        <v/>
      </c>
      <c r="G57" s="19">
        <f>H14/$B$7</f>
        <v/>
      </c>
      <c r="H57" s="19">
        <f>I14/$B$7</f>
        <v/>
      </c>
      <c r="I57" s="19">
        <f>SUM(B57:H57)</f>
        <v/>
      </c>
    </row>
    <row r="58">
      <c r="A58" s="10">
        <f>A15</f>
        <v/>
      </c>
      <c r="B58" s="19">
        <f>C15/$B$7</f>
        <v/>
      </c>
      <c r="C58" s="19">
        <f>D15/$B$7</f>
        <v/>
      </c>
      <c r="D58" s="19">
        <f>E15/$B$7</f>
        <v/>
      </c>
      <c r="E58" s="19">
        <f>F15/$B$7</f>
        <v/>
      </c>
      <c r="F58" s="19">
        <f>G15/$B$7</f>
        <v/>
      </c>
      <c r="G58" s="19">
        <f>H15/$B$7</f>
        <v/>
      </c>
      <c r="H58" s="19">
        <f>I15/$B$7</f>
        <v/>
      </c>
      <c r="I58" s="19">
        <f>SUM(B58:H58)</f>
        <v/>
      </c>
    </row>
    <row r="59">
      <c r="A59" s="10">
        <f>A16</f>
        <v/>
      </c>
      <c r="B59" s="19">
        <f>C16/$B$7</f>
        <v/>
      </c>
      <c r="C59" s="19">
        <f>D16/$B$7</f>
        <v/>
      </c>
      <c r="D59" s="19">
        <f>E16/$B$7</f>
        <v/>
      </c>
      <c r="E59" s="19">
        <f>F16/$B$7</f>
        <v/>
      </c>
      <c r="F59" s="19">
        <f>G16/$B$7</f>
        <v/>
      </c>
      <c r="G59" s="19">
        <f>H16/$B$7</f>
        <v/>
      </c>
      <c r="H59" s="19">
        <f>I16/$B$7</f>
        <v/>
      </c>
      <c r="I59" s="19">
        <f>SUM(B59:H59)</f>
        <v/>
      </c>
    </row>
    <row r="60">
      <c r="A60" s="10">
        <f>A17</f>
        <v/>
      </c>
      <c r="B60" s="19">
        <f>C17/$B$7</f>
        <v/>
      </c>
      <c r="C60" s="19">
        <f>D17/$B$7</f>
        <v/>
      </c>
      <c r="D60" s="19">
        <f>E17/$B$7</f>
        <v/>
      </c>
      <c r="E60" s="19">
        <f>F17/$B$7</f>
        <v/>
      </c>
      <c r="F60" s="19">
        <f>G17/$B$7</f>
        <v/>
      </c>
      <c r="G60" s="19">
        <f>H17/$B$7</f>
        <v/>
      </c>
      <c r="H60" s="19">
        <f>I17/$B$7</f>
        <v/>
      </c>
      <c r="I60" s="19">
        <f>SUM(B60:H60)</f>
        <v/>
      </c>
    </row>
    <row r="61">
      <c r="A61" s="10">
        <f>A18</f>
        <v/>
      </c>
      <c r="B61" s="19">
        <f>C18/$B$7</f>
        <v/>
      </c>
      <c r="C61" s="19">
        <f>D18/$B$7</f>
        <v/>
      </c>
      <c r="D61" s="19">
        <f>E18/$B$7</f>
        <v/>
      </c>
      <c r="E61" s="19">
        <f>F18/$B$7</f>
        <v/>
      </c>
      <c r="F61" s="19">
        <f>G18/$B$7</f>
        <v/>
      </c>
      <c r="G61" s="19">
        <f>H18/$B$7</f>
        <v/>
      </c>
      <c r="H61" s="19">
        <f>I18/$B$7</f>
        <v/>
      </c>
      <c r="I61" s="19">
        <f>SUM(B61:H61)</f>
        <v/>
      </c>
    </row>
    <row r="62">
      <c r="A62" s="10">
        <f>A19</f>
        <v/>
      </c>
      <c r="B62" s="19">
        <f>C19/$B$7</f>
        <v/>
      </c>
      <c r="C62" s="19">
        <f>D19/$B$7</f>
        <v/>
      </c>
      <c r="D62" s="19">
        <f>E19/$B$7</f>
        <v/>
      </c>
      <c r="E62" s="19">
        <f>F19/$B$7</f>
        <v/>
      </c>
      <c r="F62" s="19">
        <f>G19/$B$7</f>
        <v/>
      </c>
      <c r="G62" s="19">
        <f>H19/$B$7</f>
        <v/>
      </c>
      <c r="H62" s="19">
        <f>I19/$B$7</f>
        <v/>
      </c>
      <c r="I62" s="19">
        <f>SUM(B62:H62)</f>
        <v/>
      </c>
    </row>
    <row r="63">
      <c r="A63" s="10">
        <f>A20</f>
        <v/>
      </c>
      <c r="B63" s="19">
        <f>C20/$B$7</f>
        <v/>
      </c>
      <c r="C63" s="19">
        <f>D20/$B$7</f>
        <v/>
      </c>
      <c r="D63" s="19">
        <f>E20/$B$7</f>
        <v/>
      </c>
      <c r="E63" s="19">
        <f>F20/$B$7</f>
        <v/>
      </c>
      <c r="F63" s="19">
        <f>G20/$B$7</f>
        <v/>
      </c>
      <c r="G63" s="19">
        <f>H20/$B$7</f>
        <v/>
      </c>
      <c r="H63" s="19">
        <f>I20/$B$7</f>
        <v/>
      </c>
      <c r="I63" s="19">
        <f>SUM(B63:H63)</f>
        <v/>
      </c>
    </row>
    <row r="64">
      <c r="A64" s="10">
        <f>A21</f>
        <v/>
      </c>
      <c r="B64" s="19">
        <f>C21/$B$7</f>
        <v/>
      </c>
      <c r="C64" s="19">
        <f>D21/$B$7</f>
        <v/>
      </c>
      <c r="D64" s="19">
        <f>E21/$B$7</f>
        <v/>
      </c>
      <c r="E64" s="19">
        <f>F21/$B$7</f>
        <v/>
      </c>
      <c r="F64" s="19">
        <f>G21/$B$7</f>
        <v/>
      </c>
      <c r="G64" s="19">
        <f>H21/$B$7</f>
        <v/>
      </c>
      <c r="H64" s="19">
        <f>I21/$B$7</f>
        <v/>
      </c>
      <c r="I64" s="19">
        <f>SUM(B64:H64)</f>
        <v/>
      </c>
    </row>
    <row r="65">
      <c r="A65" s="10">
        <f>A22</f>
        <v/>
      </c>
      <c r="B65" s="19">
        <f>C22/$B$7</f>
        <v/>
      </c>
      <c r="C65" s="19">
        <f>D22/$B$7</f>
        <v/>
      </c>
      <c r="D65" s="19">
        <f>E22/$B$7</f>
        <v/>
      </c>
      <c r="E65" s="19">
        <f>F22/$B$7</f>
        <v/>
      </c>
      <c r="F65" s="19">
        <f>G22/$B$7</f>
        <v/>
      </c>
      <c r="G65" s="19">
        <f>H22/$B$7</f>
        <v/>
      </c>
      <c r="H65" s="19">
        <f>I22/$B$7</f>
        <v/>
      </c>
      <c r="I65" s="19">
        <f>SUM(B65:H65)</f>
        <v/>
      </c>
    </row>
    <row r="66">
      <c r="A66" s="10">
        <f>A23</f>
        <v/>
      </c>
      <c r="B66" s="19">
        <f>C23/$B$7</f>
        <v/>
      </c>
      <c r="C66" s="19">
        <f>D23/$B$7</f>
        <v/>
      </c>
      <c r="D66" s="19">
        <f>E23/$B$7</f>
        <v/>
      </c>
      <c r="E66" s="19">
        <f>F23/$B$7</f>
        <v/>
      </c>
      <c r="F66" s="19">
        <f>G23/$B$7</f>
        <v/>
      </c>
      <c r="G66" s="19">
        <f>H23/$B$7</f>
        <v/>
      </c>
      <c r="H66" s="19">
        <f>I23/$B$7</f>
        <v/>
      </c>
      <c r="I66" s="19">
        <f>SUM(B66:H66)</f>
        <v/>
      </c>
    </row>
    <row r="67">
      <c r="A67" s="10">
        <f>A24</f>
        <v/>
      </c>
      <c r="B67" s="19">
        <f>C24/$B$7</f>
        <v/>
      </c>
      <c r="C67" s="19">
        <f>D24/$B$7</f>
        <v/>
      </c>
      <c r="D67" s="19">
        <f>E24/$B$7</f>
        <v/>
      </c>
      <c r="E67" s="19">
        <f>F24/$B$7</f>
        <v/>
      </c>
      <c r="F67" s="19">
        <f>G24/$B$7</f>
        <v/>
      </c>
      <c r="G67" s="19">
        <f>H24/$B$7</f>
        <v/>
      </c>
      <c r="H67" s="19">
        <f>I24/$B$7</f>
        <v/>
      </c>
      <c r="I67" s="19">
        <f>SUM(B67:H67)</f>
        <v/>
      </c>
    </row>
    <row r="68">
      <c r="A68" s="10">
        <f>A25</f>
        <v/>
      </c>
      <c r="B68" s="19">
        <f>C25/$B$7</f>
        <v/>
      </c>
      <c r="C68" s="19">
        <f>D25/$B$7</f>
        <v/>
      </c>
      <c r="D68" s="19">
        <f>E25/$B$7</f>
        <v/>
      </c>
      <c r="E68" s="19">
        <f>F25/$B$7</f>
        <v/>
      </c>
      <c r="F68" s="19">
        <f>G25/$B$7</f>
        <v/>
      </c>
      <c r="G68" s="19">
        <f>H25/$B$7</f>
        <v/>
      </c>
      <c r="H68" s="19">
        <f>I25/$B$7</f>
        <v/>
      </c>
      <c r="I68" s="19">
        <f>SUM(B68:H68)</f>
        <v/>
      </c>
    </row>
    <row r="69">
      <c r="A69" s="10">
        <f>A26</f>
        <v/>
      </c>
      <c r="B69" s="19">
        <f>C26/$B$7</f>
        <v/>
      </c>
      <c r="C69" s="19">
        <f>D26/$B$7</f>
        <v/>
      </c>
      <c r="D69" s="19">
        <f>E26/$B$7</f>
        <v/>
      </c>
      <c r="E69" s="19">
        <f>F26/$B$7</f>
        <v/>
      </c>
      <c r="F69" s="19">
        <f>G26/$B$7</f>
        <v/>
      </c>
      <c r="G69" s="19">
        <f>H26/$B$7</f>
        <v/>
      </c>
      <c r="H69" s="19">
        <f>I26/$B$7</f>
        <v/>
      </c>
      <c r="I69" s="19">
        <f>SUM(B69:H69)</f>
        <v/>
      </c>
    </row>
    <row r="70">
      <c r="A70" s="10">
        <f>A27</f>
        <v/>
      </c>
      <c r="B70" s="19">
        <f>C27/$B$7</f>
        <v/>
      </c>
      <c r="C70" s="19">
        <f>D27/$B$7</f>
        <v/>
      </c>
      <c r="D70" s="19">
        <f>E27/$B$7</f>
        <v/>
      </c>
      <c r="E70" s="19">
        <f>F27/$B$7</f>
        <v/>
      </c>
      <c r="F70" s="19">
        <f>G27/$B$7</f>
        <v/>
      </c>
      <c r="G70" s="19">
        <f>H27/$B$7</f>
        <v/>
      </c>
      <c r="H70" s="19">
        <f>I27/$B$7</f>
        <v/>
      </c>
      <c r="I70" s="19">
        <f>SUM(B70:H70)</f>
        <v/>
      </c>
    </row>
    <row r="71">
      <c r="A71" s="10">
        <f>A28</f>
        <v/>
      </c>
      <c r="B71" s="19">
        <f>C28/$B$7</f>
        <v/>
      </c>
      <c r="C71" s="19">
        <f>D28/$B$7</f>
        <v/>
      </c>
      <c r="D71" s="19">
        <f>E28/$B$7</f>
        <v/>
      </c>
      <c r="E71" s="19">
        <f>F28/$B$7</f>
        <v/>
      </c>
      <c r="F71" s="19">
        <f>G28/$B$7</f>
        <v/>
      </c>
      <c r="G71" s="19">
        <f>H28/$B$7</f>
        <v/>
      </c>
      <c r="H71" s="19">
        <f>I28/$B$7</f>
        <v/>
      </c>
      <c r="I71" s="19">
        <f>SUM(B71:H71)</f>
        <v/>
      </c>
    </row>
    <row r="72">
      <c r="A72" s="10">
        <f>A29</f>
        <v/>
      </c>
      <c r="B72" s="19">
        <f>C29/$B$7</f>
        <v/>
      </c>
      <c r="C72" s="19">
        <f>D29/$B$7</f>
        <v/>
      </c>
      <c r="D72" s="19">
        <f>E29/$B$7</f>
        <v/>
      </c>
      <c r="E72" s="19">
        <f>F29/$B$7</f>
        <v/>
      </c>
      <c r="F72" s="19">
        <f>G29/$B$7</f>
        <v/>
      </c>
      <c r="G72" s="19">
        <f>H29/$B$7</f>
        <v/>
      </c>
      <c r="H72" s="19">
        <f>I29/$B$7</f>
        <v/>
      </c>
      <c r="I72" s="19">
        <f>SUM(B72:H72)</f>
        <v/>
      </c>
    </row>
    <row r="73">
      <c r="A73" s="10">
        <f>A30</f>
        <v/>
      </c>
      <c r="B73" s="19">
        <f>C30/$B$7</f>
        <v/>
      </c>
      <c r="C73" s="19">
        <f>D30/$B$7</f>
        <v/>
      </c>
      <c r="D73" s="19">
        <f>E30/$B$7</f>
        <v/>
      </c>
      <c r="E73" s="19">
        <f>F30/$B$7</f>
        <v/>
      </c>
      <c r="F73" s="19">
        <f>G30/$B$7</f>
        <v/>
      </c>
      <c r="G73" s="19">
        <f>H30/$B$7</f>
        <v/>
      </c>
      <c r="H73" s="19">
        <f>I30/$B$7</f>
        <v/>
      </c>
      <c r="I73" s="19">
        <f>SUM(B73:H73)</f>
        <v/>
      </c>
    </row>
    <row r="74">
      <c r="A74" s="10">
        <f>A31</f>
        <v/>
      </c>
      <c r="B74" s="19">
        <f>C31/$B$7</f>
        <v/>
      </c>
      <c r="C74" s="19">
        <f>D31/$B$7</f>
        <v/>
      </c>
      <c r="D74" s="19">
        <f>E31/$B$7</f>
        <v/>
      </c>
      <c r="E74" s="19">
        <f>F31/$B$7</f>
        <v/>
      </c>
      <c r="F74" s="19">
        <f>G31/$B$7</f>
        <v/>
      </c>
      <c r="G74" s="19">
        <f>H31/$B$7</f>
        <v/>
      </c>
      <c r="H74" s="19">
        <f>I31/$B$7</f>
        <v/>
      </c>
      <c r="I74" s="19">
        <f>SUM(B74:H74)</f>
        <v/>
      </c>
    </row>
    <row r="75">
      <c r="A75" s="10">
        <f>A32</f>
        <v/>
      </c>
      <c r="B75" s="19">
        <f>C32/$B$7</f>
        <v/>
      </c>
      <c r="C75" s="19">
        <f>D32/$B$7</f>
        <v/>
      </c>
      <c r="D75" s="19">
        <f>E32/$B$7</f>
        <v/>
      </c>
      <c r="E75" s="19">
        <f>F32/$B$7</f>
        <v/>
      </c>
      <c r="F75" s="19">
        <f>G32/$B$7</f>
        <v/>
      </c>
      <c r="G75" s="19">
        <f>H32/$B$7</f>
        <v/>
      </c>
      <c r="H75" s="19">
        <f>I32/$B$7</f>
        <v/>
      </c>
      <c r="I75" s="19">
        <f>SUM(B75:H75)</f>
        <v/>
      </c>
    </row>
    <row r="76">
      <c r="A76" s="10">
        <f>A33</f>
        <v/>
      </c>
      <c r="B76" s="19">
        <f>C33/$B$7</f>
        <v/>
      </c>
      <c r="C76" s="19">
        <f>D33/$B$7</f>
        <v/>
      </c>
      <c r="D76" s="19">
        <f>E33/$B$7</f>
        <v/>
      </c>
      <c r="E76" s="19">
        <f>F33/$B$7</f>
        <v/>
      </c>
      <c r="F76" s="19">
        <f>G33/$B$7</f>
        <v/>
      </c>
      <c r="G76" s="19">
        <f>H33/$B$7</f>
        <v/>
      </c>
      <c r="H76" s="19">
        <f>I33/$B$7</f>
        <v/>
      </c>
      <c r="I76" s="19">
        <f>SUM(B76:H76)</f>
        <v/>
      </c>
    </row>
    <row r="77">
      <c r="A77" s="10">
        <f>A34</f>
        <v/>
      </c>
      <c r="B77" s="19">
        <f>C34/$B$7</f>
        <v/>
      </c>
      <c r="C77" s="19">
        <f>D34/$B$7</f>
        <v/>
      </c>
      <c r="D77" s="19">
        <f>E34/$B$7</f>
        <v/>
      </c>
      <c r="E77" s="19">
        <f>F34/$B$7</f>
        <v/>
      </c>
      <c r="F77" s="19">
        <f>G34/$B$7</f>
        <v/>
      </c>
      <c r="G77" s="19">
        <f>H34/$B$7</f>
        <v/>
      </c>
      <c r="H77" s="19">
        <f>I34/$B$7</f>
        <v/>
      </c>
      <c r="I77" s="19">
        <f>SUM(B77:H77)</f>
        <v/>
      </c>
    </row>
    <row r="78">
      <c r="A78" s="10">
        <f>A35</f>
        <v/>
      </c>
      <c r="B78" s="19">
        <f>C35/$B$7</f>
        <v/>
      </c>
      <c r="C78" s="19">
        <f>D35/$B$7</f>
        <v/>
      </c>
      <c r="D78" s="19">
        <f>E35/$B$7</f>
        <v/>
      </c>
      <c r="E78" s="19">
        <f>F35/$B$7</f>
        <v/>
      </c>
      <c r="F78" s="19">
        <f>G35/$B$7</f>
        <v/>
      </c>
      <c r="G78" s="19">
        <f>H35/$B$7</f>
        <v/>
      </c>
      <c r="H78" s="19">
        <f>I35/$B$7</f>
        <v/>
      </c>
      <c r="I78" s="19">
        <f>SUM(B78:H78)</f>
        <v/>
      </c>
    </row>
    <row r="79">
      <c r="A79" s="10">
        <f>A36</f>
        <v/>
      </c>
      <c r="B79" s="19">
        <f>C36/$B$7</f>
        <v/>
      </c>
      <c r="C79" s="19">
        <f>D36/$B$7</f>
        <v/>
      </c>
      <c r="D79" s="19">
        <f>E36/$B$7</f>
        <v/>
      </c>
      <c r="E79" s="19">
        <f>F36/$B$7</f>
        <v/>
      </c>
      <c r="F79" s="19">
        <f>G36/$B$7</f>
        <v/>
      </c>
      <c r="G79" s="19">
        <f>H36/$B$7</f>
        <v/>
      </c>
      <c r="H79" s="19">
        <f>I36/$B$7</f>
        <v/>
      </c>
      <c r="I79" s="19">
        <f>SUM(B79:H79)</f>
        <v/>
      </c>
    </row>
    <row r="80">
      <c r="A80" s="10">
        <f>A37</f>
        <v/>
      </c>
      <c r="B80" s="19">
        <f>C37/$B$7</f>
        <v/>
      </c>
      <c r="C80" s="19">
        <f>D37/$B$7</f>
        <v/>
      </c>
      <c r="D80" s="19">
        <f>E37/$B$7</f>
        <v/>
      </c>
      <c r="E80" s="19">
        <f>F37/$B$7</f>
        <v/>
      </c>
      <c r="F80" s="19">
        <f>G37/$B$7</f>
        <v/>
      </c>
      <c r="G80" s="19">
        <f>H37/$B$7</f>
        <v/>
      </c>
      <c r="H80" s="19">
        <f>I37/$B$7</f>
        <v/>
      </c>
      <c r="I80" s="19">
        <f>SUM(B80:H80)</f>
        <v/>
      </c>
    </row>
    <row r="81">
      <c r="A81" s="10">
        <f>A38</f>
        <v/>
      </c>
      <c r="B81" s="19">
        <f>C38/$B$7</f>
        <v/>
      </c>
      <c r="C81" s="19">
        <f>D38/$B$7</f>
        <v/>
      </c>
      <c r="D81" s="19">
        <f>E38/$B$7</f>
        <v/>
      </c>
      <c r="E81" s="19">
        <f>F38/$B$7</f>
        <v/>
      </c>
      <c r="F81" s="19">
        <f>G38/$B$7</f>
        <v/>
      </c>
      <c r="G81" s="19">
        <f>H38/$B$7</f>
        <v/>
      </c>
      <c r="H81" s="19">
        <f>I38/$B$7</f>
        <v/>
      </c>
      <c r="I81" s="19">
        <f>SUM(B81:H81)</f>
        <v/>
      </c>
    </row>
    <row r="82">
      <c r="A82" s="10">
        <f>A39</f>
        <v/>
      </c>
      <c r="B82" s="19">
        <f>C39/$B$7</f>
        <v/>
      </c>
      <c r="C82" s="19">
        <f>D39/$B$7</f>
        <v/>
      </c>
      <c r="D82" s="19">
        <f>E39/$B$7</f>
        <v/>
      </c>
      <c r="E82" s="19">
        <f>F39/$B$7</f>
        <v/>
      </c>
      <c r="F82" s="19">
        <f>G39/$B$7</f>
        <v/>
      </c>
      <c r="G82" s="19">
        <f>H39/$B$7</f>
        <v/>
      </c>
      <c r="H82" s="19">
        <f>I39/$B$7</f>
        <v/>
      </c>
      <c r="I82" s="19">
        <f>SUM(B82:H82)</f>
        <v/>
      </c>
    </row>
    <row r="83">
      <c r="A83" s="10">
        <f>A40</f>
        <v/>
      </c>
      <c r="B83" s="19">
        <f>C40/$B$7</f>
        <v/>
      </c>
      <c r="C83" s="19">
        <f>D40/$B$7</f>
        <v/>
      </c>
      <c r="D83" s="19">
        <f>E40/$B$7</f>
        <v/>
      </c>
      <c r="E83" s="19">
        <f>F40/$B$7</f>
        <v/>
      </c>
      <c r="F83" s="19">
        <f>G40/$B$7</f>
        <v/>
      </c>
      <c r="G83" s="19">
        <f>H40/$B$7</f>
        <v/>
      </c>
      <c r="H83" s="19">
        <f>I40/$B$7</f>
        <v/>
      </c>
      <c r="I83" s="19">
        <f>SUM(B83:H83)</f>
        <v/>
      </c>
    </row>
    <row r="84">
      <c r="A84" s="10">
        <f>A41</f>
        <v/>
      </c>
      <c r="B84" s="19">
        <f>C41/$B$7</f>
        <v/>
      </c>
      <c r="C84" s="19">
        <f>D41/$B$7</f>
        <v/>
      </c>
      <c r="D84" s="19">
        <f>E41/$B$7</f>
        <v/>
      </c>
      <c r="E84" s="19">
        <f>F41/$B$7</f>
        <v/>
      </c>
      <c r="F84" s="19">
        <f>G41/$B$7</f>
        <v/>
      </c>
      <c r="G84" s="19">
        <f>H41/$B$7</f>
        <v/>
      </c>
      <c r="H84" s="19">
        <f>I41/$B$7</f>
        <v/>
      </c>
      <c r="I84" s="19">
        <f>SUM(B84:H84)</f>
        <v/>
      </c>
    </row>
    <row r="85">
      <c r="A85" s="10">
        <f>A42</f>
        <v/>
      </c>
      <c r="B85" s="19">
        <f>C42/$B$7</f>
        <v/>
      </c>
      <c r="C85" s="19">
        <f>D42/$B$7</f>
        <v/>
      </c>
      <c r="D85" s="19">
        <f>E42/$B$7</f>
        <v/>
      </c>
      <c r="E85" s="19">
        <f>F42/$B$7</f>
        <v/>
      </c>
      <c r="F85" s="19">
        <f>G42/$B$7</f>
        <v/>
      </c>
      <c r="G85" s="19">
        <f>H42/$B$7</f>
        <v/>
      </c>
      <c r="H85" s="19">
        <f>I42/$B$7</f>
        <v/>
      </c>
      <c r="I85" s="19">
        <f>SUM(B85:H85)</f>
        <v/>
      </c>
    </row>
    <row r="86">
      <c r="A86" s="10">
        <f>A43</f>
        <v/>
      </c>
      <c r="B86" s="19">
        <f>C43/$B$7</f>
        <v/>
      </c>
      <c r="C86" s="19">
        <f>D43/$B$7</f>
        <v/>
      </c>
      <c r="D86" s="19">
        <f>E43/$B$7</f>
        <v/>
      </c>
      <c r="E86" s="19">
        <f>F43/$B$7</f>
        <v/>
      </c>
      <c r="F86" s="19">
        <f>G43/$B$7</f>
        <v/>
      </c>
      <c r="G86" s="19">
        <f>H43/$B$7</f>
        <v/>
      </c>
      <c r="H86" s="19">
        <f>I43/$B$7</f>
        <v/>
      </c>
      <c r="I86" s="19">
        <f>SUM(B86:H86)</f>
        <v/>
      </c>
    </row>
    <row r="87">
      <c r="A87" s="10">
        <f>A44</f>
        <v/>
      </c>
      <c r="B87" s="19">
        <f>C44/$B$7</f>
        <v/>
      </c>
      <c r="C87" s="19">
        <f>D44/$B$7</f>
        <v/>
      </c>
      <c r="D87" s="19">
        <f>E44/$B$7</f>
        <v/>
      </c>
      <c r="E87" s="19">
        <f>F44/$B$7</f>
        <v/>
      </c>
      <c r="F87" s="19">
        <f>G44/$B$7</f>
        <v/>
      </c>
      <c r="G87" s="19">
        <f>H44/$B$7</f>
        <v/>
      </c>
      <c r="H87" s="19">
        <f>I44/$B$7</f>
        <v/>
      </c>
      <c r="I87" s="19">
        <f>SUM(B87:H87)</f>
        <v/>
      </c>
    </row>
    <row r="88">
      <c r="A88" s="10">
        <f>A45</f>
        <v/>
      </c>
      <c r="B88" s="19">
        <f>C45/$B$7</f>
        <v/>
      </c>
      <c r="C88" s="19">
        <f>D45/$B$7</f>
        <v/>
      </c>
      <c r="D88" s="19">
        <f>E45/$B$7</f>
        <v/>
      </c>
      <c r="E88" s="19">
        <f>F45/$B$7</f>
        <v/>
      </c>
      <c r="F88" s="19">
        <f>G45/$B$7</f>
        <v/>
      </c>
      <c r="G88" s="19">
        <f>H45/$B$7</f>
        <v/>
      </c>
      <c r="H88" s="19">
        <f>I45/$B$7</f>
        <v/>
      </c>
      <c r="I88" s="19">
        <f>SUM(B88:H88)</f>
        <v/>
      </c>
    </row>
    <row r="89">
      <c r="A89" s="10">
        <f>A46</f>
        <v/>
      </c>
      <c r="B89" s="19">
        <f>C46/$B$7</f>
        <v/>
      </c>
      <c r="C89" s="19">
        <f>D46/$B$7</f>
        <v/>
      </c>
      <c r="D89" s="19">
        <f>E46/$B$7</f>
        <v/>
      </c>
      <c r="E89" s="19">
        <f>F46/$B$7</f>
        <v/>
      </c>
      <c r="F89" s="19">
        <f>G46/$B$7</f>
        <v/>
      </c>
      <c r="G89" s="19">
        <f>H46/$B$7</f>
        <v/>
      </c>
      <c r="H89" s="19">
        <f>I46/$B$7</f>
        <v/>
      </c>
      <c r="I89" s="19">
        <f>SUM(B89:H89)</f>
        <v/>
      </c>
    </row>
    <row r="90">
      <c r="A90" s="10">
        <f>A47</f>
        <v/>
      </c>
      <c r="B90" s="19">
        <f>C47/$B$7</f>
        <v/>
      </c>
      <c r="C90" s="19">
        <f>D47/$B$7</f>
        <v/>
      </c>
      <c r="D90" s="19">
        <f>E47/$B$7</f>
        <v/>
      </c>
      <c r="E90" s="19">
        <f>F47/$B$7</f>
        <v/>
      </c>
      <c r="F90" s="19">
        <f>G47/$B$7</f>
        <v/>
      </c>
      <c r="G90" s="19">
        <f>H47/$B$7</f>
        <v/>
      </c>
      <c r="H90" s="19">
        <f>I47/$B$7</f>
        <v/>
      </c>
      <c r="I90" s="19">
        <f>SUM(B90:H90)</f>
        <v/>
      </c>
    </row>
    <row r="91">
      <c r="A91" s="14" t="inlineStr">
        <is>
          <t>合計</t>
        </is>
      </c>
      <c r="B91" s="20">
        <f>SUM(B55:B90)</f>
        <v/>
      </c>
      <c r="C91" s="20">
        <f>SUM(C55:C90)</f>
        <v/>
      </c>
      <c r="D91" s="20">
        <f>SUM(D55:D90)</f>
        <v/>
      </c>
      <c r="E91" s="20">
        <f>SUM(E55:E90)</f>
        <v/>
      </c>
      <c r="F91" s="20">
        <f>SUM(F55:F90)</f>
        <v/>
      </c>
      <c r="G91" s="20">
        <f>SUM(G55:G90)</f>
        <v/>
      </c>
      <c r="H91" s="20">
        <f>SUM(H55:H90)</f>
        <v/>
      </c>
      <c r="I91" s="20">
        <f>SUM(I55:I90)</f>
        <v/>
      </c>
    </row>
    <row r="93">
      <c r="A93" s="6" t="inlineStr">
        <is>
          <t>■ 実績(時間)と 予測との比較</t>
        </is>
      </c>
    </row>
    <row r="94">
      <c r="A94" s="5" t="inlineStr">
        <is>
          <t>実績は予測と同じ集計(phase_map に載る行程・契約期間内)で作っている。実績が入っている月までが比較対象で、それ以降の実績は 0 と表示される。</t>
        </is>
      </c>
    </row>
    <row r="96">
      <c r="A96" s="7" t="inlineStr">
        <is>
          <t>月</t>
        </is>
      </c>
      <c r="B96" s="8" t="inlineStr">
        <is>
          <t>経過月</t>
        </is>
      </c>
      <c r="C96" s="8" t="inlineStr">
        <is>
          <t>企画・プリプロ</t>
        </is>
      </c>
      <c r="D96" s="8" t="inlineStr">
        <is>
          <t>ゲームデザイン・シナリオ</t>
        </is>
      </c>
      <c r="E96" s="8" t="inlineStr">
        <is>
          <t>プログラム</t>
        </is>
      </c>
      <c r="F96" s="8" t="inlineStr">
        <is>
          <t>アート</t>
        </is>
      </c>
      <c r="G96" s="8" t="inlineStr">
        <is>
          <t>サウンド</t>
        </is>
      </c>
      <c r="H96" s="8" t="inlineStr">
        <is>
          <t>QA・デバッグ</t>
        </is>
      </c>
      <c r="I96" s="8" t="inlineStr">
        <is>
          <t>PM・運営</t>
        </is>
      </c>
      <c r="J96" s="18" t="inlineStr">
        <is>
          <t>合計</t>
        </is>
      </c>
    </row>
    <row r="97">
      <c r="A97" s="10" t="inlineStr">
        <is>
          <t>2021-01</t>
        </is>
      </c>
      <c r="B97" s="11" t="n">
        <v>1</v>
      </c>
      <c r="C97" s="12" t="n">
        <v>1905.7</v>
      </c>
      <c r="D97" s="12" t="n">
        <v>199.5</v>
      </c>
      <c r="E97" s="12" t="n">
        <v>18.7</v>
      </c>
      <c r="F97" s="12" t="n">
        <v>0</v>
      </c>
      <c r="G97" s="12" t="n">
        <v>0</v>
      </c>
      <c r="H97" s="12" t="n">
        <v>0</v>
      </c>
      <c r="I97" s="12" t="n">
        <v>88.90000000000001</v>
      </c>
      <c r="J97" s="12">
        <f>SUM(C97:I97)</f>
        <v/>
      </c>
    </row>
    <row r="98">
      <c r="A98" s="10" t="inlineStr">
        <is>
          <t>2021-02</t>
        </is>
      </c>
      <c r="B98" s="11" t="n">
        <v>2</v>
      </c>
      <c r="C98" s="12" t="n">
        <v>2485.4</v>
      </c>
      <c r="D98" s="12" t="n">
        <v>472.9</v>
      </c>
      <c r="E98" s="12" t="n">
        <v>125.8</v>
      </c>
      <c r="F98" s="12" t="n">
        <v>33.4</v>
      </c>
      <c r="G98" s="12" t="n">
        <v>0</v>
      </c>
      <c r="H98" s="12" t="n">
        <v>0</v>
      </c>
      <c r="I98" s="12" t="n">
        <v>171.9</v>
      </c>
      <c r="J98" s="12">
        <f>SUM(C98:I98)</f>
        <v/>
      </c>
    </row>
    <row r="99">
      <c r="A99" s="10" t="inlineStr">
        <is>
          <t>2021-03</t>
        </is>
      </c>
      <c r="B99" s="11" t="n">
        <v>3</v>
      </c>
      <c r="C99" s="12" t="n">
        <v>3062.3</v>
      </c>
      <c r="D99" s="12" t="n">
        <v>867.1</v>
      </c>
      <c r="E99" s="12" t="n">
        <v>299.6</v>
      </c>
      <c r="F99" s="12" t="n">
        <v>96.59999999999999</v>
      </c>
      <c r="G99" s="12" t="n">
        <v>0</v>
      </c>
      <c r="H99" s="12" t="n">
        <v>0</v>
      </c>
      <c r="I99" s="12" t="n">
        <v>285.1</v>
      </c>
      <c r="J99" s="12">
        <f>SUM(C99:I99)</f>
        <v/>
      </c>
    </row>
    <row r="100">
      <c r="A100" s="10" t="inlineStr">
        <is>
          <t>2021-04</t>
        </is>
      </c>
      <c r="B100" s="11" t="n">
        <v>4</v>
      </c>
      <c r="C100" s="12" t="n">
        <v>3327.9</v>
      </c>
      <c r="D100" s="12" t="n">
        <v>1097.2</v>
      </c>
      <c r="E100" s="12" t="n">
        <v>441.9</v>
      </c>
      <c r="F100" s="12" t="n">
        <v>217.9</v>
      </c>
      <c r="G100" s="12" t="n">
        <v>0</v>
      </c>
      <c r="H100" s="12" t="n">
        <v>0</v>
      </c>
      <c r="I100" s="12" t="n">
        <v>307.9</v>
      </c>
      <c r="J100" s="12">
        <f>SUM(C100:I100)</f>
        <v/>
      </c>
    </row>
    <row r="101">
      <c r="A101" s="10" t="inlineStr">
        <is>
          <t>2021-05</t>
        </is>
      </c>
      <c r="B101" s="11" t="n">
        <v>5</v>
      </c>
      <c r="C101" s="12" t="n">
        <v>3091</v>
      </c>
      <c r="D101" s="12" t="n">
        <v>1331.9</v>
      </c>
      <c r="E101" s="12" t="n">
        <v>653.4</v>
      </c>
      <c r="F101" s="12" t="n">
        <v>405.1</v>
      </c>
      <c r="G101" s="12" t="n">
        <v>0</v>
      </c>
      <c r="H101" s="12" t="n">
        <v>0</v>
      </c>
      <c r="I101" s="12" t="n">
        <v>393.7</v>
      </c>
      <c r="J101" s="12">
        <f>SUM(C101:I101)</f>
        <v/>
      </c>
    </row>
    <row r="102">
      <c r="A102" s="10" t="inlineStr">
        <is>
          <t>2021-06</t>
        </is>
      </c>
      <c r="B102" s="11" t="n">
        <v>6</v>
      </c>
      <c r="C102" s="12" t="n">
        <v>3100.1</v>
      </c>
      <c r="D102" s="12" t="n">
        <v>1540.6</v>
      </c>
      <c r="E102" s="12" t="n">
        <v>949</v>
      </c>
      <c r="F102" s="12" t="n">
        <v>565.9</v>
      </c>
      <c r="G102" s="12" t="n">
        <v>11.3</v>
      </c>
      <c r="H102" s="12" t="n">
        <v>0</v>
      </c>
      <c r="I102" s="12" t="n">
        <v>497.3</v>
      </c>
      <c r="J102" s="12">
        <f>SUM(C102:I102)</f>
        <v/>
      </c>
    </row>
    <row r="103">
      <c r="A103" s="10" t="inlineStr">
        <is>
          <t>2021-07</t>
        </is>
      </c>
      <c r="B103" s="11" t="n">
        <v>7</v>
      </c>
      <c r="C103" s="12" t="n">
        <v>2908.9</v>
      </c>
      <c r="D103" s="12" t="n">
        <v>1686.5</v>
      </c>
      <c r="E103" s="12" t="n">
        <v>1171.1</v>
      </c>
      <c r="F103" s="12" t="n">
        <v>814.8</v>
      </c>
      <c r="G103" s="12" t="n">
        <v>22.3</v>
      </c>
      <c r="H103" s="12" t="n">
        <v>0</v>
      </c>
      <c r="I103" s="12" t="n">
        <v>510.6</v>
      </c>
      <c r="J103" s="12">
        <f>SUM(C103:I103)</f>
        <v/>
      </c>
    </row>
    <row r="104">
      <c r="A104" s="10" t="inlineStr">
        <is>
          <t>2021-08</t>
        </is>
      </c>
      <c r="B104" s="11" t="n">
        <v>8</v>
      </c>
      <c r="C104" s="12" t="n">
        <v>2368.4</v>
      </c>
      <c r="D104" s="12" t="n">
        <v>1838.8</v>
      </c>
      <c r="E104" s="12" t="n">
        <v>1252.7</v>
      </c>
      <c r="F104" s="12" t="n">
        <v>1101.4</v>
      </c>
      <c r="G104" s="12" t="n">
        <v>38.1</v>
      </c>
      <c r="H104" s="12" t="n">
        <v>0</v>
      </c>
      <c r="I104" s="12" t="n">
        <v>560.4</v>
      </c>
      <c r="J104" s="12">
        <f>SUM(C104:I104)</f>
        <v/>
      </c>
    </row>
    <row r="105">
      <c r="A105" s="10" t="inlineStr">
        <is>
          <t>2021-09</t>
        </is>
      </c>
      <c r="B105" s="11" t="n">
        <v>9</v>
      </c>
      <c r="C105" s="12" t="n">
        <v>2348.9</v>
      </c>
      <c r="D105" s="12" t="n">
        <v>1904.5</v>
      </c>
      <c r="E105" s="12" t="n">
        <v>1482.2</v>
      </c>
      <c r="F105" s="12" t="n">
        <v>1340.7</v>
      </c>
      <c r="G105" s="12" t="n">
        <v>51.6</v>
      </c>
      <c r="H105" s="12" t="n">
        <v>0</v>
      </c>
      <c r="I105" s="12" t="n">
        <v>597.4</v>
      </c>
      <c r="J105" s="12">
        <f>SUM(C105:I105)</f>
        <v/>
      </c>
    </row>
    <row r="106">
      <c r="A106" s="10" t="inlineStr">
        <is>
          <t>2021-10</t>
        </is>
      </c>
      <c r="B106" s="11" t="n">
        <v>10</v>
      </c>
      <c r="C106" s="12" t="n">
        <v>2977.9</v>
      </c>
      <c r="D106" s="12" t="n">
        <v>2830.9</v>
      </c>
      <c r="E106" s="12" t="n">
        <v>2578.6</v>
      </c>
      <c r="F106" s="12" t="n">
        <v>2002.9</v>
      </c>
      <c r="G106" s="12" t="n">
        <v>109.1</v>
      </c>
      <c r="H106" s="12" t="n">
        <v>9.199999999999999</v>
      </c>
      <c r="I106" s="12" t="n">
        <v>887.9</v>
      </c>
      <c r="J106" s="12">
        <f>SUM(C106:I106)</f>
        <v/>
      </c>
    </row>
    <row r="107">
      <c r="A107" s="10" t="inlineStr">
        <is>
          <t>2021-11</t>
        </is>
      </c>
      <c r="B107" s="11" t="n">
        <v>11</v>
      </c>
      <c r="C107" s="12" t="n">
        <v>3868.3</v>
      </c>
      <c r="D107" s="12" t="n">
        <v>5032.1</v>
      </c>
      <c r="E107" s="12" t="n">
        <v>5787.7</v>
      </c>
      <c r="F107" s="12" t="n">
        <v>6264.9</v>
      </c>
      <c r="G107" s="12" t="n">
        <v>279</v>
      </c>
      <c r="H107" s="12" t="n">
        <v>61.8</v>
      </c>
      <c r="I107" s="12" t="n">
        <v>1413.6</v>
      </c>
      <c r="J107" s="12">
        <f>SUM(C107:I107)</f>
        <v/>
      </c>
    </row>
    <row r="108">
      <c r="A108" s="10" t="inlineStr">
        <is>
          <t>2021-12</t>
        </is>
      </c>
      <c r="B108" s="11" t="n">
        <v>12</v>
      </c>
      <c r="C108" s="12" t="n">
        <v>2913.4</v>
      </c>
      <c r="D108" s="12" t="n">
        <v>5139.3</v>
      </c>
      <c r="E108" s="12" t="n">
        <v>6330.2</v>
      </c>
      <c r="F108" s="12" t="n">
        <v>7214</v>
      </c>
      <c r="G108" s="12" t="n">
        <v>542.9</v>
      </c>
      <c r="H108" s="12" t="n">
        <v>144.5</v>
      </c>
      <c r="I108" s="12" t="n">
        <v>2048.5</v>
      </c>
      <c r="J108" s="12">
        <f>SUM(C108:I108)</f>
        <v/>
      </c>
    </row>
    <row r="109">
      <c r="A109" s="10" t="inlineStr">
        <is>
          <t>2022-01</t>
        </is>
      </c>
      <c r="B109" s="11" t="n">
        <v>13</v>
      </c>
      <c r="C109" s="12" t="n">
        <v>2300</v>
      </c>
      <c r="D109" s="12" t="n">
        <v>5167.4</v>
      </c>
      <c r="E109" s="12" t="n">
        <v>8924.6</v>
      </c>
      <c r="F109" s="12" t="n">
        <v>9533.1</v>
      </c>
      <c r="G109" s="12" t="n">
        <v>901.5</v>
      </c>
      <c r="H109" s="12" t="n">
        <v>288.6</v>
      </c>
      <c r="I109" s="12" t="n">
        <v>1824.9</v>
      </c>
      <c r="J109" s="12">
        <f>SUM(C109:I109)</f>
        <v/>
      </c>
    </row>
    <row r="110">
      <c r="A110" s="10" t="inlineStr">
        <is>
          <t>2022-02</t>
        </is>
      </c>
      <c r="B110" s="11" t="n">
        <v>14</v>
      </c>
      <c r="C110" s="12" t="n">
        <v>1374.9</v>
      </c>
      <c r="D110" s="12" t="n">
        <v>5875.7</v>
      </c>
      <c r="E110" s="12" t="n">
        <v>8812.1</v>
      </c>
      <c r="F110" s="12" t="n">
        <v>9213.799999999999</v>
      </c>
      <c r="G110" s="12" t="n">
        <v>1049.4</v>
      </c>
      <c r="H110" s="12" t="n">
        <v>487.6</v>
      </c>
      <c r="I110" s="12" t="n">
        <v>1720.1</v>
      </c>
      <c r="J110" s="12">
        <f>SUM(C110:I110)</f>
        <v/>
      </c>
    </row>
    <row r="111">
      <c r="A111" s="10" t="inlineStr">
        <is>
          <t>2022-03</t>
        </is>
      </c>
      <c r="B111" s="11" t="n">
        <v>15</v>
      </c>
      <c r="C111" s="12" t="n">
        <v>885.1</v>
      </c>
      <c r="D111" s="12" t="n">
        <v>7173.2</v>
      </c>
      <c r="E111" s="12" t="n">
        <v>14447.1</v>
      </c>
      <c r="F111" s="12" t="n">
        <v>12569.5</v>
      </c>
      <c r="G111" s="12" t="n">
        <v>1513.4</v>
      </c>
      <c r="H111" s="12" t="n">
        <v>928.8</v>
      </c>
      <c r="I111" s="12" t="n">
        <v>1996</v>
      </c>
      <c r="J111" s="12">
        <f>SUM(C111:I111)</f>
        <v/>
      </c>
    </row>
    <row r="112">
      <c r="A112" s="10" t="inlineStr">
        <is>
          <t>2022-04</t>
        </is>
      </c>
      <c r="B112" s="11" t="n">
        <v>16</v>
      </c>
      <c r="C112" s="12" t="n">
        <v>322.9</v>
      </c>
      <c r="D112" s="12" t="n">
        <v>3049.5</v>
      </c>
      <c r="E112" s="12" t="n">
        <v>8437.1</v>
      </c>
      <c r="F112" s="12" t="n">
        <v>6564.9</v>
      </c>
      <c r="G112" s="12" t="n">
        <v>922.7</v>
      </c>
      <c r="H112" s="12" t="n">
        <v>615.3</v>
      </c>
      <c r="I112" s="12" t="n">
        <v>1056</v>
      </c>
      <c r="J112" s="12">
        <f>SUM(C112:I112)</f>
        <v/>
      </c>
    </row>
    <row r="113">
      <c r="A113" s="10" t="inlineStr">
        <is>
          <t>2022-05</t>
        </is>
      </c>
      <c r="B113" s="11" t="n">
        <v>17</v>
      </c>
      <c r="C113" s="12" t="n">
        <v>242.4</v>
      </c>
      <c r="D113" s="12" t="n">
        <v>2763.8</v>
      </c>
      <c r="E113" s="12" t="n">
        <v>6519.9</v>
      </c>
      <c r="F113" s="12" t="n">
        <v>6201.2</v>
      </c>
      <c r="G113" s="12" t="n">
        <v>844.6</v>
      </c>
      <c r="H113" s="12" t="n">
        <v>739.5</v>
      </c>
      <c r="I113" s="12" t="n">
        <v>822</v>
      </c>
      <c r="J113" s="12">
        <f>SUM(C113:I113)</f>
        <v/>
      </c>
    </row>
    <row r="114">
      <c r="A114" s="10" t="inlineStr">
        <is>
          <t>2022-06</t>
        </is>
      </c>
      <c r="B114" s="11" t="n">
        <v>18</v>
      </c>
      <c r="C114" s="12" t="n">
        <v>192.8</v>
      </c>
      <c r="D114" s="12" t="n">
        <v>1987.5</v>
      </c>
      <c r="E114" s="12" t="n">
        <v>5377.3</v>
      </c>
      <c r="F114" s="12" t="n">
        <v>5188.1</v>
      </c>
      <c r="G114" s="12" t="n">
        <v>942.7</v>
      </c>
      <c r="H114" s="12" t="n">
        <v>722.4</v>
      </c>
      <c r="I114" s="12" t="n">
        <v>860.9</v>
      </c>
      <c r="J114" s="12">
        <f>SUM(C114:I114)</f>
        <v/>
      </c>
    </row>
    <row r="115">
      <c r="A115" s="10" t="inlineStr">
        <is>
          <t>2022-07</t>
        </is>
      </c>
      <c r="B115" s="11" t="n">
        <v>19</v>
      </c>
      <c r="C115" s="12" t="n">
        <v>140.9</v>
      </c>
      <c r="D115" s="12" t="n">
        <v>1822.7</v>
      </c>
      <c r="E115" s="12" t="n">
        <v>5563.5</v>
      </c>
      <c r="F115" s="12" t="n">
        <v>6186.1</v>
      </c>
      <c r="G115" s="12" t="n">
        <v>1049.4</v>
      </c>
      <c r="H115" s="12" t="n">
        <v>769.6</v>
      </c>
      <c r="I115" s="12" t="n">
        <v>885.3</v>
      </c>
      <c r="J115" s="12">
        <f>SUM(C115:I115)</f>
        <v/>
      </c>
    </row>
    <row r="116">
      <c r="A116" s="10" t="inlineStr">
        <is>
          <t>2022-08</t>
        </is>
      </c>
      <c r="B116" s="11" t="n">
        <v>20</v>
      </c>
      <c r="C116" s="12" t="n">
        <v>117</v>
      </c>
      <c r="D116" s="12" t="n">
        <v>1437.5</v>
      </c>
      <c r="E116" s="12" t="n">
        <v>4770.6</v>
      </c>
      <c r="F116" s="12" t="n">
        <v>5567.2</v>
      </c>
      <c r="G116" s="12" t="n">
        <v>981.7</v>
      </c>
      <c r="H116" s="12" t="n">
        <v>996.3</v>
      </c>
      <c r="I116" s="12" t="n">
        <v>785.7</v>
      </c>
      <c r="J116" s="12">
        <f>SUM(C116:I116)</f>
        <v/>
      </c>
    </row>
    <row r="117">
      <c r="A117" s="10" t="inlineStr">
        <is>
          <t>2022-09</t>
        </is>
      </c>
      <c r="B117" s="11" t="n">
        <v>21</v>
      </c>
      <c r="C117" s="12" t="n">
        <v>80.09999999999999</v>
      </c>
      <c r="D117" s="12" t="n">
        <v>1152</v>
      </c>
      <c r="E117" s="12" t="n">
        <v>3536.3</v>
      </c>
      <c r="F117" s="12" t="n">
        <v>5975.5</v>
      </c>
      <c r="G117" s="12" t="n">
        <v>1046.5</v>
      </c>
      <c r="H117" s="12" t="n">
        <v>1304.9</v>
      </c>
      <c r="I117" s="12" t="n">
        <v>790.9</v>
      </c>
      <c r="J117" s="12">
        <f>SUM(C117:I117)</f>
        <v/>
      </c>
    </row>
    <row r="118">
      <c r="A118" s="10" t="inlineStr">
        <is>
          <t>2022-10</t>
        </is>
      </c>
      <c r="B118" s="11" t="n">
        <v>22</v>
      </c>
      <c r="C118" s="12" t="n">
        <v>63.6</v>
      </c>
      <c r="D118" s="12" t="n">
        <v>1037.7</v>
      </c>
      <c r="E118" s="12" t="n">
        <v>3806</v>
      </c>
      <c r="F118" s="12" t="n">
        <v>5438.2</v>
      </c>
      <c r="G118" s="12" t="n">
        <v>902.8</v>
      </c>
      <c r="H118" s="12" t="n">
        <v>1555</v>
      </c>
      <c r="I118" s="12" t="n">
        <v>811.4</v>
      </c>
      <c r="J118" s="12">
        <f>SUM(C118:I118)</f>
        <v/>
      </c>
    </row>
    <row r="119">
      <c r="A119" s="10" t="inlineStr">
        <is>
          <t>2022-11</t>
        </is>
      </c>
      <c r="B119" s="11" t="n">
        <v>23</v>
      </c>
      <c r="C119" s="12" t="n">
        <v>38.8</v>
      </c>
      <c r="D119" s="12" t="n">
        <v>915.2</v>
      </c>
      <c r="E119" s="12" t="n">
        <v>4018.7</v>
      </c>
      <c r="F119" s="12" t="n">
        <v>5666.2</v>
      </c>
      <c r="G119" s="12" t="n">
        <v>1210.1</v>
      </c>
      <c r="H119" s="12" t="n">
        <v>1952.5</v>
      </c>
      <c r="I119" s="12" t="n">
        <v>778.8</v>
      </c>
      <c r="J119" s="12">
        <f>SUM(C119:I119)</f>
        <v/>
      </c>
    </row>
    <row r="120">
      <c r="A120" s="10" t="inlineStr">
        <is>
          <t>2022-12</t>
        </is>
      </c>
      <c r="B120" s="11" t="n">
        <v>24</v>
      </c>
      <c r="C120" s="12" t="n">
        <v>28.7</v>
      </c>
      <c r="D120" s="12" t="n">
        <v>720.2</v>
      </c>
      <c r="E120" s="12" t="n">
        <v>3825.3</v>
      </c>
      <c r="F120" s="12" t="n">
        <v>6235.9</v>
      </c>
      <c r="G120" s="12" t="n">
        <v>1303</v>
      </c>
      <c r="H120" s="12" t="n">
        <v>2998.7</v>
      </c>
      <c r="I120" s="12" t="n">
        <v>753.5</v>
      </c>
      <c r="J120" s="12">
        <f>SUM(C120:I120)</f>
        <v/>
      </c>
    </row>
    <row r="121">
      <c r="A121" s="10" t="inlineStr">
        <is>
          <t>2023-01</t>
        </is>
      </c>
      <c r="B121" s="11" t="n">
        <v>25</v>
      </c>
      <c r="C121" s="12" t="n">
        <v>13.5</v>
      </c>
      <c r="D121" s="12" t="n">
        <v>610.5</v>
      </c>
      <c r="E121" s="12" t="n">
        <v>4391.2</v>
      </c>
      <c r="F121" s="12" t="n">
        <v>6994.8</v>
      </c>
      <c r="G121" s="12" t="n">
        <v>1535.2</v>
      </c>
      <c r="H121" s="12" t="n">
        <v>3891.3</v>
      </c>
      <c r="I121" s="12" t="n">
        <v>789.7</v>
      </c>
      <c r="J121" s="12">
        <f>SUM(C121:I121)</f>
        <v/>
      </c>
    </row>
    <row r="122">
      <c r="A122" s="10" t="inlineStr">
        <is>
          <t>2023-02</t>
        </is>
      </c>
      <c r="B122" s="11" t="n">
        <v>26</v>
      </c>
      <c r="C122" s="12" t="n">
        <v>4.6</v>
      </c>
      <c r="D122" s="12" t="n">
        <v>437.2</v>
      </c>
      <c r="E122" s="12" t="n">
        <v>4901.7</v>
      </c>
      <c r="F122" s="12" t="n">
        <v>6919.2</v>
      </c>
      <c r="G122" s="12" t="n">
        <v>1395.4</v>
      </c>
      <c r="H122" s="12" t="n">
        <v>3531</v>
      </c>
      <c r="I122" s="12" t="n">
        <v>638</v>
      </c>
      <c r="J122" s="12">
        <f>SUM(C122:I122)</f>
        <v/>
      </c>
    </row>
    <row r="123">
      <c r="A123" s="10" t="inlineStr">
        <is>
          <t>2023-03</t>
        </is>
      </c>
      <c r="B123" s="11" t="n">
        <v>27</v>
      </c>
      <c r="C123" s="12" t="n">
        <v>0</v>
      </c>
      <c r="D123" s="12" t="n">
        <v>487.7</v>
      </c>
      <c r="E123" s="12" t="n">
        <v>5156.1</v>
      </c>
      <c r="F123" s="12" t="n">
        <v>8167.4</v>
      </c>
      <c r="G123" s="12" t="n">
        <v>1501.7</v>
      </c>
      <c r="H123" s="12" t="n">
        <v>5882.1</v>
      </c>
      <c r="I123" s="12" t="n">
        <v>818.8</v>
      </c>
      <c r="J123" s="12">
        <f>SUM(C123:I123)</f>
        <v/>
      </c>
    </row>
    <row r="124">
      <c r="A124" s="10" t="inlineStr">
        <is>
          <t>2023-04</t>
        </is>
      </c>
      <c r="B124" s="11" t="n">
        <v>28</v>
      </c>
      <c r="C124" s="12" t="n">
        <v>0</v>
      </c>
      <c r="D124" s="12" t="n">
        <v>408.8</v>
      </c>
      <c r="E124" s="12" t="n">
        <v>4296.6</v>
      </c>
      <c r="F124" s="12" t="n">
        <v>6814.8</v>
      </c>
      <c r="G124" s="12" t="n">
        <v>1377</v>
      </c>
      <c r="H124" s="12" t="n">
        <v>4193.7</v>
      </c>
      <c r="I124" s="12" t="n">
        <v>678.8</v>
      </c>
      <c r="J124" s="12">
        <f>SUM(C124:I124)</f>
        <v/>
      </c>
    </row>
    <row r="125">
      <c r="A125" s="10" t="inlineStr">
        <is>
          <t>2023-05</t>
        </is>
      </c>
      <c r="B125" s="11" t="n">
        <v>29</v>
      </c>
      <c r="C125" s="12" t="n">
        <v>0</v>
      </c>
      <c r="D125" s="12" t="n">
        <v>285.1</v>
      </c>
      <c r="E125" s="12" t="n">
        <v>3076.9</v>
      </c>
      <c r="F125" s="12" t="n">
        <v>5822.1</v>
      </c>
      <c r="G125" s="12" t="n">
        <v>1293.4</v>
      </c>
      <c r="H125" s="12" t="n">
        <v>4549.8</v>
      </c>
      <c r="I125" s="12" t="n">
        <v>720.5</v>
      </c>
      <c r="J125" s="12">
        <f>SUM(C125:I125)</f>
        <v/>
      </c>
    </row>
    <row r="126">
      <c r="A126" s="10" t="inlineStr">
        <is>
          <t>2023-06</t>
        </is>
      </c>
      <c r="B126" s="11" t="n">
        <v>30</v>
      </c>
      <c r="C126" s="12" t="n">
        <v>0</v>
      </c>
      <c r="D126" s="12" t="n">
        <v>179.9</v>
      </c>
      <c r="E126" s="12" t="n">
        <v>2270.5</v>
      </c>
      <c r="F126" s="12" t="n">
        <v>3714.4</v>
      </c>
      <c r="G126" s="12" t="n">
        <v>873.9</v>
      </c>
      <c r="H126" s="12" t="n">
        <v>3405.9</v>
      </c>
      <c r="I126" s="12" t="n">
        <v>604.9</v>
      </c>
      <c r="J126" s="12">
        <f>SUM(C126:I126)</f>
        <v/>
      </c>
    </row>
    <row r="127">
      <c r="A127" s="10" t="inlineStr">
        <is>
          <t>2023-07</t>
        </is>
      </c>
      <c r="B127" s="11" t="n">
        <v>31</v>
      </c>
      <c r="C127" s="12" t="n">
        <v>0</v>
      </c>
      <c r="D127" s="12" t="n">
        <v>143.4</v>
      </c>
      <c r="E127" s="12" t="n">
        <v>1743.5</v>
      </c>
      <c r="F127" s="12" t="n">
        <v>2788.9</v>
      </c>
      <c r="G127" s="12" t="n">
        <v>792.3</v>
      </c>
      <c r="H127" s="12" t="n">
        <v>4022.2</v>
      </c>
      <c r="I127" s="12" t="n">
        <v>657.5</v>
      </c>
      <c r="J127" s="12">
        <f>SUM(C127:I127)</f>
        <v/>
      </c>
    </row>
    <row r="128">
      <c r="A128" s="10" t="inlineStr">
        <is>
          <t>2023-08</t>
        </is>
      </c>
      <c r="B128" s="11" t="n">
        <v>32</v>
      </c>
      <c r="C128" s="12" t="n">
        <v>0</v>
      </c>
      <c r="D128" s="12" t="n">
        <v>70.09999999999999</v>
      </c>
      <c r="E128" s="12" t="n">
        <v>1083.6</v>
      </c>
      <c r="F128" s="12" t="n">
        <v>1715.2</v>
      </c>
      <c r="G128" s="12" t="n">
        <v>571.8</v>
      </c>
      <c r="H128" s="12" t="n">
        <v>4698.5</v>
      </c>
      <c r="I128" s="12" t="n">
        <v>498.6</v>
      </c>
      <c r="J128" s="12">
        <f>SUM(C128:I128)</f>
        <v/>
      </c>
    </row>
    <row r="129">
      <c r="A129" s="10" t="inlineStr">
        <is>
          <t>2023-09</t>
        </is>
      </c>
      <c r="B129" s="11" t="n">
        <v>33</v>
      </c>
      <c r="C129" s="12" t="n">
        <v>0</v>
      </c>
      <c r="D129" s="12" t="n">
        <v>16</v>
      </c>
      <c r="E129" s="12" t="n">
        <v>620.8</v>
      </c>
      <c r="F129" s="12" t="n">
        <v>879</v>
      </c>
      <c r="G129" s="12" t="n">
        <v>283.4</v>
      </c>
      <c r="H129" s="12" t="n">
        <v>3488</v>
      </c>
      <c r="I129" s="12" t="n">
        <v>302.9</v>
      </c>
      <c r="J129" s="12">
        <f>SUM(C129:I129)</f>
        <v/>
      </c>
    </row>
    <row r="130">
      <c r="A130" s="10" t="inlineStr">
        <is>
          <t>2023-10</t>
        </is>
      </c>
      <c r="B130" s="11" t="n">
        <v>34</v>
      </c>
      <c r="C130" s="12" t="n">
        <v>0</v>
      </c>
      <c r="D130" s="12" t="n">
        <v>0</v>
      </c>
      <c r="E130" s="12" t="n">
        <v>379.9</v>
      </c>
      <c r="F130" s="12" t="n">
        <v>476.9</v>
      </c>
      <c r="G130" s="12" t="n">
        <v>147.7</v>
      </c>
      <c r="H130" s="12" t="n">
        <v>2534.4</v>
      </c>
      <c r="I130" s="12" t="n">
        <v>207.4</v>
      </c>
      <c r="J130" s="12">
        <f>SUM(C130:I130)</f>
        <v/>
      </c>
    </row>
    <row r="131">
      <c r="A131" s="10" t="inlineStr">
        <is>
          <t>2023-11</t>
        </is>
      </c>
      <c r="B131" s="11" t="n">
        <v>35</v>
      </c>
      <c r="C131" s="12" t="n">
        <v>0</v>
      </c>
      <c r="D131" s="12" t="n">
        <v>0</v>
      </c>
      <c r="E131" s="12" t="n">
        <v>179.9</v>
      </c>
      <c r="F131" s="12" t="n">
        <v>212</v>
      </c>
      <c r="G131" s="12" t="n">
        <v>80</v>
      </c>
      <c r="H131" s="12" t="n">
        <v>1261.2</v>
      </c>
      <c r="I131" s="12" t="n">
        <v>179</v>
      </c>
      <c r="J131" s="12">
        <f>SUM(C131:I131)</f>
        <v/>
      </c>
    </row>
    <row r="132">
      <c r="A132" s="10" t="inlineStr">
        <is>
          <t>2023-12</t>
        </is>
      </c>
      <c r="B132" s="11" t="n">
        <v>36</v>
      </c>
      <c r="C132" s="12" t="n">
        <v>0</v>
      </c>
      <c r="D132" s="12" t="n">
        <v>0</v>
      </c>
      <c r="E132" s="12" t="n">
        <v>43.3</v>
      </c>
      <c r="F132" s="12" t="n">
        <v>40</v>
      </c>
      <c r="G132" s="12" t="n">
        <v>12.6</v>
      </c>
      <c r="H132" s="12" t="n">
        <v>442.7</v>
      </c>
      <c r="I132" s="12" t="n">
        <v>82.3</v>
      </c>
      <c r="J132" s="12">
        <f>SUM(C132:I132)</f>
        <v/>
      </c>
    </row>
    <row r="133">
      <c r="A133" s="14" t="inlineStr">
        <is>
          <t>合計</t>
        </is>
      </c>
      <c r="C133" s="15">
        <f>SUM(C97:C132)</f>
        <v/>
      </c>
      <c r="D133" s="15">
        <f>SUM(D97:D132)</f>
        <v/>
      </c>
      <c r="E133" s="15">
        <f>SUM(E97:E132)</f>
        <v/>
      </c>
      <c r="F133" s="15">
        <f>SUM(F97:F132)</f>
        <v/>
      </c>
      <c r="G133" s="15">
        <f>SUM(G97:G132)</f>
        <v/>
      </c>
      <c r="H133" s="15">
        <f>SUM(H97:H132)</f>
        <v/>
      </c>
      <c r="I133" s="15">
        <f>SUM(I97:I132)</f>
        <v/>
      </c>
      <c r="J133" s="15">
        <f>SUM(J97:J132)</f>
        <v/>
      </c>
    </row>
    <row r="136">
      <c r="A136" s="6" t="inlineStr">
        <is>
          <t>■ 月次 予測 vs 実績(合計・時間)</t>
        </is>
      </c>
    </row>
    <row r="137">
      <c r="A137" s="8" t="inlineStr">
        <is>
          <t>月</t>
        </is>
      </c>
      <c r="B137" s="8" t="inlineStr">
        <is>
          <t>予測</t>
        </is>
      </c>
      <c r="C137" s="8" t="inlineStr">
        <is>
          <t>実績</t>
        </is>
      </c>
      <c r="D137" s="8" t="inlineStr">
        <is>
          <t>差分(予測-実績)</t>
        </is>
      </c>
      <c r="E137" s="8" t="inlineStr">
        <is>
          <t>消化率(実績/予測)</t>
        </is>
      </c>
    </row>
    <row r="138">
      <c r="A138" s="10">
        <f>A12</f>
        <v/>
      </c>
      <c r="B138" s="12">
        <f>J12</f>
        <v/>
      </c>
      <c r="C138" s="12">
        <f>J97</f>
        <v/>
      </c>
      <c r="D138" s="12">
        <f>J12-J97</f>
        <v/>
      </c>
      <c r="E138" s="13">
        <f>IF(J12=0,"",J97/J12)</f>
        <v/>
      </c>
    </row>
    <row r="139">
      <c r="A139" s="10">
        <f>A13</f>
        <v/>
      </c>
      <c r="B139" s="12">
        <f>J13</f>
        <v/>
      </c>
      <c r="C139" s="12">
        <f>J98</f>
        <v/>
      </c>
      <c r="D139" s="12">
        <f>J13-J98</f>
        <v/>
      </c>
      <c r="E139" s="13">
        <f>IF(J13=0,"",J98/J13)</f>
        <v/>
      </c>
    </row>
    <row r="140">
      <c r="A140" s="10">
        <f>A14</f>
        <v/>
      </c>
      <c r="B140" s="12">
        <f>J14</f>
        <v/>
      </c>
      <c r="C140" s="12">
        <f>J99</f>
        <v/>
      </c>
      <c r="D140" s="12">
        <f>J14-J99</f>
        <v/>
      </c>
      <c r="E140" s="13">
        <f>IF(J14=0,"",J99/J14)</f>
        <v/>
      </c>
    </row>
    <row r="141">
      <c r="A141" s="10">
        <f>A15</f>
        <v/>
      </c>
      <c r="B141" s="12">
        <f>J15</f>
        <v/>
      </c>
      <c r="C141" s="12">
        <f>J100</f>
        <v/>
      </c>
      <c r="D141" s="12">
        <f>J15-J100</f>
        <v/>
      </c>
      <c r="E141" s="13">
        <f>IF(J15=0,"",J100/J15)</f>
        <v/>
      </c>
    </row>
    <row r="142">
      <c r="A142" s="10">
        <f>A16</f>
        <v/>
      </c>
      <c r="B142" s="12">
        <f>J16</f>
        <v/>
      </c>
      <c r="C142" s="12">
        <f>J101</f>
        <v/>
      </c>
      <c r="D142" s="12">
        <f>J16-J101</f>
        <v/>
      </c>
      <c r="E142" s="13">
        <f>IF(J16=0,"",J101/J16)</f>
        <v/>
      </c>
    </row>
    <row r="143">
      <c r="A143" s="10">
        <f>A17</f>
        <v/>
      </c>
      <c r="B143" s="12">
        <f>J17</f>
        <v/>
      </c>
      <c r="C143" s="12">
        <f>J102</f>
        <v/>
      </c>
      <c r="D143" s="12">
        <f>J17-J102</f>
        <v/>
      </c>
      <c r="E143" s="13">
        <f>IF(J17=0,"",J102/J17)</f>
        <v/>
      </c>
    </row>
    <row r="144">
      <c r="A144" s="10">
        <f>A18</f>
        <v/>
      </c>
      <c r="B144" s="12">
        <f>J18</f>
        <v/>
      </c>
      <c r="C144" s="12">
        <f>J103</f>
        <v/>
      </c>
      <c r="D144" s="12">
        <f>J18-J103</f>
        <v/>
      </c>
      <c r="E144" s="13">
        <f>IF(J18=0,"",J103/J18)</f>
        <v/>
      </c>
    </row>
    <row r="145">
      <c r="A145" s="10">
        <f>A19</f>
        <v/>
      </c>
      <c r="B145" s="12">
        <f>J19</f>
        <v/>
      </c>
      <c r="C145" s="12">
        <f>J104</f>
        <v/>
      </c>
      <c r="D145" s="12">
        <f>J19-J104</f>
        <v/>
      </c>
      <c r="E145" s="13">
        <f>IF(J19=0,"",J104/J19)</f>
        <v/>
      </c>
    </row>
    <row r="146">
      <c r="A146" s="10">
        <f>A20</f>
        <v/>
      </c>
      <c r="B146" s="12">
        <f>J20</f>
        <v/>
      </c>
      <c r="C146" s="12">
        <f>J105</f>
        <v/>
      </c>
      <c r="D146" s="12">
        <f>J20-J105</f>
        <v/>
      </c>
      <c r="E146" s="13">
        <f>IF(J20=0,"",J105/J20)</f>
        <v/>
      </c>
    </row>
    <row r="147">
      <c r="A147" s="10">
        <f>A21</f>
        <v/>
      </c>
      <c r="B147" s="12">
        <f>J21</f>
        <v/>
      </c>
      <c r="C147" s="12">
        <f>J106</f>
        <v/>
      </c>
      <c r="D147" s="12">
        <f>J21-J106</f>
        <v/>
      </c>
      <c r="E147" s="13">
        <f>IF(J21=0,"",J106/J21)</f>
        <v/>
      </c>
    </row>
    <row r="148">
      <c r="A148" s="10">
        <f>A22</f>
        <v/>
      </c>
      <c r="B148" s="12">
        <f>J22</f>
        <v/>
      </c>
      <c r="C148" s="12">
        <f>J107</f>
        <v/>
      </c>
      <c r="D148" s="12">
        <f>J22-J107</f>
        <v/>
      </c>
      <c r="E148" s="13">
        <f>IF(J22=0,"",J107/J22)</f>
        <v/>
      </c>
    </row>
    <row r="149">
      <c r="A149" s="10">
        <f>A23</f>
        <v/>
      </c>
      <c r="B149" s="12">
        <f>J23</f>
        <v/>
      </c>
      <c r="C149" s="12">
        <f>J108</f>
        <v/>
      </c>
      <c r="D149" s="12">
        <f>J23-J108</f>
        <v/>
      </c>
      <c r="E149" s="13">
        <f>IF(J23=0,"",J108/J23)</f>
        <v/>
      </c>
    </row>
    <row r="150">
      <c r="A150" s="10">
        <f>A24</f>
        <v/>
      </c>
      <c r="B150" s="12">
        <f>J24</f>
        <v/>
      </c>
      <c r="C150" s="12">
        <f>J109</f>
        <v/>
      </c>
      <c r="D150" s="12">
        <f>J24-J109</f>
        <v/>
      </c>
      <c r="E150" s="13">
        <f>IF(J24=0,"",J109/J24)</f>
        <v/>
      </c>
    </row>
    <row r="151">
      <c r="A151" s="10">
        <f>A25</f>
        <v/>
      </c>
      <c r="B151" s="12">
        <f>J25</f>
        <v/>
      </c>
      <c r="C151" s="12">
        <f>J110</f>
        <v/>
      </c>
      <c r="D151" s="12">
        <f>J25-J110</f>
        <v/>
      </c>
      <c r="E151" s="13">
        <f>IF(J25=0,"",J110/J25)</f>
        <v/>
      </c>
    </row>
    <row r="152">
      <c r="A152" s="10">
        <f>A26</f>
        <v/>
      </c>
      <c r="B152" s="12">
        <f>J26</f>
        <v/>
      </c>
      <c r="C152" s="12">
        <f>J111</f>
        <v/>
      </c>
      <c r="D152" s="12">
        <f>J26-J111</f>
        <v/>
      </c>
      <c r="E152" s="13">
        <f>IF(J26=0,"",J111/J26)</f>
        <v/>
      </c>
    </row>
    <row r="153">
      <c r="A153" s="10">
        <f>A27</f>
        <v/>
      </c>
      <c r="B153" s="12">
        <f>J27</f>
        <v/>
      </c>
      <c r="C153" s="12">
        <f>J112</f>
        <v/>
      </c>
      <c r="D153" s="12">
        <f>J27-J112</f>
        <v/>
      </c>
      <c r="E153" s="13">
        <f>IF(J27=0,"",J112/J27)</f>
        <v/>
      </c>
    </row>
    <row r="154">
      <c r="A154" s="10">
        <f>A28</f>
        <v/>
      </c>
      <c r="B154" s="12">
        <f>J28</f>
        <v/>
      </c>
      <c r="C154" s="12">
        <f>J113</f>
        <v/>
      </c>
      <c r="D154" s="12">
        <f>J28-J113</f>
        <v/>
      </c>
      <c r="E154" s="13">
        <f>IF(J28=0,"",J113/J28)</f>
        <v/>
      </c>
    </row>
    <row r="155">
      <c r="A155" s="10">
        <f>A29</f>
        <v/>
      </c>
      <c r="B155" s="12">
        <f>J29</f>
        <v/>
      </c>
      <c r="C155" s="12">
        <f>J114</f>
        <v/>
      </c>
      <c r="D155" s="12">
        <f>J29-J114</f>
        <v/>
      </c>
      <c r="E155" s="13">
        <f>IF(J29=0,"",J114/J29)</f>
        <v/>
      </c>
    </row>
    <row r="156">
      <c r="A156" s="10">
        <f>A30</f>
        <v/>
      </c>
      <c r="B156" s="12">
        <f>J30</f>
        <v/>
      </c>
      <c r="C156" s="12">
        <f>J115</f>
        <v/>
      </c>
      <c r="D156" s="12">
        <f>J30-J115</f>
        <v/>
      </c>
      <c r="E156" s="13">
        <f>IF(J30=0,"",J115/J30)</f>
        <v/>
      </c>
    </row>
    <row r="157">
      <c r="A157" s="10">
        <f>A31</f>
        <v/>
      </c>
      <c r="B157" s="12">
        <f>J31</f>
        <v/>
      </c>
      <c r="C157" s="12">
        <f>J116</f>
        <v/>
      </c>
      <c r="D157" s="12">
        <f>J31-J116</f>
        <v/>
      </c>
      <c r="E157" s="13">
        <f>IF(J31=0,"",J116/J31)</f>
        <v/>
      </c>
    </row>
    <row r="158">
      <c r="A158" s="10">
        <f>A32</f>
        <v/>
      </c>
      <c r="B158" s="12">
        <f>J32</f>
        <v/>
      </c>
      <c r="C158" s="12">
        <f>J117</f>
        <v/>
      </c>
      <c r="D158" s="12">
        <f>J32-J117</f>
        <v/>
      </c>
      <c r="E158" s="13">
        <f>IF(J32=0,"",J117/J32)</f>
        <v/>
      </c>
    </row>
    <row r="159">
      <c r="A159" s="10">
        <f>A33</f>
        <v/>
      </c>
      <c r="B159" s="12">
        <f>J33</f>
        <v/>
      </c>
      <c r="C159" s="12">
        <f>J118</f>
        <v/>
      </c>
      <c r="D159" s="12">
        <f>J33-J118</f>
        <v/>
      </c>
      <c r="E159" s="13">
        <f>IF(J33=0,"",J118/J33)</f>
        <v/>
      </c>
    </row>
    <row r="160">
      <c r="A160" s="10">
        <f>A34</f>
        <v/>
      </c>
      <c r="B160" s="12">
        <f>J34</f>
        <v/>
      </c>
      <c r="C160" s="12">
        <f>J119</f>
        <v/>
      </c>
      <c r="D160" s="12">
        <f>J34-J119</f>
        <v/>
      </c>
      <c r="E160" s="13">
        <f>IF(J34=0,"",J119/J34)</f>
        <v/>
      </c>
    </row>
    <row r="161">
      <c r="A161" s="10">
        <f>A35</f>
        <v/>
      </c>
      <c r="B161" s="12">
        <f>J35</f>
        <v/>
      </c>
      <c r="C161" s="12">
        <f>J120</f>
        <v/>
      </c>
      <c r="D161" s="12">
        <f>J35-J120</f>
        <v/>
      </c>
      <c r="E161" s="13">
        <f>IF(J35=0,"",J120/J35)</f>
        <v/>
      </c>
    </row>
    <row r="162">
      <c r="A162" s="10">
        <f>A36</f>
        <v/>
      </c>
      <c r="B162" s="12">
        <f>J36</f>
        <v/>
      </c>
      <c r="C162" s="12">
        <f>J121</f>
        <v/>
      </c>
      <c r="D162" s="12">
        <f>J36-J121</f>
        <v/>
      </c>
      <c r="E162" s="13">
        <f>IF(J36=0,"",J121/J36)</f>
        <v/>
      </c>
    </row>
    <row r="163">
      <c r="A163" s="10">
        <f>A37</f>
        <v/>
      </c>
      <c r="B163" s="12">
        <f>J37</f>
        <v/>
      </c>
      <c r="C163" s="12">
        <f>J122</f>
        <v/>
      </c>
      <c r="D163" s="12">
        <f>J37-J122</f>
        <v/>
      </c>
      <c r="E163" s="13">
        <f>IF(J37=0,"",J122/J37)</f>
        <v/>
      </c>
    </row>
    <row r="164">
      <c r="A164" s="10">
        <f>A38</f>
        <v/>
      </c>
      <c r="B164" s="12">
        <f>J38</f>
        <v/>
      </c>
      <c r="C164" s="12">
        <f>J123</f>
        <v/>
      </c>
      <c r="D164" s="12">
        <f>J38-J123</f>
        <v/>
      </c>
      <c r="E164" s="13">
        <f>IF(J38=0,"",J123/J38)</f>
        <v/>
      </c>
    </row>
    <row r="165">
      <c r="A165" s="10">
        <f>A39</f>
        <v/>
      </c>
      <c r="B165" s="12">
        <f>J39</f>
        <v/>
      </c>
      <c r="C165" s="12">
        <f>J124</f>
        <v/>
      </c>
      <c r="D165" s="12">
        <f>J39-J124</f>
        <v/>
      </c>
      <c r="E165" s="13">
        <f>IF(J39=0,"",J124/J39)</f>
        <v/>
      </c>
    </row>
    <row r="166">
      <c r="A166" s="10">
        <f>A40</f>
        <v/>
      </c>
      <c r="B166" s="12">
        <f>J40</f>
        <v/>
      </c>
      <c r="C166" s="12">
        <f>J125</f>
        <v/>
      </c>
      <c r="D166" s="12">
        <f>J40-J125</f>
        <v/>
      </c>
      <c r="E166" s="13">
        <f>IF(J40=0,"",J125/J40)</f>
        <v/>
      </c>
    </row>
    <row r="167">
      <c r="A167" s="10">
        <f>A41</f>
        <v/>
      </c>
      <c r="B167" s="12">
        <f>J41</f>
        <v/>
      </c>
      <c r="C167" s="12">
        <f>J126</f>
        <v/>
      </c>
      <c r="D167" s="12">
        <f>J41-J126</f>
        <v/>
      </c>
      <c r="E167" s="13">
        <f>IF(J41=0,"",J126/J41)</f>
        <v/>
      </c>
    </row>
    <row r="168">
      <c r="A168" s="10">
        <f>A42</f>
        <v/>
      </c>
      <c r="B168" s="12">
        <f>J42</f>
        <v/>
      </c>
      <c r="C168" s="12">
        <f>J127</f>
        <v/>
      </c>
      <c r="D168" s="12">
        <f>J42-J127</f>
        <v/>
      </c>
      <c r="E168" s="13">
        <f>IF(J42=0,"",J127/J42)</f>
        <v/>
      </c>
    </row>
    <row r="169">
      <c r="A169" s="10">
        <f>A43</f>
        <v/>
      </c>
      <c r="B169" s="12">
        <f>J43</f>
        <v/>
      </c>
      <c r="C169" s="12">
        <f>J128</f>
        <v/>
      </c>
      <c r="D169" s="12">
        <f>J43-J128</f>
        <v/>
      </c>
      <c r="E169" s="13">
        <f>IF(J43=0,"",J128/J43)</f>
        <v/>
      </c>
    </row>
    <row r="170">
      <c r="A170" s="10">
        <f>A44</f>
        <v/>
      </c>
      <c r="B170" s="12">
        <f>J44</f>
        <v/>
      </c>
      <c r="C170" s="12">
        <f>J129</f>
        <v/>
      </c>
      <c r="D170" s="12">
        <f>J44-J129</f>
        <v/>
      </c>
      <c r="E170" s="13">
        <f>IF(J44=0,"",J129/J44)</f>
        <v/>
      </c>
    </row>
    <row r="171">
      <c r="A171" s="10">
        <f>A45</f>
        <v/>
      </c>
      <c r="B171" s="12">
        <f>J45</f>
        <v/>
      </c>
      <c r="C171" s="12">
        <f>J130</f>
        <v/>
      </c>
      <c r="D171" s="12">
        <f>J45-J130</f>
        <v/>
      </c>
      <c r="E171" s="13">
        <f>IF(J45=0,"",J130/J45)</f>
        <v/>
      </c>
    </row>
    <row r="172">
      <c r="A172" s="10">
        <f>A46</f>
        <v/>
      </c>
      <c r="B172" s="12">
        <f>J46</f>
        <v/>
      </c>
      <c r="C172" s="12">
        <f>J131</f>
        <v/>
      </c>
      <c r="D172" s="12">
        <f>J46-J131</f>
        <v/>
      </c>
      <c r="E172" s="13">
        <f>IF(J46=0,"",J131/J46)</f>
        <v/>
      </c>
    </row>
    <row r="173">
      <c r="A173" s="10">
        <f>A47</f>
        <v/>
      </c>
      <c r="B173" s="12">
        <f>J47</f>
        <v/>
      </c>
      <c r="C173" s="12">
        <f>J132</f>
        <v/>
      </c>
      <c r="D173" s="12">
        <f>J47-J132</f>
        <v/>
      </c>
      <c r="E173" s="13">
        <f>IF(J47=0,"",J132/J47)</f>
        <v/>
      </c>
    </row>
    <row r="174">
      <c r="A174" s="14" t="inlineStr">
        <is>
          <t>合計</t>
        </is>
      </c>
      <c r="B174" s="15">
        <f>SUM(B138:B173)</f>
        <v/>
      </c>
      <c r="C174" s="15">
        <f>SUM(C138:C173)</f>
        <v/>
      </c>
      <c r="D174" s="15">
        <f>SUM(D138:D173)</f>
        <v/>
      </c>
      <c r="E174" s="21">
        <f>IF(B174=0,"",C174/B174)</f>
        <v/>
      </c>
    </row>
    <row r="176">
      <c r="A176" s="6" t="inlineStr">
        <is>
          <t>■ マイルストーン(予測)</t>
        </is>
      </c>
    </row>
    <row r="177">
      <c r="A177" s="8" t="inlineStr">
        <is>
          <t>マイルストーン名</t>
        </is>
      </c>
      <c r="B177" s="8" t="inlineStr">
        <is>
          <t>予測日付</t>
        </is>
      </c>
      <c r="C177" s="8" t="inlineStr">
        <is>
          <t>位置t</t>
        </is>
      </c>
      <c r="D177" s="8" t="inlineStr">
        <is>
          <t>根拠</t>
        </is>
      </c>
    </row>
    <row r="178">
      <c r="A178" s="10" t="inlineStr">
        <is>
          <t>プロトタイプ</t>
        </is>
      </c>
      <c r="B178" s="10" t="inlineStr">
        <is>
          <t>2021-10-16</t>
        </is>
      </c>
      <c r="C178" s="22" t="n">
        <v>0.263</v>
      </c>
      <c r="D178" s="10" t="inlineStr">
        <is>
          <t>指定</t>
        </is>
      </c>
    </row>
    <row r="179">
      <c r="A179" s="10" t="inlineStr">
        <is>
          <t>α版</t>
        </is>
      </c>
      <c r="B179" s="10" t="inlineStr">
        <is>
          <t>2022-04-15</t>
        </is>
      </c>
      <c r="C179" s="22" t="n">
        <v>0.429</v>
      </c>
      <c r="D179" s="10" t="inlineStr">
        <is>
          <t>指定</t>
        </is>
      </c>
    </row>
    <row r="180">
      <c r="A180" s="10" t="inlineStr">
        <is>
          <t>β版</t>
        </is>
      </c>
      <c r="B180" s="10" t="inlineStr">
        <is>
          <t>2023-03-16</t>
        </is>
      </c>
      <c r="C180" s="22" t="n">
        <v>0.735</v>
      </c>
      <c r="D180" s="10" t="inlineStr">
        <is>
          <t>指定</t>
        </is>
      </c>
    </row>
    <row r="181">
      <c r="A181" s="10" t="inlineStr">
        <is>
          <t>マスターアップ</t>
        </is>
      </c>
      <c r="B181" s="10" t="inlineStr">
        <is>
          <t>2023-08-16</t>
        </is>
      </c>
      <c r="C181" s="22" t="n">
        <v>0.875</v>
      </c>
      <c r="D181" s="10" t="inlineStr">
        <is>
          <t>指定</t>
        </is>
      </c>
    </row>
    <row r="183">
      <c r="A183" s="5" t="inlineStr">
        <is>
          <t>・行程グループ間の総量は学習した工数比率で配分しています。</t>
        </is>
      </c>
    </row>
    <row r="184">
      <c r="A184" s="5" t="inlineStr">
        <is>
          <t>・指定されたマイルストーンで時間軸を固定: α版, β版, マスターアップ</t>
        </is>
      </c>
    </row>
    <row r="185">
      <c r="A185" s="5" t="inlineStr">
        <is>
          <t>・この予測が依拠した案件は「条件」シートを参照(→ 条件)</t>
        </is>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R200"/>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2" customWidth="1" min="3" max="3"/>
    <col width="9" customWidth="1" min="4" max="4"/>
    <col width="18" customWidth="1" min="5" max="5"/>
    <col width="18" customWidth="1" min="6" max="6"/>
    <col width="18" customWidth="1" min="7" max="7"/>
    <col width="16" customWidth="1" min="8" max="8"/>
    <col width="9" customWidth="1" min="9" max="9"/>
    <col width="11" customWidth="1" min="10" max="10"/>
    <col width="15" customWidth="1" min="11" max="11"/>
    <col width="17" customWidth="1" min="12" max="12"/>
    <col width="15" customWidth="1" min="13" max="13"/>
    <col width="15" customWidth="1" min="14" max="14"/>
    <col width="14" customWidth="1" min="15" max="15"/>
    <col width="15" customWidth="1" min="16" max="16"/>
    <col width="17" customWidth="1" min="17" max="17"/>
    <col width="13" customWidth="1" min="18" max="18"/>
  </cols>
  <sheetData>
    <row r="1">
      <c r="A1" s="1" t="inlineStr">
        <is>
          <t>段階予測  シャドウヴェイル  (PJ-2021-E)</t>
        </is>
      </c>
    </row>
    <row r="2">
      <c r="A2" s="5" t="inlineStr">
        <is>
          <t>マイルストーンを区切りに、そこまでの実績を確定値として置き、残りを学習カーブで予測している。確定分は実績そのものなので、各系列は確定した月までは実績の線と重なる。</t>
        </is>
      </c>
    </row>
    <row r="3">
      <c r="A3" s="5" t="inlineStr">
        <is>
          <t>残工数の決め方: 契約総量固定  /  学習は対象案件を除いた完了案件のみ(自分の実績で自分を予測しないため)</t>
        </is>
      </c>
    </row>
    <row r="4">
      <c r="A4" s="5" t="inlineStr">
        <is>
          <t>マイルストーン: 記入済みの日付をすべて使用(「予測」シートと同じ条件)。実運用では着手前から予定が引かれているため運用の実態に近いが、完了案件では記入値が実績の日付なので、予定が完璧に当たった場合= 精度の上限にあたる。settings の 段階予測のマイルストーン を 通過済み にすると、未来を覗かない厳しい条件(= 下限)で比較できる。</t>
        </is>
      </c>
    </row>
    <row r="5">
      <c r="A5" s="5" t="inlineStr">
        <is>
          <t>位置合わせが効いた段階: 5/5(効いていない段階は素朴版と同じ形。誤差表の「位置合わせに使ったMS数」を参照)</t>
        </is>
      </c>
    </row>
    <row r="6">
      <c r="A6" s="5" t="inlineStr">
        <is>
          <t>立ち上がり上限: 前月比 1.33 倍/月(実績の前月比の分布から決めた値)。人員は急には増やせないため、確定区間の直後に工数が跳ねないよう増加率に上限を置き、あふれた工数を後ろの月へ送っている。総工数と行程グループ別の総量は動かしていない。</t>
        </is>
      </c>
    </row>
    <row r="8">
      <c r="A8" s="6" t="inlineStr">
        <is>
          <t>■ 月次工数(時間)  実績 と 各段階の予測</t>
        </is>
      </c>
    </row>
    <row r="9">
      <c r="A9" s="7" t="inlineStr">
        <is>
          <t>月</t>
        </is>
      </c>
      <c r="B9" s="8" t="inlineStr">
        <is>
          <t>実績</t>
        </is>
      </c>
      <c r="C9" s="8" t="inlineStr">
        <is>
          <t>段階0 着手前</t>
        </is>
      </c>
      <c r="D9" s="8" t="inlineStr">
        <is>
          <t>段階1 プロトタイプ後(2021-10まで確定)</t>
        </is>
      </c>
      <c r="E9" s="8" t="inlineStr">
        <is>
          <t>段階2 α版後(2022-04まで確定)</t>
        </is>
      </c>
      <c r="F9" s="8" t="inlineStr">
        <is>
          <t>段階3 β版後(2023-03まで確定)</t>
        </is>
      </c>
      <c r="G9" s="8" t="inlineStr">
        <is>
          <t>段階4 マスターアップ後(2023-08まで確定)</t>
        </is>
      </c>
    </row>
    <row r="10">
      <c r="A10" s="10" t="inlineStr">
        <is>
          <t>2021-01</t>
        </is>
      </c>
      <c r="B10" s="12" t="n">
        <v>2212.8</v>
      </c>
      <c r="C10" s="12" t="n">
        <v>6348.3</v>
      </c>
      <c r="D10" s="12" t="n">
        <v>2212.8</v>
      </c>
      <c r="E10" s="12" t="n">
        <v>2212.8</v>
      </c>
      <c r="F10" s="12" t="n">
        <v>2212.8</v>
      </c>
      <c r="G10" s="12" t="n">
        <v>2212.8</v>
      </c>
    </row>
    <row r="11">
      <c r="A11" s="10" t="inlineStr">
        <is>
          <t>2021-02</t>
        </is>
      </c>
      <c r="B11" s="12" t="n">
        <v>3289.4</v>
      </c>
      <c r="C11" s="12" t="n">
        <v>6773.3</v>
      </c>
      <c r="D11" s="12" t="n">
        <v>3289.4</v>
      </c>
      <c r="E11" s="12" t="n">
        <v>3289.4</v>
      </c>
      <c r="F11" s="12" t="n">
        <v>3289.4</v>
      </c>
      <c r="G11" s="12" t="n">
        <v>3289.4</v>
      </c>
    </row>
    <row r="12">
      <c r="A12" s="10" t="inlineStr">
        <is>
          <t>2021-03</t>
        </is>
      </c>
      <c r="B12" s="12" t="n">
        <v>4610.7</v>
      </c>
      <c r="C12" s="12" t="n">
        <v>8813.4</v>
      </c>
      <c r="D12" s="12" t="n">
        <v>4610.7</v>
      </c>
      <c r="E12" s="12" t="n">
        <v>4610.7</v>
      </c>
      <c r="F12" s="12" t="n">
        <v>4610.7</v>
      </c>
      <c r="G12" s="12" t="n">
        <v>4610.7</v>
      </c>
    </row>
    <row r="13">
      <c r="A13" s="10" t="inlineStr">
        <is>
          <t>2021-04</t>
        </is>
      </c>
      <c r="B13" s="12" t="n">
        <v>5392.8</v>
      </c>
      <c r="C13" s="12" t="n">
        <v>9064.6</v>
      </c>
      <c r="D13" s="12" t="n">
        <v>5392.8</v>
      </c>
      <c r="E13" s="12" t="n">
        <v>5392.8</v>
      </c>
      <c r="F13" s="12" t="n">
        <v>5392.8</v>
      </c>
      <c r="G13" s="12" t="n">
        <v>5392.8</v>
      </c>
    </row>
    <row r="14">
      <c r="A14" s="10" t="inlineStr">
        <is>
          <t>2021-05</t>
        </is>
      </c>
      <c r="B14" s="12" t="n">
        <v>5875.1</v>
      </c>
      <c r="C14" s="12" t="n">
        <v>10502.1</v>
      </c>
      <c r="D14" s="12" t="n">
        <v>5875.1</v>
      </c>
      <c r="E14" s="12" t="n">
        <v>5875.1</v>
      </c>
      <c r="F14" s="12" t="n">
        <v>5875.1</v>
      </c>
      <c r="G14" s="12" t="n">
        <v>5875.1</v>
      </c>
    </row>
    <row r="15">
      <c r="A15" s="10" t="inlineStr">
        <is>
          <t>2021-06</t>
        </is>
      </c>
      <c r="B15" s="12" t="n">
        <v>6664.2</v>
      </c>
      <c r="C15" s="12" t="n">
        <v>10319.2</v>
      </c>
      <c r="D15" s="12" t="n">
        <v>6664.2</v>
      </c>
      <c r="E15" s="12" t="n">
        <v>6664.2</v>
      </c>
      <c r="F15" s="12" t="n">
        <v>6664.2</v>
      </c>
      <c r="G15" s="12" t="n">
        <v>6664.2</v>
      </c>
    </row>
    <row r="16">
      <c r="A16" s="10" t="inlineStr">
        <is>
          <t>2021-07</t>
        </is>
      </c>
      <c r="B16" s="12" t="n">
        <v>7114.2</v>
      </c>
      <c r="C16" s="12" t="n">
        <v>11217.7</v>
      </c>
      <c r="D16" s="12" t="n">
        <v>7114.2</v>
      </c>
      <c r="E16" s="12" t="n">
        <v>7114.2</v>
      </c>
      <c r="F16" s="12" t="n">
        <v>7114.2</v>
      </c>
      <c r="G16" s="12" t="n">
        <v>7114.2</v>
      </c>
    </row>
    <row r="17">
      <c r="A17" s="10" t="inlineStr">
        <is>
          <t>2021-08</t>
        </is>
      </c>
      <c r="B17" s="12" t="n">
        <v>7159.8</v>
      </c>
      <c r="C17" s="12" t="n">
        <v>12538.7</v>
      </c>
      <c r="D17" s="12" t="n">
        <v>7159.8</v>
      </c>
      <c r="E17" s="12" t="n">
        <v>7159.8</v>
      </c>
      <c r="F17" s="12" t="n">
        <v>7159.8</v>
      </c>
      <c r="G17" s="12" t="n">
        <v>7159.8</v>
      </c>
    </row>
    <row r="18">
      <c r="A18" s="10" t="inlineStr">
        <is>
          <t>2021-09</t>
        </is>
      </c>
      <c r="B18" s="12" t="n">
        <v>7725.3</v>
      </c>
      <c r="C18" s="12" t="n">
        <v>12842.7</v>
      </c>
      <c r="D18" s="12" t="n">
        <v>7725.3</v>
      </c>
      <c r="E18" s="12" t="n">
        <v>7725.3</v>
      </c>
      <c r="F18" s="12" t="n">
        <v>7725.3</v>
      </c>
      <c r="G18" s="12" t="n">
        <v>7725.3</v>
      </c>
    </row>
    <row r="19">
      <c r="A19" s="10" t="inlineStr">
        <is>
          <t>2021-10</t>
        </is>
      </c>
      <c r="B19" s="12" t="n">
        <v>11396.5</v>
      </c>
      <c r="C19" s="12" t="n">
        <v>14890.6</v>
      </c>
      <c r="D19" s="12" t="n">
        <v>11396.5</v>
      </c>
      <c r="E19" s="12" t="n">
        <v>11396.5</v>
      </c>
      <c r="F19" s="12" t="n">
        <v>11396.5</v>
      </c>
      <c r="G19" s="12" t="n">
        <v>11396.5</v>
      </c>
    </row>
    <row r="20">
      <c r="A20" s="10" t="inlineStr">
        <is>
          <t>2021-11</t>
        </is>
      </c>
      <c r="B20" s="12" t="n">
        <v>22707.4</v>
      </c>
      <c r="C20" s="12" t="n">
        <v>15101.7</v>
      </c>
      <c r="D20" s="12" t="n">
        <v>15156.2</v>
      </c>
      <c r="E20" s="12" t="n">
        <v>22707.4</v>
      </c>
      <c r="F20" s="12" t="n">
        <v>22707.4</v>
      </c>
      <c r="G20" s="12" t="n">
        <v>22707.4</v>
      </c>
    </row>
    <row r="21">
      <c r="A21" s="10" t="inlineStr">
        <is>
          <t>2021-12</t>
        </is>
      </c>
      <c r="B21" s="12" t="n">
        <v>24332.8</v>
      </c>
      <c r="C21" s="12" t="n">
        <v>16676.4</v>
      </c>
      <c r="D21" s="12" t="n">
        <v>18870.5</v>
      </c>
      <c r="E21" s="12" t="n">
        <v>24332.8</v>
      </c>
      <c r="F21" s="12" t="n">
        <v>24332.8</v>
      </c>
      <c r="G21" s="12" t="n">
        <v>24332.8</v>
      </c>
    </row>
    <row r="22">
      <c r="A22" s="10" t="inlineStr">
        <is>
          <t>2022-01</t>
        </is>
      </c>
      <c r="B22" s="12" t="n">
        <v>28940.1</v>
      </c>
      <c r="C22" s="12" t="n">
        <v>17582.7</v>
      </c>
      <c r="D22" s="12" t="n">
        <v>19957.2</v>
      </c>
      <c r="E22" s="12" t="n">
        <v>28940.1</v>
      </c>
      <c r="F22" s="12" t="n">
        <v>28940.1</v>
      </c>
      <c r="G22" s="12" t="n">
        <v>28940.1</v>
      </c>
    </row>
    <row r="23">
      <c r="A23" s="10" t="inlineStr">
        <is>
          <t>2022-02</t>
        </is>
      </c>
      <c r="B23" s="12" t="n">
        <v>28533.6</v>
      </c>
      <c r="C23" s="12" t="n">
        <v>16584.8</v>
      </c>
      <c r="D23" s="12" t="n">
        <v>18937.1</v>
      </c>
      <c r="E23" s="12" t="n">
        <v>28533.6</v>
      </c>
      <c r="F23" s="12" t="n">
        <v>28533.6</v>
      </c>
      <c r="G23" s="12" t="n">
        <v>28533.6</v>
      </c>
    </row>
    <row r="24">
      <c r="A24" s="10" t="inlineStr">
        <is>
          <t>2022-03</t>
        </is>
      </c>
      <c r="B24" s="12" t="n">
        <v>39513.1</v>
      </c>
      <c r="C24" s="12" t="n">
        <v>19895.7</v>
      </c>
      <c r="D24" s="12" t="n">
        <v>22761.1</v>
      </c>
      <c r="E24" s="12" t="n">
        <v>39513.1</v>
      </c>
      <c r="F24" s="12" t="n">
        <v>39513.1</v>
      </c>
      <c r="G24" s="12" t="n">
        <v>39513.1</v>
      </c>
    </row>
    <row r="25">
      <c r="A25" s="10" t="inlineStr">
        <is>
          <t>2022-04</t>
        </is>
      </c>
      <c r="B25" s="12" t="n">
        <v>20968.4</v>
      </c>
      <c r="C25" s="12" t="n">
        <v>17937.7</v>
      </c>
      <c r="D25" s="12" t="n">
        <v>20582.2</v>
      </c>
      <c r="E25" s="12" t="n">
        <v>20968.4</v>
      </c>
      <c r="F25" s="12" t="n">
        <v>20968.4</v>
      </c>
      <c r="G25" s="12" t="n">
        <v>20968.4</v>
      </c>
    </row>
    <row r="26">
      <c r="A26" s="10" t="inlineStr">
        <is>
          <t>2022-05</t>
        </is>
      </c>
      <c r="B26" s="12" t="n">
        <v>18133.4</v>
      </c>
      <c r="C26" s="12" t="n">
        <v>14560.5</v>
      </c>
      <c r="D26" s="12" t="n">
        <v>16712.9</v>
      </c>
      <c r="E26" s="12" t="n">
        <v>12913.5</v>
      </c>
      <c r="F26" s="12" t="n">
        <v>18133.4</v>
      </c>
      <c r="G26" s="12" t="n">
        <v>18133.4</v>
      </c>
    </row>
    <row r="27">
      <c r="A27" s="10" t="inlineStr">
        <is>
          <t>2022-06</t>
        </is>
      </c>
      <c r="B27" s="12" t="n">
        <v>15271.7</v>
      </c>
      <c r="C27" s="12" t="n">
        <v>14868.1</v>
      </c>
      <c r="D27" s="12" t="n">
        <v>17040.3</v>
      </c>
      <c r="E27" s="12" t="n">
        <v>13319.9</v>
      </c>
      <c r="F27" s="12" t="n">
        <v>15271.7</v>
      </c>
      <c r="G27" s="12" t="n">
        <v>15271.7</v>
      </c>
    </row>
    <row r="28">
      <c r="A28" s="10" t="inlineStr">
        <is>
          <t>2022-07</t>
        </is>
      </c>
      <c r="B28" s="12" t="n">
        <v>16417.5</v>
      </c>
      <c r="C28" s="12" t="n">
        <v>15193.9</v>
      </c>
      <c r="D28" s="12" t="n">
        <v>17376</v>
      </c>
      <c r="E28" s="12" t="n">
        <v>13709.2</v>
      </c>
      <c r="F28" s="12" t="n">
        <v>16417.5</v>
      </c>
      <c r="G28" s="12" t="n">
        <v>16417.5</v>
      </c>
    </row>
    <row r="29">
      <c r="A29" s="10" t="inlineStr">
        <is>
          <t>2022-08</t>
        </is>
      </c>
      <c r="B29" s="12" t="n">
        <v>14656</v>
      </c>
      <c r="C29" s="12" t="n">
        <v>15339.8</v>
      </c>
      <c r="D29" s="12" t="n">
        <v>17512.6</v>
      </c>
      <c r="E29" s="12" t="n">
        <v>13934.9</v>
      </c>
      <c r="F29" s="12" t="n">
        <v>14656</v>
      </c>
      <c r="G29" s="12" t="n">
        <v>14656</v>
      </c>
    </row>
    <row r="30">
      <c r="A30" s="10" t="inlineStr">
        <is>
          <t>2022-09</t>
        </is>
      </c>
      <c r="B30" s="12" t="n">
        <v>13886.2</v>
      </c>
      <c r="C30" s="12" t="n">
        <v>14796.1</v>
      </c>
      <c r="D30" s="12" t="n">
        <v>16847.6</v>
      </c>
      <c r="E30" s="12" t="n">
        <v>13518.8</v>
      </c>
      <c r="F30" s="12" t="n">
        <v>13886.2</v>
      </c>
      <c r="G30" s="12" t="n">
        <v>13886.2</v>
      </c>
    </row>
    <row r="31">
      <c r="A31" s="10" t="inlineStr">
        <is>
          <t>2022-10</t>
        </is>
      </c>
      <c r="B31" s="12" t="n">
        <v>13614.7</v>
      </c>
      <c r="C31" s="12" t="n">
        <v>14998.4</v>
      </c>
      <c r="D31" s="12" t="n">
        <v>17024.3</v>
      </c>
      <c r="E31" s="12" t="n">
        <v>13788.1</v>
      </c>
      <c r="F31" s="12" t="n">
        <v>13614.7</v>
      </c>
      <c r="G31" s="12" t="n">
        <v>13614.7</v>
      </c>
    </row>
    <row r="32">
      <c r="A32" s="10" t="inlineStr">
        <is>
          <t>2022-11</t>
        </is>
      </c>
      <c r="B32" s="12" t="n">
        <v>14580.3</v>
      </c>
      <c r="C32" s="12" t="n">
        <v>14978.8</v>
      </c>
      <c r="D32" s="12" t="n">
        <v>16923.2</v>
      </c>
      <c r="E32" s="12" t="n">
        <v>13863.7</v>
      </c>
      <c r="F32" s="12" t="n">
        <v>14580.3</v>
      </c>
      <c r="G32" s="12" t="n">
        <v>14580.3</v>
      </c>
    </row>
    <row r="33">
      <c r="A33" s="10" t="inlineStr">
        <is>
          <t>2022-12</t>
        </is>
      </c>
      <c r="B33" s="12" t="n">
        <v>15865.3</v>
      </c>
      <c r="C33" s="12" t="n">
        <v>15583.4</v>
      </c>
      <c r="D33" s="12" t="n">
        <v>17535.3</v>
      </c>
      <c r="E33" s="12" t="n">
        <v>14525.8</v>
      </c>
      <c r="F33" s="12" t="n">
        <v>15865.3</v>
      </c>
      <c r="G33" s="12" t="n">
        <v>15865.3</v>
      </c>
    </row>
    <row r="34">
      <c r="A34" s="10" t="inlineStr">
        <is>
          <t>2023-01</t>
        </is>
      </c>
      <c r="B34" s="12" t="n">
        <v>18226.2</v>
      </c>
      <c r="C34" s="12" t="n">
        <v>15672</v>
      </c>
      <c r="D34" s="12" t="n">
        <v>17552</v>
      </c>
      <c r="E34" s="12" t="n">
        <v>14724.2</v>
      </c>
      <c r="F34" s="12" t="n">
        <v>18226.2</v>
      </c>
      <c r="G34" s="12" t="n">
        <v>18226.2</v>
      </c>
    </row>
    <row r="35">
      <c r="A35" s="10" t="inlineStr">
        <is>
          <t>2023-02</t>
        </is>
      </c>
      <c r="B35" s="12" t="n">
        <v>17827.1</v>
      </c>
      <c r="C35" s="12" t="n">
        <v>12961</v>
      </c>
      <c r="D35" s="12" t="n">
        <v>14470.6</v>
      </c>
      <c r="E35" s="12" t="n">
        <v>12227.9</v>
      </c>
      <c r="F35" s="12" t="n">
        <v>17827.1</v>
      </c>
      <c r="G35" s="12" t="n">
        <v>17827.1</v>
      </c>
    </row>
    <row r="36">
      <c r="A36" s="10" t="inlineStr">
        <is>
          <t>2023-03</t>
        </is>
      </c>
      <c r="B36" s="12" t="n">
        <v>22013.8</v>
      </c>
      <c r="C36" s="12" t="n">
        <v>19119.8</v>
      </c>
      <c r="D36" s="12" t="n">
        <v>19244.4</v>
      </c>
      <c r="E36" s="12" t="n">
        <v>16261.9</v>
      </c>
      <c r="F36" s="12" t="n">
        <v>22013.8</v>
      </c>
      <c r="G36" s="12" t="n">
        <v>22013.8</v>
      </c>
    </row>
    <row r="37">
      <c r="A37" s="10" t="inlineStr">
        <is>
          <t>2023-04</t>
        </is>
      </c>
      <c r="B37" s="12" t="n">
        <v>17769.7</v>
      </c>
      <c r="C37" s="12" t="n">
        <v>19851.8</v>
      </c>
      <c r="D37" s="12" t="n">
        <v>22079.6</v>
      </c>
      <c r="E37" s="12" t="n">
        <v>18833.1</v>
      </c>
      <c r="F37" s="12" t="n">
        <v>12760.4</v>
      </c>
      <c r="G37" s="12" t="n">
        <v>17769.7</v>
      </c>
    </row>
    <row r="38">
      <c r="A38" s="10" t="inlineStr">
        <is>
          <t>2023-05</t>
        </is>
      </c>
      <c r="B38" s="12" t="n">
        <v>15747.8</v>
      </c>
      <c r="C38" s="12" t="n">
        <v>18869.4</v>
      </c>
      <c r="D38" s="12" t="n">
        <v>20860.8</v>
      </c>
      <c r="E38" s="12" t="n">
        <v>17988.2</v>
      </c>
      <c r="F38" s="12" t="n">
        <v>12308.5</v>
      </c>
      <c r="G38" s="12" t="n">
        <v>15747.8</v>
      </c>
    </row>
    <row r="39">
      <c r="A39" s="10" t="inlineStr">
        <is>
          <t>2023-06</t>
        </is>
      </c>
      <c r="B39" s="12" t="n">
        <v>11049.5</v>
      </c>
      <c r="C39" s="12" t="n">
        <v>16646.5</v>
      </c>
      <c r="D39" s="12" t="n">
        <v>18342.3</v>
      </c>
      <c r="E39" s="12" t="n">
        <v>15913.2</v>
      </c>
      <c r="F39" s="12" t="n">
        <v>11000</v>
      </c>
      <c r="G39" s="12" t="n">
        <v>11049.5</v>
      </c>
    </row>
    <row r="40">
      <c r="A40" s="10" t="inlineStr">
        <is>
          <t>2023-07</t>
        </is>
      </c>
      <c r="B40" s="12" t="n">
        <v>10147.8</v>
      </c>
      <c r="C40" s="12" t="n">
        <v>14337.1</v>
      </c>
      <c r="D40" s="12" t="n">
        <v>15658.8</v>
      </c>
      <c r="E40" s="12" t="n">
        <v>13768.1</v>
      </c>
      <c r="F40" s="12" t="n">
        <v>9713</v>
      </c>
      <c r="G40" s="12" t="n">
        <v>10147.8</v>
      </c>
    </row>
    <row r="41">
      <c r="A41" s="10" t="inlineStr">
        <is>
          <t>2023-08</t>
        </is>
      </c>
      <c r="B41" s="12" t="n">
        <v>8637.799999999999</v>
      </c>
      <c r="C41" s="12" t="n">
        <v>9560.6</v>
      </c>
      <c r="D41" s="12" t="n">
        <v>10349.1</v>
      </c>
      <c r="E41" s="12" t="n">
        <v>9215.4</v>
      </c>
      <c r="F41" s="12" t="n">
        <v>6614.6</v>
      </c>
      <c r="G41" s="12" t="n">
        <v>8637.799999999999</v>
      </c>
    </row>
    <row r="42">
      <c r="A42" s="10" t="inlineStr">
        <is>
          <t>2023-09</t>
        </is>
      </c>
      <c r="B42" s="12" t="n">
        <v>5590.1</v>
      </c>
      <c r="C42" s="12" t="n">
        <v>6184.6</v>
      </c>
      <c r="D42" s="12" t="n">
        <v>6657.7</v>
      </c>
      <c r="E42" s="12" t="n">
        <v>5976.7</v>
      </c>
      <c r="F42" s="12" t="n">
        <v>4343.4</v>
      </c>
      <c r="G42" s="12" t="n">
        <v>604.2</v>
      </c>
    </row>
    <row r="43">
      <c r="A43" s="10" t="inlineStr">
        <is>
          <t>2023-10</t>
        </is>
      </c>
      <c r="B43" s="12" t="n">
        <v>3746.3</v>
      </c>
      <c r="C43" s="12" t="n">
        <v>4798.7</v>
      </c>
      <c r="D43" s="12" t="n">
        <v>5125</v>
      </c>
      <c r="E43" s="12" t="n">
        <v>4657.8</v>
      </c>
      <c r="F43" s="12" t="n">
        <v>3459.5</v>
      </c>
      <c r="G43" s="12" t="n">
        <v>470.3</v>
      </c>
    </row>
    <row r="44">
      <c r="A44" s="10" t="inlineStr">
        <is>
          <t>2023-11</t>
        </is>
      </c>
      <c r="B44" s="12" t="n">
        <v>1912.1</v>
      </c>
      <c r="C44" s="12" t="n">
        <v>3457.3</v>
      </c>
      <c r="D44" s="12" t="n">
        <v>3667.8</v>
      </c>
      <c r="E44" s="12" t="n">
        <v>3368</v>
      </c>
      <c r="F44" s="12" t="n">
        <v>2547</v>
      </c>
      <c r="G44" s="12" t="n">
        <v>338.4</v>
      </c>
    </row>
    <row r="45">
      <c r="A45" s="10" t="inlineStr">
        <is>
          <t>2023-12</t>
        </is>
      </c>
      <c r="B45" s="12" t="n">
        <v>620.9</v>
      </c>
      <c r="C45" s="12" t="n">
        <v>3132.2</v>
      </c>
      <c r="D45" s="12" t="n">
        <v>3314.8</v>
      </c>
      <c r="E45" s="12" t="n">
        <v>3055.3</v>
      </c>
      <c r="F45" s="12" t="n">
        <v>2325.3</v>
      </c>
      <c r="G45" s="12" t="n">
        <v>306.1</v>
      </c>
    </row>
    <row r="69">
      <c r="A69" s="6" t="inlineStr">
        <is>
          <t>■ 累積工数(時間)  実績 と 各段階の予測</t>
        </is>
      </c>
    </row>
    <row r="70">
      <c r="A70" s="5" t="inlineStr">
        <is>
          <t>月次は上下に振れるため、当たり外れは累積で見るほうが分かりやすい。終点の高さの差がそのまま総量の読み違いになる。</t>
        </is>
      </c>
    </row>
    <row r="71">
      <c r="A71" s="8" t="inlineStr">
        <is>
          <t>月</t>
        </is>
      </c>
      <c r="B71" s="8" t="inlineStr">
        <is>
          <t>実績</t>
        </is>
      </c>
      <c r="C71" s="8" t="inlineStr">
        <is>
          <t>段階0 着手前</t>
        </is>
      </c>
      <c r="D71" s="8" t="inlineStr">
        <is>
          <t>段階1 プロトタイプ後(2021-10まで確定)</t>
        </is>
      </c>
      <c r="E71" s="8" t="inlineStr">
        <is>
          <t>段階2 α版後(2022-04まで確定)</t>
        </is>
      </c>
      <c r="F71" s="8" t="inlineStr">
        <is>
          <t>段階3 β版後(2023-03まで確定)</t>
        </is>
      </c>
      <c r="G71" s="8" t="inlineStr">
        <is>
          <t>段階4 マスターアップ後(2023-08まで確定)</t>
        </is>
      </c>
    </row>
    <row r="72">
      <c r="A72" s="10">
        <f>A10</f>
        <v/>
      </c>
      <c r="B72" s="12">
        <f>SUM(B$10:B10)</f>
        <v/>
      </c>
      <c r="C72" s="12">
        <f>SUM(C$10:C10)</f>
        <v/>
      </c>
      <c r="D72" s="12">
        <f>SUM(D$10:D10)</f>
        <v/>
      </c>
      <c r="E72" s="12">
        <f>SUM(E$10:E10)</f>
        <v/>
      </c>
      <c r="F72" s="12">
        <f>SUM(F$10:F10)</f>
        <v/>
      </c>
      <c r="G72" s="12">
        <f>SUM(G$10:G10)</f>
        <v/>
      </c>
    </row>
    <row r="73">
      <c r="A73" s="10">
        <f>A11</f>
        <v/>
      </c>
      <c r="B73" s="12">
        <f>SUM(B$10:B11)</f>
        <v/>
      </c>
      <c r="C73" s="12">
        <f>SUM(C$10:C11)</f>
        <v/>
      </c>
      <c r="D73" s="12">
        <f>SUM(D$10:D11)</f>
        <v/>
      </c>
      <c r="E73" s="12">
        <f>SUM(E$10:E11)</f>
        <v/>
      </c>
      <c r="F73" s="12">
        <f>SUM(F$10:F11)</f>
        <v/>
      </c>
      <c r="G73" s="12">
        <f>SUM(G$10:G11)</f>
        <v/>
      </c>
    </row>
    <row r="74">
      <c r="A74" s="10">
        <f>A12</f>
        <v/>
      </c>
      <c r="B74" s="12">
        <f>SUM(B$10:B12)</f>
        <v/>
      </c>
      <c r="C74" s="12">
        <f>SUM(C$10:C12)</f>
        <v/>
      </c>
      <c r="D74" s="12">
        <f>SUM(D$10:D12)</f>
        <v/>
      </c>
      <c r="E74" s="12">
        <f>SUM(E$10:E12)</f>
        <v/>
      </c>
      <c r="F74" s="12">
        <f>SUM(F$10:F12)</f>
        <v/>
      </c>
      <c r="G74" s="12">
        <f>SUM(G$10:G12)</f>
        <v/>
      </c>
    </row>
    <row r="75">
      <c r="A75" s="10">
        <f>A13</f>
        <v/>
      </c>
      <c r="B75" s="12">
        <f>SUM(B$10:B13)</f>
        <v/>
      </c>
      <c r="C75" s="12">
        <f>SUM(C$10:C13)</f>
        <v/>
      </c>
      <c r="D75" s="12">
        <f>SUM(D$10:D13)</f>
        <v/>
      </c>
      <c r="E75" s="12">
        <f>SUM(E$10:E13)</f>
        <v/>
      </c>
      <c r="F75" s="12">
        <f>SUM(F$10:F13)</f>
        <v/>
      </c>
      <c r="G75" s="12">
        <f>SUM(G$10:G13)</f>
        <v/>
      </c>
    </row>
    <row r="76">
      <c r="A76" s="10">
        <f>A14</f>
        <v/>
      </c>
      <c r="B76" s="12">
        <f>SUM(B$10:B14)</f>
        <v/>
      </c>
      <c r="C76" s="12">
        <f>SUM(C$10:C14)</f>
        <v/>
      </c>
      <c r="D76" s="12">
        <f>SUM(D$10:D14)</f>
        <v/>
      </c>
      <c r="E76" s="12">
        <f>SUM(E$10:E14)</f>
        <v/>
      </c>
      <c r="F76" s="12">
        <f>SUM(F$10:F14)</f>
        <v/>
      </c>
      <c r="G76" s="12">
        <f>SUM(G$10:G14)</f>
        <v/>
      </c>
    </row>
    <row r="77">
      <c r="A77" s="10">
        <f>A15</f>
        <v/>
      </c>
      <c r="B77" s="12">
        <f>SUM(B$10:B15)</f>
        <v/>
      </c>
      <c r="C77" s="12">
        <f>SUM(C$10:C15)</f>
        <v/>
      </c>
      <c r="D77" s="12">
        <f>SUM(D$10:D15)</f>
        <v/>
      </c>
      <c r="E77" s="12">
        <f>SUM(E$10:E15)</f>
        <v/>
      </c>
      <c r="F77" s="12">
        <f>SUM(F$10:F15)</f>
        <v/>
      </c>
      <c r="G77" s="12">
        <f>SUM(G$10:G15)</f>
        <v/>
      </c>
    </row>
    <row r="78">
      <c r="A78" s="10">
        <f>A16</f>
        <v/>
      </c>
      <c r="B78" s="12">
        <f>SUM(B$10:B16)</f>
        <v/>
      </c>
      <c r="C78" s="12">
        <f>SUM(C$10:C16)</f>
        <v/>
      </c>
      <c r="D78" s="12">
        <f>SUM(D$10:D16)</f>
        <v/>
      </c>
      <c r="E78" s="12">
        <f>SUM(E$10:E16)</f>
        <v/>
      </c>
      <c r="F78" s="12">
        <f>SUM(F$10:F16)</f>
        <v/>
      </c>
      <c r="G78" s="12">
        <f>SUM(G$10:G16)</f>
        <v/>
      </c>
    </row>
    <row r="79">
      <c r="A79" s="10">
        <f>A17</f>
        <v/>
      </c>
      <c r="B79" s="12">
        <f>SUM(B$10:B17)</f>
        <v/>
      </c>
      <c r="C79" s="12">
        <f>SUM(C$10:C17)</f>
        <v/>
      </c>
      <c r="D79" s="12">
        <f>SUM(D$10:D17)</f>
        <v/>
      </c>
      <c r="E79" s="12">
        <f>SUM(E$10:E17)</f>
        <v/>
      </c>
      <c r="F79" s="12">
        <f>SUM(F$10:F17)</f>
        <v/>
      </c>
      <c r="G79" s="12">
        <f>SUM(G$10:G17)</f>
        <v/>
      </c>
    </row>
    <row r="80">
      <c r="A80" s="10">
        <f>A18</f>
        <v/>
      </c>
      <c r="B80" s="12">
        <f>SUM(B$10:B18)</f>
        <v/>
      </c>
      <c r="C80" s="12">
        <f>SUM(C$10:C18)</f>
        <v/>
      </c>
      <c r="D80" s="12">
        <f>SUM(D$10:D18)</f>
        <v/>
      </c>
      <c r="E80" s="12">
        <f>SUM(E$10:E18)</f>
        <v/>
      </c>
      <c r="F80" s="12">
        <f>SUM(F$10:F18)</f>
        <v/>
      </c>
      <c r="G80" s="12">
        <f>SUM(G$10:G18)</f>
        <v/>
      </c>
    </row>
    <row r="81">
      <c r="A81" s="10">
        <f>A19</f>
        <v/>
      </c>
      <c r="B81" s="12">
        <f>SUM(B$10:B19)</f>
        <v/>
      </c>
      <c r="C81" s="12">
        <f>SUM(C$10:C19)</f>
        <v/>
      </c>
      <c r="D81" s="12">
        <f>SUM(D$10:D19)</f>
        <v/>
      </c>
      <c r="E81" s="12">
        <f>SUM(E$10:E19)</f>
        <v/>
      </c>
      <c r="F81" s="12">
        <f>SUM(F$10:F19)</f>
        <v/>
      </c>
      <c r="G81" s="12">
        <f>SUM(G$10:G19)</f>
        <v/>
      </c>
    </row>
    <row r="82">
      <c r="A82" s="10">
        <f>A20</f>
        <v/>
      </c>
      <c r="B82" s="12">
        <f>SUM(B$10:B20)</f>
        <v/>
      </c>
      <c r="C82" s="12">
        <f>SUM(C$10:C20)</f>
        <v/>
      </c>
      <c r="D82" s="12">
        <f>SUM(D$10:D20)</f>
        <v/>
      </c>
      <c r="E82" s="12">
        <f>SUM(E$10:E20)</f>
        <v/>
      </c>
      <c r="F82" s="12">
        <f>SUM(F$10:F20)</f>
        <v/>
      </c>
      <c r="G82" s="12">
        <f>SUM(G$10:G20)</f>
        <v/>
      </c>
    </row>
    <row r="83">
      <c r="A83" s="10">
        <f>A21</f>
        <v/>
      </c>
      <c r="B83" s="12">
        <f>SUM(B$10:B21)</f>
        <v/>
      </c>
      <c r="C83" s="12">
        <f>SUM(C$10:C21)</f>
        <v/>
      </c>
      <c r="D83" s="12">
        <f>SUM(D$10:D21)</f>
        <v/>
      </c>
      <c r="E83" s="12">
        <f>SUM(E$10:E21)</f>
        <v/>
      </c>
      <c r="F83" s="12">
        <f>SUM(F$10:F21)</f>
        <v/>
      </c>
      <c r="G83" s="12">
        <f>SUM(G$10:G21)</f>
        <v/>
      </c>
    </row>
    <row r="84">
      <c r="A84" s="10">
        <f>A22</f>
        <v/>
      </c>
      <c r="B84" s="12">
        <f>SUM(B$10:B22)</f>
        <v/>
      </c>
      <c r="C84" s="12">
        <f>SUM(C$10:C22)</f>
        <v/>
      </c>
      <c r="D84" s="12">
        <f>SUM(D$10:D22)</f>
        <v/>
      </c>
      <c r="E84" s="12">
        <f>SUM(E$10:E22)</f>
        <v/>
      </c>
      <c r="F84" s="12">
        <f>SUM(F$10:F22)</f>
        <v/>
      </c>
      <c r="G84" s="12">
        <f>SUM(G$10:G22)</f>
        <v/>
      </c>
    </row>
    <row r="85">
      <c r="A85" s="10">
        <f>A23</f>
        <v/>
      </c>
      <c r="B85" s="12">
        <f>SUM(B$10:B23)</f>
        <v/>
      </c>
      <c r="C85" s="12">
        <f>SUM(C$10:C23)</f>
        <v/>
      </c>
      <c r="D85" s="12">
        <f>SUM(D$10:D23)</f>
        <v/>
      </c>
      <c r="E85" s="12">
        <f>SUM(E$10:E23)</f>
        <v/>
      </c>
      <c r="F85" s="12">
        <f>SUM(F$10:F23)</f>
        <v/>
      </c>
      <c r="G85" s="12">
        <f>SUM(G$10:G23)</f>
        <v/>
      </c>
    </row>
    <row r="86">
      <c r="A86" s="10">
        <f>A24</f>
        <v/>
      </c>
      <c r="B86" s="12">
        <f>SUM(B$10:B24)</f>
        <v/>
      </c>
      <c r="C86" s="12">
        <f>SUM(C$10:C24)</f>
        <v/>
      </c>
      <c r="D86" s="12">
        <f>SUM(D$10:D24)</f>
        <v/>
      </c>
      <c r="E86" s="12">
        <f>SUM(E$10:E24)</f>
        <v/>
      </c>
      <c r="F86" s="12">
        <f>SUM(F$10:F24)</f>
        <v/>
      </c>
      <c r="G86" s="12">
        <f>SUM(G$10:G24)</f>
        <v/>
      </c>
    </row>
    <row r="87">
      <c r="A87" s="10">
        <f>A25</f>
        <v/>
      </c>
      <c r="B87" s="12">
        <f>SUM(B$10:B25)</f>
        <v/>
      </c>
      <c r="C87" s="12">
        <f>SUM(C$10:C25)</f>
        <v/>
      </c>
      <c r="D87" s="12">
        <f>SUM(D$10:D25)</f>
        <v/>
      </c>
      <c r="E87" s="12">
        <f>SUM(E$10:E25)</f>
        <v/>
      </c>
      <c r="F87" s="12">
        <f>SUM(F$10:F25)</f>
        <v/>
      </c>
      <c r="G87" s="12">
        <f>SUM(G$10:G25)</f>
        <v/>
      </c>
    </row>
    <row r="88">
      <c r="A88" s="10">
        <f>A26</f>
        <v/>
      </c>
      <c r="B88" s="12">
        <f>SUM(B$10:B26)</f>
        <v/>
      </c>
      <c r="C88" s="12">
        <f>SUM(C$10:C26)</f>
        <v/>
      </c>
      <c r="D88" s="12">
        <f>SUM(D$10:D26)</f>
        <v/>
      </c>
      <c r="E88" s="12">
        <f>SUM(E$10:E26)</f>
        <v/>
      </c>
      <c r="F88" s="12">
        <f>SUM(F$10:F26)</f>
        <v/>
      </c>
      <c r="G88" s="12">
        <f>SUM(G$10:G26)</f>
        <v/>
      </c>
    </row>
    <row r="89">
      <c r="A89" s="10">
        <f>A27</f>
        <v/>
      </c>
      <c r="B89" s="12">
        <f>SUM(B$10:B27)</f>
        <v/>
      </c>
      <c r="C89" s="12">
        <f>SUM(C$10:C27)</f>
        <v/>
      </c>
      <c r="D89" s="12">
        <f>SUM(D$10:D27)</f>
        <v/>
      </c>
      <c r="E89" s="12">
        <f>SUM(E$10:E27)</f>
        <v/>
      </c>
      <c r="F89" s="12">
        <f>SUM(F$10:F27)</f>
        <v/>
      </c>
      <c r="G89" s="12">
        <f>SUM(G$10:G27)</f>
        <v/>
      </c>
    </row>
    <row r="90">
      <c r="A90" s="10">
        <f>A28</f>
        <v/>
      </c>
      <c r="B90" s="12">
        <f>SUM(B$10:B28)</f>
        <v/>
      </c>
      <c r="C90" s="12">
        <f>SUM(C$10:C28)</f>
        <v/>
      </c>
      <c r="D90" s="12">
        <f>SUM(D$10:D28)</f>
        <v/>
      </c>
      <c r="E90" s="12">
        <f>SUM(E$10:E28)</f>
        <v/>
      </c>
      <c r="F90" s="12">
        <f>SUM(F$10:F28)</f>
        <v/>
      </c>
      <c r="G90" s="12">
        <f>SUM(G$10:G28)</f>
        <v/>
      </c>
    </row>
    <row r="91">
      <c r="A91" s="10">
        <f>A29</f>
        <v/>
      </c>
      <c r="B91" s="12">
        <f>SUM(B$10:B29)</f>
        <v/>
      </c>
      <c r="C91" s="12">
        <f>SUM(C$10:C29)</f>
        <v/>
      </c>
      <c r="D91" s="12">
        <f>SUM(D$10:D29)</f>
        <v/>
      </c>
      <c r="E91" s="12">
        <f>SUM(E$10:E29)</f>
        <v/>
      </c>
      <c r="F91" s="12">
        <f>SUM(F$10:F29)</f>
        <v/>
      </c>
      <c r="G91" s="12">
        <f>SUM(G$10:G29)</f>
        <v/>
      </c>
    </row>
    <row r="92">
      <c r="A92" s="10">
        <f>A30</f>
        <v/>
      </c>
      <c r="B92" s="12">
        <f>SUM(B$10:B30)</f>
        <v/>
      </c>
      <c r="C92" s="12">
        <f>SUM(C$10:C30)</f>
        <v/>
      </c>
      <c r="D92" s="12">
        <f>SUM(D$10:D30)</f>
        <v/>
      </c>
      <c r="E92" s="12">
        <f>SUM(E$10:E30)</f>
        <v/>
      </c>
      <c r="F92" s="12">
        <f>SUM(F$10:F30)</f>
        <v/>
      </c>
      <c r="G92" s="12">
        <f>SUM(G$10:G30)</f>
        <v/>
      </c>
    </row>
    <row r="93">
      <c r="A93" s="10">
        <f>A31</f>
        <v/>
      </c>
      <c r="B93" s="12">
        <f>SUM(B$10:B31)</f>
        <v/>
      </c>
      <c r="C93" s="12">
        <f>SUM(C$10:C31)</f>
        <v/>
      </c>
      <c r="D93" s="12">
        <f>SUM(D$10:D31)</f>
        <v/>
      </c>
      <c r="E93" s="12">
        <f>SUM(E$10:E31)</f>
        <v/>
      </c>
      <c r="F93" s="12">
        <f>SUM(F$10:F31)</f>
        <v/>
      </c>
      <c r="G93" s="12">
        <f>SUM(G$10:G31)</f>
        <v/>
      </c>
    </row>
    <row r="94">
      <c r="A94" s="10">
        <f>A32</f>
        <v/>
      </c>
      <c r="B94" s="12">
        <f>SUM(B$10:B32)</f>
        <v/>
      </c>
      <c r="C94" s="12">
        <f>SUM(C$10:C32)</f>
        <v/>
      </c>
      <c r="D94" s="12">
        <f>SUM(D$10:D32)</f>
        <v/>
      </c>
      <c r="E94" s="12">
        <f>SUM(E$10:E32)</f>
        <v/>
      </c>
      <c r="F94" s="12">
        <f>SUM(F$10:F32)</f>
        <v/>
      </c>
      <c r="G94" s="12">
        <f>SUM(G$10:G32)</f>
        <v/>
      </c>
    </row>
    <row r="95">
      <c r="A95" s="10">
        <f>A33</f>
        <v/>
      </c>
      <c r="B95" s="12">
        <f>SUM(B$10:B33)</f>
        <v/>
      </c>
      <c r="C95" s="12">
        <f>SUM(C$10:C33)</f>
        <v/>
      </c>
      <c r="D95" s="12">
        <f>SUM(D$10:D33)</f>
        <v/>
      </c>
      <c r="E95" s="12">
        <f>SUM(E$10:E33)</f>
        <v/>
      </c>
      <c r="F95" s="12">
        <f>SUM(F$10:F33)</f>
        <v/>
      </c>
      <c r="G95" s="12">
        <f>SUM(G$10:G33)</f>
        <v/>
      </c>
    </row>
    <row r="96">
      <c r="A96" s="10">
        <f>A34</f>
        <v/>
      </c>
      <c r="B96" s="12">
        <f>SUM(B$10:B34)</f>
        <v/>
      </c>
      <c r="C96" s="12">
        <f>SUM(C$10:C34)</f>
        <v/>
      </c>
      <c r="D96" s="12">
        <f>SUM(D$10:D34)</f>
        <v/>
      </c>
      <c r="E96" s="12">
        <f>SUM(E$10:E34)</f>
        <v/>
      </c>
      <c r="F96" s="12">
        <f>SUM(F$10:F34)</f>
        <v/>
      </c>
      <c r="G96" s="12">
        <f>SUM(G$10:G34)</f>
        <v/>
      </c>
    </row>
    <row r="97">
      <c r="A97" s="10">
        <f>A35</f>
        <v/>
      </c>
      <c r="B97" s="12">
        <f>SUM(B$10:B35)</f>
        <v/>
      </c>
      <c r="C97" s="12">
        <f>SUM(C$10:C35)</f>
        <v/>
      </c>
      <c r="D97" s="12">
        <f>SUM(D$10:D35)</f>
        <v/>
      </c>
      <c r="E97" s="12">
        <f>SUM(E$10:E35)</f>
        <v/>
      </c>
      <c r="F97" s="12">
        <f>SUM(F$10:F35)</f>
        <v/>
      </c>
      <c r="G97" s="12">
        <f>SUM(G$10:G35)</f>
        <v/>
      </c>
    </row>
    <row r="98">
      <c r="A98" s="10">
        <f>A36</f>
        <v/>
      </c>
      <c r="B98" s="12">
        <f>SUM(B$10:B36)</f>
        <v/>
      </c>
      <c r="C98" s="12">
        <f>SUM(C$10:C36)</f>
        <v/>
      </c>
      <c r="D98" s="12">
        <f>SUM(D$10:D36)</f>
        <v/>
      </c>
      <c r="E98" s="12">
        <f>SUM(E$10:E36)</f>
        <v/>
      </c>
      <c r="F98" s="12">
        <f>SUM(F$10:F36)</f>
        <v/>
      </c>
      <c r="G98" s="12">
        <f>SUM(G$10:G36)</f>
        <v/>
      </c>
    </row>
    <row r="99">
      <c r="A99" s="10">
        <f>A37</f>
        <v/>
      </c>
      <c r="B99" s="12">
        <f>SUM(B$10:B37)</f>
        <v/>
      </c>
      <c r="C99" s="12">
        <f>SUM(C$10:C37)</f>
        <v/>
      </c>
      <c r="D99" s="12">
        <f>SUM(D$10:D37)</f>
        <v/>
      </c>
      <c r="E99" s="12">
        <f>SUM(E$10:E37)</f>
        <v/>
      </c>
      <c r="F99" s="12">
        <f>SUM(F$10:F37)</f>
        <v/>
      </c>
      <c r="G99" s="12">
        <f>SUM(G$10:G37)</f>
        <v/>
      </c>
    </row>
    <row r="100">
      <c r="A100" s="10">
        <f>A38</f>
        <v/>
      </c>
      <c r="B100" s="12">
        <f>SUM(B$10:B38)</f>
        <v/>
      </c>
      <c r="C100" s="12">
        <f>SUM(C$10:C38)</f>
        <v/>
      </c>
      <c r="D100" s="12">
        <f>SUM(D$10:D38)</f>
        <v/>
      </c>
      <c r="E100" s="12">
        <f>SUM(E$10:E38)</f>
        <v/>
      </c>
      <c r="F100" s="12">
        <f>SUM(F$10:F38)</f>
        <v/>
      </c>
      <c r="G100" s="12">
        <f>SUM(G$10:G38)</f>
        <v/>
      </c>
    </row>
    <row r="101">
      <c r="A101" s="10">
        <f>A39</f>
        <v/>
      </c>
      <c r="B101" s="12">
        <f>SUM(B$10:B39)</f>
        <v/>
      </c>
      <c r="C101" s="12">
        <f>SUM(C$10:C39)</f>
        <v/>
      </c>
      <c r="D101" s="12">
        <f>SUM(D$10:D39)</f>
        <v/>
      </c>
      <c r="E101" s="12">
        <f>SUM(E$10:E39)</f>
        <v/>
      </c>
      <c r="F101" s="12">
        <f>SUM(F$10:F39)</f>
        <v/>
      </c>
      <c r="G101" s="12">
        <f>SUM(G$10:G39)</f>
        <v/>
      </c>
    </row>
    <row r="102">
      <c r="A102" s="10">
        <f>A40</f>
        <v/>
      </c>
      <c r="B102" s="12">
        <f>SUM(B$10:B40)</f>
        <v/>
      </c>
      <c r="C102" s="12">
        <f>SUM(C$10:C40)</f>
        <v/>
      </c>
      <c r="D102" s="12">
        <f>SUM(D$10:D40)</f>
        <v/>
      </c>
      <c r="E102" s="12">
        <f>SUM(E$10:E40)</f>
        <v/>
      </c>
      <c r="F102" s="12">
        <f>SUM(F$10:F40)</f>
        <v/>
      </c>
      <c r="G102" s="12">
        <f>SUM(G$10:G40)</f>
        <v/>
      </c>
    </row>
    <row r="103">
      <c r="A103" s="10">
        <f>A41</f>
        <v/>
      </c>
      <c r="B103" s="12">
        <f>SUM(B$10:B41)</f>
        <v/>
      </c>
      <c r="C103" s="12">
        <f>SUM(C$10:C41)</f>
        <v/>
      </c>
      <c r="D103" s="12">
        <f>SUM(D$10:D41)</f>
        <v/>
      </c>
      <c r="E103" s="12">
        <f>SUM(E$10:E41)</f>
        <v/>
      </c>
      <c r="F103" s="12">
        <f>SUM(F$10:F41)</f>
        <v/>
      </c>
      <c r="G103" s="12">
        <f>SUM(G$10:G41)</f>
        <v/>
      </c>
    </row>
    <row r="104">
      <c r="A104" s="10">
        <f>A42</f>
        <v/>
      </c>
      <c r="B104" s="12">
        <f>SUM(B$10:B42)</f>
        <v/>
      </c>
      <c r="C104" s="12">
        <f>SUM(C$10:C42)</f>
        <v/>
      </c>
      <c r="D104" s="12">
        <f>SUM(D$10:D42)</f>
        <v/>
      </c>
      <c r="E104" s="12">
        <f>SUM(E$10:E42)</f>
        <v/>
      </c>
      <c r="F104" s="12">
        <f>SUM(F$10:F42)</f>
        <v/>
      </c>
      <c r="G104" s="12">
        <f>SUM(G$10:G42)</f>
        <v/>
      </c>
    </row>
    <row r="105">
      <c r="A105" s="10">
        <f>A43</f>
        <v/>
      </c>
      <c r="B105" s="12">
        <f>SUM(B$10:B43)</f>
        <v/>
      </c>
      <c r="C105" s="12">
        <f>SUM(C$10:C43)</f>
        <v/>
      </c>
      <c r="D105" s="12">
        <f>SUM(D$10:D43)</f>
        <v/>
      </c>
      <c r="E105" s="12">
        <f>SUM(E$10:E43)</f>
        <v/>
      </c>
      <c r="F105" s="12">
        <f>SUM(F$10:F43)</f>
        <v/>
      </c>
      <c r="G105" s="12">
        <f>SUM(G$10:G43)</f>
        <v/>
      </c>
    </row>
    <row r="106">
      <c r="A106" s="10">
        <f>A44</f>
        <v/>
      </c>
      <c r="B106" s="12">
        <f>SUM(B$10:B44)</f>
        <v/>
      </c>
      <c r="C106" s="12">
        <f>SUM(C$10:C44)</f>
        <v/>
      </c>
      <c r="D106" s="12">
        <f>SUM(D$10:D44)</f>
        <v/>
      </c>
      <c r="E106" s="12">
        <f>SUM(E$10:E44)</f>
        <v/>
      </c>
      <c r="F106" s="12">
        <f>SUM(F$10:F44)</f>
        <v/>
      </c>
      <c r="G106" s="12">
        <f>SUM(G$10:G44)</f>
        <v/>
      </c>
    </row>
    <row r="107">
      <c r="A107" s="10">
        <f>A45</f>
        <v/>
      </c>
      <c r="B107" s="12">
        <f>SUM(B$10:B45)</f>
        <v/>
      </c>
      <c r="C107" s="12">
        <f>SUM(C$10:C45)</f>
        <v/>
      </c>
      <c r="D107" s="12">
        <f>SUM(D$10:D45)</f>
        <v/>
      </c>
      <c r="E107" s="12">
        <f>SUM(E$10:E45)</f>
        <v/>
      </c>
      <c r="F107" s="12">
        <f>SUM(F$10:F45)</f>
        <v/>
      </c>
      <c r="G107" s="12">
        <f>SUM(G$10:G45)</f>
        <v/>
      </c>
    </row>
    <row r="131">
      <c r="A131" s="6" t="inlineStr">
        <is>
          <t>■ 段階ごとの誤差(評価するのは まだ確定していない区間だけ)</t>
        </is>
      </c>
    </row>
    <row r="132">
      <c r="A132" s="5" t="inlineStr">
        <is>
          <t>確定分は実績そのもので誤差0のため、混ぜると段階が進むほど自動的に数字が良くなる。それでは予測が良くなったのか確定が増えただけなのか区別できないので、残り区間だけで測っている。</t>
        </is>
      </c>
    </row>
    <row r="133">
      <c r="A133" s="5" t="inlineStr">
        <is>
          <t>「見込んだ総工数」は どの段階でも同じ値になる。総工数は契約人月(または見積もり)で決まっており、実績を確定させても動かないため。確定分が既にそれを超えている段階だけ、実績そのものが下限になって大きくなる。</t>
        </is>
      </c>
    </row>
    <row r="134">
      <c r="A134" s="5" t="inlineStr">
        <is>
          <t>「立上り制約に当たった月数」が 0 でない段階は、学習カーブどおりに配ると立ち上がりが急すぎるため、工数を後ろの月へ送っている。その段階では山が後ろへ移動し、なだらかになる。</t>
        </is>
      </c>
    </row>
    <row r="135">
      <c r="A135" s="5" t="inlineStr">
        <is>
          <t>「残工数の倍率」は 残工数 ÷ 学習カーブが残り区間に置く量。1.0 なら学習カーブどおり。1 より大きいほど確定分が学習カーブより少なく、そのずれが残り区間へ上乗せされる。切り替え点の段差の高さは この倍率そのもの。</t>
        </is>
      </c>
    </row>
    <row r="136">
      <c r="A136" s="5" t="inlineStr">
        <is>
          <t>終盤の段階ほど残り区間は短く、量も小さい。誤差率はその小さい分母で割った値なので数字が跳ねやすい。「残りが全体に占める割合」を見て、どれだけの量に対する誤差なのかと併せて読むこと。</t>
        </is>
      </c>
    </row>
    <row r="137">
      <c r="A137" s="8" t="inlineStr">
        <is>
          <t>段階</t>
        </is>
      </c>
      <c r="B137" s="8" t="inlineStr">
        <is>
          <t>区切り</t>
        </is>
      </c>
      <c r="C137" s="8" t="inlineStr">
        <is>
          <t>確定した月</t>
        </is>
      </c>
      <c r="D137" s="8" t="inlineStr">
        <is>
          <t>確定月数</t>
        </is>
      </c>
      <c r="E137" s="8" t="inlineStr">
        <is>
          <t>見込んだ総工数(時間)</t>
        </is>
      </c>
      <c r="F137" s="8" t="inlineStr">
        <is>
          <t>残工数の倍率(学習カーブ比)</t>
        </is>
      </c>
      <c r="G137" s="8" t="inlineStr">
        <is>
          <t>立上り制約に当たった月数</t>
        </is>
      </c>
      <c r="H137" s="8" t="inlineStr">
        <is>
          <t>位置合わせに使ったMS数</t>
        </is>
      </c>
      <c r="I137" s="8" t="inlineStr">
        <is>
          <t>残り月数</t>
        </is>
      </c>
      <c r="J137" s="8" t="inlineStr">
        <is>
          <t>評価した月数</t>
        </is>
      </c>
      <c r="K137" s="8" t="inlineStr">
        <is>
          <t>残り実績(時間)</t>
        </is>
      </c>
      <c r="L137" s="8" t="inlineStr">
        <is>
          <t>残りが全体に占める割合(%)</t>
        </is>
      </c>
      <c r="M137" s="8" t="inlineStr">
        <is>
          <t>残り予測(時間)</t>
        </is>
      </c>
      <c r="N137" s="8" t="inlineStr">
        <is>
          <t>残り総量誤差(%)</t>
        </is>
      </c>
      <c r="O137" s="8" t="inlineStr">
        <is>
          <t>残り月次WAPE</t>
        </is>
      </c>
      <c r="P137" s="8" t="inlineStr">
        <is>
          <t>残りピーク月ズレ</t>
        </is>
      </c>
      <c r="Q137" s="8" t="inlineStr">
        <is>
          <t>累積カーブ最大乖離</t>
        </is>
      </c>
      <c r="R137" s="8" t="inlineStr">
        <is>
          <t>総量誤差(%)</t>
        </is>
      </c>
    </row>
    <row r="138">
      <c r="A138" s="10" t="n">
        <v>0</v>
      </c>
      <c r="B138" s="10" t="inlineStr">
        <is>
          <t>(なし)</t>
        </is>
      </c>
      <c r="C138" s="10" t="inlineStr">
        <is>
          <t>(なし)</t>
        </is>
      </c>
      <c r="D138" s="10" t="n">
        <v>0</v>
      </c>
      <c r="E138" s="12" t="n">
        <v>472000</v>
      </c>
      <c r="F138" s="23" t="n">
        <v>1</v>
      </c>
      <c r="G138" s="11" t="n">
        <v>0</v>
      </c>
      <c r="H138" s="11" t="n">
        <v>3</v>
      </c>
      <c r="I138" s="10" t="n">
        <v>36</v>
      </c>
      <c r="J138" s="11" t="n">
        <v>36</v>
      </c>
      <c r="K138" s="12" t="n">
        <v>482150.4</v>
      </c>
      <c r="L138" s="24" t="n">
        <v>100</v>
      </c>
      <c r="M138" s="12" t="n">
        <v>472000</v>
      </c>
      <c r="N138" s="24" t="n">
        <v>-2.1</v>
      </c>
      <c r="O138" s="22" t="n">
        <v>0.2984</v>
      </c>
      <c r="P138" s="10" t="n">
        <v>0</v>
      </c>
      <c r="Q138" s="22" t="n">
        <v>0.0914</v>
      </c>
      <c r="R138" s="24" t="n">
        <v>-2.1</v>
      </c>
    </row>
    <row r="139">
      <c r="A139" s="10" t="n">
        <v>1</v>
      </c>
      <c r="B139" s="10" t="inlineStr">
        <is>
          <t>プロトタイプ</t>
        </is>
      </c>
      <c r="C139" s="10" t="inlineStr">
        <is>
          <t>2021-10</t>
        </is>
      </c>
      <c r="D139" s="10" t="n">
        <v>10</v>
      </c>
      <c r="E139" s="12" t="n">
        <v>472000</v>
      </c>
      <c r="F139" s="23" t="n">
        <v>1.11</v>
      </c>
      <c r="G139" s="11" t="n">
        <v>2</v>
      </c>
      <c r="H139" s="11" t="n">
        <v>3</v>
      </c>
      <c r="I139" s="10" t="n">
        <v>26</v>
      </c>
      <c r="J139" s="11" t="n">
        <v>26</v>
      </c>
      <c r="K139" s="12" t="n">
        <v>420709.6</v>
      </c>
      <c r="L139" s="24" t="n">
        <v>87.3</v>
      </c>
      <c r="M139" s="12" t="n">
        <v>410559.2</v>
      </c>
      <c r="N139" s="24" t="n">
        <v>-2.4</v>
      </c>
      <c r="O139" s="22" t="n">
        <v>0.2466</v>
      </c>
      <c r="P139" s="10" t="n">
        <v>0</v>
      </c>
      <c r="Q139" s="22" t="n">
        <v>0.0953</v>
      </c>
      <c r="R139" s="24" t="n">
        <v>-2.1</v>
      </c>
    </row>
    <row r="140">
      <c r="A140" s="10" t="n">
        <v>2</v>
      </c>
      <c r="B140" s="10" t="inlineStr">
        <is>
          <t>α版</t>
        </is>
      </c>
      <c r="C140" s="10" t="inlineStr">
        <is>
          <t>2022-04</t>
        </is>
      </c>
      <c r="D140" s="10" t="n">
        <v>16</v>
      </c>
      <c r="E140" s="12" t="n">
        <v>472000</v>
      </c>
      <c r="F140" s="23" t="n">
        <v>0.93</v>
      </c>
      <c r="G140" s="11" t="n">
        <v>1</v>
      </c>
      <c r="H140" s="11" t="n">
        <v>3</v>
      </c>
      <c r="I140" s="10" t="n">
        <v>20</v>
      </c>
      <c r="J140" s="11" t="n">
        <v>20</v>
      </c>
      <c r="K140" s="12" t="n">
        <v>255714.2</v>
      </c>
      <c r="L140" s="24" t="n">
        <v>53</v>
      </c>
      <c r="M140" s="12" t="n">
        <v>245563.8</v>
      </c>
      <c r="N140" s="24" t="n">
        <v>-4</v>
      </c>
      <c r="O140" s="22" t="n">
        <v>0.1783</v>
      </c>
      <c r="P140" s="10" t="n">
        <v>1</v>
      </c>
      <c r="Q140" s="22" t="n">
        <v>0.0405</v>
      </c>
      <c r="R140" s="24" t="n">
        <v>-2.1</v>
      </c>
    </row>
    <row r="141">
      <c r="A141" s="10" t="n">
        <v>3</v>
      </c>
      <c r="B141" s="10" t="inlineStr">
        <is>
          <t>β版</t>
        </is>
      </c>
      <c r="C141" s="10" t="inlineStr">
        <is>
          <t>2023-03</t>
        </is>
      </c>
      <c r="D141" s="10" t="n">
        <v>27</v>
      </c>
      <c r="E141" s="12" t="n">
        <v>472000</v>
      </c>
      <c r="F141" s="23" t="n">
        <v>0.67</v>
      </c>
      <c r="G141" s="11" t="n">
        <v>0</v>
      </c>
      <c r="H141" s="11" t="n">
        <v>3</v>
      </c>
      <c r="I141" s="10" t="n">
        <v>9</v>
      </c>
      <c r="J141" s="11" t="n">
        <v>9</v>
      </c>
      <c r="K141" s="12" t="n">
        <v>75222</v>
      </c>
      <c r="L141" s="24" t="n">
        <v>15.6</v>
      </c>
      <c r="M141" s="12" t="n">
        <v>65071.6</v>
      </c>
      <c r="N141" s="24" t="n">
        <v>-13.5</v>
      </c>
      <c r="O141" s="22" t="n">
        <v>0.1971</v>
      </c>
      <c r="P141" s="10" t="n">
        <v>0</v>
      </c>
      <c r="Q141" s="22" t="n">
        <v>0.0181</v>
      </c>
      <c r="R141" s="24" t="n">
        <v>-2.1</v>
      </c>
    </row>
    <row r="142">
      <c r="A142" s="10" t="n">
        <v>4</v>
      </c>
      <c r="B142" s="10" t="inlineStr">
        <is>
          <t>マスターアップ</t>
        </is>
      </c>
      <c r="C142" s="10" t="inlineStr">
        <is>
          <t>2023-08</t>
        </is>
      </c>
      <c r="D142" s="10" t="n">
        <v>32</v>
      </c>
      <c r="E142" s="12" t="n">
        <v>472000</v>
      </c>
      <c r="F142" s="23" t="n">
        <v>0.1</v>
      </c>
      <c r="G142" s="11" t="n">
        <v>0</v>
      </c>
      <c r="H142" s="11" t="n">
        <v>3</v>
      </c>
      <c r="I142" s="10" t="n">
        <v>4</v>
      </c>
      <c r="J142" s="11" t="n">
        <v>4</v>
      </c>
      <c r="K142" s="12" t="n">
        <v>11869.4</v>
      </c>
      <c r="L142" s="24" t="n">
        <v>2.5</v>
      </c>
      <c r="M142" s="12" t="n">
        <v>1719</v>
      </c>
      <c r="N142" s="24" t="n">
        <v>-85.5</v>
      </c>
      <c r="O142" s="22" t="n">
        <v>0.8552</v>
      </c>
      <c r="P142" s="10" t="n">
        <v>0</v>
      </c>
      <c r="Q142" s="22" t="n">
        <v>0.021</v>
      </c>
      <c r="R142" s="24" t="n">
        <v>-2.1</v>
      </c>
    </row>
    <row r="164">
      <c r="A164" s="6" t="inlineStr">
        <is>
          <t>■ 各段階の条件</t>
        </is>
      </c>
    </row>
    <row r="165">
      <c r="A165" s="25" t="inlineStr">
        <is>
          <t>段階0 着手前</t>
        </is>
      </c>
    </row>
    <row r="166">
      <c r="A166" s="5" t="inlineStr">
        <is>
          <t xml:space="preserve">  ・実績を一切使わない全期間予測。</t>
        </is>
      </c>
    </row>
    <row r="167">
      <c r="A167" s="5" t="inlineStr">
        <is>
          <t xml:space="preserve">  ・マイルストーンは記入済みの日付をすべて使っている(「予測」シートと同じ条件)。実運用では着手前から予定が引かれているため運用の実態に近いが、完了案件では記入値が実績の日付なので、予定が完璧に当たった場合に相当する。</t>
        </is>
      </c>
    </row>
    <row r="168">
      <c r="A168" s="5" t="inlineStr">
        <is>
          <t xml:space="preserve">  ・行程グループ間の総量は学習した工数比率で配分しています。</t>
        </is>
      </c>
    </row>
    <row r="169">
      <c r="A169" s="5" t="inlineStr">
        <is>
          <t xml:space="preserve">  ・指定されたマイルストーンで時間軸を固定: α版, β版, マスターアップ</t>
        </is>
      </c>
    </row>
    <row r="171">
      <c r="A171" s="25" t="inlineStr">
        <is>
          <t>段階1 プロトタイプ後(2021-10まで確定)</t>
        </is>
      </c>
    </row>
    <row r="172">
      <c r="A172" s="5" t="inlineStr">
        <is>
          <t xml:space="preserve">  ・2021-01〜2021-10 の 10 ヶ月を実績で確定し、残り 26 ヶ月を予測している。</t>
        </is>
      </c>
    </row>
    <row r="173">
      <c r="A173" s="5" t="inlineStr">
        <is>
          <t xml:space="preserve">  ・マイルストーンは記入済みの日付をすべて使っている(「予測」シートと同じ条件)。実運用では着手前から予定が引かれているため運用の実態に近いが、完了案件では記入値が実績の日付なので、予定が完璧に当たった場合に相当する。</t>
        </is>
      </c>
    </row>
    <row r="174">
      <c r="A174" s="5" t="inlineStr">
        <is>
          <t xml:space="preserve">  ・行程グループ間の総量は学習した工数比率で配分しています。</t>
        </is>
      </c>
    </row>
    <row r="175">
      <c r="A175" s="5" t="inlineStr">
        <is>
          <t xml:space="preserve">  ・指定されたマイルストーンで時間軸を固定: α版, β版, マスターアップ</t>
        </is>
      </c>
    </row>
    <row r="176">
      <c r="A176" s="5" t="inlineStr">
        <is>
          <t xml:space="preserve">  ・立ち上がり上限 1.33 倍/月 を適用した。2 ヶ月が上限に当たり、あふれた工数を後ろの月へ送っている。確定区間直後の段差 1.47 倍 → 1.33 倍。総工数と行程グループ別の総量は動かしていない。</t>
        </is>
      </c>
    </row>
    <row r="178">
      <c r="A178" s="25" t="inlineStr">
        <is>
          <t>段階2 α版後(2022-04まで確定)</t>
        </is>
      </c>
    </row>
    <row r="179">
      <c r="A179" s="5" t="inlineStr">
        <is>
          <t xml:space="preserve">  ・2021-01〜2022-04 の 16 ヶ月を実績で確定し、残り 20 ヶ月を予測している。</t>
        </is>
      </c>
    </row>
    <row r="180">
      <c r="A180" s="5" t="inlineStr">
        <is>
          <t xml:space="preserve">  ・マイルストーンは記入済みの日付をすべて使っている(「予測」シートと同じ条件)。実運用では着手前から予定が引かれているため運用の実態に近いが、完了案件では記入値が実績の日付なので、予定が完璧に当たった場合に相当する。</t>
        </is>
      </c>
    </row>
    <row r="181">
      <c r="A181" s="5" t="inlineStr">
        <is>
          <t xml:space="preserve">  ・行程グループ間の総量は学習した工数比率で配分しています。</t>
        </is>
      </c>
    </row>
    <row r="182">
      <c r="A182" s="5" t="inlineStr">
        <is>
          <t xml:space="preserve">  ・指定されたマイルストーンで時間軸を固定: α版, β版, マスターアップ</t>
        </is>
      </c>
    </row>
    <row r="183">
      <c r="A183" s="5" t="inlineStr">
        <is>
          <t xml:space="preserve">  ・立ち上がり上限 1.33 倍/月 を適用した。1 ヶ月が上限に当たり、あふれた工数を後ろの月へ送っている。確定区間直後の段差 0.61 倍 → 0.62 倍。総工数と行程グループ別の総量は動かしていない。</t>
        </is>
      </c>
    </row>
    <row r="184">
      <c r="A184" s="5" t="inlineStr">
        <is>
          <t xml:space="preserve">  ・確定分が見込み総量を超えている行程グループ: 企画・プリプロ(計 9,390 時間の超過)。その超過は、まだ残っているグループの残工数から差し引いている(案件全体の総工数を動かさないため)。</t>
        </is>
      </c>
    </row>
    <row r="186">
      <c r="A186" s="25" t="inlineStr">
        <is>
          <t>段階3 β版後(2023-03まで確定)</t>
        </is>
      </c>
    </row>
    <row r="187">
      <c r="A187" s="5" t="inlineStr">
        <is>
          <t xml:space="preserve">  ・2021-01〜2023-03 の 27 ヶ月を実績で確定し、残り 9 ヶ月を予測している。</t>
        </is>
      </c>
    </row>
    <row r="188">
      <c r="A188" s="5" t="inlineStr">
        <is>
          <t xml:space="preserve">  ・マイルストーンは記入済みの日付をすべて使っている(「予測」シートと同じ条件)。実運用では着手前から予定が引かれているため運用の実態に近いが、完了案件では記入値が実績の日付なので、予定が完璧に当たった場合に相当する。</t>
        </is>
      </c>
    </row>
    <row r="189">
      <c r="A189" s="5" t="inlineStr">
        <is>
          <t xml:space="preserve">  ・行程グループ間の総量は学習した工数比率で配分しています。</t>
        </is>
      </c>
    </row>
    <row r="190">
      <c r="A190" s="5" t="inlineStr">
        <is>
          <t xml:space="preserve">  ・指定されたマイルストーンで時間軸を固定: α版, β版, マスターアップ</t>
        </is>
      </c>
    </row>
    <row r="191">
      <c r="A191" s="5" t="inlineStr">
        <is>
          <t xml:space="preserve">  ・確定分の実績が学習カーブの見込みより多いため、残り区間に配る工数が学習カーブの 0.67 倍になっている。総工数は動かさない決まりなので、そのずれは残り区間へ寄せるほかなく、2023-03 の直後に下へ段差が出る。この案件は学習した消化ペースから外れている、と読むこと。</t>
        </is>
      </c>
    </row>
    <row r="192">
      <c r="A192" s="5" t="inlineStr">
        <is>
          <t xml:space="preserve">  ・確定分が見込み総量を超えている行程グループ: ゲームデザイン・シナリオ, 企画・プリプロ(計 16,539 時間の超過)。その超過は、まだ残っているグループの残工数から差し引いている(案件全体の総工数を動かさないため)。</t>
        </is>
      </c>
    </row>
    <row r="194">
      <c r="A194" s="25" t="inlineStr">
        <is>
          <t>段階4 マスターアップ後(2023-08まで確定)</t>
        </is>
      </c>
    </row>
    <row r="195">
      <c r="A195" s="5" t="inlineStr">
        <is>
          <t xml:space="preserve">  ・2021-01〜2023-08 の 32 ヶ月を実績で確定し、残り 4 ヶ月を予測している。</t>
        </is>
      </c>
    </row>
    <row r="196">
      <c r="A196" s="5" t="inlineStr">
        <is>
          <t xml:space="preserve">  ・マイルストーンは記入済みの日付をすべて使っている(「予測」シートと同じ条件)。実運用では着手前から予定が引かれているため運用の実態に近いが、完了案件では記入値が実績の日付なので、予定が完璧に当たった場合に相当する。</t>
        </is>
      </c>
    </row>
    <row r="197">
      <c r="A197" s="5" t="inlineStr">
        <is>
          <t xml:space="preserve">  ・行程グループ間の総量は学習した工数比率で配分しています。</t>
        </is>
      </c>
    </row>
    <row r="198">
      <c r="A198" s="5" t="inlineStr">
        <is>
          <t xml:space="preserve">  ・指定されたマイルストーンで時間軸を固定: α版, β版, マスターアップ</t>
        </is>
      </c>
    </row>
    <row r="199">
      <c r="A199" s="5" t="inlineStr">
        <is>
          <t xml:space="preserve">  ・確定分の実績が学習カーブの見込みより多いため、残り区間に配る工数が学習カーブの 0.10 倍になっている。総工数は動かさない決まりなので、そのずれは残り区間へ寄せるほかなく、2023-08 の直後に下へ段差が出る。この案件は学習した消化ペースから外れている、と読むこと。</t>
        </is>
      </c>
    </row>
    <row r="200">
      <c r="A200" s="5" t="inlineStr">
        <is>
          <t xml:space="preserve">  ・確定分が見込み総量を超えている行程グループ: アート, ゲームデザイン・シナリオ, サウンド, 企画・プリプロ(計 26,650 時間の超過)。その超過は、まだ残っているグループの残工数から差し引いている(案件全体の総工数を動かさないため)。</t>
        </is>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L394"/>
  <sheetViews>
    <sheetView workbookViewId="0">
      <selection activeCell="A1" sqref="A1"/>
    </sheetView>
  </sheetViews>
  <sheetFormatPr baseColWidth="8" defaultRowHeight="15"/>
  <cols>
    <col width="13" customWidth="1" min="1" max="1"/>
    <col width="26" customWidth="1" min="2" max="2"/>
    <col width="18" customWidth="1" min="3" max="3"/>
    <col width="11" customWidth="1" min="4" max="4"/>
    <col width="11.4" customWidth="1" min="5" max="5"/>
    <col width="11" customWidth="1" min="6" max="6"/>
    <col width="11" customWidth="1" min="7" max="7"/>
    <col width="13.3" customWidth="1" min="8" max="8"/>
    <col width="13" customWidth="1" min="9" max="9"/>
    <col width="13" customWidth="1" min="10" max="10"/>
    <col width="13" customWidth="1" min="11" max="11"/>
    <col width="13" customWidth="1" min="12" max="12"/>
  </cols>
  <sheetData>
    <row r="1">
      <c r="A1" s="1" t="inlineStr">
        <is>
          <t>学習カーブ</t>
        </is>
      </c>
    </row>
    <row r="2">
      <c r="A2" s="5" t="inlineStr">
        <is>
          <t>横軸は正準時間軸(0=開始, 1=終了)。位置合わせ ON のとき、背骨マイルストーンが全案件で同じ位置に来るよう変換した後の軸。</t>
        </is>
      </c>
    </row>
    <row r="3">
      <c r="A3" s="5" t="inlineStr">
        <is>
          <t>背骨マイルストーン: α版, β版, マスターアップ   正準位置: α版=0.504, β版=0.738, マスターアップ=0.918</t>
        </is>
      </c>
    </row>
    <row r="5">
      <c r="A5" s="6" t="inlineStr">
        <is>
          <t>■ 累積消化率 F(t):平均カーブ vs 各案件</t>
        </is>
      </c>
    </row>
    <row r="6">
      <c r="A6" s="7" t="inlineStr">
        <is>
          <t>t</t>
        </is>
      </c>
      <c r="B6" s="8" t="inlineStr">
        <is>
          <t>平均(位置合わせあり)</t>
        </is>
      </c>
      <c r="C6" s="8" t="inlineStr">
        <is>
          <t>平均(位置合わせなし)</t>
        </is>
      </c>
      <c r="D6" s="8" t="inlineStr">
        <is>
          <t>PJ-2019-A</t>
        </is>
      </c>
      <c r="E6" s="8" t="inlineStr">
        <is>
          <t>PJ-2020-B</t>
        </is>
      </c>
      <c r="F6" s="8" t="inlineStr">
        <is>
          <t>PJ-2020-C</t>
        </is>
      </c>
      <c r="G6" s="8" t="inlineStr">
        <is>
          <t>PJ-2021-D</t>
        </is>
      </c>
      <c r="H6" s="8" t="inlineStr">
        <is>
          <t>PJ-2022-F</t>
        </is>
      </c>
      <c r="I6" s="8" t="inlineStr">
        <is>
          <t>PJ-2022-G</t>
        </is>
      </c>
      <c r="J6" s="8" t="inlineStr">
        <is>
          <t>PJ-2023-H</t>
        </is>
      </c>
      <c r="K6" s="8" t="inlineStr">
        <is>
          <t>PJ-2023-I</t>
        </is>
      </c>
      <c r="L6" s="8" t="inlineStr">
        <is>
          <t>PJ-2024-J</t>
        </is>
      </c>
    </row>
    <row r="7">
      <c r="A7" s="10" t="n">
        <v>0.005</v>
      </c>
      <c r="B7" s="22" t="n">
        <v>0.003987343643999136</v>
      </c>
      <c r="C7" s="22" t="n">
        <v>0.004030185742334646</v>
      </c>
      <c r="D7" s="22" t="n">
        <v>0.003016495208973412</v>
      </c>
      <c r="E7" s="22" t="n">
        <v>0.0005267418597291087</v>
      </c>
      <c r="F7" s="22" t="n">
        <v>0.009562210727203252</v>
      </c>
      <c r="G7" s="22" t="n">
        <v>0.006300363439021183</v>
      </c>
      <c r="H7" s="22" t="n">
        <v>0.002446625743472623</v>
      </c>
      <c r="I7" s="22" t="n">
        <v>0.009715068779946887</v>
      </c>
      <c r="J7" s="22" t="n">
        <v>0.002300994215790587</v>
      </c>
      <c r="K7" s="22" t="n">
        <v>0.001566546697324483</v>
      </c>
      <c r="L7" s="22" t="n">
        <v>0.000303200398786301</v>
      </c>
    </row>
    <row r="8">
      <c r="A8" s="10" t="n">
        <v>0.015</v>
      </c>
      <c r="B8" s="22" t="n">
        <v>0.007976807188636277</v>
      </c>
      <c r="C8" s="22" t="n">
        <v>0.008060371484669291</v>
      </c>
      <c r="D8" s="22" t="n">
        <v>0.006032990417946823</v>
      </c>
      <c r="E8" s="22" t="n">
        <v>0.001053483719458217</v>
      </c>
      <c r="F8" s="22" t="n">
        <v>0.01937605857880659</v>
      </c>
      <c r="G8" s="22" t="n">
        <v>0.01260072687804237</v>
      </c>
      <c r="H8" s="22" t="n">
        <v>0.004828866598959125</v>
      </c>
      <c r="I8" s="22" t="n">
        <v>0.01943013755989377</v>
      </c>
      <c r="J8" s="22" t="n">
        <v>0.004534312131116745</v>
      </c>
      <c r="K8" s="22" t="n">
        <v>0.00309186848156148</v>
      </c>
      <c r="L8" s="22" t="n">
        <v>0.000606400797572602</v>
      </c>
    </row>
    <row r="9">
      <c r="A9" s="10" t="n">
        <v>0.025</v>
      </c>
      <c r="B9" s="22" t="n">
        <v>0.0120371692167771</v>
      </c>
      <c r="C9" s="22" t="n">
        <v>0.0121458227624855</v>
      </c>
      <c r="D9" s="22" t="n">
        <v>0.009772624616208533</v>
      </c>
      <c r="E9" s="22" t="n">
        <v>0.001591199367931683</v>
      </c>
      <c r="F9" s="22" t="n">
        <v>0.02893826930600984</v>
      </c>
      <c r="G9" s="22" t="n">
        <v>0.01890109031706355</v>
      </c>
      <c r="H9" s="22" t="n">
        <v>0.007275492342431748</v>
      </c>
      <c r="I9" s="22" t="n">
        <v>0.02914520633984066</v>
      </c>
      <c r="J9" s="22" t="n">
        <v>0.006835306346907331</v>
      </c>
      <c r="K9" s="22" t="n">
        <v>0.004658415178885963</v>
      </c>
      <c r="L9" s="22" t="n">
        <v>0.000909601196358903</v>
      </c>
    </row>
    <row r="10">
      <c r="A10" s="10" t="n">
        <v>0.035</v>
      </c>
      <c r="B10" s="22" t="n">
        <v>0.01638371878019992</v>
      </c>
      <c r="C10" s="22" t="n">
        <v>0.01660286722843753</v>
      </c>
      <c r="D10" s="22" t="n">
        <v>0.01494058981526854</v>
      </c>
      <c r="E10" s="22" t="n">
        <v>0.002117941227660791</v>
      </c>
      <c r="F10" s="22" t="n">
        <v>0.03932587768234773</v>
      </c>
      <c r="G10" s="22" t="n">
        <v>0.02534146183250742</v>
      </c>
      <c r="H10" s="22" t="n">
        <v>0.009657733197918249</v>
      </c>
      <c r="I10" s="22" t="n">
        <v>0.03886027511978755</v>
      </c>
      <c r="J10" s="22" t="n">
        <v>0.009068624262233489</v>
      </c>
      <c r="K10" s="22" t="n">
        <v>0.00618373696312296</v>
      </c>
      <c r="L10" s="22" t="n">
        <v>0.001598630827425238</v>
      </c>
    </row>
    <row r="11">
      <c r="A11" s="10" t="n">
        <v>0.045</v>
      </c>
      <c r="B11" s="22" t="n">
        <v>0.02102901829014538</v>
      </c>
      <c r="C11" s="22" t="n">
        <v>0.02131188725103925</v>
      </c>
      <c r="D11" s="22" t="n">
        <v>0.02023775414430504</v>
      </c>
      <c r="E11" s="22" t="n">
        <v>0.0026446830873899</v>
      </c>
      <c r="F11" s="22" t="n">
        <v>0.05073309491938136</v>
      </c>
      <c r="G11" s="22" t="n">
        <v>0.0316418252715286</v>
      </c>
      <c r="H11" s="22" t="n">
        <v>0.01210435894139087</v>
      </c>
      <c r="I11" s="22" t="n">
        <v>0.04937778917095502</v>
      </c>
      <c r="J11" s="22" t="n">
        <v>0.01136961847802408</v>
      </c>
      <c r="K11" s="22" t="n">
        <v>0.007750283660447443</v>
      </c>
      <c r="L11" s="22" t="n">
        <v>0.002466795459193018</v>
      </c>
    </row>
    <row r="12">
      <c r="A12" s="10" t="n">
        <v>0.055</v>
      </c>
      <c r="B12" s="22" t="n">
        <v>0.02582707126077926</v>
      </c>
      <c r="C12" s="22" t="n">
        <v>0.02648979900728136</v>
      </c>
      <c r="D12" s="22" t="n">
        <v>0.02637730729222332</v>
      </c>
      <c r="E12" s="22" t="n">
        <v>0.003171424947119009</v>
      </c>
      <c r="F12" s="22" t="n">
        <v>0.06244050208370534</v>
      </c>
      <c r="G12" s="22" t="n">
        <v>0.0381983697965438</v>
      </c>
      <c r="H12" s="22" t="n">
        <v>0.01482591487249752</v>
      </c>
      <c r="I12" s="22" t="n">
        <v>0.05993988351496807</v>
      </c>
      <c r="J12" s="22" t="n">
        <v>0.01360293639335023</v>
      </c>
      <c r="K12" s="22" t="n">
        <v>0.00927560544468444</v>
      </c>
      <c r="L12" s="22" t="n">
        <v>0.003313785343844511</v>
      </c>
    </row>
    <row r="13">
      <c r="A13" s="10" t="n">
        <v>0.065</v>
      </c>
      <c r="B13" s="22" t="n">
        <v>0.03146412634903074</v>
      </c>
      <c r="C13" s="22" t="n">
        <v>0.03205709167114722</v>
      </c>
      <c r="D13" s="22" t="n">
        <v>0.03324437805644858</v>
      </c>
      <c r="E13" s="22" t="n">
        <v>0.004765845285809873</v>
      </c>
      <c r="F13" s="22" t="n">
        <v>0.07384771932073897</v>
      </c>
      <c r="G13" s="22" t="n">
        <v>0.04614561164552651</v>
      </c>
      <c r="H13" s="22" t="n">
        <v>0.0194215360948977</v>
      </c>
      <c r="I13" s="22" t="n">
        <v>0.07050197785898113</v>
      </c>
      <c r="J13" s="22" t="n">
        <v>0.01748400183498797</v>
      </c>
      <c r="K13" s="22" t="n">
        <v>0.01233308804337667</v>
      </c>
      <c r="L13" s="22" t="n">
        <v>0.004477495551103302</v>
      </c>
    </row>
    <row r="14">
      <c r="A14" s="10" t="n">
        <v>0.075</v>
      </c>
      <c r="B14" s="22" t="n">
        <v>0.03698909146230847</v>
      </c>
      <c r="C14" s="22" t="n">
        <v>0.0376482896417441</v>
      </c>
      <c r="D14" s="22" t="n">
        <v>0.04011144882067384</v>
      </c>
      <c r="E14" s="22" t="n">
        <v>0.006395235517939747</v>
      </c>
      <c r="F14" s="22" t="n">
        <v>0.08378199486894966</v>
      </c>
      <c r="G14" s="22" t="n">
        <v>0.05409285349450922</v>
      </c>
      <c r="H14" s="22" t="n">
        <v>0.02389621991670841</v>
      </c>
      <c r="I14" s="22" t="n">
        <v>0.08106407220299419</v>
      </c>
      <c r="J14" s="22" t="n">
        <v>0.02139933105524818</v>
      </c>
      <c r="K14" s="22" t="n">
        <v>0.01534934572898142</v>
      </c>
      <c r="L14" s="22" t="n">
        <v>0.005872502295702884</v>
      </c>
    </row>
    <row r="15">
      <c r="A15" s="10" t="n">
        <v>0.08500000000000001</v>
      </c>
      <c r="B15" s="22" t="n">
        <v>0.04266505157815889</v>
      </c>
      <c r="C15" s="22" t="n">
        <v>0.0433574578785457</v>
      </c>
      <c r="D15" s="22" t="n">
        <v>0.04776885467835126</v>
      </c>
      <c r="E15" s="22" t="n">
        <v>0.00802462575006962</v>
      </c>
      <c r="F15" s="22" t="n">
        <v>0.09379985127256499</v>
      </c>
      <c r="G15" s="22" t="n">
        <v>0.06204009534349193</v>
      </c>
      <c r="H15" s="22" t="n">
        <v>0.02849184113910859</v>
      </c>
      <c r="I15" s="22" t="n">
        <v>0.09152721002795873</v>
      </c>
      <c r="J15" s="22" t="n">
        <v>0.02543330661551628</v>
      </c>
      <c r="K15" s="22" t="n">
        <v>0.01844712389257548</v>
      </c>
      <c r="L15" s="22" t="n">
        <v>0.007267509040302466</v>
      </c>
    </row>
    <row r="16">
      <c r="A16" s="10" t="n">
        <v>0.095</v>
      </c>
      <c r="B16" s="22" t="n">
        <v>0.04830579736897968</v>
      </c>
      <c r="C16" s="22" t="n">
        <v>0.04916297123880092</v>
      </c>
      <c r="D16" s="22" t="n">
        <v>0.05534658601557749</v>
      </c>
      <c r="E16" s="22" t="n">
        <v>0.009654015982199494</v>
      </c>
      <c r="F16" s="22" t="n">
        <v>0.1035608395632671</v>
      </c>
      <c r="G16" s="22" t="n">
        <v>0.06998733719247464</v>
      </c>
      <c r="H16" s="22" t="n">
        <v>0.03296652496091929</v>
      </c>
      <c r="I16" s="22" t="n">
        <v>0.1018803961650916</v>
      </c>
      <c r="J16" s="22" t="n">
        <v>0.0293486358357765</v>
      </c>
      <c r="K16" s="22" t="n">
        <v>0.02154490205616955</v>
      </c>
      <c r="L16" s="22" t="n">
        <v>0.008803376928502107</v>
      </c>
    </row>
    <row r="17">
      <c r="A17" s="10" t="n">
        <v>0.105</v>
      </c>
      <c r="B17" s="22" t="n">
        <v>0.05398468141968753</v>
      </c>
      <c r="C17" s="22" t="n">
        <v>0.05506126968765825</v>
      </c>
      <c r="D17" s="22" t="n">
        <v>0.06318385364241234</v>
      </c>
      <c r="E17" s="22" t="n">
        <v>0.01131735184416541</v>
      </c>
      <c r="F17" s="22" t="n">
        <v>0.1126569418602698</v>
      </c>
      <c r="G17" s="22" t="n">
        <v>0.07793457904145736</v>
      </c>
      <c r="H17" s="22" t="n">
        <v>0.03756214618331948</v>
      </c>
      <c r="I17" s="22" t="n">
        <v>0.1122335823022244</v>
      </c>
      <c r="J17" s="22" t="n">
        <v>0.0333826113960446</v>
      </c>
      <c r="K17" s="22" t="n">
        <v>0.02456115974177429</v>
      </c>
      <c r="L17" s="22" t="n">
        <v>0.01084008443839084</v>
      </c>
    </row>
    <row r="18">
      <c r="A18" s="10" t="n">
        <v>0.115</v>
      </c>
      <c r="B18" s="22" t="n">
        <v>0.05991817070260685</v>
      </c>
      <c r="C18" s="22" t="n">
        <v>0.06134230302992849</v>
      </c>
      <c r="D18" s="22" t="n">
        <v>0.07190896601416817</v>
      </c>
      <c r="E18" s="22" t="n">
        <v>0.01331324300253708</v>
      </c>
      <c r="F18" s="22" t="n">
        <v>0.1212342119442031</v>
      </c>
      <c r="G18" s="22" t="n">
        <v>0.08620096588168219</v>
      </c>
      <c r="H18" s="22" t="n">
        <v>0.04236903336038254</v>
      </c>
      <c r="I18" s="22" t="n">
        <v>0.1225867684393573</v>
      </c>
      <c r="J18" s="22" t="n">
        <v>0.03800317497151118</v>
      </c>
      <c r="K18" s="22" t="n">
        <v>0.02788865954897896</v>
      </c>
      <c r="L18" s="22" t="n">
        <v>0.01287679194827957</v>
      </c>
    </row>
    <row r="19">
      <c r="A19" s="10" t="n">
        <v>0.125</v>
      </c>
      <c r="B19" s="22" t="n">
        <v>0.06631712847161866</v>
      </c>
      <c r="C19" s="22" t="n">
        <v>0.06779017356620831</v>
      </c>
      <c r="D19" s="22" t="n">
        <v>0.080634078385924</v>
      </c>
      <c r="E19" s="22" t="n">
        <v>0.01629586742386746</v>
      </c>
      <c r="F19" s="22" t="n">
        <v>0.1295915520259843</v>
      </c>
      <c r="G19" s="22" t="n">
        <v>0.09521725485681704</v>
      </c>
      <c r="H19" s="22" t="n">
        <v>0.04840708524669858</v>
      </c>
      <c r="I19" s="22" t="n">
        <v>0.1327862729336937</v>
      </c>
      <c r="J19" s="22" t="n">
        <v>0.04374986253728048</v>
      </c>
      <c r="K19" s="22" t="n">
        <v>0.03211916020795407</v>
      </c>
      <c r="L19" s="22" t="n">
        <v>0.01492657603261284</v>
      </c>
    </row>
    <row r="20">
      <c r="A20" s="10" t="n">
        <v>0.135</v>
      </c>
      <c r="B20" s="22" t="n">
        <v>0.07296327797869999</v>
      </c>
      <c r="C20" s="22" t="n">
        <v>0.0743096286010545</v>
      </c>
      <c r="D20" s="22" t="n">
        <v>0.08967982005261652</v>
      </c>
      <c r="E20" s="22" t="n">
        <v>0.01927849184519783</v>
      </c>
      <c r="F20" s="22" t="n">
        <v>0.1379488921077655</v>
      </c>
      <c r="G20" s="22" t="n">
        <v>0.1042335438319519</v>
      </c>
      <c r="H20" s="22" t="n">
        <v>0.05460832772453667</v>
      </c>
      <c r="I20" s="22" t="n">
        <v>0.144042115813</v>
      </c>
      <c r="J20" s="22" t="n">
        <v>0.04932752988052714</v>
      </c>
      <c r="K20" s="22" t="n">
        <v>0.03646399872257716</v>
      </c>
      <c r="L20" s="22" t="n">
        <v>0.01749942309472763</v>
      </c>
    </row>
    <row r="21">
      <c r="A21" s="10" t="n">
        <v>0.145</v>
      </c>
      <c r="B21" s="22" t="n">
        <v>0.07963014555876395</v>
      </c>
      <c r="C21" s="22" t="n">
        <v>0.08108562415306761</v>
      </c>
      <c r="D21" s="22" t="n">
        <v>0.09941614789301885</v>
      </c>
      <c r="E21" s="22" t="n">
        <v>0.02232325427530592</v>
      </c>
      <c r="F21" s="22" t="n">
        <v>0.1457419604753177</v>
      </c>
      <c r="G21" s="22" t="n">
        <v>0.1132498328070867</v>
      </c>
      <c r="H21" s="22" t="n">
        <v>0.06064637961085271</v>
      </c>
      <c r="I21" s="22" t="n">
        <v>0.1552979586923063</v>
      </c>
      <c r="J21" s="22" t="n">
        <v>0.05507421744629643</v>
      </c>
      <c r="K21" s="22" t="n">
        <v>0.04069449938155226</v>
      </c>
      <c r="L21" s="22" t="n">
        <v>0.02007227015684241</v>
      </c>
    </row>
    <row r="22">
      <c r="A22" s="10" t="n">
        <v>0.155</v>
      </c>
      <c r="B22" s="22" t="n">
        <v>0.08629786872507747</v>
      </c>
      <c r="C22" s="22" t="n">
        <v>0.08799497160948111</v>
      </c>
      <c r="D22" s="22" t="n">
        <v>0.1089150043226797</v>
      </c>
      <c r="E22" s="22" t="n">
        <v>0.0253058786966363</v>
      </c>
      <c r="F22" s="22" t="n">
        <v>0.1536904706491101</v>
      </c>
      <c r="G22" s="22" t="n">
        <v>0.1222661217822216</v>
      </c>
      <c r="H22" s="22" t="n">
        <v>0.0668476220886908</v>
      </c>
      <c r="I22" s="22" t="n">
        <v>0.1665538015716126</v>
      </c>
      <c r="J22" s="22" t="n">
        <v>0.06065188478954309</v>
      </c>
      <c r="K22" s="22" t="n">
        <v>0.04503933789617535</v>
      </c>
      <c r="L22" s="22" t="n">
        <v>0.0226451172189572</v>
      </c>
    </row>
    <row r="23">
      <c r="A23" s="10" t="n">
        <v>0.165</v>
      </c>
      <c r="B23" s="22" t="n">
        <v>0.09281618658523899</v>
      </c>
      <c r="C23" s="22" t="n">
        <v>0.09491735888849574</v>
      </c>
      <c r="D23" s="22" t="n">
        <v>0.1170259698934752</v>
      </c>
      <c r="E23" s="22" t="n">
        <v>0.02828850311796668</v>
      </c>
      <c r="F23" s="22" t="n">
        <v>0.1614351728697283</v>
      </c>
      <c r="G23" s="22" t="n">
        <v>0.1312824107573564</v>
      </c>
      <c r="H23" s="22" t="n">
        <v>0.07288567397500684</v>
      </c>
      <c r="I23" s="22" t="n">
        <v>0.1778096444509189</v>
      </c>
      <c r="J23" s="22" t="n">
        <v>0.06639857235531238</v>
      </c>
      <c r="K23" s="22" t="n">
        <v>0.04926983855515046</v>
      </c>
      <c r="L23" s="22" t="n">
        <v>0.02542657641228627</v>
      </c>
    </row>
    <row r="24">
      <c r="A24" s="10" t="n">
        <v>0.175</v>
      </c>
      <c r="B24" s="22" t="n">
        <v>0.09940076021856155</v>
      </c>
      <c r="C24" s="22" t="n">
        <v>0.1018688796738386</v>
      </c>
      <c r="D24" s="22" t="n">
        <v>0.1241992264625745</v>
      </c>
      <c r="E24" s="22" t="n">
        <v>0.03149665214775059</v>
      </c>
      <c r="F24" s="22" t="n">
        <v>0.1690880666337994</v>
      </c>
      <c r="G24" s="22" t="n">
        <v>0.140582767449627</v>
      </c>
      <c r="H24" s="22" t="n">
        <v>0.07944973335974463</v>
      </c>
      <c r="I24" s="22" t="n">
        <v>0.1887811408460587</v>
      </c>
      <c r="J24" s="22" t="n">
        <v>0.0723629528497063</v>
      </c>
      <c r="K24" s="22" t="n">
        <v>0.05383569934224694</v>
      </c>
      <c r="L24" s="22" t="n">
        <v>0.02839677863304035</v>
      </c>
    </row>
    <row r="25">
      <c r="A25" s="10" t="n">
        <v>0.185</v>
      </c>
      <c r="B25" s="22" t="n">
        <v>0.1064344680449915</v>
      </c>
      <c r="C25" s="22" t="n">
        <v>0.1088204004591815</v>
      </c>
      <c r="D25" s="22" t="n">
        <v>0.1313724830316738</v>
      </c>
      <c r="E25" s="22" t="n">
        <v>0.03564648515928102</v>
      </c>
      <c r="F25" s="22" t="n">
        <v>0.1768481278704688</v>
      </c>
      <c r="G25" s="22" t="n">
        <v>0.1508883446510074</v>
      </c>
      <c r="H25" s="22" t="n">
        <v>0.08670816938745059</v>
      </c>
      <c r="I25" s="22" t="n">
        <v>0.199604777069432</v>
      </c>
      <c r="J25" s="22" t="n">
        <v>0.07930493560993074</v>
      </c>
      <c r="K25" s="22" t="n">
        <v>0.05942917068147466</v>
      </c>
      <c r="L25" s="22" t="n">
        <v>0.03136698085379443</v>
      </c>
    </row>
    <row r="26">
      <c r="A26" s="10" t="n">
        <v>0.195</v>
      </c>
      <c r="B26" s="22" t="n">
        <v>0.1134990894514341</v>
      </c>
      <c r="C26" s="22" t="n">
        <v>0.1158238760704431</v>
      </c>
      <c r="D26" s="22" t="n">
        <v>0.1389103866498019</v>
      </c>
      <c r="E26" s="22" t="n">
        <v>0.03971162770118838</v>
      </c>
      <c r="F26" s="22" t="n">
        <v>0.1844092131779927</v>
      </c>
      <c r="G26" s="22" t="n">
        <v>0.1609698875654013</v>
      </c>
      <c r="H26" s="22" t="n">
        <v>0.0941627793618513</v>
      </c>
      <c r="I26" s="22" t="n">
        <v>0.2104284132928053</v>
      </c>
      <c r="J26" s="22" t="n">
        <v>0.08604274240661916</v>
      </c>
      <c r="K26" s="22" t="n">
        <v>0.06517381692176258</v>
      </c>
      <c r="L26" s="22" t="n">
        <v>0.03463928766215612</v>
      </c>
    </row>
    <row r="27">
      <c r="A27" s="10" t="n">
        <v>0.205</v>
      </c>
      <c r="B27" s="22" t="n">
        <v>0.1206085957175782</v>
      </c>
      <c r="C27" s="22" t="n">
        <v>0.1230984033330645</v>
      </c>
      <c r="D27" s="22" t="n">
        <v>0.1465108011906206</v>
      </c>
      <c r="E27" s="22" t="n">
        <v>0.04377677024309574</v>
      </c>
      <c r="F27" s="22" t="n">
        <v>0.1919702984855167</v>
      </c>
      <c r="G27" s="22" t="n">
        <v>0.1710514304797951</v>
      </c>
      <c r="H27" s="22" t="n">
        <v>0.1014212153895573</v>
      </c>
      <c r="I27" s="22" t="n">
        <v>0.2212520495161786</v>
      </c>
      <c r="J27" s="22" t="n">
        <v>0.0929847251668436</v>
      </c>
      <c r="K27" s="22" t="n">
        <v>0.0709184631620505</v>
      </c>
      <c r="L27" s="22" t="n">
        <v>0.03826139978248454</v>
      </c>
    </row>
    <row r="28">
      <c r="A28" s="10" t="n">
        <v>0.215</v>
      </c>
      <c r="B28" s="22" t="n">
        <v>0.1277230211008112</v>
      </c>
      <c r="C28" s="22" t="n">
        <v>0.1305162107039795</v>
      </c>
      <c r="D28" s="22" t="n">
        <v>0.1539207103084995</v>
      </c>
      <c r="E28" s="22" t="n">
        <v>0.0478419127850031</v>
      </c>
      <c r="F28" s="22" t="n">
        <v>0.1994572114115112</v>
      </c>
      <c r="G28" s="22" t="n">
        <v>0.181132973394189</v>
      </c>
      <c r="H28" s="22" t="n">
        <v>0.108875825363958</v>
      </c>
      <c r="I28" s="22" t="n">
        <v>0.2324876583396291</v>
      </c>
      <c r="J28" s="22" t="n">
        <v>0.09972253196353202</v>
      </c>
      <c r="K28" s="22" t="n">
        <v>0.07651193450127822</v>
      </c>
      <c r="L28" s="22" t="n">
        <v>0.04188351190281295</v>
      </c>
    </row>
    <row r="29">
      <c r="A29" s="10" t="n">
        <v>0.225</v>
      </c>
      <c r="B29" s="22" t="n">
        <v>0.1350149358074372</v>
      </c>
      <c r="C29" s="22" t="n">
        <v>0.1382229295328283</v>
      </c>
      <c r="D29" s="22" t="n">
        <v>0.1614910808779303</v>
      </c>
      <c r="E29" s="22" t="n">
        <v>0.05199174579653354</v>
      </c>
      <c r="F29" s="22" t="n">
        <v>0.2067377660215853</v>
      </c>
      <c r="G29" s="22" t="n">
        <v>0.1912145163085829</v>
      </c>
      <c r="H29" s="22" t="n">
        <v>0.1163304353383587</v>
      </c>
      <c r="I29" s="22" t="n">
        <v>0.244615874463247</v>
      </c>
      <c r="J29" s="22" t="n">
        <v>0.1066645147237565</v>
      </c>
      <c r="K29" s="22" t="n">
        <v>0.08225658074156614</v>
      </c>
      <c r="L29" s="22" t="n">
        <v>0.04570292103621198</v>
      </c>
    </row>
    <row r="30">
      <c r="A30" s="10" t="n">
        <v>0.235</v>
      </c>
      <c r="B30" s="22" t="n">
        <v>0.1425519368557496</v>
      </c>
      <c r="C30" s="22" t="n">
        <v>0.146131532860093</v>
      </c>
      <c r="D30" s="22" t="n">
        <v>0.1690614514473611</v>
      </c>
      <c r="E30" s="22" t="n">
        <v>0.05657806081531968</v>
      </c>
      <c r="F30" s="22" t="n">
        <v>0.2140183206316595</v>
      </c>
      <c r="G30" s="22" t="n">
        <v>0.2015814055361652</v>
      </c>
      <c r="H30" s="22" t="n">
        <v>0.1240111671205745</v>
      </c>
      <c r="I30" s="22" t="n">
        <v>0.2567440905868648</v>
      </c>
      <c r="J30" s="22" t="n">
        <v>0.1138098150827373</v>
      </c>
      <c r="K30" s="22" t="n">
        <v>0.08802684545707878</v>
      </c>
      <c r="L30" s="22" t="n">
        <v>0.05067322941252293</v>
      </c>
    </row>
    <row r="31">
      <c r="A31" s="10" t="n">
        <v>0.245</v>
      </c>
      <c r="B31" s="22" t="n">
        <v>0.1507074802138098</v>
      </c>
      <c r="C31" s="22" t="n">
        <v>0.1541425686556149</v>
      </c>
      <c r="D31" s="22" t="n">
        <v>0.1768512029819497</v>
      </c>
      <c r="E31" s="22" t="n">
        <v>0.06220672078786336</v>
      </c>
      <c r="F31" s="22" t="n">
        <v>0.2211889761337738</v>
      </c>
      <c r="G31" s="22" t="n">
        <v>0.2129470068599075</v>
      </c>
      <c r="H31" s="22" t="n">
        <v>0.133248803614017</v>
      </c>
      <c r="I31" s="22" t="n">
        <v>0.2688723067104827</v>
      </c>
      <c r="J31" s="22" t="n">
        <v>0.1216754499174913</v>
      </c>
      <c r="K31" s="22" t="n">
        <v>0.09511512135713214</v>
      </c>
      <c r="L31" s="22" t="n">
        <v>0.05564353778883387</v>
      </c>
    </row>
    <row r="32">
      <c r="A32" s="10" t="n">
        <v>0.255</v>
      </c>
      <c r="B32" s="22" t="n">
        <v>0.1588619793796601</v>
      </c>
      <c r="C32" s="22" t="n">
        <v>0.1625192127074175</v>
      </c>
      <c r="D32" s="22" t="n">
        <v>0.1849837372745974</v>
      </c>
      <c r="E32" s="22" t="n">
        <v>0.06783538076040706</v>
      </c>
      <c r="F32" s="22" t="n">
        <v>0.2283753866055227</v>
      </c>
      <c r="G32" s="22" t="n">
        <v>0.2245651771019551</v>
      </c>
      <c r="H32" s="22" t="n">
        <v>0.1422433444102637</v>
      </c>
      <c r="I32" s="22" t="n">
        <v>0.2810005228341005</v>
      </c>
      <c r="J32" s="22" t="n">
        <v>0.1293097425512231</v>
      </c>
      <c r="K32" s="22" t="n">
        <v>0.1020168636808683</v>
      </c>
      <c r="L32" s="22" t="n">
        <v>0.06061384616514482</v>
      </c>
    </row>
    <row r="33">
      <c r="A33" s="10" t="n">
        <v>0.265</v>
      </c>
      <c r="B33" s="22" t="n">
        <v>0.1672597754372802</v>
      </c>
      <c r="C33" s="22" t="n">
        <v>0.1709518389665463</v>
      </c>
      <c r="D33" s="22" t="n">
        <v>0.1931162715672451</v>
      </c>
      <c r="E33" s="22" t="n">
        <v>0.07358130448237873</v>
      </c>
      <c r="F33" s="22" t="n">
        <v>0.2353775301420986</v>
      </c>
      <c r="G33" s="22" t="n">
        <v>0.2359307784256973</v>
      </c>
      <c r="H33" s="22" t="n">
        <v>0.1514809809037062</v>
      </c>
      <c r="I33" s="22" t="n">
        <v>0.2942581834155976</v>
      </c>
      <c r="J33" s="22" t="n">
        <v>0.1371753773859771</v>
      </c>
      <c r="K33" s="22" t="n">
        <v>0.1091051395809217</v>
      </c>
      <c r="L33" s="22" t="n">
        <v>0.06625887427521232</v>
      </c>
    </row>
    <row r="34">
      <c r="A34" s="10" t="n">
        <v>0.275</v>
      </c>
      <c r="B34" s="22" t="n">
        <v>0.1756081431941816</v>
      </c>
      <c r="C34" s="22" t="n">
        <v>0.1795736337505435</v>
      </c>
      <c r="D34" s="22" t="n">
        <v>0.2013472350177509</v>
      </c>
      <c r="E34" s="22" t="n">
        <v>0.07920996445492243</v>
      </c>
      <c r="F34" s="22" t="n">
        <v>0.242415097869434</v>
      </c>
      <c r="G34" s="22" t="n">
        <v>0.2472963797494395</v>
      </c>
      <c r="H34" s="22" t="n">
        <v>0.1604755216999528</v>
      </c>
      <c r="I34" s="22" t="n">
        <v>0.3077276148329471</v>
      </c>
      <c r="J34" s="22" t="n">
        <v>0.1448096700197089</v>
      </c>
      <c r="K34" s="22" t="n">
        <v>0.1160068819046578</v>
      </c>
      <c r="L34" s="22" t="n">
        <v>0.07190174354002124</v>
      </c>
    </row>
    <row r="35">
      <c r="A35" s="10" t="n">
        <v>0.285</v>
      </c>
      <c r="B35" s="22" t="n">
        <v>0.1840714094058645</v>
      </c>
      <c r="C35" s="22" t="n">
        <v>0.1885270820511412</v>
      </c>
      <c r="D35" s="22" t="n">
        <v>0.2094328442890839</v>
      </c>
      <c r="E35" s="22" t="n">
        <v>0.08483862442746612</v>
      </c>
      <c r="F35" s="22" t="n">
        <v>0.2497988716897007</v>
      </c>
      <c r="G35" s="22" t="n">
        <v>0.2586619810731818</v>
      </c>
      <c r="H35" s="22" t="n">
        <v>0.1697131581933953</v>
      </c>
      <c r="I35" s="22" t="n">
        <v>0.3211970462502965</v>
      </c>
      <c r="J35" s="22" t="n">
        <v>0.1526753048544628</v>
      </c>
      <c r="K35" s="22" t="n">
        <v>0.1230951578047112</v>
      </c>
      <c r="L35" s="22" t="n">
        <v>0.07768568453645039</v>
      </c>
    </row>
    <row r="36">
      <c r="A36" s="10" t="n">
        <v>0.295</v>
      </c>
      <c r="B36" s="22" t="n">
        <v>0.192762912877229</v>
      </c>
      <c r="C36" s="22" t="n">
        <v>0.1979174452774929</v>
      </c>
      <c r="D36" s="22" t="n">
        <v>0.2177355535168856</v>
      </c>
      <c r="E36" s="22" t="n">
        <v>0.09081778059325368</v>
      </c>
      <c r="F36" s="22" t="n">
        <v>0.2569933179761145</v>
      </c>
      <c r="G36" s="22" t="n">
        <v>0.2705040592246634</v>
      </c>
      <c r="H36" s="22" t="n">
        <v>0.1789528523120324</v>
      </c>
      <c r="I36" s="22" t="n">
        <v>0.334666477667646</v>
      </c>
      <c r="J36" s="22" t="n">
        <v>0.1608513204647285</v>
      </c>
      <c r="K36" s="22" t="n">
        <v>0.1305694744572168</v>
      </c>
      <c r="L36" s="22" t="n">
        <v>0.08410935465116894</v>
      </c>
    </row>
    <row r="37">
      <c r="A37" s="10" t="n">
        <v>0.305</v>
      </c>
      <c r="B37" s="22" t="n">
        <v>0.2023293754947503</v>
      </c>
      <c r="C37" s="22" t="n">
        <v>0.2075707799888188</v>
      </c>
      <c r="D37" s="22" t="n">
        <v>0.2266366517321062</v>
      </c>
      <c r="E37" s="22" t="n">
        <v>0.09788480535129845</v>
      </c>
      <c r="F37" s="22" t="n">
        <v>0.2641877642625282</v>
      </c>
      <c r="G37" s="22" t="n">
        <v>0.2842520446871026</v>
      </c>
      <c r="H37" s="22" t="n">
        <v>0.1895213211270227</v>
      </c>
      <c r="I37" s="22" t="n">
        <v>0.3491248978636678</v>
      </c>
      <c r="J37" s="22" t="n">
        <v>0.1702518370663285</v>
      </c>
      <c r="K37" s="22" t="n">
        <v>0.1386615091010143</v>
      </c>
      <c r="L37" s="22" t="n">
        <v>0.09098616622467581</v>
      </c>
    </row>
    <row r="38">
      <c r="A38" s="10" t="n">
        <v>0.315</v>
      </c>
      <c r="B38" s="22" t="n">
        <v>0.2120738402461571</v>
      </c>
      <c r="C38" s="22" t="n">
        <v>0.2172791580550446</v>
      </c>
      <c r="D38" s="22" t="n">
        <v>0.2355377499473268</v>
      </c>
      <c r="E38" s="22" t="n">
        <v>0.1048076051142811</v>
      </c>
      <c r="F38" s="22" t="n">
        <v>0.2712983227537314</v>
      </c>
      <c r="G38" s="22" t="n">
        <v>0.2980000301495417</v>
      </c>
      <c r="H38" s="22" t="n">
        <v>0.1998116723416185</v>
      </c>
      <c r="I38" s="22" t="n">
        <v>0.3652787273945565</v>
      </c>
      <c r="J38" s="22" t="n">
        <v>0.1796523536679284</v>
      </c>
      <c r="K38" s="22" t="n">
        <v>0.1469722473838332</v>
      </c>
      <c r="L38" s="22" t="n">
        <v>0.09786297779818269</v>
      </c>
    </row>
    <row r="39">
      <c r="A39" s="10" t="n">
        <v>0.325</v>
      </c>
      <c r="B39" s="22" t="n">
        <v>0.2217950684353734</v>
      </c>
      <c r="C39" s="22" t="n">
        <v>0.2269875361212703</v>
      </c>
      <c r="D39" s="22" t="n">
        <v>0.2444323427413098</v>
      </c>
      <c r="E39" s="22" t="n">
        <v>0.1117304048772637</v>
      </c>
      <c r="F39" s="22" t="n">
        <v>0.278093454328437</v>
      </c>
      <c r="G39" s="22" t="n">
        <v>0.3117480156119809</v>
      </c>
      <c r="H39" s="22" t="n">
        <v>0.2103801411566089</v>
      </c>
      <c r="I39" s="22" t="n">
        <v>0.3814325569254451</v>
      </c>
      <c r="J39" s="22" t="n">
        <v>0.1887763844871284</v>
      </c>
      <c r="K39" s="22" t="n">
        <v>0.1550642820276307</v>
      </c>
      <c r="L39" s="22" t="n">
        <v>0.1050730710977707</v>
      </c>
    </row>
    <row r="40">
      <c r="A40" s="10" t="n">
        <v>0.335</v>
      </c>
      <c r="B40" s="22" t="n">
        <v>0.2316762980845793</v>
      </c>
      <c r="C40" s="22" t="n">
        <v>0.2369311258827658</v>
      </c>
      <c r="D40" s="22" t="n">
        <v>0.2533091934773721</v>
      </c>
      <c r="E40" s="22" t="n">
        <v>0.1186532046402463</v>
      </c>
      <c r="F40" s="22" t="n">
        <v>0.2848885859031425</v>
      </c>
      <c r="G40" s="22" t="n">
        <v>0.3258015118624742</v>
      </c>
      <c r="H40" s="22" t="n">
        <v>0.2206704923712047</v>
      </c>
      <c r="I40" s="22" t="n">
        <v>0.3975863864563337</v>
      </c>
      <c r="J40" s="22" t="n">
        <v>0.1981769010887284</v>
      </c>
      <c r="K40" s="22" t="n">
        <v>0.1633750203104496</v>
      </c>
      <c r="L40" s="22" t="n">
        <v>0.1131921145593979</v>
      </c>
    </row>
    <row r="41">
      <c r="A41" s="10" t="n">
        <v>0.345</v>
      </c>
      <c r="B41" s="22" t="n">
        <v>0.2414866599166223</v>
      </c>
      <c r="C41" s="22" t="n">
        <v>0.2472157093108404</v>
      </c>
      <c r="D41" s="22" t="n">
        <v>0.2619695356588963</v>
      </c>
      <c r="E41" s="22" t="n">
        <v>0.1257202293982911</v>
      </c>
      <c r="F41" s="22" t="n">
        <v>0.2916615661547838</v>
      </c>
      <c r="G41" s="22" t="n">
        <v>0.3395494973249134</v>
      </c>
      <c r="H41" s="22" t="n">
        <v>0.231238961186195</v>
      </c>
      <c r="I41" s="22" t="n">
        <v>0.4137302445296874</v>
      </c>
      <c r="J41" s="22" t="n">
        <v>0.2073009319079283</v>
      </c>
      <c r="K41" s="22" t="n">
        <v>0.1714670549542471</v>
      </c>
      <c r="L41" s="22" t="n">
        <v>0.1213111580210252</v>
      </c>
    </row>
    <row r="42">
      <c r="A42" s="10" t="n">
        <v>0.355</v>
      </c>
      <c r="B42" s="22" t="n">
        <v>0.2516349964996335</v>
      </c>
      <c r="C42" s="22" t="n">
        <v>0.2577758544606819</v>
      </c>
      <c r="D42" s="22" t="n">
        <v>0.2710338947624709</v>
      </c>
      <c r="E42" s="22" t="n">
        <v>0.1333629309483879</v>
      </c>
      <c r="F42" s="22" t="n">
        <v>0.2985275292815171</v>
      </c>
      <c r="G42" s="22" t="n">
        <v>0.3538066456683976</v>
      </c>
      <c r="H42" s="22" t="n">
        <v>0.2420726050686718</v>
      </c>
      <c r="I42" s="22" t="n">
        <v>0.4295051586742485</v>
      </c>
      <c r="J42" s="22" t="n">
        <v>0.2173902743042158</v>
      </c>
      <c r="K42" s="22" t="n">
        <v>0.180300552860659</v>
      </c>
      <c r="L42" s="22" t="n">
        <v>0.1294551248279527</v>
      </c>
    </row>
    <row r="43">
      <c r="A43" s="10" t="n">
        <v>0.365</v>
      </c>
      <c r="B43" s="22" t="n">
        <v>0.2621832278683813</v>
      </c>
      <c r="C43" s="22" t="n">
        <v>0.2685076494775437</v>
      </c>
      <c r="D43" s="22" t="n">
        <v>0.2802449995449681</v>
      </c>
      <c r="E43" s="22" t="n">
        <v>0.1420134950004446</v>
      </c>
      <c r="F43" s="22" t="n">
        <v>0.3052174420716675</v>
      </c>
      <c r="G43" s="22" t="n">
        <v>0.368986651733776</v>
      </c>
      <c r="H43" s="22" t="n">
        <v>0.2530637761044819</v>
      </c>
      <c r="I43" s="22" t="n">
        <v>0.4452800728188095</v>
      </c>
      <c r="J43" s="22" t="n">
        <v>0.2279350083249586</v>
      </c>
      <c r="K43" s="22" t="n">
        <v>0.1901509607838144</v>
      </c>
      <c r="L43" s="22" t="n">
        <v>0.1380850968682349</v>
      </c>
    </row>
    <row r="44">
      <c r="A44" s="10" t="n">
        <v>0.375</v>
      </c>
      <c r="B44" s="22" t="n">
        <v>0.2727603470653432</v>
      </c>
      <c r="C44" s="22" t="n">
        <v>0.2793152490601775</v>
      </c>
      <c r="D44" s="22" t="n">
        <v>0.2894561043274653</v>
      </c>
      <c r="E44" s="22" t="n">
        <v>0.1506640590525012</v>
      </c>
      <c r="F44" s="22" t="n">
        <v>0.3119073548618179</v>
      </c>
      <c r="G44" s="22" t="n">
        <v>0.3841666577991544</v>
      </c>
      <c r="H44" s="22" t="n">
        <v>0.2643520058169356</v>
      </c>
      <c r="I44" s="22" t="n">
        <v>0.4606398576437769</v>
      </c>
      <c r="J44" s="22" t="n">
        <v>0.2387992797402695</v>
      </c>
      <c r="K44" s="22" t="n">
        <v>0.2002675959481361</v>
      </c>
      <c r="L44" s="22" t="n">
        <v>0.1465045817855833</v>
      </c>
    </row>
    <row r="45">
      <c r="A45" s="10" t="n">
        <v>0.385</v>
      </c>
      <c r="B45" s="22" t="n">
        <v>0.2834904287473602</v>
      </c>
      <c r="C45" s="22" t="n">
        <v>0.2901029297539777</v>
      </c>
      <c r="D45" s="22" t="n">
        <v>0.2995048810397354</v>
      </c>
      <c r="E45" s="22" t="n">
        <v>0.1594948431889757</v>
      </c>
      <c r="F45" s="22" t="n">
        <v>0.3192075810716706</v>
      </c>
      <c r="G45" s="22" t="n">
        <v>0.3993466638645328</v>
      </c>
      <c r="H45" s="22" t="n">
        <v>0.2753431768527457</v>
      </c>
      <c r="I45" s="22" t="n">
        <v>0.476414771788338</v>
      </c>
      <c r="J45" s="22" t="n">
        <v>0.2493440137610124</v>
      </c>
      <c r="K45" s="22" t="n">
        <v>0.2101180038712915</v>
      </c>
      <c r="L45" s="22" t="n">
        <v>0.1551345538258655</v>
      </c>
    </row>
    <row r="46">
      <c r="A46" s="10" t="n">
        <v>0.395</v>
      </c>
      <c r="B46" s="22" t="n">
        <v>0.2943499855916921</v>
      </c>
      <c r="C46" s="22" t="n">
        <v>0.301481583870112</v>
      </c>
      <c r="D46" s="22" t="n">
        <v>0.3097567297349809</v>
      </c>
      <c r="E46" s="22" t="n">
        <v>0.1681454072410324</v>
      </c>
      <c r="F46" s="22" t="n">
        <v>0.3265321860602262</v>
      </c>
      <c r="G46" s="22" t="n">
        <v>0.4145266699299112</v>
      </c>
      <c r="H46" s="22" t="n">
        <v>0.2866314065651993</v>
      </c>
      <c r="I46" s="22" t="n">
        <v>0.4919614294216182</v>
      </c>
      <c r="J46" s="22" t="n">
        <v>0.2602082851763232</v>
      </c>
      <c r="K46" s="22" t="n">
        <v>0.2202346390356133</v>
      </c>
      <c r="L46" s="22" t="n">
        <v>0.1642351643713369</v>
      </c>
    </row>
    <row r="47">
      <c r="A47" s="10" t="n">
        <v>0.405</v>
      </c>
      <c r="B47" s="22" t="n">
        <v>0.3051586157077502</v>
      </c>
      <c r="C47" s="22" t="n">
        <v>0.3132684334015027</v>
      </c>
      <c r="D47" s="22" t="n">
        <v>0.3198287048340112</v>
      </c>
      <c r="E47" s="22" t="n">
        <v>0.1767959712930891</v>
      </c>
      <c r="F47" s="22" t="n">
        <v>0.3338567910487817</v>
      </c>
      <c r="G47" s="22" t="n">
        <v>0.4300440094634091</v>
      </c>
      <c r="H47" s="22" t="n">
        <v>0.2976225776010094</v>
      </c>
      <c r="I47" s="22" t="n">
        <v>0.5073026561947459</v>
      </c>
      <c r="J47" s="22" t="n">
        <v>0.2707530191970661</v>
      </c>
      <c r="K47" s="22" t="n">
        <v>0.230351274199935</v>
      </c>
      <c r="L47" s="22" t="n">
        <v>0.1735305218844727</v>
      </c>
    </row>
    <row r="48">
      <c r="A48" s="10" t="n">
        <v>0.415</v>
      </c>
      <c r="B48" s="22" t="n">
        <v>0.316392976000921</v>
      </c>
      <c r="C48" s="22" t="n">
        <v>0.3249460573763565</v>
      </c>
      <c r="D48" s="22" t="n">
        <v>0.3306559597793413</v>
      </c>
      <c r="E48" s="22" t="n">
        <v>0.1861341549122614</v>
      </c>
      <c r="F48" s="22" t="n">
        <v>0.3416228734935681</v>
      </c>
      <c r="G48" s="22" t="n">
        <v>0.4443920756040872</v>
      </c>
      <c r="H48" s="22" t="n">
        <v>0.3098599392255593</v>
      </c>
      <c r="I48" s="22" t="n">
        <v>0.5226438829678736</v>
      </c>
      <c r="J48" s="22" t="n">
        <v>0.28246651491337</v>
      </c>
      <c r="K48" s="22" t="n">
        <v>0.2413165891263682</v>
      </c>
      <c r="L48" s="22" t="n">
        <v>0.1828258793976086</v>
      </c>
    </row>
    <row r="49">
      <c r="A49" s="10" t="n">
        <v>0.425</v>
      </c>
      <c r="B49" s="22" t="n">
        <v>0.3281660247821735</v>
      </c>
      <c r="C49" s="22" t="n">
        <v>0.3364687139974158</v>
      </c>
      <c r="D49" s="22" t="n">
        <v>0.3414832147246714</v>
      </c>
      <c r="E49" s="22" t="n">
        <v>0.1969469013304221</v>
      </c>
      <c r="F49" s="22" t="n">
        <v>0.3498926323169448</v>
      </c>
      <c r="G49" s="22" t="n">
        <v>0.4570762618953647</v>
      </c>
      <c r="H49" s="22" t="n">
        <v>0.3237776003236662</v>
      </c>
      <c r="I49" s="22" t="n">
        <v>0.5379851097410012</v>
      </c>
      <c r="J49" s="22" t="n">
        <v>0.2951669721597109</v>
      </c>
      <c r="K49" s="22" t="n">
        <v>0.2537869168531653</v>
      </c>
      <c r="L49" s="22" t="n">
        <v>0.1925984240742058</v>
      </c>
    </row>
    <row r="50">
      <c r="A50" s="10" t="n">
        <v>0.435</v>
      </c>
      <c r="B50" s="22" t="n">
        <v>0.3400142109947268</v>
      </c>
      <c r="C50" s="22" t="n">
        <v>0.3481894194592245</v>
      </c>
      <c r="D50" s="22" t="n">
        <v>0.352618811037534</v>
      </c>
      <c r="E50" s="22" t="n">
        <v>0.2075389794543347</v>
      </c>
      <c r="F50" s="22" t="n">
        <v>0.3581623911403216</v>
      </c>
      <c r="G50" s="22" t="n">
        <v>0.4697604481866421</v>
      </c>
      <c r="H50" s="22" t="n">
        <v>0.3380714144244247</v>
      </c>
      <c r="I50" s="22" t="n">
        <v>0.5527163580589969</v>
      </c>
      <c r="J50" s="22" t="n">
        <v>0.3082522917468499</v>
      </c>
      <c r="K50" s="22" t="n">
        <v>0.2659290780608362</v>
      </c>
      <c r="L50" s="22" t="n">
        <v>0.2031165736937113</v>
      </c>
    </row>
    <row r="51">
      <c r="A51" s="10" t="n">
        <v>0.445</v>
      </c>
      <c r="B51" s="22" t="n">
        <v>0.3515788597695373</v>
      </c>
      <c r="C51" s="22" t="n">
        <v>0.3601121454143595</v>
      </c>
      <c r="D51" s="22" t="n">
        <v>0.3643490657020664</v>
      </c>
      <c r="E51" s="22" t="n">
        <v>0.2181310575782472</v>
      </c>
      <c r="F51" s="22" t="n">
        <v>0.3664321499636984</v>
      </c>
      <c r="G51" s="22" t="n">
        <v>0.4824446344779195</v>
      </c>
      <c r="H51" s="22" t="n">
        <v>0.3519890755225316</v>
      </c>
      <c r="I51" s="22" t="n">
        <v>0.5647462732185511</v>
      </c>
      <c r="J51" s="22" t="n">
        <v>0.3209527489931908</v>
      </c>
      <c r="K51" s="22" t="n">
        <v>0.2783994057876333</v>
      </c>
      <c r="L51" s="22" t="n">
        <v>0.2136347233132168</v>
      </c>
    </row>
    <row r="52">
      <c r="A52" s="10" t="n">
        <v>0.455</v>
      </c>
      <c r="B52" s="22" t="n">
        <v>0.3632708116070339</v>
      </c>
      <c r="C52" s="22" t="n">
        <v>0.3717953489023644</v>
      </c>
      <c r="D52" s="22" t="n">
        <v>0.3760793203665987</v>
      </c>
      <c r="E52" s="22" t="n">
        <v>0.2287231357021598</v>
      </c>
      <c r="F52" s="22" t="n">
        <v>0.3748728280850209</v>
      </c>
      <c r="G52" s="22" t="n">
        <v>0.495128820769197</v>
      </c>
      <c r="H52" s="22" t="n">
        <v>0.3662828896232901</v>
      </c>
      <c r="I52" s="22" t="n">
        <v>0.5767761883781053</v>
      </c>
      <c r="J52" s="22" t="n">
        <v>0.3340380685803298</v>
      </c>
      <c r="K52" s="22" t="n">
        <v>0.2905415669953042</v>
      </c>
      <c r="L52" s="22" t="n">
        <v>0.2247071621357291</v>
      </c>
    </row>
    <row r="53">
      <c r="A53" s="10" t="n">
        <v>0.465</v>
      </c>
      <c r="B53" s="22" t="n">
        <v>0.375060976764222</v>
      </c>
      <c r="C53" s="22" t="n">
        <v>0.3833750136527458</v>
      </c>
      <c r="D53" s="22" t="n">
        <v>0.3879188346806762</v>
      </c>
      <c r="E53" s="22" t="n">
        <v>0.2395358821203205</v>
      </c>
      <c r="F53" s="22" t="n">
        <v>0.3830768526305665</v>
      </c>
      <c r="G53" s="22" t="n">
        <v>0.5078130070604744</v>
      </c>
      <c r="H53" s="22" t="n">
        <v>0.3805767037240486</v>
      </c>
      <c r="I53" s="22" t="n">
        <v>0.5888061035376595</v>
      </c>
      <c r="J53" s="22" t="n">
        <v>0.3467385258266706</v>
      </c>
      <c r="K53" s="22" t="n">
        <v>0.3030118947221013</v>
      </c>
      <c r="L53" s="22" t="n">
        <v>0.2366456778379397</v>
      </c>
    </row>
    <row r="54">
      <c r="A54" s="10" t="n">
        <v>0.475</v>
      </c>
      <c r="B54" s="22" t="n">
        <v>0.3875377629417883</v>
      </c>
      <c r="C54" s="22" t="n">
        <v>0.3949886456049147</v>
      </c>
      <c r="D54" s="22" t="n">
        <v>0.4003538676189424</v>
      </c>
      <c r="E54" s="22" t="n">
        <v>0.2545847466904738</v>
      </c>
      <c r="F54" s="22" t="n">
        <v>0.3912808771761122</v>
      </c>
      <c r="G54" s="22" t="n">
        <v>0.5203258005862925</v>
      </c>
      <c r="H54" s="22" t="n">
        <v>0.3940314340569048</v>
      </c>
      <c r="I54" s="22" t="n">
        <v>0.6008360186972137</v>
      </c>
      <c r="J54" s="22" t="n">
        <v>0.3599854931352726</v>
      </c>
      <c r="K54" s="22" t="n">
        <v>0.3170185022117347</v>
      </c>
      <c r="L54" s="22" t="n">
        <v>0.2485841935401503</v>
      </c>
    </row>
    <row r="55">
      <c r="A55" s="10" t="n">
        <v>0.485</v>
      </c>
      <c r="B55" s="22" t="n">
        <v>0.4014410853185992</v>
      </c>
      <c r="C55" s="22" t="n">
        <v>0.4066275730150644</v>
      </c>
      <c r="D55" s="22" t="n">
        <v>0.4127889005572087</v>
      </c>
      <c r="E55" s="22" t="n">
        <v>0.2804572354872115</v>
      </c>
      <c r="F55" s="22" t="n">
        <v>0.3998759130155122</v>
      </c>
      <c r="G55" s="22" t="n">
        <v>0.5329164259120842</v>
      </c>
      <c r="H55" s="22" t="n">
        <v>0.4073479498754675</v>
      </c>
      <c r="I55" s="22" t="n">
        <v>0.6115074132248768</v>
      </c>
      <c r="J55" s="22" t="n">
        <v>0.3732193878624409</v>
      </c>
      <c r="K55" s="22" t="n">
        <v>0.3336564157452716</v>
      </c>
      <c r="L55" s="22" t="n">
        <v>0.2604771721928918</v>
      </c>
    </row>
    <row r="56">
      <c r="A56" s="10" t="n">
        <v>0.495</v>
      </c>
      <c r="B56" s="22" t="n">
        <v>0.41600620366176</v>
      </c>
      <c r="C56" s="22" t="n">
        <v>0.4182665004252141</v>
      </c>
      <c r="D56" s="22" t="n">
        <v>0.426156594901515</v>
      </c>
      <c r="E56" s="22" t="n">
        <v>0.3063297242839493</v>
      </c>
      <c r="F56" s="22" t="n">
        <v>0.4091890049978781</v>
      </c>
      <c r="G56" s="22" t="n">
        <v>0.5452333419916631</v>
      </c>
      <c r="H56" s="22" t="n">
        <v>0.4203140310672258</v>
      </c>
      <c r="I56" s="22" t="n">
        <v>0.6216253363839915</v>
      </c>
      <c r="J56" s="22" t="n">
        <v>0.3868543097025538</v>
      </c>
      <c r="K56" s="22" t="n">
        <v>0.3502943292788085</v>
      </c>
      <c r="L56" s="22" t="n">
        <v>0.2774514362320919</v>
      </c>
    </row>
    <row r="57">
      <c r="A57" s="10" t="n">
        <v>0.505</v>
      </c>
      <c r="B57" s="22" t="n">
        <v>0.4304921876258179</v>
      </c>
      <c r="C57" s="22" t="n">
        <v>0.4316094627521021</v>
      </c>
      <c r="D57" s="22" t="n">
        <v>0.4409391197112428</v>
      </c>
      <c r="E57" s="22" t="n">
        <v>0.3257340908815026</v>
      </c>
      <c r="F57" s="22" t="n">
        <v>0.4172766901404589</v>
      </c>
      <c r="G57" s="22" t="n">
        <v>0.5559080025939648</v>
      </c>
      <c r="H57" s="22" t="n">
        <v>0.4371348931538312</v>
      </c>
      <c r="I57" s="22" t="n">
        <v>0.6322757818146386</v>
      </c>
      <c r="J57" s="22" t="n">
        <v>0.4061036111238896</v>
      </c>
      <c r="K57" s="22" t="n">
        <v>0.3664944029825156</v>
      </c>
      <c r="L57" s="22" t="n">
        <v>0.291941661631409</v>
      </c>
    </row>
    <row r="58">
      <c r="A58" s="10" t="n">
        <v>0.515</v>
      </c>
      <c r="B58" s="22" t="n">
        <v>0.4448527836510078</v>
      </c>
      <c r="C58" s="22" t="n">
        <v>0.4451759730325708</v>
      </c>
      <c r="D58" s="22" t="n">
        <v>0.4574919419018377</v>
      </c>
      <c r="E58" s="22" t="n">
        <v>0.3386703352798714</v>
      </c>
      <c r="F58" s="22" t="n">
        <v>0.4241389684432548</v>
      </c>
      <c r="G58" s="22" t="n">
        <v>0.5649404077189893</v>
      </c>
      <c r="H58" s="22" t="n">
        <v>0.4571096668816752</v>
      </c>
      <c r="I58" s="22" t="n">
        <v>0.6437250106525843</v>
      </c>
      <c r="J58" s="22" t="n">
        <v>0.4301652379005593</v>
      </c>
      <c r="K58" s="22" t="n">
        <v>0.3831323165160525</v>
      </c>
      <c r="L58" s="22" t="n">
        <v>0.3035338419508627</v>
      </c>
    </row>
    <row r="59">
      <c r="A59" s="10" t="n">
        <v>0.525</v>
      </c>
      <c r="B59" s="22" t="n">
        <v>0.4589356030481272</v>
      </c>
      <c r="C59" s="22" t="n">
        <v>0.458751121133305</v>
      </c>
      <c r="D59" s="22" t="n">
        <v>0.4768225164558272</v>
      </c>
      <c r="E59" s="22" t="n">
        <v>0.3521455898615057</v>
      </c>
      <c r="F59" s="22" t="n">
        <v>0.4317807298845222</v>
      </c>
      <c r="G59" s="22" t="n">
        <v>0.5742465220902268</v>
      </c>
      <c r="H59" s="22" t="n">
        <v>0.4756661528724055</v>
      </c>
      <c r="I59" s="22" t="n">
        <v>0.6547048762650426</v>
      </c>
      <c r="J59" s="22" t="n">
        <v>0.448345544459345</v>
      </c>
      <c r="K59" s="22" t="n">
        <v>0.3997702300495894</v>
      </c>
      <c r="L59" s="22" t="n">
        <v>0.3159636289233768</v>
      </c>
    </row>
    <row r="60">
      <c r="A60" s="10" t="n">
        <v>0.535</v>
      </c>
      <c r="B60" s="22" t="n">
        <v>0.4736423431901317</v>
      </c>
      <c r="C60" s="22" t="n">
        <v>0.4729637888703117</v>
      </c>
      <c r="D60" s="22" t="n">
        <v>0.4957015889362425</v>
      </c>
      <c r="E60" s="22" t="n">
        <v>0.3650818342598746</v>
      </c>
      <c r="F60" s="22" t="n">
        <v>0.4436307580454531</v>
      </c>
      <c r="G60" s="22" t="n">
        <v>0.5835526364614642</v>
      </c>
      <c r="H60" s="22" t="n">
        <v>0.4924539164992178</v>
      </c>
      <c r="I60" s="22" t="n">
        <v>0.6657174356100878</v>
      </c>
      <c r="J60" s="22" t="n">
        <v>0.4650555209636596</v>
      </c>
      <c r="K60" s="22" t="n">
        <v>0.4182202042441863</v>
      </c>
      <c r="L60" s="22" t="n">
        <v>0.3320646177425837</v>
      </c>
    </row>
    <row r="61">
      <c r="A61" s="10" t="n">
        <v>0.545</v>
      </c>
      <c r="B61" s="22" t="n">
        <v>0.4886988375303633</v>
      </c>
      <c r="C61" s="22" t="n">
        <v>0.4872815161945491</v>
      </c>
      <c r="D61" s="22" t="n">
        <v>0.5126906385126567</v>
      </c>
      <c r="E61" s="22" t="n">
        <v>0.3785570888415088</v>
      </c>
      <c r="F61" s="22" t="n">
        <v>0.4559040014978459</v>
      </c>
      <c r="G61" s="22" t="n">
        <v>0.5939229918631707</v>
      </c>
      <c r="H61" s="22" t="n">
        <v>0.5095414616193661</v>
      </c>
      <c r="I61" s="22" t="n">
        <v>0.6764738889238529</v>
      </c>
      <c r="J61" s="22" t="n">
        <v>0.4817654974679742</v>
      </c>
      <c r="K61" s="22" t="n">
        <v>0.4398873071103004</v>
      </c>
      <c r="L61" s="22" t="n">
        <v>0.3481656065617906</v>
      </c>
    </row>
    <row r="62">
      <c r="A62" s="10" t="n">
        <v>0.555</v>
      </c>
      <c r="B62" s="22" t="n">
        <v>0.5037282632418655</v>
      </c>
      <c r="C62" s="22" t="n">
        <v>0.5013146134446976</v>
      </c>
      <c r="D62" s="22" t="n">
        <v>0.529325749556229</v>
      </c>
      <c r="E62" s="22" t="n">
        <v>0.392032343423143</v>
      </c>
      <c r="F62" s="22" t="n">
        <v>0.4677540296587768</v>
      </c>
      <c r="G62" s="22" t="n">
        <v>0.6060125058525581</v>
      </c>
      <c r="H62" s="22" t="n">
        <v>0.5263292252461784</v>
      </c>
      <c r="I62" s="22" t="n">
        <v>0.687486448268898</v>
      </c>
      <c r="J62" s="22" t="n">
        <v>0.4982438894518378</v>
      </c>
      <c r="K62" s="22" t="n">
        <v>0.4615544099764146</v>
      </c>
      <c r="L62" s="22" t="n">
        <v>0.3637113888699904</v>
      </c>
    </row>
    <row r="63">
      <c r="A63" s="10" t="n">
        <v>0.5649999999999999</v>
      </c>
      <c r="B63" s="22" t="n">
        <v>0.5186677719789842</v>
      </c>
      <c r="C63" s="22" t="n">
        <v>0.5149551373845829</v>
      </c>
      <c r="D63" s="22" t="n">
        <v>0.5451326048702431</v>
      </c>
      <c r="E63" s="22" t="n">
        <v>0.4065927057729538</v>
      </c>
      <c r="F63" s="22" t="n">
        <v>0.4800272731111696</v>
      </c>
      <c r="G63" s="22" t="n">
        <v>0.6181020198419455</v>
      </c>
      <c r="H63" s="22" t="n">
        <v>0.5419807409731179</v>
      </c>
      <c r="I63" s="22" t="n">
        <v>0.6981115791937643</v>
      </c>
      <c r="J63" s="22" t="n">
        <v>0.514374904655025</v>
      </c>
      <c r="K63" s="22" t="n">
        <v>0.4832215128425288</v>
      </c>
      <c r="L63" s="22" t="n">
        <v>0.3798123776891973</v>
      </c>
    </row>
    <row r="64">
      <c r="A64" s="10" t="n">
        <v>0.575</v>
      </c>
      <c r="B64" s="22" t="n">
        <v>0.5336634029123549</v>
      </c>
      <c r="C64" s="22" t="n">
        <v>0.529588131763104</v>
      </c>
      <c r="D64" s="22" t="n">
        <v>0.5599156115693884</v>
      </c>
      <c r="E64" s="22" t="n">
        <v>0.4241282552331926</v>
      </c>
      <c r="F64" s="22" t="n">
        <v>0.4915037574376095</v>
      </c>
      <c r="G64" s="22" t="n">
        <v>0.6301915338313329</v>
      </c>
      <c r="H64" s="22" t="n">
        <v>0.5560366684853808</v>
      </c>
      <c r="I64" s="22" t="n">
        <v>0.7089715206273867</v>
      </c>
      <c r="J64" s="22" t="n">
        <v>0.5305059198582122</v>
      </c>
      <c r="K64" s="22" t="n">
        <v>0.5043184287911137</v>
      </c>
      <c r="L64" s="22" t="n">
        <v>0.3973315239684493</v>
      </c>
    </row>
    <row r="65">
      <c r="A65" s="10" t="n">
        <v>0.585</v>
      </c>
      <c r="B65" s="22" t="n">
        <v>0.5487696939230288</v>
      </c>
      <c r="C65" s="22" t="n">
        <v>0.5451135573334905</v>
      </c>
      <c r="D65" s="22" t="n">
        <v>0.5749476023788667</v>
      </c>
      <c r="E65" s="22" t="n">
        <v>0.4416638046934315</v>
      </c>
      <c r="F65" s="22" t="n">
        <v>0.5025733596455313</v>
      </c>
      <c r="G65" s="22" t="n">
        <v>0.6419254738798559</v>
      </c>
      <c r="H65" s="22" t="n">
        <v>0.5698460007781304</v>
      </c>
      <c r="I65" s="22" t="n">
        <v>0.7195789052834829</v>
      </c>
      <c r="J65" s="22" t="n">
        <v>0.5464201857372418</v>
      </c>
      <c r="K65" s="22" t="n">
        <v>0.5259855316572278</v>
      </c>
      <c r="L65" s="22" t="n">
        <v>0.4164871616294911</v>
      </c>
    </row>
    <row r="66">
      <c r="A66" s="10" t="n">
        <v>0.595</v>
      </c>
      <c r="B66" s="22" t="n">
        <v>0.5635381575122956</v>
      </c>
      <c r="C66" s="22" t="n">
        <v>0.5605722453523161</v>
      </c>
      <c r="D66" s="22" t="n">
        <v>0.5894738796185537</v>
      </c>
      <c r="E66" s="22" t="n">
        <v>0.4584979321752609</v>
      </c>
      <c r="F66" s="22" t="n">
        <v>0.5132612514324901</v>
      </c>
      <c r="G66" s="22" t="n">
        <v>0.6540149878692433</v>
      </c>
      <c r="H66" s="22" t="n">
        <v>0.5839019282903933</v>
      </c>
      <c r="I66" s="22" t="n">
        <v>0.7304388467171052</v>
      </c>
      <c r="J66" s="22" t="n">
        <v>0.5606933495905075</v>
      </c>
      <c r="K66" s="22" t="n">
        <v>0.5461398938257606</v>
      </c>
      <c r="L66" s="22" t="n">
        <v>0.4363269292069986</v>
      </c>
    </row>
    <row r="67">
      <c r="A67" s="10" t="n">
        <v>0.605</v>
      </c>
      <c r="B67" s="22" t="n">
        <v>0.578538336729385</v>
      </c>
      <c r="C67" s="22" t="n">
        <v>0.5759617254137034</v>
      </c>
      <c r="D67" s="22" t="n">
        <v>0.6042623141309095</v>
      </c>
      <c r="E67" s="22" t="n">
        <v>0.4760334816354997</v>
      </c>
      <c r="F67" s="22" t="n">
        <v>0.5243308536404119</v>
      </c>
      <c r="G67" s="22" t="n">
        <v>0.6661045018586307</v>
      </c>
      <c r="H67" s="22" t="n">
        <v>0.5981352533837285</v>
      </c>
      <c r="I67" s="22" t="n">
        <v>0.7427445386950844</v>
      </c>
      <c r="J67" s="22" t="n">
        <v>0.5747286273795522</v>
      </c>
      <c r="K67" s="22" t="n">
        <v>0.5655407065679662</v>
      </c>
      <c r="L67" s="22" t="n">
        <v>0.4561666967845062</v>
      </c>
    </row>
    <row r="68">
      <c r="A68" s="10" t="n">
        <v>0.615</v>
      </c>
      <c r="B68" s="22" t="n">
        <v>0.5934513644852282</v>
      </c>
      <c r="C68" s="22" t="n">
        <v>0.5917568652640224</v>
      </c>
      <c r="D68" s="22" t="n">
        <v>0.6183476142857458</v>
      </c>
      <c r="E68" s="22" t="n">
        <v>0.4928676091173291</v>
      </c>
      <c r="F68" s="22" t="n">
        <v>0.5350187454273707</v>
      </c>
      <c r="G68" s="22" t="n">
        <v>0.6781940158480181</v>
      </c>
      <c r="H68" s="22" t="n">
        <v>0.6121432709672791</v>
      </c>
      <c r="I68" s="22" t="n">
        <v>0.755578188637922</v>
      </c>
      <c r="J68" s="22" t="n">
        <v>0.5890017912328179</v>
      </c>
      <c r="K68" s="22" t="n">
        <v>0.5854658656005016</v>
      </c>
      <c r="L68" s="22" t="n">
        <v>0.4760064643620137</v>
      </c>
    </row>
    <row r="69">
      <c r="A69" s="10" t="n">
        <v>0.625</v>
      </c>
      <c r="B69" s="22" t="n">
        <v>0.6081894577768712</v>
      </c>
      <c r="C69" s="22" t="n">
        <v>0.6076363947805093</v>
      </c>
      <c r="D69" s="22" t="n">
        <v>0.6327326016779191</v>
      </c>
      <c r="E69" s="22" t="n">
        <v>0.5104031585775679</v>
      </c>
      <c r="F69" s="22" t="n">
        <v>0.5454895677360696</v>
      </c>
      <c r="G69" s="22" t="n">
        <v>0.6912118350923019</v>
      </c>
      <c r="H69" s="22" t="n">
        <v>0.6264014317219644</v>
      </c>
      <c r="I69" s="22" t="n">
        <v>0.7681133816053448</v>
      </c>
      <c r="J69" s="22" t="n">
        <v>0.6027029105295625</v>
      </c>
      <c r="K69" s="22" t="n">
        <v>0.6053910246330371</v>
      </c>
      <c r="L69" s="22" t="n">
        <v>0.49348254295016</v>
      </c>
    </row>
    <row r="70">
      <c r="A70" s="10" t="n">
        <v>0.635</v>
      </c>
      <c r="B70" s="22" t="n">
        <v>0.6230022605798328</v>
      </c>
      <c r="C70" s="22" t="n">
        <v>0.6230506296774008</v>
      </c>
      <c r="D70" s="22" t="n">
        <v>0.6470727478659015</v>
      </c>
      <c r="E70" s="22" t="n">
        <v>0.5279387080378067</v>
      </c>
      <c r="F70" s="22" t="n">
        <v>0.5553790863240647</v>
      </c>
      <c r="G70" s="22" t="n">
        <v>0.7059315473038957</v>
      </c>
      <c r="H70" s="22" t="n">
        <v>0.6404094493055149</v>
      </c>
      <c r="I70" s="22" t="n">
        <v>0.7809470315481825</v>
      </c>
      <c r="J70" s="22" t="n">
        <v>0.6161588678735123</v>
      </c>
      <c r="K70" s="22" t="n">
        <v>0.6253161836655725</v>
      </c>
      <c r="L70" s="22" t="n">
        <v>0.5111083462952144</v>
      </c>
    </row>
    <row r="71">
      <c r="A71" s="10" t="n">
        <v>0.645</v>
      </c>
      <c r="B71" s="22" t="n">
        <v>0.6377771654501863</v>
      </c>
      <c r="C71" s="22" t="n">
        <v>0.6382094080490854</v>
      </c>
      <c r="D71" s="22" t="n">
        <v>0.6618175178931045</v>
      </c>
      <c r="E71" s="22" t="n">
        <v>0.5447728355196361</v>
      </c>
      <c r="F71" s="22" t="n">
        <v>0.5656218020044883</v>
      </c>
      <c r="G71" s="22" t="n">
        <v>0.7206512595154896</v>
      </c>
      <c r="H71" s="22" t="n">
        <v>0.654420565816842</v>
      </c>
      <c r="I71" s="22" t="n">
        <v>0.7937040275840597</v>
      </c>
      <c r="J71" s="22" t="n">
        <v>0.629614825217462</v>
      </c>
      <c r="K71" s="22" t="n">
        <v>0.6447169964077781</v>
      </c>
      <c r="L71" s="22" t="n">
        <v>0.5287341496402688</v>
      </c>
    </row>
    <row r="72">
      <c r="A72" s="10" t="n">
        <v>0.655</v>
      </c>
      <c r="B72" s="22" t="n">
        <v>0.6529628287677767</v>
      </c>
      <c r="C72" s="22" t="n">
        <v>0.6539027235010046</v>
      </c>
      <c r="D72" s="22" t="n">
        <v>0.6766100801569694</v>
      </c>
      <c r="E72" s="22" t="n">
        <v>0.5623083849798749</v>
      </c>
      <c r="F72" s="22" t="n">
        <v>0.5755113205924834</v>
      </c>
      <c r="G72" s="22" t="n">
        <v>0.7349380390149778</v>
      </c>
      <c r="H72" s="22" t="n">
        <v>0.6683913485741515</v>
      </c>
      <c r="I72" s="22" t="n">
        <v>0.8067647616207911</v>
      </c>
      <c r="J72" s="22" t="n">
        <v>0.6434525266518063</v>
      </c>
      <c r="K72" s="22" t="n">
        <v>0.6675751979841681</v>
      </c>
      <c r="L72" s="22" t="n">
        <v>0.5463599529853231</v>
      </c>
    </row>
    <row r="73">
      <c r="A73" s="10" t="n">
        <v>0.665</v>
      </c>
      <c r="B73" s="22" t="n">
        <v>0.6683311429135116</v>
      </c>
      <c r="C73" s="22" t="n">
        <v>0.6688460320775657</v>
      </c>
      <c r="D73" s="22" t="n">
        <v>0.6922516289940133</v>
      </c>
      <c r="E73" s="22" t="n">
        <v>0.5798439344401137</v>
      </c>
      <c r="F73" s="22" t="n">
        <v>0.585754036272907</v>
      </c>
      <c r="G73" s="22" t="n">
        <v>0.7496577512265716</v>
      </c>
      <c r="H73" s="22" t="n">
        <v>0.6821170298795783</v>
      </c>
      <c r="I73" s="22" t="n">
        <v>0.8195217576566683</v>
      </c>
      <c r="J73" s="22" t="n">
        <v>0.6581809642970712</v>
      </c>
      <c r="K73" s="22" t="n">
        <v>0.6908777999459905</v>
      </c>
      <c r="L73" s="22" t="n">
        <v>0.5633214036259132</v>
      </c>
    </row>
    <row r="74">
      <c r="A74" s="10" t="n">
        <v>0.675</v>
      </c>
      <c r="B74" s="22" t="n">
        <v>0.6835718523414694</v>
      </c>
      <c r="C74" s="22" t="n">
        <v>0.6823665928929309</v>
      </c>
      <c r="D74" s="22" t="n">
        <v>0.7075941053320971</v>
      </c>
      <c r="E74" s="22" t="n">
        <v>0.5966780619219431</v>
      </c>
      <c r="F74" s="22" t="n">
        <v>0.5966978039561655</v>
      </c>
      <c r="G74" s="22" t="n">
        <v>0.7643774634381655</v>
      </c>
      <c r="H74" s="22" t="n">
        <v>0.6960878126368878</v>
      </c>
      <c r="I74" s="22" t="n">
        <v>0.8325824916933998</v>
      </c>
      <c r="J74" s="22" t="n">
        <v>0.6729094019423361</v>
      </c>
      <c r="K74" s="22" t="n">
        <v>0.7135671755403966</v>
      </c>
      <c r="L74" s="22" t="n">
        <v>0.5793067818865585</v>
      </c>
    </row>
    <row r="75">
      <c r="A75" s="10" t="n">
        <v>0.6850000000000001</v>
      </c>
      <c r="B75" s="22" t="n">
        <v>0.6990963245431306</v>
      </c>
      <c r="C75" s="22" t="n">
        <v>0.6959531018780091</v>
      </c>
      <c r="D75" s="22" t="n">
        <v>0.7245217230561087</v>
      </c>
      <c r="E75" s="22" t="n">
        <v>0.6114363447241919</v>
      </c>
      <c r="F75" s="22" t="n">
        <v>0.6080728612574273</v>
      </c>
      <c r="G75" s="22" t="n">
        <v>0.7790971756497593</v>
      </c>
      <c r="H75" s="22" t="n">
        <v>0.7138910245201691</v>
      </c>
      <c r="I75" s="22" t="n">
        <v>0.8435731628128612</v>
      </c>
      <c r="J75" s="22" t="n">
        <v>0.6878303936913428</v>
      </c>
      <c r="K75" s="22" t="n">
        <v>0.736869777502219</v>
      </c>
      <c r="L75" s="22" t="n">
        <v>0.5952921601472038</v>
      </c>
    </row>
    <row r="76">
      <c r="A76" s="10" t="n">
        <v>0.695</v>
      </c>
      <c r="B76" s="22" t="n">
        <v>0.7143715339580932</v>
      </c>
      <c r="C76" s="22" t="n">
        <v>0.709594574590637</v>
      </c>
      <c r="D76" s="22" t="n">
        <v>0.7410966820775369</v>
      </c>
      <c r="E76" s="22" t="n">
        <v>0.623509443649467</v>
      </c>
      <c r="F76" s="22" t="n">
        <v>0.6190556752034733</v>
      </c>
      <c r="G76" s="22" t="n">
        <v>0.7935269265225849</v>
      </c>
      <c r="H76" s="22" t="n">
        <v>0.7313818993528665</v>
      </c>
      <c r="I76" s="22" t="n">
        <v>0.8548255165780241</v>
      </c>
      <c r="J76" s="22" t="n">
        <v>0.7042092950829664</v>
      </c>
      <c r="K76" s="22" t="n">
        <v>0.7601723794640415</v>
      </c>
      <c r="L76" s="22" t="n">
        <v>0.611277538407849</v>
      </c>
    </row>
    <row r="77">
      <c r="A77" s="10" t="n">
        <v>0.705</v>
      </c>
      <c r="B77" s="22" t="n">
        <v>0.7295165867372656</v>
      </c>
      <c r="C77" s="22" t="n">
        <v>0.7228814244018886</v>
      </c>
      <c r="D77" s="22" t="n">
        <v>0.7597573676990619</v>
      </c>
      <c r="E77" s="22" t="n">
        <v>0.6360855883632952</v>
      </c>
      <c r="F77" s="22" t="n">
        <v>0.6304307325047351</v>
      </c>
      <c r="G77" s="22" t="n">
        <v>0.8049604102281381</v>
      </c>
      <c r="H77" s="22" t="n">
        <v>0.7491851112361477</v>
      </c>
      <c r="I77" s="22" t="n">
        <v>0.8658161876974855</v>
      </c>
      <c r="J77" s="22" t="n">
        <v>0.7205881964745899</v>
      </c>
      <c r="K77" s="22" t="n">
        <v>0.7824397785035568</v>
      </c>
      <c r="L77" s="22" t="n">
        <v>0.626711696728472</v>
      </c>
    </row>
    <row r="78">
      <c r="A78" s="10" t="n">
        <v>0.715</v>
      </c>
      <c r="B78" s="22" t="n">
        <v>0.7431550445962338</v>
      </c>
      <c r="C78" s="22" t="n">
        <v>0.735835469585736</v>
      </c>
      <c r="D78" s="22" t="n">
        <v>0.7787280382258761</v>
      </c>
      <c r="E78" s="22" t="n">
        <v>0.6486617330771234</v>
      </c>
      <c r="F78" s="22" t="n">
        <v>0.6406165042682624</v>
      </c>
      <c r="G78" s="22" t="n">
        <v>0.816057615001175</v>
      </c>
      <c r="H78" s="22" t="n">
        <v>0.7666759860688451</v>
      </c>
      <c r="I78" s="22" t="n">
        <v>0.8767871875976916</v>
      </c>
      <c r="J78" s="22" t="n">
        <v>0.7369670978662135</v>
      </c>
      <c r="K78" s="22" t="n">
        <v>0.7923616513895086</v>
      </c>
      <c r="L78" s="22" t="n">
        <v>0.6418632269484373</v>
      </c>
    </row>
    <row r="79">
      <c r="A79" s="10" t="n">
        <v>0.725</v>
      </c>
      <c r="B79" s="22" t="n">
        <v>0.7575691066406468</v>
      </c>
      <c r="C79" s="22" t="n">
        <v>0.7481541949252156</v>
      </c>
      <c r="D79" s="22" t="n">
        <v>0.7990487153906587</v>
      </c>
      <c r="E79" s="22" t="n">
        <v>0.6607348320023985</v>
      </c>
      <c r="F79" s="22" t="n">
        <v>0.6473687169109161</v>
      </c>
      <c r="G79" s="22" t="n">
        <v>0.8274910987067282</v>
      </c>
      <c r="H79" s="22" t="n">
        <v>0.7939805820488139</v>
      </c>
      <c r="I79" s="22" t="n">
        <v>0.8854144862515164</v>
      </c>
      <c r="J79" s="22" t="n">
        <v>0.7563935800137583</v>
      </c>
      <c r="K79" s="22" t="n">
        <v>0.8025516830021079</v>
      </c>
      <c r="L79" s="22" t="n">
        <v>0.655161761522447</v>
      </c>
    </row>
    <row r="80">
      <c r="A80" s="10" t="n">
        <v>0.735</v>
      </c>
      <c r="B80" s="22" t="n">
        <v>0.7721259391058428</v>
      </c>
      <c r="C80" s="22" t="n">
        <v>0.7604401717234344</v>
      </c>
      <c r="D80" s="22" t="n">
        <v>0.8194110242670098</v>
      </c>
      <c r="E80" s="22" t="n">
        <v>0.6738140225047798</v>
      </c>
      <c r="F80" s="22" t="n">
        <v>0.6552851041471308</v>
      </c>
      <c r="G80" s="22" t="n">
        <v>0.8385883034797651</v>
      </c>
      <c r="H80" s="22" t="n">
        <v>0.8185628178595038</v>
      </c>
      <c r="I80" s="22" t="n">
        <v>0.8942471967780514</v>
      </c>
      <c r="J80" s="22" t="n">
        <v>0.7753056413648165</v>
      </c>
      <c r="K80" s="22" t="n">
        <v>0.8132780320680018</v>
      </c>
      <c r="L80" s="22" t="n">
        <v>0.6702945767273545</v>
      </c>
    </row>
    <row r="81">
      <c r="A81" s="10" t="n">
        <v>0.745</v>
      </c>
      <c r="B81" s="22" t="n">
        <v>0.7860129284041959</v>
      </c>
      <c r="C81" s="22" t="n">
        <v>0.7726943658049488</v>
      </c>
      <c r="D81" s="22" t="n">
        <v>0.8337571964298937</v>
      </c>
      <c r="E81" s="22" t="n">
        <v>0.6904145335270331</v>
      </c>
      <c r="F81" s="22" t="n">
        <v>0.6687178712269565</v>
      </c>
      <c r="G81" s="22" t="n">
        <v>0.8486766714552532</v>
      </c>
      <c r="H81" s="22" t="n">
        <v>0.8306129334529793</v>
      </c>
      <c r="I81" s="22" t="n">
        <v>0.9039015547954269</v>
      </c>
      <c r="J81" s="22" t="n">
        <v>0.7869967338363797</v>
      </c>
      <c r="K81" s="22" t="n">
        <v>0.8264178096737218</v>
      </c>
      <c r="L81" s="22" t="n">
        <v>0.6941402249290269</v>
      </c>
    </row>
    <row r="82">
      <c r="A82" s="10" t="n">
        <v>0.755</v>
      </c>
      <c r="B82" s="22" t="n">
        <v>0.7986144994585127</v>
      </c>
      <c r="C82" s="22" t="n">
        <v>0.7852118145423302</v>
      </c>
      <c r="D82" s="22" t="n">
        <v>0.8480776075723293</v>
      </c>
      <c r="E82" s="22" t="n">
        <v>0.7065119987607332</v>
      </c>
      <c r="F82" s="22" t="n">
        <v>0.6781205694867788</v>
      </c>
      <c r="G82" s="22" t="n">
        <v>0.8587650394307412</v>
      </c>
      <c r="H82" s="22" t="n">
        <v>0.8431450536701937</v>
      </c>
      <c r="I82" s="22" t="n">
        <v>0.9125602506724911</v>
      </c>
      <c r="J82" s="22" t="n">
        <v>0.7986878263079429</v>
      </c>
      <c r="K82" s="22" t="n">
        <v>0.8398257460060892</v>
      </c>
      <c r="L82" s="22" t="n">
        <v>0.7110908461836072</v>
      </c>
    </row>
    <row r="83">
      <c r="A83" s="10" t="n">
        <v>0.765</v>
      </c>
      <c r="B83" s="22" t="n">
        <v>0.8103875601208098</v>
      </c>
      <c r="C83" s="22" t="n">
        <v>0.7978361105322764</v>
      </c>
      <c r="D83" s="22" t="n">
        <v>0.8609093033555356</v>
      </c>
      <c r="E83" s="22" t="n">
        <v>0.7231125097829865</v>
      </c>
      <c r="F83" s="22" t="n">
        <v>0.6873665561089375</v>
      </c>
      <c r="G83" s="22" t="n">
        <v>0.8688534074062293</v>
      </c>
      <c r="H83" s="22" t="n">
        <v>0.8551951692636691</v>
      </c>
      <c r="I83" s="22" t="n">
        <v>0.9188720286473931</v>
      </c>
      <c r="J83" s="22" t="n">
        <v>0.8100890654164381</v>
      </c>
      <c r="K83" s="22" t="n">
        <v>0.8511970142344228</v>
      </c>
      <c r="L83" s="22" t="n">
        <v>0.7269675478841576</v>
      </c>
    </row>
    <row r="84">
      <c r="A84" s="10" t="n">
        <v>0.775</v>
      </c>
      <c r="B84" s="22" t="n">
        <v>0.8224978483250251</v>
      </c>
      <c r="C84" s="22" t="n">
        <v>0.8107497802758143</v>
      </c>
      <c r="D84" s="22" t="n">
        <v>0.8737409991387419</v>
      </c>
      <c r="E84" s="22" t="n">
        <v>0.7397130208052397</v>
      </c>
      <c r="F84" s="22" t="n">
        <v>0.698164042148375</v>
      </c>
      <c r="G84" s="22" t="n">
        <v>0.8789417753817174</v>
      </c>
      <c r="H84" s="22" t="n">
        <v>0.8672452848571446</v>
      </c>
      <c r="I84" s="22" t="n">
        <v>0.925049513473893</v>
      </c>
      <c r="J84" s="22" t="n">
        <v>0.8226981969516265</v>
      </c>
      <c r="K84" s="22" t="n">
        <v>0.8623943138450573</v>
      </c>
      <c r="L84" s="22" t="n">
        <v>0.7433951946221082</v>
      </c>
    </row>
    <row r="85">
      <c r="A85" s="10" t="n">
        <v>0.785</v>
      </c>
      <c r="B85" s="22" t="n">
        <v>0.834367762620647</v>
      </c>
      <c r="C85" s="22" t="n">
        <v>0.8243470153733169</v>
      </c>
      <c r="D85" s="22" t="n">
        <v>0.8865726949219482</v>
      </c>
      <c r="E85" s="22" t="n">
        <v>0.7548729274245117</v>
      </c>
      <c r="F85" s="22" t="n">
        <v>0.7091609325789867</v>
      </c>
      <c r="G85" s="22" t="n">
        <v>0.8873731435191274</v>
      </c>
      <c r="H85" s="22" t="n">
        <v>0.8777261597183725</v>
      </c>
      <c r="I85" s="22" t="n">
        <v>0.931361291448795</v>
      </c>
      <c r="J85" s="22" t="n">
        <v>0.8353073284868149</v>
      </c>
      <c r="K85" s="22" t="n">
        <v>0.8733676674634789</v>
      </c>
      <c r="L85" s="22" t="n">
        <v>0.7621368105171391</v>
      </c>
    </row>
    <row r="86">
      <c r="A86" s="10" t="n">
        <v>0.795</v>
      </c>
      <c r="B86" s="22" t="n">
        <v>0.8455905951160205</v>
      </c>
      <c r="C86" s="22" t="n">
        <v>0.8376382442462406</v>
      </c>
      <c r="D86" s="22" t="n">
        <v>0.8969966732657921</v>
      </c>
      <c r="E86" s="22" t="n">
        <v>0.7697545809869802</v>
      </c>
      <c r="F86" s="22" t="n">
        <v>0.720948260203949</v>
      </c>
      <c r="G86" s="22" t="n">
        <v>0.893910797555877</v>
      </c>
      <c r="H86" s="22" t="n">
        <v>0.8871197984710921</v>
      </c>
      <c r="I86" s="22" t="n">
        <v>0.9369418092511318</v>
      </c>
      <c r="J86" s="22" t="n">
        <v>0.8475456032121448</v>
      </c>
      <c r="K86" s="22" t="n">
        <v>0.8845649670741134</v>
      </c>
      <c r="L86" s="22" t="n">
        <v>0.78087842641217</v>
      </c>
    </row>
    <row r="87">
      <c r="A87" s="10" t="n">
        <v>0.805</v>
      </c>
      <c r="B87" s="22" t="n">
        <v>0.8565091477830548</v>
      </c>
      <c r="C87" s="22" t="n">
        <v>0.8504672683292638</v>
      </c>
      <c r="D87" s="22" t="n">
        <v>0.906718400689822</v>
      </c>
      <c r="E87" s="22" t="n">
        <v>0.784185275350586</v>
      </c>
      <c r="F87" s="22" t="n">
        <v>0.7329634050355914</v>
      </c>
      <c r="G87" s="22" t="n">
        <v>0.9002305297914015</v>
      </c>
      <c r="H87" s="22" t="n">
        <v>0.8961521434256302</v>
      </c>
      <c r="I87" s="22" t="n">
        <v>0.9421449024482735</v>
      </c>
      <c r="J87" s="22" t="n">
        <v>0.8601547347473332</v>
      </c>
      <c r="K87" s="22" t="n">
        <v>0.8940560884524289</v>
      </c>
      <c r="L87" s="22" t="n">
        <v>0.7999017471755104</v>
      </c>
    </row>
    <row r="88">
      <c r="A88" s="10" t="n">
        <v>0.8149999999999999</v>
      </c>
      <c r="B88" s="22" t="n">
        <v>0.8674868247591326</v>
      </c>
      <c r="C88" s="22" t="n">
        <v>0.8629531504817051</v>
      </c>
      <c r="D88" s="22" t="n">
        <v>0.9164401281138519</v>
      </c>
      <c r="E88" s="22" t="n">
        <v>0.7990669289130545</v>
      </c>
      <c r="F88" s="22" t="n">
        <v>0.746048436972111</v>
      </c>
      <c r="G88" s="22" t="n">
        <v>0.9067681838281511</v>
      </c>
      <c r="H88" s="22" t="n">
        <v>0.9051844883801683</v>
      </c>
      <c r="I88" s="22" t="n">
        <v>0.9472372915348378</v>
      </c>
      <c r="J88" s="22" t="n">
        <v>0.8727638662825216</v>
      </c>
      <c r="K88" s="22" t="n">
        <v>0.9015478074627978</v>
      </c>
      <c r="L88" s="22" t="n">
        <v>0.8196551894053028</v>
      </c>
    </row>
    <row r="89">
      <c r="A89" s="10" t="n">
        <v>0.825</v>
      </c>
      <c r="B89" s="22" t="n">
        <v>0.8785262853666991</v>
      </c>
      <c r="C89" s="22" t="n">
        <v>0.8754390326341464</v>
      </c>
      <c r="D89" s="22" t="n">
        <v>0.9258052420812866</v>
      </c>
      <c r="E89" s="22" t="n">
        <v>0.8134976232766603</v>
      </c>
      <c r="F89" s="22" t="n">
        <v>0.7609029259346484</v>
      </c>
      <c r="G89" s="22" t="n">
        <v>0.9133058378649006</v>
      </c>
      <c r="H89" s="22" t="n">
        <v>0.9142168333347064</v>
      </c>
      <c r="I89" s="22" t="n">
        <v>0.9523954380239774</v>
      </c>
      <c r="J89" s="22" t="n">
        <v>0.8850021410078515</v>
      </c>
      <c r="K89" s="22" t="n">
        <v>0.9088896920929593</v>
      </c>
      <c r="L89" s="22" t="n">
        <v>0.8393460535208292</v>
      </c>
    </row>
    <row r="90">
      <c r="A90" s="10" t="n">
        <v>0.835</v>
      </c>
      <c r="B90" s="22" t="n">
        <v>0.8885751708776746</v>
      </c>
      <c r="C90" s="22" t="n">
        <v>0.8871205745082822</v>
      </c>
      <c r="D90" s="22" t="n">
        <v>0.9327632152167031</v>
      </c>
      <c r="E90" s="22" t="n">
        <v>0.8283792768391288</v>
      </c>
      <c r="F90" s="22" t="n">
        <v>0.7761654122714499</v>
      </c>
      <c r="G90" s="22" t="n">
        <v>0.9198434919016502</v>
      </c>
      <c r="H90" s="22" t="n">
        <v>0.9232491782892445</v>
      </c>
      <c r="I90" s="22" t="n">
        <v>0.9572464486751022</v>
      </c>
      <c r="J90" s="22" t="n">
        <v>0.8932989371078603</v>
      </c>
      <c r="K90" s="22" t="n">
        <v>0.9163814111033283</v>
      </c>
      <c r="L90" s="22" t="n">
        <v>0.8558454338087946</v>
      </c>
    </row>
    <row r="91">
      <c r="A91" s="10" t="n">
        <v>0.845</v>
      </c>
      <c r="B91" s="22" t="n">
        <v>0.8987539650977402</v>
      </c>
      <c r="C91" s="22" t="n">
        <v>0.8980749879489349</v>
      </c>
      <c r="D91" s="22" t="n">
        <v>0.9399456390984235</v>
      </c>
      <c r="E91" s="22" t="n">
        <v>0.8428099712027346</v>
      </c>
      <c r="F91" s="22" t="n">
        <v>0.7925561272538283</v>
      </c>
      <c r="G91" s="22" t="n">
        <v>0.9263811459383997</v>
      </c>
      <c r="H91" s="22" t="n">
        <v>0.9326428170419641</v>
      </c>
      <c r="I91" s="22" t="n">
        <v>0.962097459326227</v>
      </c>
      <c r="J91" s="22" t="n">
        <v>0.9015957332078692</v>
      </c>
      <c r="K91" s="22" t="n">
        <v>0.9237232957334898</v>
      </c>
      <c r="L91" s="22" t="n">
        <v>0.87234481409676</v>
      </c>
    </row>
    <row r="92">
      <c r="A92" s="10" t="n">
        <v>0.855</v>
      </c>
      <c r="B92" s="22" t="n">
        <v>0.9085857680980535</v>
      </c>
      <c r="C92" s="22" t="n">
        <v>0.9084717465276066</v>
      </c>
      <c r="D92" s="22" t="n">
        <v>0.9469036122338401</v>
      </c>
      <c r="E92" s="22" t="n">
        <v>0.8576916247652031</v>
      </c>
      <c r="F92" s="22" t="n">
        <v>0.8092246509647216</v>
      </c>
      <c r="G92" s="22" t="n">
        <v>0.9329187999751493</v>
      </c>
      <c r="H92" s="22" t="n">
        <v>0.9416751619965021</v>
      </c>
      <c r="I92" s="22" t="n">
        <v>0.9668452569847747</v>
      </c>
      <c r="J92" s="22" t="n">
        <v>0.909648505893172</v>
      </c>
      <c r="K92" s="22" t="n">
        <v>0.9299858662339754</v>
      </c>
      <c r="L92" s="22" t="n">
        <v>0.8871225199816397</v>
      </c>
    </row>
    <row r="93">
      <c r="A93" s="10" t="n">
        <v>0.865</v>
      </c>
      <c r="B93" s="22" t="n">
        <v>0.9180596501087216</v>
      </c>
      <c r="C93" s="22" t="n">
        <v>0.9179501779230852</v>
      </c>
      <c r="D93" s="22" t="n">
        <v>0.9537017643282016</v>
      </c>
      <c r="E93" s="22" t="n">
        <v>0.8725732783276716</v>
      </c>
      <c r="F93" s="22" t="n">
        <v>0.8259461538578947</v>
      </c>
      <c r="G93" s="22" t="n">
        <v>0.9394564540118988</v>
      </c>
      <c r="H93" s="22" t="n">
        <v>0.9507075069510402</v>
      </c>
      <c r="I93" s="22" t="n">
        <v>0.9712912198141516</v>
      </c>
      <c r="J93" s="22" t="n">
        <v>0.9179453019931809</v>
      </c>
      <c r="K93" s="22" t="n">
        <v>0.9358937442692731</v>
      </c>
      <c r="L93" s="22" t="n">
        <v>0.8991233952302</v>
      </c>
    </row>
    <row r="94">
      <c r="A94" s="10" t="n">
        <v>0.875</v>
      </c>
      <c r="B94" s="22" t="n">
        <v>0.9267161651634213</v>
      </c>
      <c r="C94" s="22" t="n">
        <v>0.9267324602038285</v>
      </c>
      <c r="D94" s="22" t="n">
        <v>0.9603989768176862</v>
      </c>
      <c r="E94" s="22" t="n">
        <v>0.8837975477660092</v>
      </c>
      <c r="F94" s="22" t="n">
        <v>0.8430281624572814</v>
      </c>
      <c r="G94" s="22" t="n">
        <v>0.9450115809710279</v>
      </c>
      <c r="H94" s="22" t="n">
        <v>0.956939615738247</v>
      </c>
      <c r="I94" s="22" t="n">
        <v>0.9753145240469218</v>
      </c>
      <c r="J94" s="22" t="n">
        <v>0.9262420980931898</v>
      </c>
      <c r="K94" s="22" t="n">
        <v>0.9419221912440666</v>
      </c>
      <c r="L94" s="22" t="n">
        <v>0.9113281487340166</v>
      </c>
    </row>
    <row r="95">
      <c r="A95" s="10" t="n">
        <v>0.885</v>
      </c>
      <c r="B95" s="22" t="n">
        <v>0.9345932407086178</v>
      </c>
      <c r="C95" s="22" t="n">
        <v>0.9354737070451601</v>
      </c>
      <c r="D95" s="22" t="n">
        <v>0.9670961893071707</v>
      </c>
      <c r="E95" s="22" t="n">
        <v>0.8928007556321524</v>
      </c>
      <c r="F95" s="22" t="n">
        <v>0.8598521216438031</v>
      </c>
      <c r="G95" s="22" t="n">
        <v>0.9502748928804515</v>
      </c>
      <c r="H95" s="22" t="n">
        <v>0.9611328158944943</v>
      </c>
      <c r="I95" s="22" t="n">
        <v>0.9792522260619735</v>
      </c>
      <c r="J95" s="22" t="n">
        <v>0.9343140959394004</v>
      </c>
      <c r="K95" s="22" t="n">
        <v>0.9478300692793643</v>
      </c>
      <c r="L95" s="22" t="n">
        <v>0.9219298180073396</v>
      </c>
    </row>
    <row r="96">
      <c r="A96" s="10" t="n">
        <v>0.895</v>
      </c>
      <c r="B96" s="22" t="n">
        <v>0.942327713063379</v>
      </c>
      <c r="C96" s="22" t="n">
        <v>0.9433735597293731</v>
      </c>
      <c r="D96" s="22" t="n">
        <v>0.9737934017966552</v>
      </c>
      <c r="E96" s="22" t="n">
        <v>0.9015311390175035</v>
      </c>
      <c r="F96" s="22" t="n">
        <v>0.8769857123021408</v>
      </c>
      <c r="G96" s="22" t="n">
        <v>0.9555382047898752</v>
      </c>
      <c r="H96" s="22" t="n">
        <v>0.965164739121655</v>
      </c>
      <c r="I96" s="22" t="n">
        <v>0.9832755302947437</v>
      </c>
      <c r="J96" s="22" t="n">
        <v>0.9408832001496343</v>
      </c>
      <c r="K96" s="22" t="n">
        <v>0.9540064283011496</v>
      </c>
      <c r="L96" s="22" t="n">
        <v>0.9325314872806627</v>
      </c>
    </row>
    <row r="97">
      <c r="A97" s="10" t="n">
        <v>0.905</v>
      </c>
      <c r="B97" s="22" t="n">
        <v>0.9497679684935024</v>
      </c>
      <c r="C97" s="22" t="n">
        <v>0.9510398162273748</v>
      </c>
      <c r="D97" s="22" t="n">
        <v>0.9781940854119283</v>
      </c>
      <c r="E97" s="22" t="n">
        <v>0.9105343468836468</v>
      </c>
      <c r="F97" s="22" t="n">
        <v>0.8941970725860077</v>
      </c>
      <c r="G97" s="22" t="n">
        <v>0.9608015166992988</v>
      </c>
      <c r="H97" s="22" t="n">
        <v>0.9691966623488157</v>
      </c>
      <c r="I97" s="22" t="n">
        <v>0.98679268267795</v>
      </c>
      <c r="J97" s="22" t="n">
        <v>0.9476513681238148</v>
      </c>
      <c r="K97" s="22" t="n">
        <v>0.9604319985009181</v>
      </c>
      <c r="L97" s="22" t="n">
        <v>0.9425192016332681</v>
      </c>
    </row>
    <row r="98">
      <c r="A98" s="10" t="n">
        <v>0.915</v>
      </c>
      <c r="B98" s="22" t="n">
        <v>0.9572187846170388</v>
      </c>
      <c r="C98" s="22" t="n">
        <v>0.9586310803314487</v>
      </c>
      <c r="D98" s="22" t="n">
        <v>0.9826577062148181</v>
      </c>
      <c r="E98" s="22" t="n">
        <v>0.9203560281921667</v>
      </c>
      <c r="F98" s="22" t="n">
        <v>0.9112592896729514</v>
      </c>
      <c r="G98" s="22" t="n">
        <v>0.966766603529979</v>
      </c>
      <c r="H98" s="22" t="n">
        <v>0.9738736932923222</v>
      </c>
      <c r="I98" s="22" t="n">
        <v>0.9900004360935146</v>
      </c>
      <c r="J98" s="22" t="n">
        <v>0.9544195360979952</v>
      </c>
      <c r="K98" s="22" t="n">
        <v>0.9667264346149771</v>
      </c>
      <c r="L98" s="22" t="n">
        <v>0.9510766746591479</v>
      </c>
    </row>
    <row r="99">
      <c r="A99" s="10" t="n">
        <v>0.925</v>
      </c>
      <c r="B99" s="22" t="n">
        <v>0.9646194382510174</v>
      </c>
      <c r="C99" s="22" t="n">
        <v>0.9658810495515258</v>
      </c>
      <c r="D99" s="22" t="n">
        <v>0.9872608151677981</v>
      </c>
      <c r="E99" s="22" t="n">
        <v>0.9337244277509854</v>
      </c>
      <c r="F99" s="22" t="n">
        <v>0.923446587592197</v>
      </c>
      <c r="G99" s="22" t="n">
        <v>0.9751879025850569</v>
      </c>
      <c r="H99" s="22" t="n">
        <v>0.9803247704557795</v>
      </c>
      <c r="I99" s="22" t="n">
        <v>0.9923130025093868</v>
      </c>
      <c r="J99" s="22" t="n">
        <v>0.9617848953640151</v>
      </c>
      <c r="K99" s="22" t="n">
        <v>0.9719717980433595</v>
      </c>
      <c r="L99" s="22" t="n">
        <v>0.9582370092318229</v>
      </c>
    </row>
    <row r="100">
      <c r="A100" s="10" t="n">
        <v>0.9350000000000001</v>
      </c>
      <c r="B100" s="22" t="n">
        <v>0.9721214183924017</v>
      </c>
      <c r="C100" s="22" t="n">
        <v>0.9729572266907566</v>
      </c>
      <c r="D100" s="22" t="n">
        <v>0.9908808557777283</v>
      </c>
      <c r="E100" s="22" t="n">
        <v>0.9473656517905964</v>
      </c>
      <c r="F100" s="22" t="n">
        <v>0.9361538895008885</v>
      </c>
      <c r="G100" s="22" t="n">
        <v>0.9836092016401349</v>
      </c>
      <c r="H100" s="22" t="n">
        <v>0.9867758476192368</v>
      </c>
      <c r="I100" s="22" t="n">
        <v>0.994625568925259</v>
      </c>
      <c r="J100" s="22" t="n">
        <v>0.969150254630035</v>
      </c>
      <c r="K100" s="22" t="n">
        <v>0.9773482955574516</v>
      </c>
      <c r="L100" s="22" t="n">
        <v>0.9661235584210813</v>
      </c>
    </row>
    <row r="101">
      <c r="A101" s="10" t="n">
        <v>0.945</v>
      </c>
      <c r="B101" s="22" t="n">
        <v>0.9789410485403542</v>
      </c>
      <c r="C101" s="22" t="n">
        <v>0.9792218718345544</v>
      </c>
      <c r="D101" s="22" t="n">
        <v>0.9932472641154454</v>
      </c>
      <c r="E101" s="22" t="n">
        <v>0.9598518019970985</v>
      </c>
      <c r="F101" s="22" t="n">
        <v>0.9487718305030637</v>
      </c>
      <c r="G101" s="22" t="n">
        <v>0.9901466804763389</v>
      </c>
      <c r="H101" s="22" t="n">
        <v>0.9917845298430724</v>
      </c>
      <c r="I101" s="22" t="n">
        <v>0.9963067517853428</v>
      </c>
      <c r="J101" s="22" t="n">
        <v>0.9756482864645386</v>
      </c>
      <c r="K101" s="22" t="n">
        <v>0.9820757419375509</v>
      </c>
      <c r="L101" s="22" t="n">
        <v>0.975227847407051</v>
      </c>
    </row>
    <row r="102">
      <c r="A102" s="10" t="n">
        <v>0.955</v>
      </c>
      <c r="B102" s="22" t="n">
        <v>0.9841032870448935</v>
      </c>
      <c r="C102" s="22" t="n">
        <v>0.9844957490486831</v>
      </c>
      <c r="D102" s="22" t="n">
        <v>0.995687622713716</v>
      </c>
      <c r="E102" s="22" t="n">
        <v>0.9678164242729778</v>
      </c>
      <c r="F102" s="22" t="n">
        <v>0.9617052200302932</v>
      </c>
      <c r="G102" s="22" t="n">
        <v>0.9921091673524207</v>
      </c>
      <c r="H102" s="22" t="n">
        <v>0.9934276238744578</v>
      </c>
      <c r="I102" s="22" t="n">
        <v>0.997050197854527</v>
      </c>
      <c r="J102" s="22" t="n">
        <v>0.9805450984254737</v>
      </c>
      <c r="K102" s="22" t="n">
        <v>0.9856781663520626</v>
      </c>
      <c r="L102" s="22" t="n">
        <v>0.9843321363930208</v>
      </c>
    </row>
    <row r="103">
      <c r="A103" s="10" t="n">
        <v>0.965</v>
      </c>
      <c r="B103" s="22" t="n">
        <v>0.9889425860724941</v>
      </c>
      <c r="C103" s="22" t="n">
        <v>0.9892706507092455</v>
      </c>
      <c r="D103" s="22" t="n">
        <v>0.9975830756013069</v>
      </c>
      <c r="E103" s="22" t="n">
        <v>0.9759435898606097</v>
      </c>
      <c r="F103" s="22" t="n">
        <v>0.9734432302706216</v>
      </c>
      <c r="G103" s="22" t="n">
        <v>0.9941125393717543</v>
      </c>
      <c r="H103" s="22" t="n">
        <v>0.9950707179058432</v>
      </c>
      <c r="I103" s="22" t="n">
        <v>0.9977936439237112</v>
      </c>
      <c r="J103" s="22" t="n">
        <v>0.9853095641171943</v>
      </c>
      <c r="K103" s="22" t="n">
        <v>0.9892805907665744</v>
      </c>
      <c r="L103" s="22" t="n">
        <v>0.9924149529878972</v>
      </c>
    </row>
    <row r="104">
      <c r="A104" s="10" t="n">
        <v>0.975</v>
      </c>
      <c r="B104" s="22" t="n">
        <v>0.9926286057682913</v>
      </c>
      <c r="C104" s="22" t="n">
        <v>0.9928876236646341</v>
      </c>
      <c r="D104" s="22" t="n">
        <v>0.998388717067538</v>
      </c>
      <c r="E104" s="22" t="n">
        <v>0.9839082121364889</v>
      </c>
      <c r="F104" s="22" t="n">
        <v>0.982368046327216</v>
      </c>
      <c r="G104" s="22" t="n">
        <v>0.9960750262478361</v>
      </c>
      <c r="H104" s="22" t="n">
        <v>0.9967138119372286</v>
      </c>
      <c r="I104" s="22" t="n">
        <v>0.9985370899928954</v>
      </c>
      <c r="J104" s="22" t="n">
        <v>0.9902063760781293</v>
      </c>
      <c r="K104" s="22" t="n">
        <v>0.9927951511709762</v>
      </c>
      <c r="L104" s="22" t="n">
        <v>0.9949640261640957</v>
      </c>
    </row>
    <row r="105">
      <c r="A105" s="10" t="n">
        <v>0.985</v>
      </c>
      <c r="B105" s="22" t="n">
        <v>0.9963050321221193</v>
      </c>
      <c r="C105" s="22" t="n">
        <v>0.9964438118323171</v>
      </c>
      <c r="D105" s="22" t="n">
        <v>0.999194358533769</v>
      </c>
      <c r="E105" s="22" t="n">
        <v>0.9920353777241209</v>
      </c>
      <c r="F105" s="22" t="n">
        <v>0.9910751839434055</v>
      </c>
      <c r="G105" s="22" t="n">
        <v>0.9980375131239179</v>
      </c>
      <c r="H105" s="22" t="n">
        <v>0.998356905968614</v>
      </c>
      <c r="I105" s="22" t="n">
        <v>0.9992565539308155</v>
      </c>
      <c r="J105" s="22" t="n">
        <v>0.9951031880390644</v>
      </c>
      <c r="K105" s="22" t="n">
        <v>0.9963975755854879</v>
      </c>
      <c r="L105" s="22" t="n">
        <v>0.9974509268238017</v>
      </c>
    </row>
    <row r="106">
      <c r="A106" s="10" t="n">
        <v>0.995</v>
      </c>
      <c r="B106" s="22" t="n">
        <v>0.9999999999999998</v>
      </c>
      <c r="C106" s="22" t="n">
        <v>1</v>
      </c>
      <c r="D106" s="22" t="n">
        <v>1</v>
      </c>
      <c r="E106" s="22" t="n">
        <v>1</v>
      </c>
      <c r="F106" s="22" t="n">
        <v>0.9999999999999999</v>
      </c>
      <c r="G106" s="22" t="n">
        <v>0.9999999999999997</v>
      </c>
      <c r="H106" s="22" t="n">
        <v>0.9999999999999994</v>
      </c>
      <c r="I106" s="22" t="n">
        <v>0.9999999999999997</v>
      </c>
      <c r="J106" s="22" t="n">
        <v>0.9999999999999994</v>
      </c>
      <c r="K106" s="22" t="n">
        <v>0.9999999999999997</v>
      </c>
      <c r="L106" s="22" t="n">
        <v>1</v>
      </c>
    </row>
    <row r="130">
      <c r="A130" s="6" t="inlineStr">
        <is>
          <t>■ 工数密度(非累積):平均カーブ vs 各案件</t>
        </is>
      </c>
    </row>
    <row r="131">
      <c r="A131" s="5" t="inlineStr">
        <is>
          <t>上の累積カーブと同じデータを、累積せずに density として並べたもの。面積が1になるよう正規化しているので、案件規模によらず形だけを比べられる。山の位置・鋭さ・数の違いはこちらでしか見えない。</t>
        </is>
      </c>
    </row>
    <row r="133">
      <c r="A133" s="7" t="inlineStr">
        <is>
          <t>t</t>
        </is>
      </c>
      <c r="B133" s="8" t="inlineStr">
        <is>
          <t>平均(位置合わせあり)</t>
        </is>
      </c>
      <c r="C133" s="8" t="inlineStr">
        <is>
          <t>平均(位置合わせなし)</t>
        </is>
      </c>
      <c r="D133" s="8" t="inlineStr">
        <is>
          <t>PJ-2019-A</t>
        </is>
      </c>
      <c r="E133" s="8" t="inlineStr">
        <is>
          <t>PJ-2020-B</t>
        </is>
      </c>
      <c r="F133" s="8" t="inlineStr">
        <is>
          <t>PJ-2020-C</t>
        </is>
      </c>
      <c r="G133" s="8" t="inlineStr">
        <is>
          <t>PJ-2021-D</t>
        </is>
      </c>
      <c r="H133" s="8" t="inlineStr">
        <is>
          <t>PJ-2022-F</t>
        </is>
      </c>
      <c r="I133" s="8" t="inlineStr">
        <is>
          <t>PJ-2022-G</t>
        </is>
      </c>
      <c r="J133" s="8" t="inlineStr">
        <is>
          <t>PJ-2023-H</t>
        </is>
      </c>
      <c r="K133" s="8" t="inlineStr">
        <is>
          <t>PJ-2023-I</t>
        </is>
      </c>
      <c r="L133" s="8" t="inlineStr">
        <is>
          <t>PJ-2024-J</t>
        </is>
      </c>
    </row>
    <row r="134">
      <c r="A134" s="10" t="n">
        <v>0.005</v>
      </c>
      <c r="B134" s="22" t="n">
        <v>0.3987343643999136</v>
      </c>
      <c r="C134" s="22" t="n">
        <v>0.4030185742334645</v>
      </c>
      <c r="D134" s="22" t="n">
        <v>0.3016495208973412</v>
      </c>
      <c r="E134" s="22" t="n">
        <v>0.05267418597291087</v>
      </c>
      <c r="F134" s="22" t="n">
        <v>0.9562210727203252</v>
      </c>
      <c r="G134" s="22" t="n">
        <v>0.6300363439021183</v>
      </c>
      <c r="H134" s="22" t="n">
        <v>0.2446625743472623</v>
      </c>
      <c r="I134" s="22" t="n">
        <v>0.9715068779946887</v>
      </c>
      <c r="J134" s="22" t="n">
        <v>0.2300994215790587</v>
      </c>
      <c r="K134" s="22" t="n">
        <v>0.1566546697324483</v>
      </c>
      <c r="L134" s="22" t="n">
        <v>0.0303200398786301</v>
      </c>
    </row>
    <row r="135">
      <c r="A135" s="10" t="n">
        <v>0.015</v>
      </c>
      <c r="B135" s="22" t="n">
        <v>0.3989463544637141</v>
      </c>
      <c r="C135" s="22" t="n">
        <v>0.4030185742334645</v>
      </c>
      <c r="D135" s="22" t="n">
        <v>0.3016495208973412</v>
      </c>
      <c r="E135" s="22" t="n">
        <v>0.05267418597291087</v>
      </c>
      <c r="F135" s="22" t="n">
        <v>0.9813847851603337</v>
      </c>
      <c r="G135" s="22" t="n">
        <v>0.6300363439021183</v>
      </c>
      <c r="H135" s="22" t="n">
        <v>0.2382240855486501</v>
      </c>
      <c r="I135" s="22" t="n">
        <v>0.9715068779946887</v>
      </c>
      <c r="J135" s="22" t="n">
        <v>0.2233317915326158</v>
      </c>
      <c r="K135" s="22" t="n">
        <v>0.1525321784236997</v>
      </c>
      <c r="L135" s="22" t="n">
        <v>0.0303200398786301</v>
      </c>
    </row>
    <row r="136">
      <c r="A136" s="10" t="n">
        <v>0.025</v>
      </c>
      <c r="B136" s="22" t="n">
        <v>0.406036202814082</v>
      </c>
      <c r="C136" s="22" t="n">
        <v>0.4085451277816212</v>
      </c>
      <c r="D136" s="22" t="n">
        <v>0.3739634198261709</v>
      </c>
      <c r="E136" s="22" t="n">
        <v>0.05377156484734651</v>
      </c>
      <c r="F136" s="22" t="n">
        <v>0.9562210727203252</v>
      </c>
      <c r="G136" s="22" t="n">
        <v>0.6300363439021183</v>
      </c>
      <c r="H136" s="22" t="n">
        <v>0.2446625743472623</v>
      </c>
      <c r="I136" s="22" t="n">
        <v>0.9715068779946887</v>
      </c>
      <c r="J136" s="22" t="n">
        <v>0.2300994215790587</v>
      </c>
      <c r="K136" s="22" t="n">
        <v>0.1566546697324483</v>
      </c>
      <c r="L136" s="22" t="n">
        <v>0.0303200398786301</v>
      </c>
    </row>
    <row r="137">
      <c r="A137" s="10" t="n">
        <v>0.035</v>
      </c>
      <c r="B137" s="22" t="n">
        <v>0.4346549563422828</v>
      </c>
      <c r="C137" s="22" t="n">
        <v>0.4457044465952031</v>
      </c>
      <c r="D137" s="22" t="n">
        <v>0.5167965199060005</v>
      </c>
      <c r="E137" s="22" t="n">
        <v>0.05267418597291087</v>
      </c>
      <c r="F137" s="22" t="n">
        <v>1.038760837633789</v>
      </c>
      <c r="G137" s="22" t="n">
        <v>0.6440371515443876</v>
      </c>
      <c r="H137" s="22" t="n">
        <v>0.2382240855486501</v>
      </c>
      <c r="I137" s="22" t="n">
        <v>0.9715068779946887</v>
      </c>
      <c r="J137" s="22" t="n">
        <v>0.2233317915326158</v>
      </c>
      <c r="K137" s="22" t="n">
        <v>0.1525321784236997</v>
      </c>
      <c r="L137" s="22" t="n">
        <v>0.06890296310663355</v>
      </c>
    </row>
    <row r="138">
      <c r="A138" s="10" t="n">
        <v>0.045</v>
      </c>
      <c r="B138" s="22" t="n">
        <v>0.4645299509945451</v>
      </c>
      <c r="C138" s="22" t="n">
        <v>0.4709020022601713</v>
      </c>
      <c r="D138" s="22" t="n">
        <v>0.5297164329036504</v>
      </c>
      <c r="E138" s="22" t="n">
        <v>0.05267418597291087</v>
      </c>
      <c r="F138" s="22" t="n">
        <v>1.140721723703363</v>
      </c>
      <c r="G138" s="22" t="n">
        <v>0.6300363439021183</v>
      </c>
      <c r="H138" s="22" t="n">
        <v>0.2446625743472623</v>
      </c>
      <c r="I138" s="22" t="n">
        <v>1.051751405116747</v>
      </c>
      <c r="J138" s="22" t="n">
        <v>0.2300994215790587</v>
      </c>
      <c r="K138" s="22" t="n">
        <v>0.1566546697324483</v>
      </c>
      <c r="L138" s="22" t="n">
        <v>0.08681646317677798</v>
      </c>
    </row>
    <row r="139">
      <c r="A139" s="10" t="n">
        <v>0.055</v>
      </c>
      <c r="B139" s="22" t="n">
        <v>0.4798052970633879</v>
      </c>
      <c r="C139" s="22" t="n">
        <v>0.517791175624211</v>
      </c>
      <c r="D139" s="22" t="n">
        <v>0.6139553147918279</v>
      </c>
      <c r="E139" s="22" t="n">
        <v>0.05267418597291087</v>
      </c>
      <c r="F139" s="22" t="n">
        <v>1.170740716432399</v>
      </c>
      <c r="G139" s="22" t="n">
        <v>0.6556544525015198</v>
      </c>
      <c r="H139" s="22" t="n">
        <v>0.2721555931106643</v>
      </c>
      <c r="I139" s="22" t="n">
        <v>1.056209434401306</v>
      </c>
      <c r="J139" s="22" t="n">
        <v>0.2233317915326158</v>
      </c>
      <c r="K139" s="22" t="n">
        <v>0.1525321784236997</v>
      </c>
      <c r="L139" s="22" t="n">
        <v>0.08469898846514924</v>
      </c>
    </row>
    <row r="140">
      <c r="A140" s="10" t="n">
        <v>0.065</v>
      </c>
      <c r="B140" s="22" t="n">
        <v>0.5637055088251488</v>
      </c>
      <c r="C140" s="22" t="n">
        <v>0.5567292663865858</v>
      </c>
      <c r="D140" s="22" t="n">
        <v>0.6867070764225262</v>
      </c>
      <c r="E140" s="22" t="n">
        <v>0.1594420338690865</v>
      </c>
      <c r="F140" s="22" t="n">
        <v>1.140721723703363</v>
      </c>
      <c r="G140" s="22" t="n">
        <v>0.7947241848982715</v>
      </c>
      <c r="H140" s="22" t="n">
        <v>0.4595621222400185</v>
      </c>
      <c r="I140" s="22" t="n">
        <v>1.056209434401306</v>
      </c>
      <c r="J140" s="22" t="n">
        <v>0.3881065441637731</v>
      </c>
      <c r="K140" s="22" t="n">
        <v>0.3057482598692232</v>
      </c>
      <c r="L140" s="22" t="n">
        <v>0.1163710207258791</v>
      </c>
    </row>
    <row r="141">
      <c r="A141" s="10" t="n">
        <v>0.075</v>
      </c>
      <c r="B141" s="22" t="n">
        <v>0.5524965113277727</v>
      </c>
      <c r="C141" s="22" t="n">
        <v>0.5591197970596887</v>
      </c>
      <c r="D141" s="22" t="n">
        <v>0.6867070764225262</v>
      </c>
      <c r="E141" s="22" t="n">
        <v>0.1629390232129873</v>
      </c>
      <c r="F141" s="22" t="n">
        <v>0.9934275548210691</v>
      </c>
      <c r="G141" s="22" t="n">
        <v>0.7947241848982715</v>
      </c>
      <c r="H141" s="22" t="n">
        <v>0.4474683821810705</v>
      </c>
      <c r="I141" s="22" t="n">
        <v>1.056209434401306</v>
      </c>
      <c r="J141" s="22" t="n">
        <v>0.3915329220260215</v>
      </c>
      <c r="K141" s="22" t="n">
        <v>0.3016257685604746</v>
      </c>
      <c r="L141" s="22" t="n">
        <v>0.1395006744599582</v>
      </c>
    </row>
    <row r="142">
      <c r="A142" s="10" t="n">
        <v>0.08500000000000001</v>
      </c>
      <c r="B142" s="22" t="n">
        <v>0.5675960115850419</v>
      </c>
      <c r="C142" s="22" t="n">
        <v>0.5709168236801593</v>
      </c>
      <c r="D142" s="22" t="n">
        <v>0.7657405857677417</v>
      </c>
      <c r="E142" s="22" t="n">
        <v>0.1629390232129873</v>
      </c>
      <c r="F142" s="22" t="n">
        <v>1.001785640361532</v>
      </c>
      <c r="G142" s="22" t="n">
        <v>0.7947241848982715</v>
      </c>
      <c r="H142" s="22" t="n">
        <v>0.4595621222400185</v>
      </c>
      <c r="I142" s="22" t="n">
        <v>1.046313782496454</v>
      </c>
      <c r="J142" s="22" t="n">
        <v>0.40339755602681</v>
      </c>
      <c r="K142" s="22" t="n">
        <v>0.3097778163594063</v>
      </c>
      <c r="L142" s="22" t="n">
        <v>0.1395006744599582</v>
      </c>
    </row>
    <row r="143">
      <c r="A143" s="10" t="n">
        <v>0.095</v>
      </c>
      <c r="B143" s="22" t="n">
        <v>0.5640745790820783</v>
      </c>
      <c r="C143" s="22" t="n">
        <v>0.580551336025522</v>
      </c>
      <c r="D143" s="22" t="n">
        <v>0.7577731337226227</v>
      </c>
      <c r="E143" s="22" t="n">
        <v>0.1629390232129873</v>
      </c>
      <c r="F143" s="22" t="n">
        <v>0.9760988290702112</v>
      </c>
      <c r="G143" s="22" t="n">
        <v>0.7947241848982715</v>
      </c>
      <c r="H143" s="22" t="n">
        <v>0.4474683821810705</v>
      </c>
      <c r="I143" s="22" t="n">
        <v>1.035318613713284</v>
      </c>
      <c r="J143" s="22" t="n">
        <v>0.3915329220260215</v>
      </c>
      <c r="K143" s="22" t="n">
        <v>0.3097778163594063</v>
      </c>
      <c r="L143" s="22" t="n">
        <v>0.153586788819964</v>
      </c>
    </row>
    <row r="144">
      <c r="A144" s="10" t="n">
        <v>0.105</v>
      </c>
      <c r="B144" s="22" t="n">
        <v>0.5678884050707853</v>
      </c>
      <c r="C144" s="22" t="n">
        <v>0.5898298448857331</v>
      </c>
      <c r="D144" s="22" t="n">
        <v>0.7837267626834855</v>
      </c>
      <c r="E144" s="22" t="n">
        <v>0.1663335861965912</v>
      </c>
      <c r="F144" s="22" t="n">
        <v>0.9096102297002714</v>
      </c>
      <c r="G144" s="22" t="n">
        <v>0.7947241848982715</v>
      </c>
      <c r="H144" s="22" t="n">
        <v>0.4595621222400185</v>
      </c>
      <c r="I144" s="22" t="n">
        <v>1.035318613713284</v>
      </c>
      <c r="J144" s="22" t="n">
        <v>0.40339755602681</v>
      </c>
      <c r="K144" s="22" t="n">
        <v>0.3016257685604746</v>
      </c>
      <c r="L144" s="22" t="n">
        <v>0.2036707509888731</v>
      </c>
    </row>
    <row r="145">
      <c r="A145" s="10" t="n">
        <v>0.115</v>
      </c>
      <c r="B145" s="22" t="n">
        <v>0.593348928291932</v>
      </c>
      <c r="C145" s="22" t="n">
        <v>0.6281033342270244</v>
      </c>
      <c r="D145" s="22" t="n">
        <v>0.8725112371755831</v>
      </c>
      <c r="E145" s="22" t="n">
        <v>0.1995891158371675</v>
      </c>
      <c r="F145" s="22" t="n">
        <v>0.8577270083933308</v>
      </c>
      <c r="G145" s="22" t="n">
        <v>0.8266386840224835</v>
      </c>
      <c r="H145" s="22" t="n">
        <v>0.4806887177063067</v>
      </c>
      <c r="I145" s="22" t="n">
        <v>1.035318613713284</v>
      </c>
      <c r="J145" s="22" t="n">
        <v>0.4620563575466586</v>
      </c>
      <c r="K145" s="22" t="n">
        <v>0.3327499807204671</v>
      </c>
      <c r="L145" s="22" t="n">
        <v>0.2036707509888731</v>
      </c>
    </row>
    <row r="146">
      <c r="A146" s="10" t="n">
        <v>0.125</v>
      </c>
      <c r="B146" s="22" t="n">
        <v>0.6398957769011815</v>
      </c>
      <c r="C146" s="22" t="n">
        <v>0.6447870536279821</v>
      </c>
      <c r="D146" s="22" t="n">
        <v>0.8725112371755831</v>
      </c>
      <c r="E146" s="22" t="n">
        <v>0.2982624421330377</v>
      </c>
      <c r="F146" s="22" t="n">
        <v>0.8357340081781172</v>
      </c>
      <c r="G146" s="22" t="n">
        <v>0.9016288975134845</v>
      </c>
      <c r="H146" s="22" t="n">
        <v>0.6038051886316036</v>
      </c>
      <c r="I146" s="22" t="n">
        <v>1.019950449433638</v>
      </c>
      <c r="J146" s="22" t="n">
        <v>0.5746687565769291</v>
      </c>
      <c r="K146" s="22" t="n">
        <v>0.423050065897511</v>
      </c>
      <c r="L146" s="22" t="n">
        <v>0.2049784084333269</v>
      </c>
    </row>
    <row r="147">
      <c r="A147" s="10" t="n">
        <v>0.135</v>
      </c>
      <c r="B147" s="22" t="n">
        <v>0.6646149507081331</v>
      </c>
      <c r="C147" s="22" t="n">
        <v>0.6519455034846195</v>
      </c>
      <c r="D147" s="22" t="n">
        <v>0.9045741666692522</v>
      </c>
      <c r="E147" s="22" t="n">
        <v>0.2982624421330377</v>
      </c>
      <c r="F147" s="22" t="n">
        <v>0.8357340081781172</v>
      </c>
      <c r="G147" s="22" t="n">
        <v>0.9016288975134845</v>
      </c>
      <c r="H147" s="22" t="n">
        <v>0.6201242477838093</v>
      </c>
      <c r="I147" s="22" t="n">
        <v>1.125584287930631</v>
      </c>
      <c r="J147" s="22" t="n">
        <v>0.5577667343246664</v>
      </c>
      <c r="K147" s="22" t="n">
        <v>0.4344838514623086</v>
      </c>
      <c r="L147" s="22" t="n">
        <v>0.2572847062114789</v>
      </c>
    </row>
    <row r="148">
      <c r="A148" s="10" t="n">
        <v>0.145</v>
      </c>
      <c r="B148" s="22" t="n">
        <v>0.6666867580063962</v>
      </c>
      <c r="C148" s="22" t="n">
        <v>0.677599555201311</v>
      </c>
      <c r="D148" s="22" t="n">
        <v>0.9736327840402329</v>
      </c>
      <c r="E148" s="22" t="n">
        <v>0.3044762430108093</v>
      </c>
      <c r="F148" s="22" t="n">
        <v>0.7793068367552167</v>
      </c>
      <c r="G148" s="22" t="n">
        <v>0.9016288975134845</v>
      </c>
      <c r="H148" s="22" t="n">
        <v>0.6038051886316036</v>
      </c>
      <c r="I148" s="22" t="n">
        <v>1.125584287930631</v>
      </c>
      <c r="J148" s="22" t="n">
        <v>0.5746687565769291</v>
      </c>
      <c r="K148" s="22" t="n">
        <v>0.423050065897511</v>
      </c>
      <c r="L148" s="22" t="n">
        <v>0.2572847062114789</v>
      </c>
    </row>
    <row r="149">
      <c r="A149" s="10" t="n">
        <v>0.155</v>
      </c>
      <c r="B149" s="22" t="n">
        <v>0.6667723166313522</v>
      </c>
      <c r="C149" s="22" t="n">
        <v>0.6909347456413495</v>
      </c>
      <c r="D149" s="22" t="n">
        <v>0.9498856429660809</v>
      </c>
      <c r="E149" s="22" t="n">
        <v>0.2982624421330377</v>
      </c>
      <c r="F149" s="22" t="n">
        <v>0.7948510173792419</v>
      </c>
      <c r="G149" s="22" t="n">
        <v>0.9016288975134845</v>
      </c>
      <c r="H149" s="22" t="n">
        <v>0.6201242477838093</v>
      </c>
      <c r="I149" s="22" t="n">
        <v>1.125584287930631</v>
      </c>
      <c r="J149" s="22" t="n">
        <v>0.5577667343246664</v>
      </c>
      <c r="K149" s="22" t="n">
        <v>0.4344838514623086</v>
      </c>
      <c r="L149" s="22" t="n">
        <v>0.2572847062114789</v>
      </c>
    </row>
    <row r="150">
      <c r="A150" s="10" t="n">
        <v>0.165</v>
      </c>
      <c r="B150" s="22" t="n">
        <v>0.6518317860161517</v>
      </c>
      <c r="C150" s="22" t="n">
        <v>0.6922387279014627</v>
      </c>
      <c r="D150" s="22" t="n">
        <v>0.8110965570795537</v>
      </c>
      <c r="E150" s="22" t="n">
        <v>0.2982624421330377</v>
      </c>
      <c r="F150" s="22" t="n">
        <v>0.7744702220618255</v>
      </c>
      <c r="G150" s="22" t="n">
        <v>0.9016288975134845</v>
      </c>
      <c r="H150" s="22" t="n">
        <v>0.6038051886316036</v>
      </c>
      <c r="I150" s="22" t="n">
        <v>1.125584287930631</v>
      </c>
      <c r="J150" s="22" t="n">
        <v>0.5746687565769291</v>
      </c>
      <c r="K150" s="22" t="n">
        <v>0.423050065897511</v>
      </c>
      <c r="L150" s="22" t="n">
        <v>0.2781459193329066</v>
      </c>
    </row>
    <row r="151">
      <c r="A151" s="10" t="n">
        <v>0.175</v>
      </c>
      <c r="B151" s="22" t="n">
        <v>0.6584573633322558</v>
      </c>
      <c r="C151" s="22" t="n">
        <v>0.6951520785342868</v>
      </c>
      <c r="D151" s="22" t="n">
        <v>0.717325656909931</v>
      </c>
      <c r="E151" s="22" t="n">
        <v>0.3208149029783915</v>
      </c>
      <c r="F151" s="22" t="n">
        <v>0.765289376407112</v>
      </c>
      <c r="G151" s="22" t="n">
        <v>0.9300356692270589</v>
      </c>
      <c r="H151" s="22" t="n">
        <v>0.6564059384737799</v>
      </c>
      <c r="I151" s="22" t="n">
        <v>1.097149639513985</v>
      </c>
      <c r="J151" s="22" t="n">
        <v>0.5964380494393919</v>
      </c>
      <c r="K151" s="22" t="n">
        <v>0.4565860787096481</v>
      </c>
      <c r="L151" s="22" t="n">
        <v>0.2970202220754078</v>
      </c>
    </row>
    <row r="152">
      <c r="A152" s="10" t="n">
        <v>0.185</v>
      </c>
      <c r="B152" s="22" t="n">
        <v>0.7033707826429927</v>
      </c>
      <c r="C152" s="22" t="n">
        <v>0.6951520785342868</v>
      </c>
      <c r="D152" s="22" t="n">
        <v>0.717325656909931</v>
      </c>
      <c r="E152" s="22" t="n">
        <v>0.4149833011530432</v>
      </c>
      <c r="F152" s="22" t="n">
        <v>0.7760061236669347</v>
      </c>
      <c r="G152" s="22" t="n">
        <v>1.030557720138039</v>
      </c>
      <c r="H152" s="22" t="n">
        <v>0.7258436027705961</v>
      </c>
      <c r="I152" s="22" t="n">
        <v>1.08236362233733</v>
      </c>
      <c r="J152" s="22" t="n">
        <v>0.6941982760224437</v>
      </c>
      <c r="K152" s="22" t="n">
        <v>0.5593471339227719</v>
      </c>
      <c r="L152" s="22" t="n">
        <v>0.2970202220754078</v>
      </c>
    </row>
    <row r="153">
      <c r="A153" s="10" t="n">
        <v>0.195</v>
      </c>
      <c r="B153" s="22" t="n">
        <v>0.7064621406442646</v>
      </c>
      <c r="C153" s="22" t="n">
        <v>0.7003475611261661</v>
      </c>
      <c r="D153" s="22" t="n">
        <v>0.7537903618128078</v>
      </c>
      <c r="E153" s="22" t="n">
        <v>0.4065142541907363</v>
      </c>
      <c r="F153" s="22" t="n">
        <v>0.7561085307523979</v>
      </c>
      <c r="G153" s="22" t="n">
        <v>1.008154291439386</v>
      </c>
      <c r="H153" s="22" t="n">
        <v>0.7454609974400717</v>
      </c>
      <c r="I153" s="22" t="n">
        <v>1.08236362233733</v>
      </c>
      <c r="J153" s="22" t="n">
        <v>0.6737806796688425</v>
      </c>
      <c r="K153" s="22" t="n">
        <v>0.5744646240287927</v>
      </c>
      <c r="L153" s="22" t="n">
        <v>0.3272306808361696</v>
      </c>
    </row>
    <row r="154">
      <c r="A154" s="10" t="n">
        <v>0.205</v>
      </c>
      <c r="B154" s="22" t="n">
        <v>0.7109506266144117</v>
      </c>
      <c r="C154" s="22" t="n">
        <v>0.7274527262621387</v>
      </c>
      <c r="D154" s="22" t="n">
        <v>0.7600414540818722</v>
      </c>
      <c r="E154" s="22" t="n">
        <v>0.4065142541907363</v>
      </c>
      <c r="F154" s="22" t="n">
        <v>0.7561085307523979</v>
      </c>
      <c r="G154" s="22" t="n">
        <v>1.008154291439386</v>
      </c>
      <c r="H154" s="22" t="n">
        <v>0.7258436027705961</v>
      </c>
      <c r="I154" s="22" t="n">
        <v>1.08236362233733</v>
      </c>
      <c r="J154" s="22" t="n">
        <v>0.6941982760224437</v>
      </c>
      <c r="K154" s="22" t="n">
        <v>0.5744646240287927</v>
      </c>
      <c r="L154" s="22" t="n">
        <v>0.3622112120328414</v>
      </c>
    </row>
    <row r="155">
      <c r="A155" s="10" t="n">
        <v>0.215</v>
      </c>
      <c r="B155" s="22" t="n">
        <v>0.711442538323297</v>
      </c>
      <c r="C155" s="22" t="n">
        <v>0.7417807370914953</v>
      </c>
      <c r="D155" s="22" t="n">
        <v>0.7409909117878863</v>
      </c>
      <c r="E155" s="22" t="n">
        <v>0.4065142541907363</v>
      </c>
      <c r="F155" s="22" t="n">
        <v>0.7486912925994499</v>
      </c>
      <c r="G155" s="22" t="n">
        <v>1.008154291439386</v>
      </c>
      <c r="H155" s="22" t="n">
        <v>0.7454609974400717</v>
      </c>
      <c r="I155" s="22" t="n">
        <v>1.123560882345053</v>
      </c>
      <c r="J155" s="22" t="n">
        <v>0.6737806796688425</v>
      </c>
      <c r="K155" s="22" t="n">
        <v>0.5593471339227719</v>
      </c>
      <c r="L155" s="22" t="n">
        <v>0.3622112120328414</v>
      </c>
    </row>
    <row r="156">
      <c r="A156" s="10" t="n">
        <v>0.225</v>
      </c>
      <c r="B156" s="22" t="n">
        <v>0.7291914706625985</v>
      </c>
      <c r="C156" s="22" t="n">
        <v>0.7706718828848819</v>
      </c>
      <c r="D156" s="22" t="n">
        <v>0.7570370569430803</v>
      </c>
      <c r="E156" s="22" t="n">
        <v>0.4149833011530432</v>
      </c>
      <c r="F156" s="22" t="n">
        <v>0.7280554610074135</v>
      </c>
      <c r="G156" s="22" t="n">
        <v>1.008154291439386</v>
      </c>
      <c r="H156" s="22" t="n">
        <v>0.7454609974400717</v>
      </c>
      <c r="I156" s="22" t="n">
        <v>1.212821612361784</v>
      </c>
      <c r="J156" s="22" t="n">
        <v>0.6941982760224437</v>
      </c>
      <c r="K156" s="22" t="n">
        <v>0.5744646240287927</v>
      </c>
      <c r="L156" s="22" t="n">
        <v>0.3819409133399029</v>
      </c>
    </row>
    <row r="157">
      <c r="A157" s="10" t="n">
        <v>0.235</v>
      </c>
      <c r="B157" s="22" t="n">
        <v>0.7537001048312372</v>
      </c>
      <c r="C157" s="22" t="n">
        <v>0.790860332726471</v>
      </c>
      <c r="D157" s="22" t="n">
        <v>0.7570370569430803</v>
      </c>
      <c r="E157" s="22" t="n">
        <v>0.4586315018786141</v>
      </c>
      <c r="F157" s="22" t="n">
        <v>0.7280554610074135</v>
      </c>
      <c r="G157" s="22" t="n">
        <v>1.036688922758238</v>
      </c>
      <c r="H157" s="22" t="n">
        <v>0.7680731782215857</v>
      </c>
      <c r="I157" s="22" t="n">
        <v>1.212821612361784</v>
      </c>
      <c r="J157" s="22" t="n">
        <v>0.7145300358980869</v>
      </c>
      <c r="K157" s="22" t="n">
        <v>0.5770264715512642</v>
      </c>
      <c r="L157" s="22" t="n">
        <v>0.4970308376310948</v>
      </c>
    </row>
    <row r="158">
      <c r="A158" s="10" t="n">
        <v>0.245</v>
      </c>
      <c r="B158" s="22" t="n">
        <v>0.8155543358060174</v>
      </c>
      <c r="C158" s="22" t="n">
        <v>0.8011035795521886</v>
      </c>
      <c r="D158" s="22" t="n">
        <v>0.7789751534588619</v>
      </c>
      <c r="E158" s="22" t="n">
        <v>0.5628659972543687</v>
      </c>
      <c r="F158" s="22" t="n">
        <v>0.7170655502114293</v>
      </c>
      <c r="G158" s="22" t="n">
        <v>1.136560132374223</v>
      </c>
      <c r="H158" s="22" t="n">
        <v>0.9237636493442503</v>
      </c>
      <c r="I158" s="22" t="n">
        <v>1.212821612361784</v>
      </c>
      <c r="J158" s="22" t="n">
        <v>0.786563483475398</v>
      </c>
      <c r="K158" s="22" t="n">
        <v>0.7088275900053356</v>
      </c>
      <c r="L158" s="22" t="n">
        <v>0.4970308376310948</v>
      </c>
    </row>
    <row r="159">
      <c r="A159" s="10" t="n">
        <v>0.255</v>
      </c>
      <c r="B159" s="22" t="n">
        <v>0.8154499165850303</v>
      </c>
      <c r="C159" s="22" t="n">
        <v>0.8376644051802591</v>
      </c>
      <c r="D159" s="22" t="n">
        <v>0.8132534292647714</v>
      </c>
      <c r="E159" s="22" t="n">
        <v>0.5628659972543687</v>
      </c>
      <c r="F159" s="22" t="n">
        <v>0.7186410471748919</v>
      </c>
      <c r="G159" s="22" t="n">
        <v>1.161817024204761</v>
      </c>
      <c r="H159" s="22" t="n">
        <v>0.8994540796246647</v>
      </c>
      <c r="I159" s="22" t="n">
        <v>1.212821612361784</v>
      </c>
      <c r="J159" s="22" t="n">
        <v>0.7634292633731803</v>
      </c>
      <c r="K159" s="22" t="n">
        <v>0.6901742323736163</v>
      </c>
      <c r="L159" s="22" t="n">
        <v>0.4970308376310948</v>
      </c>
    </row>
    <row r="160">
      <c r="A160" s="10" t="n">
        <v>0.265</v>
      </c>
      <c r="B160" s="22" t="n">
        <v>0.8397796057620169</v>
      </c>
      <c r="C160" s="22" t="n">
        <v>0.8432626259128819</v>
      </c>
      <c r="D160" s="22" t="n">
        <v>0.8132534292647714</v>
      </c>
      <c r="E160" s="22" t="n">
        <v>0.5745923721971681</v>
      </c>
      <c r="F160" s="22" t="n">
        <v>0.7002143536575869</v>
      </c>
      <c r="G160" s="22" t="n">
        <v>1.136560132374223</v>
      </c>
      <c r="H160" s="22" t="n">
        <v>0.9237636493442503</v>
      </c>
      <c r="I160" s="22" t="n">
        <v>1.32576605814971</v>
      </c>
      <c r="J160" s="22" t="n">
        <v>0.786563483475398</v>
      </c>
      <c r="K160" s="22" t="n">
        <v>0.7088275900053356</v>
      </c>
      <c r="L160" s="22" t="n">
        <v>0.5645028110067501</v>
      </c>
    </row>
    <row r="161">
      <c r="A161" s="10" t="n">
        <v>0.275</v>
      </c>
      <c r="B161" s="22" t="n">
        <v>0.8348367756901358</v>
      </c>
      <c r="C161" s="22" t="n">
        <v>0.8621794783997206</v>
      </c>
      <c r="D161" s="22" t="n">
        <v>0.8230963450505817</v>
      </c>
      <c r="E161" s="22" t="n">
        <v>0.5628659972543687</v>
      </c>
      <c r="F161" s="22" t="n">
        <v>0.7037567727335474</v>
      </c>
      <c r="G161" s="22" t="n">
        <v>1.136560132374223</v>
      </c>
      <c r="H161" s="22" t="n">
        <v>0.8994540796246647</v>
      </c>
      <c r="I161" s="22" t="n">
        <v>1.346943141734946</v>
      </c>
      <c r="J161" s="22" t="n">
        <v>0.7634292633731803</v>
      </c>
      <c r="K161" s="22" t="n">
        <v>0.6901742323736163</v>
      </c>
      <c r="L161" s="22" t="n">
        <v>0.5642869264808922</v>
      </c>
    </row>
    <row r="162">
      <c r="A162" s="10" t="n">
        <v>0.285</v>
      </c>
      <c r="B162" s="22" t="n">
        <v>0.846326621168292</v>
      </c>
      <c r="C162" s="22" t="n">
        <v>0.8953448300597654</v>
      </c>
      <c r="D162" s="22" t="n">
        <v>0.8085609271332937</v>
      </c>
      <c r="E162" s="22" t="n">
        <v>0.5628659972543687</v>
      </c>
      <c r="F162" s="22" t="n">
        <v>0.738377382026672</v>
      </c>
      <c r="G162" s="22" t="n">
        <v>1.136560132374223</v>
      </c>
      <c r="H162" s="22" t="n">
        <v>0.9237636493442503</v>
      </c>
      <c r="I162" s="22" t="n">
        <v>1.346943141734946</v>
      </c>
      <c r="J162" s="22" t="n">
        <v>0.786563483475398</v>
      </c>
      <c r="K162" s="22" t="n">
        <v>0.7088275900053356</v>
      </c>
      <c r="L162" s="22" t="n">
        <v>0.5783940996429144</v>
      </c>
    </row>
    <row r="163">
      <c r="A163" s="10" t="n">
        <v>0.295</v>
      </c>
      <c r="B163" s="22" t="n">
        <v>0.8691503471364425</v>
      </c>
      <c r="C163" s="22" t="n">
        <v>0.9390363226351716</v>
      </c>
      <c r="D163" s="22" t="n">
        <v>0.8302709227801732</v>
      </c>
      <c r="E163" s="22" t="n">
        <v>0.5979156165787569</v>
      </c>
      <c r="F163" s="22" t="n">
        <v>0.7194446286413726</v>
      </c>
      <c r="G163" s="22" t="n">
        <v>1.184207815148161</v>
      </c>
      <c r="H163" s="22" t="n">
        <v>0.9239694118637034</v>
      </c>
      <c r="I163" s="22" t="n">
        <v>1.346943141734946</v>
      </c>
      <c r="J163" s="22" t="n">
        <v>0.8176015610265674</v>
      </c>
      <c r="K163" s="22" t="n">
        <v>0.7474316652505659</v>
      </c>
      <c r="L163" s="22" t="n">
        <v>0.6423670114718547</v>
      </c>
    </row>
    <row r="164">
      <c r="A164" s="10" t="n">
        <v>0.305</v>
      </c>
      <c r="B164" s="22" t="n">
        <v>0.9566462617521307</v>
      </c>
      <c r="C164" s="22" t="n">
        <v>0.9653334711325867</v>
      </c>
      <c r="D164" s="22" t="n">
        <v>0.8901098215220603</v>
      </c>
      <c r="E164" s="22" t="n">
        <v>0.7067024758044772</v>
      </c>
      <c r="F164" s="22" t="n">
        <v>0.7194446286413726</v>
      </c>
      <c r="G164" s="22" t="n">
        <v>1.374798546243915</v>
      </c>
      <c r="H164" s="22" t="n">
        <v>1.056846881499032</v>
      </c>
      <c r="I164" s="22" t="n">
        <v>1.44584201960218</v>
      </c>
      <c r="J164" s="22" t="n">
        <v>0.9400516601599953</v>
      </c>
      <c r="K164" s="22" t="n">
        <v>0.8092034643797427</v>
      </c>
      <c r="L164" s="22" t="n">
        <v>0.6876811573506876</v>
      </c>
    </row>
    <row r="165">
      <c r="A165" s="10" t="n">
        <v>0.315</v>
      </c>
      <c r="B165" s="22" t="n">
        <v>0.9744464751406867</v>
      </c>
      <c r="C165" s="22" t="n">
        <v>0.9708378066225778</v>
      </c>
      <c r="D165" s="22" t="n">
        <v>0.8901098215220603</v>
      </c>
      <c r="E165" s="22" t="n">
        <v>0.6922799762982633</v>
      </c>
      <c r="F165" s="22" t="n">
        <v>0.7110558491203206</v>
      </c>
      <c r="G165" s="22" t="n">
        <v>1.374798546243915</v>
      </c>
      <c r="H165" s="22" t="n">
        <v>1.029035121459584</v>
      </c>
      <c r="I165" s="22" t="n">
        <v>1.615382953088865</v>
      </c>
      <c r="J165" s="22" t="n">
        <v>0.9400516601599953</v>
      </c>
      <c r="K165" s="22" t="n">
        <v>0.8310738282818978</v>
      </c>
      <c r="L165" s="22" t="n">
        <v>0.6876811573506876</v>
      </c>
    </row>
    <row r="166">
      <c r="A166" s="10" t="n">
        <v>0.325</v>
      </c>
      <c r="B166" s="22" t="n">
        <v>0.9721228189216233</v>
      </c>
      <c r="C166" s="22" t="n">
        <v>0.9708378066225778</v>
      </c>
      <c r="D166" s="22" t="n">
        <v>0.8894592793982992</v>
      </c>
      <c r="E166" s="22" t="n">
        <v>0.6922799762982633</v>
      </c>
      <c r="F166" s="22" t="n">
        <v>0.6795131574705512</v>
      </c>
      <c r="G166" s="22" t="n">
        <v>1.374798546243915</v>
      </c>
      <c r="H166" s="22" t="n">
        <v>1.056846881499032</v>
      </c>
      <c r="I166" s="22" t="n">
        <v>1.615382953088865</v>
      </c>
      <c r="J166" s="22" t="n">
        <v>0.9124030819199954</v>
      </c>
      <c r="K166" s="22" t="n">
        <v>0.8092034643797427</v>
      </c>
      <c r="L166" s="22" t="n">
        <v>0.7210093299587963</v>
      </c>
    </row>
    <row r="167">
      <c r="A167" s="10" t="n">
        <v>0.335</v>
      </c>
      <c r="B167" s="22" t="n">
        <v>0.9881229649205939</v>
      </c>
      <c r="C167" s="22" t="n">
        <v>0.9943589761495487</v>
      </c>
      <c r="D167" s="22" t="n">
        <v>0.8876850736062261</v>
      </c>
      <c r="E167" s="22" t="n">
        <v>0.6922799762982633</v>
      </c>
      <c r="F167" s="22" t="n">
        <v>0.6795131574705512</v>
      </c>
      <c r="G167" s="22" t="n">
        <v>1.405349625049336</v>
      </c>
      <c r="H167" s="22" t="n">
        <v>1.029035121459584</v>
      </c>
      <c r="I167" s="22" t="n">
        <v>1.615382953088865</v>
      </c>
      <c r="J167" s="22" t="n">
        <v>0.9400516601599953</v>
      </c>
      <c r="K167" s="22" t="n">
        <v>0.8310738282818978</v>
      </c>
      <c r="L167" s="22" t="n">
        <v>0.8119043461627278</v>
      </c>
    </row>
    <row r="168">
      <c r="A168" s="10" t="n">
        <v>0.345</v>
      </c>
      <c r="B168" s="22" t="n">
        <v>0.9810361832043033</v>
      </c>
      <c r="C168" s="22" t="n">
        <v>1.028458342807462</v>
      </c>
      <c r="D168" s="22" t="n">
        <v>0.8660342181524157</v>
      </c>
      <c r="E168" s="22" t="n">
        <v>0.7067024758044772</v>
      </c>
      <c r="F168" s="22" t="n">
        <v>0.6772980251641282</v>
      </c>
      <c r="G168" s="22" t="n">
        <v>1.374798546243915</v>
      </c>
      <c r="H168" s="22" t="n">
        <v>1.056846881499032</v>
      </c>
      <c r="I168" s="22" t="n">
        <v>1.614385807335371</v>
      </c>
      <c r="J168" s="22" t="n">
        <v>0.9124030819199954</v>
      </c>
      <c r="K168" s="22" t="n">
        <v>0.8092034643797427</v>
      </c>
      <c r="L168" s="22" t="n">
        <v>0.8119043461627278</v>
      </c>
    </row>
    <row r="169">
      <c r="A169" s="10" t="n">
        <v>0.355</v>
      </c>
      <c r="B169" s="22" t="n">
        <v>1.014833658301118</v>
      </c>
      <c r="C169" s="22" t="n">
        <v>1.056014514984144</v>
      </c>
      <c r="D169" s="22" t="n">
        <v>0.9064359103574547</v>
      </c>
      <c r="E169" s="22" t="n">
        <v>0.7642701550096807</v>
      </c>
      <c r="F169" s="22" t="n">
        <v>0.6865963126733342</v>
      </c>
      <c r="G169" s="22" t="n">
        <v>1.425714834348421</v>
      </c>
      <c r="H169" s="22" t="n">
        <v>1.08336438824768</v>
      </c>
      <c r="I169" s="22" t="n">
        <v>1.577491414456106</v>
      </c>
      <c r="J169" s="22" t="n">
        <v>1.008934239628743</v>
      </c>
      <c r="K169" s="22" t="n">
        <v>0.8833497906411882</v>
      </c>
      <c r="L169" s="22" t="n">
        <v>0.8143966806927515</v>
      </c>
    </row>
    <row r="170">
      <c r="A170" s="10" t="n">
        <v>0.365</v>
      </c>
      <c r="B170" s="22" t="n">
        <v>1.054823136874782</v>
      </c>
      <c r="C170" s="22" t="n">
        <v>1.073179501686188</v>
      </c>
      <c r="D170" s="22" t="n">
        <v>0.9211104782497197</v>
      </c>
      <c r="E170" s="22" t="n">
        <v>0.8650564052056666</v>
      </c>
      <c r="F170" s="22" t="n">
        <v>0.6689912790150435</v>
      </c>
      <c r="G170" s="22" t="n">
        <v>1.51800060653784</v>
      </c>
      <c r="H170" s="22" t="n">
        <v>1.09911710358101</v>
      </c>
      <c r="I170" s="22" t="n">
        <v>1.577491414456106</v>
      </c>
      <c r="J170" s="22" t="n">
        <v>1.054473402074288</v>
      </c>
      <c r="K170" s="22" t="n">
        <v>0.9850407923155391</v>
      </c>
      <c r="L170" s="22" t="n">
        <v>0.8629972040282154</v>
      </c>
    </row>
    <row r="171">
      <c r="A171" s="10" t="n">
        <v>0.375</v>
      </c>
      <c r="B171" s="22" t="n">
        <v>1.057711919696189</v>
      </c>
      <c r="C171" s="22" t="n">
        <v>1.080759958263372</v>
      </c>
      <c r="D171" s="22" t="n">
        <v>0.9211104782497197</v>
      </c>
      <c r="E171" s="22" t="n">
        <v>0.8650564052056666</v>
      </c>
      <c r="F171" s="22" t="n">
        <v>0.6689912790150435</v>
      </c>
      <c r="G171" s="22" t="n">
        <v>1.51800060653784</v>
      </c>
      <c r="H171" s="22" t="n">
        <v>1.128822971245362</v>
      </c>
      <c r="I171" s="22" t="n">
        <v>1.535978482496735</v>
      </c>
      <c r="J171" s="22" t="n">
        <v>1.086427141531085</v>
      </c>
      <c r="K171" s="22" t="n">
        <v>1.011663516432175</v>
      </c>
      <c r="L171" s="22" t="n">
        <v>0.8419484917348443</v>
      </c>
    </row>
    <row r="172">
      <c r="A172" s="10" t="n">
        <v>0.385</v>
      </c>
      <c r="B172" s="22" t="n">
        <v>1.073008168201693</v>
      </c>
      <c r="C172" s="22" t="n">
        <v>1.078768069380019</v>
      </c>
      <c r="D172" s="22" t="n">
        <v>1.004877671227019</v>
      </c>
      <c r="E172" s="22" t="n">
        <v>0.8830784136474512</v>
      </c>
      <c r="F172" s="22" t="n">
        <v>0.7300226209852662</v>
      </c>
      <c r="G172" s="22" t="n">
        <v>1.51800060653784</v>
      </c>
      <c r="H172" s="22" t="n">
        <v>1.09911710358101</v>
      </c>
      <c r="I172" s="22" t="n">
        <v>1.577491414456106</v>
      </c>
      <c r="J172" s="22" t="n">
        <v>1.054473402074288</v>
      </c>
      <c r="K172" s="22" t="n">
        <v>0.9850407923155391</v>
      </c>
      <c r="L172" s="22" t="n">
        <v>0.8629972040282154</v>
      </c>
    </row>
    <row r="173">
      <c r="A173" s="10" t="n">
        <v>0.395</v>
      </c>
      <c r="B173" s="22" t="n">
        <v>1.085955684433195</v>
      </c>
      <c r="C173" s="22" t="n">
        <v>1.137865411613435</v>
      </c>
      <c r="D173" s="22" t="n">
        <v>1.025184869524546</v>
      </c>
      <c r="E173" s="22" t="n">
        <v>0.8650564052056666</v>
      </c>
      <c r="F173" s="22" t="n">
        <v>0.7324604988555594</v>
      </c>
      <c r="G173" s="22" t="n">
        <v>1.51800060653784</v>
      </c>
      <c r="H173" s="22" t="n">
        <v>1.128822971245362</v>
      </c>
      <c r="I173" s="22" t="n">
        <v>1.554665763328031</v>
      </c>
      <c r="J173" s="22" t="n">
        <v>1.086427141531085</v>
      </c>
      <c r="K173" s="22" t="n">
        <v>1.011663516432175</v>
      </c>
      <c r="L173" s="22" t="n">
        <v>0.9100610545471375</v>
      </c>
    </row>
    <row r="174">
      <c r="A174" s="10" t="n">
        <v>0.405</v>
      </c>
      <c r="B174" s="22" t="n">
        <v>1.080863011605806</v>
      </c>
      <c r="C174" s="22" t="n">
        <v>1.178684953139068</v>
      </c>
      <c r="D174" s="22" t="n">
        <v>1.007197509903029</v>
      </c>
      <c r="E174" s="22" t="n">
        <v>0.8650564052056666</v>
      </c>
      <c r="F174" s="22" t="n">
        <v>0.7324604988555594</v>
      </c>
      <c r="G174" s="22" t="n">
        <v>1.551733953349792</v>
      </c>
      <c r="H174" s="22" t="n">
        <v>1.09911710358101</v>
      </c>
      <c r="I174" s="22" t="n">
        <v>1.534122677312764</v>
      </c>
      <c r="J174" s="22" t="n">
        <v>1.054473402074288</v>
      </c>
      <c r="K174" s="22" t="n">
        <v>1.011663516432175</v>
      </c>
      <c r="L174" s="22" t="n">
        <v>0.9295357513135881</v>
      </c>
    </row>
    <row r="175">
      <c r="A175" s="10" t="n">
        <v>0.415</v>
      </c>
      <c r="B175" s="22" t="n">
        <v>1.123436029317088</v>
      </c>
      <c r="C175" s="22" t="n">
        <v>1.167762397485374</v>
      </c>
      <c r="D175" s="22" t="n">
        <v>1.082725494533013</v>
      </c>
      <c r="E175" s="22" t="n">
        <v>0.9338183619172303</v>
      </c>
      <c r="F175" s="22" t="n">
        <v>0.7766082444786315</v>
      </c>
      <c r="G175" s="22" t="n">
        <v>1.434806614067808</v>
      </c>
      <c r="H175" s="22" t="n">
        <v>1.223736162454989</v>
      </c>
      <c r="I175" s="22" t="n">
        <v>1.534122677312764</v>
      </c>
      <c r="J175" s="22" t="n">
        <v>1.171349571630397</v>
      </c>
      <c r="K175" s="22" t="n">
        <v>1.096531492643319</v>
      </c>
      <c r="L175" s="22" t="n">
        <v>0.9295357513135881</v>
      </c>
    </row>
    <row r="176">
      <c r="A176" s="10" t="n">
        <v>0.425</v>
      </c>
      <c r="B176" s="22" t="n">
        <v>1.177304878125246</v>
      </c>
      <c r="C176" s="22" t="n">
        <v>1.152265662105932</v>
      </c>
      <c r="D176" s="22" t="n">
        <v>1.082725494533013</v>
      </c>
      <c r="E176" s="22" t="n">
        <v>1.081274641816073</v>
      </c>
      <c r="F176" s="22" t="n">
        <v>0.8269758823376775</v>
      </c>
      <c r="G176" s="22" t="n">
        <v>1.268418629127746</v>
      </c>
      <c r="H176" s="22" t="n">
        <v>1.391766109810693</v>
      </c>
      <c r="I176" s="22" t="n">
        <v>1.534122677312764</v>
      </c>
      <c r="J176" s="22" t="n">
        <v>1.270045724634081</v>
      </c>
      <c r="K176" s="22" t="n">
        <v>1.247032772679711</v>
      </c>
      <c r="L176" s="22" t="n">
        <v>0.9772544676597189</v>
      </c>
    </row>
    <row r="177">
      <c r="A177" s="10" t="n">
        <v>0.435</v>
      </c>
      <c r="B177" s="22" t="n">
        <v>1.184818621255331</v>
      </c>
      <c r="C177" s="22" t="n">
        <v>1.172070546180871</v>
      </c>
      <c r="D177" s="22" t="n">
        <v>1.11355963128626</v>
      </c>
      <c r="E177" s="22" t="n">
        <v>1.059207812391256</v>
      </c>
      <c r="F177" s="22" t="n">
        <v>0.8269758823376775</v>
      </c>
      <c r="G177" s="22" t="n">
        <v>1.268418629127746</v>
      </c>
      <c r="H177" s="22" t="n">
        <v>1.429381410075847</v>
      </c>
      <c r="I177" s="22" t="n">
        <v>1.47312483179957</v>
      </c>
      <c r="J177" s="22" t="n">
        <v>1.308531958713902</v>
      </c>
      <c r="K177" s="22" t="n">
        <v>1.214216120767087</v>
      </c>
      <c r="L177" s="22" t="n">
        <v>1.051814961950547</v>
      </c>
    </row>
    <row r="178">
      <c r="A178" s="10" t="n">
        <v>0.445</v>
      </c>
      <c r="B178" s="22" t="n">
        <v>1.156464877481055</v>
      </c>
      <c r="C178" s="22" t="n">
        <v>1.192272595513507</v>
      </c>
      <c r="D178" s="22" t="n">
        <v>1.173025466453239</v>
      </c>
      <c r="E178" s="22" t="n">
        <v>1.059207812391256</v>
      </c>
      <c r="F178" s="22" t="n">
        <v>0.8269758823376775</v>
      </c>
      <c r="G178" s="22" t="n">
        <v>1.268418629127746</v>
      </c>
      <c r="H178" s="22" t="n">
        <v>1.391766109810693</v>
      </c>
      <c r="I178" s="22" t="n">
        <v>1.202991515955425</v>
      </c>
      <c r="J178" s="22" t="n">
        <v>1.270045724634081</v>
      </c>
      <c r="K178" s="22" t="n">
        <v>1.247032772679711</v>
      </c>
      <c r="L178" s="22" t="n">
        <v>1.051814961950547</v>
      </c>
    </row>
    <row r="179">
      <c r="A179" s="10" t="n">
        <v>0.455</v>
      </c>
      <c r="B179" s="22" t="n">
        <v>1.169195183749655</v>
      </c>
      <c r="C179" s="22" t="n">
        <v>1.168320348800491</v>
      </c>
      <c r="D179" s="22" t="n">
        <v>1.173025466453239</v>
      </c>
      <c r="E179" s="22" t="n">
        <v>1.059207812391256</v>
      </c>
      <c r="F179" s="22" t="n">
        <v>0.8440678121322477</v>
      </c>
      <c r="G179" s="22" t="n">
        <v>1.268418629127746</v>
      </c>
      <c r="H179" s="22" t="n">
        <v>1.429381410075847</v>
      </c>
      <c r="I179" s="22" t="n">
        <v>1.202991515955425</v>
      </c>
      <c r="J179" s="22" t="n">
        <v>1.308531958713902</v>
      </c>
      <c r="K179" s="22" t="n">
        <v>1.214216120767087</v>
      </c>
      <c r="L179" s="22" t="n">
        <v>1.107243882251234</v>
      </c>
    </row>
    <row r="180">
      <c r="A180" s="10" t="n">
        <v>0.465</v>
      </c>
      <c r="B180" s="22" t="n">
        <v>1.17901651571881</v>
      </c>
      <c r="C180" s="22" t="n">
        <v>1.15796647503814</v>
      </c>
      <c r="D180" s="22" t="n">
        <v>1.183951431407744</v>
      </c>
      <c r="E180" s="22" t="n">
        <v>1.081274641816073</v>
      </c>
      <c r="F180" s="22" t="n">
        <v>0.820402454554566</v>
      </c>
      <c r="G180" s="22" t="n">
        <v>1.268418629127746</v>
      </c>
      <c r="H180" s="22" t="n">
        <v>1.429381410075847</v>
      </c>
      <c r="I180" s="22" t="n">
        <v>1.202991515955425</v>
      </c>
      <c r="J180" s="22" t="n">
        <v>1.270045724634081</v>
      </c>
      <c r="K180" s="22" t="n">
        <v>1.247032772679711</v>
      </c>
      <c r="L180" s="22" t="n">
        <v>1.193851570221059</v>
      </c>
    </row>
    <row r="181">
      <c r="A181" s="10" t="n">
        <v>0.475</v>
      </c>
      <c r="B181" s="22" t="n">
        <v>1.247678617756634</v>
      </c>
      <c r="C181" s="22" t="n">
        <v>1.161363195216883</v>
      </c>
      <c r="D181" s="22" t="n">
        <v>1.243503293826626</v>
      </c>
      <c r="E181" s="22" t="n">
        <v>1.504886457015323</v>
      </c>
      <c r="F181" s="22" t="n">
        <v>0.820402454554566</v>
      </c>
      <c r="G181" s="22" t="n">
        <v>1.251279352581812</v>
      </c>
      <c r="H181" s="22" t="n">
        <v>1.345473033285628</v>
      </c>
      <c r="I181" s="22" t="n">
        <v>1.202991515955425</v>
      </c>
      <c r="J181" s="22" t="n">
        <v>1.324696730860191</v>
      </c>
      <c r="K181" s="22" t="n">
        <v>1.400660748963342</v>
      </c>
      <c r="L181" s="22" t="n">
        <v>1.193851570221059</v>
      </c>
    </row>
    <row r="182">
      <c r="A182" s="10" t="n">
        <v>0.485</v>
      </c>
      <c r="B182" s="22" t="n">
        <v>1.390332237681092</v>
      </c>
      <c r="C182" s="22" t="n">
        <v>1.163892741014969</v>
      </c>
      <c r="D182" s="22" t="n">
        <v>1.243503293826626</v>
      </c>
      <c r="E182" s="22" t="n">
        <v>2.587248879673774</v>
      </c>
      <c r="F182" s="22" t="n">
        <v>0.8595035839400054</v>
      </c>
      <c r="G182" s="22" t="n">
        <v>1.259062532579175</v>
      </c>
      <c r="H182" s="22" t="n">
        <v>1.331651581856265</v>
      </c>
      <c r="I182" s="22" t="n">
        <v>1.067139452766303</v>
      </c>
      <c r="J182" s="22" t="n">
        <v>1.323389472716837</v>
      </c>
      <c r="K182" s="22" t="n">
        <v>1.663791353353691</v>
      </c>
      <c r="L182" s="22" t="n">
        <v>1.189297865274153</v>
      </c>
    </row>
    <row r="183">
      <c r="A183" s="10" t="n">
        <v>0.495</v>
      </c>
      <c r="B183" s="22" t="n">
        <v>1.456511834316079</v>
      </c>
      <c r="C183" s="22" t="n">
        <v>1.163892741014969</v>
      </c>
      <c r="D183" s="22" t="n">
        <v>1.336769434430628</v>
      </c>
      <c r="E183" s="22" t="n">
        <v>2.587248879673774</v>
      </c>
      <c r="F183" s="22" t="n">
        <v>0.9313091982365838</v>
      </c>
      <c r="G183" s="22" t="n">
        <v>1.231691607957888</v>
      </c>
      <c r="H183" s="22" t="n">
        <v>1.296608119175837</v>
      </c>
      <c r="I183" s="22" t="n">
        <v>1.011792315911477</v>
      </c>
      <c r="J183" s="22" t="n">
        <v>1.363492184011287</v>
      </c>
      <c r="K183" s="22" t="n">
        <v>1.663791353353691</v>
      </c>
      <c r="L183" s="22" t="n">
        <v>1.697426403920002</v>
      </c>
    </row>
    <row r="184">
      <c r="A184" s="10" t="n">
        <v>0.505</v>
      </c>
      <c r="B184" s="22" t="n">
        <v>1.448598396405794</v>
      </c>
      <c r="C184" s="22" t="n">
        <v>1.334296232688803</v>
      </c>
      <c r="D184" s="22" t="n">
        <v>1.478252480972785</v>
      </c>
      <c r="E184" s="22" t="n">
        <v>1.940436659755331</v>
      </c>
      <c r="F184" s="22" t="n">
        <v>0.8087685142580856</v>
      </c>
      <c r="G184" s="22" t="n">
        <v>1.06746606023017</v>
      </c>
      <c r="H184" s="22" t="n">
        <v>1.682086208660545</v>
      </c>
      <c r="I184" s="22" t="n">
        <v>1.065044543064712</v>
      </c>
      <c r="J184" s="22" t="n">
        <v>1.92493014213358</v>
      </c>
      <c r="K184" s="22" t="n">
        <v>1.620007370370699</v>
      </c>
      <c r="L184" s="22" t="n">
        <v>1.449022539931709</v>
      </c>
    </row>
    <row r="185">
      <c r="A185" s="10" t="n">
        <v>0.515</v>
      </c>
      <c r="B185" s="22" t="n">
        <v>1.436059602518988</v>
      </c>
      <c r="C185" s="22" t="n">
        <v>1.356651028046872</v>
      </c>
      <c r="D185" s="22" t="n">
        <v>1.655282219059488</v>
      </c>
      <c r="E185" s="22" t="n">
        <v>1.293624439836888</v>
      </c>
      <c r="F185" s="22" t="n">
        <v>0.6862278302795876</v>
      </c>
      <c r="G185" s="22" t="n">
        <v>0.9032405125024515</v>
      </c>
      <c r="H185" s="22" t="n">
        <v>1.997477372784397</v>
      </c>
      <c r="I185" s="22" t="n">
        <v>1.144922883794565</v>
      </c>
      <c r="J185" s="22" t="n">
        <v>2.406162677666975</v>
      </c>
      <c r="K185" s="22" t="n">
        <v>1.663791353353691</v>
      </c>
      <c r="L185" s="22" t="n">
        <v>1.159218031945367</v>
      </c>
    </row>
    <row r="186">
      <c r="A186" s="10" t="n">
        <v>0.525</v>
      </c>
      <c r="B186" s="22" t="n">
        <v>1.408281939711938</v>
      </c>
      <c r="C186" s="22" t="n">
        <v>1.35751481007341</v>
      </c>
      <c r="D186" s="22" t="n">
        <v>1.933057455398953</v>
      </c>
      <c r="E186" s="22" t="n">
        <v>1.347525458163425</v>
      </c>
      <c r="F186" s="22" t="n">
        <v>0.7641761441267343</v>
      </c>
      <c r="G186" s="22" t="n">
        <v>0.9306114371237378</v>
      </c>
      <c r="H186" s="22" t="n">
        <v>1.85564859907303</v>
      </c>
      <c r="I186" s="22" t="n">
        <v>1.097986561245833</v>
      </c>
      <c r="J186" s="22" t="n">
        <v>1.818030655878564</v>
      </c>
      <c r="K186" s="22" t="n">
        <v>1.663791353353691</v>
      </c>
      <c r="L186" s="22" t="n">
        <v>1.24297869725141</v>
      </c>
    </row>
    <row r="187">
      <c r="A187" s="10" t="n">
        <v>0.535</v>
      </c>
      <c r="B187" s="22" t="n">
        <v>1.470674014200446</v>
      </c>
      <c r="C187" s="22" t="n">
        <v>1.421266773700673</v>
      </c>
      <c r="D187" s="22" t="n">
        <v>1.887907248041526</v>
      </c>
      <c r="E187" s="22" t="n">
        <v>1.293624439836888</v>
      </c>
      <c r="F187" s="22" t="n">
        <v>1.185002816093095</v>
      </c>
      <c r="G187" s="22" t="n">
        <v>0.9306114371237378</v>
      </c>
      <c r="H187" s="22" t="n">
        <v>1.678776362681233</v>
      </c>
      <c r="I187" s="22" t="n">
        <v>1.101255934504519</v>
      </c>
      <c r="J187" s="22" t="n">
        <v>1.670997650431462</v>
      </c>
      <c r="K187" s="22" t="n">
        <v>1.844997419459682</v>
      </c>
      <c r="L187" s="22" t="n">
        <v>1.610098881920691</v>
      </c>
    </row>
    <row r="188">
      <c r="A188" s="10" t="n">
        <v>0.545</v>
      </c>
      <c r="B188" s="22" t="n">
        <v>1.505649434023164</v>
      </c>
      <c r="C188" s="22" t="n">
        <v>1.431772732423739</v>
      </c>
      <c r="D188" s="22" t="n">
        <v>1.698904957641426</v>
      </c>
      <c r="E188" s="22" t="n">
        <v>1.347525458163425</v>
      </c>
      <c r="F188" s="22" t="n">
        <v>1.227324345239277</v>
      </c>
      <c r="G188" s="22" t="n">
        <v>1.037035540170649</v>
      </c>
      <c r="H188" s="22" t="n">
        <v>1.708754512014826</v>
      </c>
      <c r="I188" s="22" t="n">
        <v>1.075645331376507</v>
      </c>
      <c r="J188" s="22" t="n">
        <v>1.670997650431462</v>
      </c>
      <c r="K188" s="22" t="n">
        <v>2.16671028661142</v>
      </c>
      <c r="L188" s="22" t="n">
        <v>1.610098881920691</v>
      </c>
    </row>
    <row r="189">
      <c r="A189" s="10" t="n">
        <v>0.555</v>
      </c>
      <c r="B189" s="22" t="n">
        <v>1.502942571150213</v>
      </c>
      <c r="C189" s="22" t="n">
        <v>1.403309725014856</v>
      </c>
      <c r="D189" s="22" t="n">
        <v>1.66351110435723</v>
      </c>
      <c r="E189" s="22" t="n">
        <v>1.347525458163425</v>
      </c>
      <c r="F189" s="22" t="n">
        <v>1.185002816093095</v>
      </c>
      <c r="G189" s="22" t="n">
        <v>1.208951398938737</v>
      </c>
      <c r="H189" s="22" t="n">
        <v>1.678776362681233</v>
      </c>
      <c r="I189" s="22" t="n">
        <v>1.101255934504519</v>
      </c>
      <c r="J189" s="22" t="n">
        <v>1.647839198386365</v>
      </c>
      <c r="K189" s="22" t="n">
        <v>2.16671028661142</v>
      </c>
      <c r="L189" s="22" t="n">
        <v>1.554578230819978</v>
      </c>
    </row>
    <row r="190">
      <c r="A190" s="10" t="n">
        <v>0.5649999999999999</v>
      </c>
      <c r="B190" s="22" t="n">
        <v>1.493950873711871</v>
      </c>
      <c r="C190" s="22" t="n">
        <v>1.364052393988526</v>
      </c>
      <c r="D190" s="22" t="n">
        <v>1.580685531401407</v>
      </c>
      <c r="E190" s="22" t="n">
        <v>1.456036234981073</v>
      </c>
      <c r="F190" s="22" t="n">
        <v>1.227324345239277</v>
      </c>
      <c r="G190" s="22" t="n">
        <v>1.208951398938737</v>
      </c>
      <c r="H190" s="22" t="n">
        <v>1.565151572693944</v>
      </c>
      <c r="I190" s="22" t="n">
        <v>1.062513092486632</v>
      </c>
      <c r="J190" s="22" t="n">
        <v>1.61310152031872</v>
      </c>
      <c r="K190" s="22" t="n">
        <v>2.16671028661142</v>
      </c>
      <c r="L190" s="22" t="n">
        <v>1.610098881920691</v>
      </c>
    </row>
    <row r="191">
      <c r="A191" s="10" t="n">
        <v>0.575</v>
      </c>
      <c r="B191" s="22" t="n">
        <v>1.49956309333707</v>
      </c>
      <c r="C191" s="22" t="n">
        <v>1.463299437852113</v>
      </c>
      <c r="D191" s="22" t="n">
        <v>1.478300669914532</v>
      </c>
      <c r="E191" s="22" t="n">
        <v>1.753554946023888</v>
      </c>
      <c r="F191" s="22" t="n">
        <v>1.147648432643992</v>
      </c>
      <c r="G191" s="22" t="n">
        <v>1.208951398938737</v>
      </c>
      <c r="H191" s="22" t="n">
        <v>1.405592751226297</v>
      </c>
      <c r="I191" s="22" t="n">
        <v>1.085994143362232</v>
      </c>
      <c r="J191" s="22" t="n">
        <v>1.61310152031872</v>
      </c>
      <c r="K191" s="22" t="n">
        <v>2.109691594858488</v>
      </c>
      <c r="L191" s="22" t="n">
        <v>1.751914627925198</v>
      </c>
    </row>
    <row r="192">
      <c r="A192" s="10" t="n">
        <v>0.585</v>
      </c>
      <c r="B192" s="22" t="n">
        <v>1.510629101067386</v>
      </c>
      <c r="C192" s="22" t="n">
        <v>1.552542557038653</v>
      </c>
      <c r="D192" s="22" t="n">
        <v>1.503199080947821</v>
      </c>
      <c r="E192" s="22" t="n">
        <v>1.753554946023888</v>
      </c>
      <c r="F192" s="22" t="n">
        <v>1.10696022079217</v>
      </c>
      <c r="G192" s="22" t="n">
        <v>1.173394004852303</v>
      </c>
      <c r="H192" s="22" t="n">
        <v>1.380933229274958</v>
      </c>
      <c r="I192" s="22" t="n">
        <v>1.060738465609622</v>
      </c>
      <c r="J192" s="22" t="n">
        <v>1.59142658790297</v>
      </c>
      <c r="K192" s="22" t="n">
        <v>2.16671028661142</v>
      </c>
      <c r="L192" s="22" t="n">
        <v>1.915563766104178</v>
      </c>
    </row>
    <row r="193">
      <c r="A193" s="10" t="n">
        <v>0.595</v>
      </c>
      <c r="B193" s="22" t="n">
        <v>1.476846358926682</v>
      </c>
      <c r="C193" s="22" t="n">
        <v>1.545868801882552</v>
      </c>
      <c r="D193" s="22" t="n">
        <v>1.452627723968697</v>
      </c>
      <c r="E193" s="22" t="n">
        <v>1.683412748182932</v>
      </c>
      <c r="F193" s="22" t="n">
        <v>1.068789178695888</v>
      </c>
      <c r="G193" s="22" t="n">
        <v>1.208951398938737</v>
      </c>
      <c r="H193" s="22" t="n">
        <v>1.405592751226297</v>
      </c>
      <c r="I193" s="22" t="n">
        <v>1.085994143362232</v>
      </c>
      <c r="J193" s="22" t="n">
        <v>1.427316385326576</v>
      </c>
      <c r="K193" s="22" t="n">
        <v>2.015436216853268</v>
      </c>
      <c r="L193" s="22" t="n">
        <v>1.983976757750755</v>
      </c>
    </row>
    <row r="194">
      <c r="A194" s="10" t="n">
        <v>0.605</v>
      </c>
      <c r="B194" s="22" t="n">
        <v>1.50001792170894</v>
      </c>
      <c r="C194" s="22" t="n">
        <v>1.538948006138729</v>
      </c>
      <c r="D194" s="22" t="n">
        <v>1.478843451235577</v>
      </c>
      <c r="E194" s="22" t="n">
        <v>1.753554946023888</v>
      </c>
      <c r="F194" s="22" t="n">
        <v>1.10696022079217</v>
      </c>
      <c r="G194" s="22" t="n">
        <v>1.208951398938737</v>
      </c>
      <c r="H194" s="22" t="n">
        <v>1.423332509333524</v>
      </c>
      <c r="I194" s="22" t="n">
        <v>1.230569197797916</v>
      </c>
      <c r="J194" s="22" t="n">
        <v>1.403527778904467</v>
      </c>
      <c r="K194" s="22" t="n">
        <v>1.940081274220561</v>
      </c>
      <c r="L194" s="22" t="n">
        <v>1.983976757750755</v>
      </c>
    </row>
    <row r="195">
      <c r="A195" s="10" t="n">
        <v>0.615</v>
      </c>
      <c r="B195" s="22" t="n">
        <v>1.491302775584308</v>
      </c>
      <c r="C195" s="22" t="n">
        <v>1.579513985031898</v>
      </c>
      <c r="D195" s="22" t="n">
        <v>1.408530015483634</v>
      </c>
      <c r="E195" s="22" t="n">
        <v>1.683412748182932</v>
      </c>
      <c r="F195" s="22" t="n">
        <v>1.068789178695888</v>
      </c>
      <c r="G195" s="22" t="n">
        <v>1.208951398938737</v>
      </c>
      <c r="H195" s="22" t="n">
        <v>1.400801758355052</v>
      </c>
      <c r="I195" s="22" t="n">
        <v>1.283364994283763</v>
      </c>
      <c r="J195" s="22" t="n">
        <v>1.427316385326576</v>
      </c>
      <c r="K195" s="22" t="n">
        <v>1.992515903253549</v>
      </c>
      <c r="L195" s="22" t="n">
        <v>1.983976757750755</v>
      </c>
    </row>
    <row r="196">
      <c r="A196" s="10" t="n">
        <v>0.625</v>
      </c>
      <c r="B196" s="22" t="n">
        <v>1.473809329164303</v>
      </c>
      <c r="C196" s="22" t="n">
        <v>1.587952951648698</v>
      </c>
      <c r="D196" s="22" t="n">
        <v>1.438498739217328</v>
      </c>
      <c r="E196" s="22" t="n">
        <v>1.753554946023888</v>
      </c>
      <c r="F196" s="22" t="n">
        <v>1.04708223086989</v>
      </c>
      <c r="G196" s="22" t="n">
        <v>1.301781924428379</v>
      </c>
      <c r="H196" s="22" t="n">
        <v>1.425816075468535</v>
      </c>
      <c r="I196" s="22" t="n">
        <v>1.25351929674228</v>
      </c>
      <c r="J196" s="22" t="n">
        <v>1.370111929674455</v>
      </c>
      <c r="K196" s="22" t="n">
        <v>1.992515903253549</v>
      </c>
      <c r="L196" s="22" t="n">
        <v>1.747607858814626</v>
      </c>
    </row>
    <row r="197">
      <c r="A197" s="10" t="n">
        <v>0.635</v>
      </c>
      <c r="B197" s="22" t="n">
        <v>1.481280280296155</v>
      </c>
      <c r="C197" s="22" t="n">
        <v>1.541423489689146</v>
      </c>
      <c r="D197" s="22" t="n">
        <v>1.434014618798236</v>
      </c>
      <c r="E197" s="22" t="n">
        <v>1.753554946023888</v>
      </c>
      <c r="F197" s="22" t="n">
        <v>0.9889518587995151</v>
      </c>
      <c r="G197" s="22" t="n">
        <v>1.47197122115939</v>
      </c>
      <c r="H197" s="22" t="n">
        <v>1.400801758355052</v>
      </c>
      <c r="I197" s="22" t="n">
        <v>1.283364994283763</v>
      </c>
      <c r="J197" s="22" t="n">
        <v>1.345595734394975</v>
      </c>
      <c r="K197" s="22" t="n">
        <v>1.992515903253549</v>
      </c>
      <c r="L197" s="22" t="n">
        <v>1.762580334505437</v>
      </c>
    </row>
    <row r="198">
      <c r="A198" s="10" t="n">
        <v>0.645</v>
      </c>
      <c r="B198" s="22" t="n">
        <v>1.477490487035347</v>
      </c>
      <c r="C198" s="22" t="n">
        <v>1.515877837168466</v>
      </c>
      <c r="D198" s="22" t="n">
        <v>1.474477002720296</v>
      </c>
      <c r="E198" s="22" t="n">
        <v>1.683412748182932</v>
      </c>
      <c r="F198" s="22" t="n">
        <v>1.024271568042355</v>
      </c>
      <c r="G198" s="22" t="n">
        <v>1.47197122115939</v>
      </c>
      <c r="H198" s="22" t="n">
        <v>1.401111651132714</v>
      </c>
      <c r="I198" s="22" t="n">
        <v>1.275699603587722</v>
      </c>
      <c r="J198" s="22" t="n">
        <v>1.345595734394975</v>
      </c>
      <c r="K198" s="22" t="n">
        <v>1.940081274220561</v>
      </c>
      <c r="L198" s="22" t="n">
        <v>1.762580334505437</v>
      </c>
    </row>
    <row r="199">
      <c r="A199" s="10" t="n">
        <v>0.655</v>
      </c>
      <c r="B199" s="22" t="n">
        <v>1.518566331759047</v>
      </c>
      <c r="C199" s="22" t="n">
        <v>1.569331545191917</v>
      </c>
      <c r="D199" s="22" t="n">
        <v>1.479256226386489</v>
      </c>
      <c r="E199" s="22" t="n">
        <v>1.753554946023888</v>
      </c>
      <c r="F199" s="22" t="n">
        <v>0.9889518587995151</v>
      </c>
      <c r="G199" s="22" t="n">
        <v>1.428677949948819</v>
      </c>
      <c r="H199" s="22" t="n">
        <v>1.397078275730947</v>
      </c>
      <c r="I199" s="22" t="n">
        <v>1.306073403673144</v>
      </c>
      <c r="J199" s="22" t="n">
        <v>1.38377014343443</v>
      </c>
      <c r="K199" s="22" t="n">
        <v>2.285820157638998</v>
      </c>
      <c r="L199" s="22" t="n">
        <v>1.762580334505437</v>
      </c>
    </row>
    <row r="200">
      <c r="A200" s="10" t="n">
        <v>0.665</v>
      </c>
      <c r="B200" s="22" t="n">
        <v>1.536831414573488</v>
      </c>
      <c r="C200" s="22" t="n">
        <v>1.494330857656098</v>
      </c>
      <c r="D200" s="22" t="n">
        <v>1.56415488370438</v>
      </c>
      <c r="E200" s="22" t="n">
        <v>1.753554946023888</v>
      </c>
      <c r="F200" s="22" t="n">
        <v>1.024271568042355</v>
      </c>
      <c r="G200" s="22" t="n">
        <v>1.47197122115939</v>
      </c>
      <c r="H200" s="22" t="n">
        <v>1.372568130542685</v>
      </c>
      <c r="I200" s="22" t="n">
        <v>1.275699603587722</v>
      </c>
      <c r="J200" s="22" t="n">
        <v>1.472843764526493</v>
      </c>
      <c r="K200" s="22" t="n">
        <v>2.330260196182249</v>
      </c>
      <c r="L200" s="22" t="n">
        <v>1.696145064059011</v>
      </c>
    </row>
    <row r="201">
      <c r="A201" s="10" t="n">
        <v>0.675</v>
      </c>
      <c r="B201" s="22" t="n">
        <v>1.524070942795786</v>
      </c>
      <c r="C201" s="22" t="n">
        <v>1.352056081536523</v>
      </c>
      <c r="D201" s="22" t="n">
        <v>1.534247633808388</v>
      </c>
      <c r="E201" s="22" t="n">
        <v>1.683412748182932</v>
      </c>
      <c r="F201" s="22" t="n">
        <v>1.094376768325846</v>
      </c>
      <c r="G201" s="22" t="n">
        <v>1.47197122115939</v>
      </c>
      <c r="H201" s="22" t="n">
        <v>1.397078275730947</v>
      </c>
      <c r="I201" s="22" t="n">
        <v>1.306073403673144</v>
      </c>
      <c r="J201" s="22" t="n">
        <v>1.472843764526493</v>
      </c>
      <c r="K201" s="22" t="n">
        <v>2.26893755944061</v>
      </c>
      <c r="L201" s="22" t="n">
        <v>1.598537826064531</v>
      </c>
    </row>
    <row r="202">
      <c r="A202" s="10" t="n">
        <v>0.6850000000000001</v>
      </c>
      <c r="B202" s="22" t="n">
        <v>1.552447220166122</v>
      </c>
      <c r="C202" s="22" t="n">
        <v>1.358650898507815</v>
      </c>
      <c r="D202" s="22" t="n">
        <v>1.692761772401165</v>
      </c>
      <c r="E202" s="22" t="n">
        <v>1.47582828022489</v>
      </c>
      <c r="F202" s="22" t="n">
        <v>1.137505730126192</v>
      </c>
      <c r="G202" s="22" t="n">
        <v>1.47197122115939</v>
      </c>
      <c r="H202" s="22" t="n">
        <v>1.78032118832813</v>
      </c>
      <c r="I202" s="22" t="n">
        <v>1.099067111946139</v>
      </c>
      <c r="J202" s="22" t="n">
        <v>1.492099174900678</v>
      </c>
      <c r="K202" s="22" t="n">
        <v>2.330260196182249</v>
      </c>
      <c r="L202" s="22" t="n">
        <v>1.598537826064531</v>
      </c>
    </row>
    <row r="203">
      <c r="A203" s="10" t="n">
        <v>0.695</v>
      </c>
      <c r="B203" s="22" t="n">
        <v>1.52752094149625</v>
      </c>
      <c r="C203" s="22" t="n">
        <v>1.364147271262789</v>
      </c>
      <c r="D203" s="22" t="n">
        <v>1.657495902142808</v>
      </c>
      <c r="E203" s="22" t="n">
        <v>1.207309892527507</v>
      </c>
      <c r="F203" s="22" t="n">
        <v>1.098281394604599</v>
      </c>
      <c r="G203" s="22" t="n">
        <v>1.44297508728256</v>
      </c>
      <c r="H203" s="22" t="n">
        <v>1.749087483269742</v>
      </c>
      <c r="I203" s="22" t="n">
        <v>1.125235376516285</v>
      </c>
      <c r="J203" s="22" t="n">
        <v>1.637890139162351</v>
      </c>
      <c r="K203" s="22" t="n">
        <v>2.330260196182249</v>
      </c>
      <c r="L203" s="22" t="n">
        <v>1.598537826064531</v>
      </c>
    </row>
    <row r="204">
      <c r="A204" s="10" t="n">
        <v>0.705</v>
      </c>
      <c r="B204" s="22" t="n">
        <v>1.514505277917243</v>
      </c>
      <c r="C204" s="22" t="n">
        <v>1.328684981125162</v>
      </c>
      <c r="D204" s="22" t="n">
        <v>1.8660685621525</v>
      </c>
      <c r="E204" s="22" t="n">
        <v>1.25761447138282</v>
      </c>
      <c r="F204" s="22" t="n">
        <v>1.137505730126192</v>
      </c>
      <c r="G204" s="22" t="n">
        <v>1.143348370555316</v>
      </c>
      <c r="H204" s="22" t="n">
        <v>1.78032118832813</v>
      </c>
      <c r="I204" s="22" t="n">
        <v>1.099067111946139</v>
      </c>
      <c r="J204" s="22" t="n">
        <v>1.637890139162351</v>
      </c>
      <c r="K204" s="22" t="n">
        <v>2.226739903951539</v>
      </c>
      <c r="L204" s="22" t="n">
        <v>1.543415832062306</v>
      </c>
    </row>
    <row r="205">
      <c r="A205" s="10" t="n">
        <v>0.715</v>
      </c>
      <c r="B205" s="22" t="n">
        <v>1.36384578589682</v>
      </c>
      <c r="C205" s="22" t="n">
        <v>1.295404518384739</v>
      </c>
      <c r="D205" s="22" t="n">
        <v>1.897067052681418</v>
      </c>
      <c r="E205" s="22" t="n">
        <v>1.25761447138282</v>
      </c>
      <c r="F205" s="22" t="n">
        <v>1.018577176352733</v>
      </c>
      <c r="G205" s="22" t="n">
        <v>1.10972047730369</v>
      </c>
      <c r="H205" s="22" t="n">
        <v>1.749087483269742</v>
      </c>
      <c r="I205" s="22" t="n">
        <v>1.097099990020613</v>
      </c>
      <c r="J205" s="22" t="n">
        <v>1.637890139162351</v>
      </c>
      <c r="K205" s="22" t="n">
        <v>0.992187288595185</v>
      </c>
      <c r="L205" s="22" t="n">
        <v>1.515153021996527</v>
      </c>
    </row>
    <row r="206">
      <c r="A206" s="10" t="n">
        <v>0.725</v>
      </c>
      <c r="B206" s="22" t="n">
        <v>1.441406204441297</v>
      </c>
      <c r="C206" s="22" t="n">
        <v>1.231872533947959</v>
      </c>
      <c r="D206" s="22" t="n">
        <v>2.032067716478261</v>
      </c>
      <c r="E206" s="22" t="n">
        <v>1.207309892527507</v>
      </c>
      <c r="F206" s="22" t="n">
        <v>0.6752212642653679</v>
      </c>
      <c r="G206" s="22" t="n">
        <v>1.143348370555316</v>
      </c>
      <c r="H206" s="22" t="n">
        <v>2.730459597996879</v>
      </c>
      <c r="I206" s="22" t="n">
        <v>0.8627298653824864</v>
      </c>
      <c r="J206" s="22" t="n">
        <v>1.942648214754486</v>
      </c>
      <c r="K206" s="22" t="n">
        <v>1.01900316125992</v>
      </c>
      <c r="L206" s="22" t="n">
        <v>1.329853457400966</v>
      </c>
    </row>
    <row r="207">
      <c r="A207" s="10" t="n">
        <v>0.735</v>
      </c>
      <c r="B207" s="22" t="n">
        <v>1.4556832465196</v>
      </c>
      <c r="C207" s="22" t="n">
        <v>1.228597679821872</v>
      </c>
      <c r="D207" s="22" t="n">
        <v>2.036230887635118</v>
      </c>
      <c r="E207" s="22" t="n">
        <v>1.307919050238133</v>
      </c>
      <c r="F207" s="22" t="n">
        <v>0.7916387236214661</v>
      </c>
      <c r="G207" s="22" t="n">
        <v>1.10972047730369</v>
      </c>
      <c r="H207" s="22" t="n">
        <v>2.458223581068983</v>
      </c>
      <c r="I207" s="22" t="n">
        <v>0.8832710526534979</v>
      </c>
      <c r="J207" s="22" t="n">
        <v>1.891206135105816</v>
      </c>
      <c r="K207" s="22" t="n">
        <v>1.072634906589389</v>
      </c>
      <c r="L207" s="22" t="n">
        <v>1.513281520490754</v>
      </c>
    </row>
    <row r="208">
      <c r="A208" s="10" t="n">
        <v>0.745</v>
      </c>
      <c r="B208" s="22" t="n">
        <v>1.388698929835313</v>
      </c>
      <c r="C208" s="22" t="n">
        <v>1.225419408151445</v>
      </c>
      <c r="D208" s="22" t="n">
        <v>1.434617216288378</v>
      </c>
      <c r="E208" s="22" t="n">
        <v>1.660051102225322</v>
      </c>
      <c r="F208" s="22" t="n">
        <v>1.343276707982561</v>
      </c>
      <c r="G208" s="22" t="n">
        <v>1.008836797548809</v>
      </c>
      <c r="H208" s="22" t="n">
        <v>1.205011559347541</v>
      </c>
      <c r="I208" s="22" t="n">
        <v>0.9654358017375446</v>
      </c>
      <c r="J208" s="22" t="n">
        <v>1.169109247156322</v>
      </c>
      <c r="K208" s="22" t="n">
        <v>1.313977760572002</v>
      </c>
      <c r="L208" s="22" t="n">
        <v>2.384564820167247</v>
      </c>
    </row>
    <row r="209">
      <c r="A209" s="10" t="n">
        <v>0.755</v>
      </c>
      <c r="B209" s="22" t="n">
        <v>1.260157105431685</v>
      </c>
      <c r="C209" s="22" t="n">
        <v>1.251744873738147</v>
      </c>
      <c r="D209" s="22" t="n">
        <v>1.432041114243569</v>
      </c>
      <c r="E209" s="22" t="n">
        <v>1.60974652337001</v>
      </c>
      <c r="F209" s="22" t="n">
        <v>0.9402698259822361</v>
      </c>
      <c r="G209" s="22" t="n">
        <v>1.008836797548809</v>
      </c>
      <c r="H209" s="22" t="n">
        <v>1.253212021721443</v>
      </c>
      <c r="I209" s="22" t="n">
        <v>0.8658695877064211</v>
      </c>
      <c r="J209" s="22" t="n">
        <v>1.169109247156322</v>
      </c>
      <c r="K209" s="22" t="n">
        <v>1.340793633236736</v>
      </c>
      <c r="L209" s="22" t="n">
        <v>1.695062125458024</v>
      </c>
    </row>
    <row r="210">
      <c r="A210" s="10" t="n">
        <v>0.765</v>
      </c>
      <c r="B210" s="22" t="n">
        <v>1.177306066229712</v>
      </c>
      <c r="C210" s="22" t="n">
        <v>1.262429598994619</v>
      </c>
      <c r="D210" s="22" t="n">
        <v>1.283169578320633</v>
      </c>
      <c r="E210" s="22" t="n">
        <v>1.660051102225322</v>
      </c>
      <c r="F210" s="22" t="n">
        <v>0.9245986622158654</v>
      </c>
      <c r="G210" s="22" t="n">
        <v>1.008836797548809</v>
      </c>
      <c r="H210" s="22" t="n">
        <v>1.205011559347541</v>
      </c>
      <c r="I210" s="22" t="n">
        <v>0.6311777974902005</v>
      </c>
      <c r="J210" s="22" t="n">
        <v>1.14012391084952</v>
      </c>
      <c r="K210" s="22" t="n">
        <v>1.137126822833362</v>
      </c>
      <c r="L210" s="22" t="n">
        <v>1.587670170055048</v>
      </c>
    </row>
    <row r="211">
      <c r="A211" s="10" t="n">
        <v>0.775</v>
      </c>
      <c r="B211" s="22" t="n">
        <v>1.211028820421536</v>
      </c>
      <c r="C211" s="22" t="n">
        <v>1.291366974353795</v>
      </c>
      <c r="D211" s="22" t="n">
        <v>1.283169578320633</v>
      </c>
      <c r="E211" s="22" t="n">
        <v>1.660051102225322</v>
      </c>
      <c r="F211" s="22" t="n">
        <v>1.079748603943749</v>
      </c>
      <c r="G211" s="22" t="n">
        <v>1.008836797548809</v>
      </c>
      <c r="H211" s="22" t="n">
        <v>1.205011559347541</v>
      </c>
      <c r="I211" s="22" t="n">
        <v>0.6177484826499835</v>
      </c>
      <c r="J211" s="22" t="n">
        <v>1.260913153518843</v>
      </c>
      <c r="K211" s="22" t="n">
        <v>1.119729961063437</v>
      </c>
      <c r="L211" s="22" t="n">
        <v>1.642764673795056</v>
      </c>
    </row>
    <row r="212">
      <c r="A212" s="10" t="n">
        <v>0.785</v>
      </c>
      <c r="B212" s="22" t="n">
        <v>1.186991429562189</v>
      </c>
      <c r="C212" s="22" t="n">
        <v>1.359723509750257</v>
      </c>
      <c r="D212" s="22" t="n">
        <v>1.283169578320633</v>
      </c>
      <c r="E212" s="22" t="n">
        <v>1.515990661927206</v>
      </c>
      <c r="F212" s="22" t="n">
        <v>1.099689043061168</v>
      </c>
      <c r="G212" s="22" t="n">
        <v>0.8431368137410103</v>
      </c>
      <c r="H212" s="22" t="n">
        <v>1.0480874861228</v>
      </c>
      <c r="I212" s="22" t="n">
        <v>0.6311777974902005</v>
      </c>
      <c r="J212" s="22" t="n">
        <v>1.260913153518843</v>
      </c>
      <c r="K212" s="22" t="n">
        <v>1.097335361842169</v>
      </c>
      <c r="L212" s="22" t="n">
        <v>1.874161589503082</v>
      </c>
    </row>
    <row r="213">
      <c r="A213" s="10" t="n">
        <v>0.795</v>
      </c>
      <c r="B213" s="22" t="n">
        <v>1.12228324953735</v>
      </c>
      <c r="C213" s="22" t="n">
        <v>1.329122887292363</v>
      </c>
      <c r="D213" s="22" t="n">
        <v>1.042397834384393</v>
      </c>
      <c r="E213" s="22" t="n">
        <v>1.488165356246849</v>
      </c>
      <c r="F213" s="22" t="n">
        <v>1.178732762496232</v>
      </c>
      <c r="G213" s="22" t="n">
        <v>0.6537654036749549</v>
      </c>
      <c r="H213" s="22" t="n">
        <v>0.9393638752719606</v>
      </c>
      <c r="I213" s="22" t="n">
        <v>0.5580517802336761</v>
      </c>
      <c r="J213" s="22" t="n">
        <v>1.223827472532995</v>
      </c>
      <c r="K213" s="22" t="n">
        <v>1.119729961063437</v>
      </c>
      <c r="L213" s="22" t="n">
        <v>1.874161589503082</v>
      </c>
    </row>
    <row r="214">
      <c r="A214" s="10" t="n">
        <v>0.805</v>
      </c>
      <c r="B214" s="22" t="n">
        <v>1.091855266703422</v>
      </c>
      <c r="C214" s="22" t="n">
        <v>1.282902408302327</v>
      </c>
      <c r="D214" s="22" t="n">
        <v>0.9721727424029899</v>
      </c>
      <c r="E214" s="22" t="n">
        <v>1.44306943636058</v>
      </c>
      <c r="F214" s="22" t="n">
        <v>1.201514483164241</v>
      </c>
      <c r="G214" s="22" t="n">
        <v>0.6319732235524564</v>
      </c>
      <c r="H214" s="22" t="n">
        <v>0.9032344954538083</v>
      </c>
      <c r="I214" s="22" t="n">
        <v>0.5203093197141794</v>
      </c>
      <c r="J214" s="22" t="n">
        <v>1.260913153518843</v>
      </c>
      <c r="K214" s="22" t="n">
        <v>0.9491121378315497</v>
      </c>
      <c r="L214" s="22" t="n">
        <v>1.902332076334041</v>
      </c>
    </row>
    <row r="215">
      <c r="A215" s="10" t="n">
        <v>0.8149999999999999</v>
      </c>
      <c r="B215" s="22" t="n">
        <v>1.097767697607792</v>
      </c>
      <c r="C215" s="22" t="n">
        <v>1.248588215244134</v>
      </c>
      <c r="D215" s="22" t="n">
        <v>0.9721727424029899</v>
      </c>
      <c r="E215" s="22" t="n">
        <v>1.488165356246849</v>
      </c>
      <c r="F215" s="22" t="n">
        <v>1.308503193651955</v>
      </c>
      <c r="G215" s="22" t="n">
        <v>0.6537654036749549</v>
      </c>
      <c r="H215" s="22" t="n">
        <v>0.9032344954538083</v>
      </c>
      <c r="I215" s="22" t="n">
        <v>0.5092389086564308</v>
      </c>
      <c r="J215" s="22" t="n">
        <v>1.260913153518843</v>
      </c>
      <c r="K215" s="22" t="n">
        <v>0.7491719010368898</v>
      </c>
      <c r="L215" s="22" t="n">
        <v>1.975344222979233</v>
      </c>
    </row>
    <row r="216">
      <c r="A216" s="10" t="n">
        <v>0.825</v>
      </c>
      <c r="B216" s="22" t="n">
        <v>1.103946060756642</v>
      </c>
      <c r="C216" s="22" t="n">
        <v>1.248588215244134</v>
      </c>
      <c r="D216" s="22" t="n">
        <v>0.9365113967434632</v>
      </c>
      <c r="E216" s="22" t="n">
        <v>1.44306943636058</v>
      </c>
      <c r="F216" s="22" t="n">
        <v>1.485448896253735</v>
      </c>
      <c r="G216" s="22" t="n">
        <v>0.6537654036749549</v>
      </c>
      <c r="H216" s="22" t="n">
        <v>0.9032344954538083</v>
      </c>
      <c r="I216" s="22" t="n">
        <v>0.5158146489139633</v>
      </c>
      <c r="J216" s="22" t="n">
        <v>1.223827472532995</v>
      </c>
      <c r="K216" s="22" t="n">
        <v>0.7341884630161519</v>
      </c>
      <c r="L216" s="22" t="n">
        <v>1.969086411552643</v>
      </c>
    </row>
    <row r="217">
      <c r="A217" s="10" t="n">
        <v>0.835</v>
      </c>
      <c r="B217" s="22" t="n">
        <v>1.004888551097552</v>
      </c>
      <c r="C217" s="22" t="n">
        <v>1.168154187413578</v>
      </c>
      <c r="D217" s="22" t="n">
        <v>0.6957973135416597</v>
      </c>
      <c r="E217" s="22" t="n">
        <v>1.488165356246849</v>
      </c>
      <c r="F217" s="22" t="n">
        <v>1.526248633680148</v>
      </c>
      <c r="G217" s="22" t="n">
        <v>0.6537654036749549</v>
      </c>
      <c r="H217" s="22" t="n">
        <v>0.9032344954538083</v>
      </c>
      <c r="I217" s="22" t="n">
        <v>0.4851010651124862</v>
      </c>
      <c r="J217" s="22" t="n">
        <v>0.8296796100008906</v>
      </c>
      <c r="K217" s="22" t="n">
        <v>0.7491719010368898</v>
      </c>
      <c r="L217" s="22" t="n">
        <v>1.649938028796541</v>
      </c>
    </row>
    <row r="218">
      <c r="A218" s="10" t="n">
        <v>0.845</v>
      </c>
      <c r="B218" s="22" t="n">
        <v>1.017879422006563</v>
      </c>
      <c r="C218" s="22" t="n">
        <v>1.095441344065277</v>
      </c>
      <c r="D218" s="22" t="n">
        <v>0.7182423881720359</v>
      </c>
      <c r="E218" s="22" t="n">
        <v>1.44306943636058</v>
      </c>
      <c r="F218" s="22" t="n">
        <v>1.639071498237842</v>
      </c>
      <c r="G218" s="22" t="n">
        <v>0.6537654036749549</v>
      </c>
      <c r="H218" s="22" t="n">
        <v>0.9393638752719606</v>
      </c>
      <c r="I218" s="22" t="n">
        <v>0.4851010651124862</v>
      </c>
      <c r="J218" s="22" t="n">
        <v>0.8296796100008906</v>
      </c>
      <c r="K218" s="22" t="n">
        <v>0.7341884630161519</v>
      </c>
      <c r="L218" s="22" t="n">
        <v>1.649938028796541</v>
      </c>
    </row>
    <row r="219">
      <c r="A219" s="10" t="n">
        <v>0.855</v>
      </c>
      <c r="B219" s="22" t="n">
        <v>0.9831803000313299</v>
      </c>
      <c r="C219" s="22" t="n">
        <v>1.039675857867174</v>
      </c>
      <c r="D219" s="22" t="n">
        <v>0.6957973135416597</v>
      </c>
      <c r="E219" s="22" t="n">
        <v>1.488165356246849</v>
      </c>
      <c r="F219" s="22" t="n">
        <v>1.666852371089331</v>
      </c>
      <c r="G219" s="22" t="n">
        <v>0.6537654036749549</v>
      </c>
      <c r="H219" s="22" t="n">
        <v>0.9032344954538083</v>
      </c>
      <c r="I219" s="22" t="n">
        <v>0.4747797658547738</v>
      </c>
      <c r="J219" s="22" t="n">
        <v>0.8052772685302763</v>
      </c>
      <c r="K219" s="22" t="n">
        <v>0.6262570500485646</v>
      </c>
      <c r="L219" s="22" t="n">
        <v>1.477770588487975</v>
      </c>
    </row>
    <row r="220">
      <c r="A220" s="10" t="n">
        <v>0.865</v>
      </c>
      <c r="B220" s="22" t="n">
        <v>0.9473882010668107</v>
      </c>
      <c r="C220" s="22" t="n">
        <v>0.9478431395478526</v>
      </c>
      <c r="D220" s="22" t="n">
        <v>0.6798152094361479</v>
      </c>
      <c r="E220" s="22" t="n">
        <v>1.488165356246849</v>
      </c>
      <c r="F220" s="22" t="n">
        <v>1.672150289317314</v>
      </c>
      <c r="G220" s="22" t="n">
        <v>0.6537654036749549</v>
      </c>
      <c r="H220" s="22" t="n">
        <v>0.9032344954538083</v>
      </c>
      <c r="I220" s="22" t="n">
        <v>0.4445962829376861</v>
      </c>
      <c r="J220" s="22" t="n">
        <v>0.8296796100008906</v>
      </c>
      <c r="K220" s="22" t="n">
        <v>0.5907878035297724</v>
      </c>
      <c r="L220" s="22" t="n">
        <v>1.200087524856029</v>
      </c>
    </row>
    <row r="221">
      <c r="A221" s="10" t="n">
        <v>0.875</v>
      </c>
      <c r="B221" s="22" t="n">
        <v>0.8656515054699693</v>
      </c>
      <c r="C221" s="22" t="n">
        <v>0.8782282280743247</v>
      </c>
      <c r="D221" s="22" t="n">
        <v>0.669721248948456</v>
      </c>
      <c r="E221" s="22" t="n">
        <v>1.122426943833749</v>
      </c>
      <c r="F221" s="22" t="n">
        <v>1.708200859938671</v>
      </c>
      <c r="G221" s="22" t="n">
        <v>0.5555126959129046</v>
      </c>
      <c r="H221" s="22" t="n">
        <v>0.6232108787206795</v>
      </c>
      <c r="I221" s="22" t="n">
        <v>0.4023304232770252</v>
      </c>
      <c r="J221" s="22" t="n">
        <v>0.8296796100008906</v>
      </c>
      <c r="K221" s="22" t="n">
        <v>0.6028446974793598</v>
      </c>
      <c r="L221" s="22" t="n">
        <v>1.220475350381651</v>
      </c>
    </row>
    <row r="222">
      <c r="A222" s="10" t="n">
        <v>0.885</v>
      </c>
      <c r="B222" s="22" t="n">
        <v>0.787707554519659</v>
      </c>
      <c r="C222" s="22" t="n">
        <v>0.874124684133158</v>
      </c>
      <c r="D222" s="22" t="n">
        <v>0.669721248948456</v>
      </c>
      <c r="E222" s="22" t="n">
        <v>0.9003207866143257</v>
      </c>
      <c r="F222" s="22" t="n">
        <v>1.682395918652163</v>
      </c>
      <c r="G222" s="22" t="n">
        <v>0.5263311909423686</v>
      </c>
      <c r="H222" s="22" t="n">
        <v>0.4193200156247213</v>
      </c>
      <c r="I222" s="22" t="n">
        <v>0.3937702015051736</v>
      </c>
      <c r="J222" s="22" t="n">
        <v>0.8071997846210601</v>
      </c>
      <c r="K222" s="22" t="n">
        <v>0.5907878035297724</v>
      </c>
      <c r="L222" s="22" t="n">
        <v>1.060166927332308</v>
      </c>
    </row>
    <row r="223">
      <c r="A223" s="10" t="n">
        <v>0.895</v>
      </c>
      <c r="B223" s="22" t="n">
        <v>0.7734472354761235</v>
      </c>
      <c r="C223" s="22" t="n">
        <v>0.7899852684212995</v>
      </c>
      <c r="D223" s="22" t="n">
        <v>0.669721248948456</v>
      </c>
      <c r="E223" s="22" t="n">
        <v>0.8730383385351037</v>
      </c>
      <c r="F223" s="22" t="n">
        <v>1.713359065833775</v>
      </c>
      <c r="G223" s="22" t="n">
        <v>0.5263311909423686</v>
      </c>
      <c r="H223" s="22" t="n">
        <v>0.4031923227160781</v>
      </c>
      <c r="I223" s="22" t="n">
        <v>0.4023304232770252</v>
      </c>
      <c r="J223" s="22" t="n">
        <v>0.6569104210233964</v>
      </c>
      <c r="K223" s="22" t="n">
        <v>0.617635902178525</v>
      </c>
      <c r="L223" s="22" t="n">
        <v>1.060166927332308</v>
      </c>
    </row>
    <row r="224">
      <c r="A224" s="10" t="n">
        <v>0.905</v>
      </c>
      <c r="B224" s="22" t="n">
        <v>0.7440255430123375</v>
      </c>
      <c r="C224" s="22" t="n">
        <v>0.7666256498001683</v>
      </c>
      <c r="D224" s="22" t="n">
        <v>0.4400683615273123</v>
      </c>
      <c r="E224" s="22" t="n">
        <v>0.9003207866143257</v>
      </c>
      <c r="F224" s="22" t="n">
        <v>1.721136028386681</v>
      </c>
      <c r="G224" s="22" t="n">
        <v>0.5263311909423686</v>
      </c>
      <c r="H224" s="22" t="n">
        <v>0.4031923227160781</v>
      </c>
      <c r="I224" s="22" t="n">
        <v>0.3517152383206321</v>
      </c>
      <c r="J224" s="22" t="n">
        <v>0.6768167974180446</v>
      </c>
      <c r="K224" s="22" t="n">
        <v>0.6425570199768521</v>
      </c>
      <c r="L224" s="22" t="n">
        <v>0.9987714352605388</v>
      </c>
    </row>
    <row r="225">
      <c r="A225" s="10" t="n">
        <v>0.915</v>
      </c>
      <c r="B225" s="22" t="n">
        <v>0.7450816123536418</v>
      </c>
      <c r="C225" s="22" t="n">
        <v>0.7591264104073934</v>
      </c>
      <c r="D225" s="22" t="n">
        <v>0.4463620802889711</v>
      </c>
      <c r="E225" s="22" t="n">
        <v>0.9821681308519916</v>
      </c>
      <c r="F225" s="22" t="n">
        <v>1.706221708694376</v>
      </c>
      <c r="G225" s="22" t="n">
        <v>0.5965086830680177</v>
      </c>
      <c r="H225" s="22" t="n">
        <v>0.4677030943506507</v>
      </c>
      <c r="I225" s="22" t="n">
        <v>0.3207753415564686</v>
      </c>
      <c r="J225" s="22" t="n">
        <v>0.6768167974180446</v>
      </c>
      <c r="K225" s="22" t="n">
        <v>0.629443611405896</v>
      </c>
      <c r="L225" s="22" t="n">
        <v>0.8557473025879845</v>
      </c>
    </row>
    <row r="226">
      <c r="A226" s="10" t="n">
        <v>0.925</v>
      </c>
      <c r="B226" s="22" t="n">
        <v>0.740065363397862</v>
      </c>
      <c r="C226" s="22" t="n">
        <v>0.7249969220077014</v>
      </c>
      <c r="D226" s="22" t="n">
        <v>0.4603108952980015</v>
      </c>
      <c r="E226" s="22" t="n">
        <v>1.336839955881876</v>
      </c>
      <c r="F226" s="22" t="n">
        <v>1.218729791924554</v>
      </c>
      <c r="G226" s="22" t="n">
        <v>0.8421299055077899</v>
      </c>
      <c r="H226" s="22" t="n">
        <v>0.6451077163457252</v>
      </c>
      <c r="I226" s="22" t="n">
        <v>0.2312566415872213</v>
      </c>
      <c r="J226" s="22" t="n">
        <v>0.7365359266019896</v>
      </c>
      <c r="K226" s="22" t="n">
        <v>0.5245363428382466</v>
      </c>
      <c r="L226" s="22" t="n">
        <v>0.7160334572674976</v>
      </c>
    </row>
    <row r="227">
      <c r="A227" s="10" t="n">
        <v>0.9350000000000001</v>
      </c>
      <c r="B227" s="22" t="n">
        <v>0.7501980141384421</v>
      </c>
      <c r="C227" s="22" t="n">
        <v>0.7076177139230863</v>
      </c>
      <c r="D227" s="22" t="n">
        <v>0.3620040609930308</v>
      </c>
      <c r="E227" s="22" t="n">
        <v>1.364122403961098</v>
      </c>
      <c r="F227" s="22" t="n">
        <v>1.27073019086915</v>
      </c>
      <c r="G227" s="22" t="n">
        <v>0.8421299055077899</v>
      </c>
      <c r="H227" s="22" t="n">
        <v>0.6451077163457252</v>
      </c>
      <c r="I227" s="22" t="n">
        <v>0.2312566415872213</v>
      </c>
      <c r="J227" s="22" t="n">
        <v>0.7365359266019896</v>
      </c>
      <c r="K227" s="22" t="n">
        <v>0.5376497514092029</v>
      </c>
      <c r="L227" s="22" t="n">
        <v>0.7886549189258499</v>
      </c>
    </row>
    <row r="228">
      <c r="A228" s="10" t="n">
        <v>0.945</v>
      </c>
      <c r="B228" s="22" t="n">
        <v>0.6819630147952482</v>
      </c>
      <c r="C228" s="22" t="n">
        <v>0.6264645143797848</v>
      </c>
      <c r="D228" s="22" t="n">
        <v>0.2366408337717013</v>
      </c>
      <c r="E228" s="22" t="n">
        <v>1.248615020650211</v>
      </c>
      <c r="F228" s="22" t="n">
        <v>1.261794100217516</v>
      </c>
      <c r="G228" s="22" t="n">
        <v>0.6537478836204045</v>
      </c>
      <c r="H228" s="22" t="n">
        <v>0.500868222383569</v>
      </c>
      <c r="I228" s="22" t="n">
        <v>0.1681182860083796</v>
      </c>
      <c r="J228" s="22" t="n">
        <v>0.6498031834503608</v>
      </c>
      <c r="K228" s="22" t="n">
        <v>0.4727446380099254</v>
      </c>
      <c r="L228" s="22" t="n">
        <v>0.9104288985969681</v>
      </c>
    </row>
    <row r="229">
      <c r="A229" s="10" t="n">
        <v>0.955</v>
      </c>
      <c r="B229" s="22" t="n">
        <v>0.5162238504539209</v>
      </c>
      <c r="C229" s="22" t="n">
        <v>0.5273877214128652</v>
      </c>
      <c r="D229" s="22" t="n">
        <v>0.244035859827067</v>
      </c>
      <c r="E229" s="22" t="n">
        <v>0.7964622275879247</v>
      </c>
      <c r="F229" s="22" t="n">
        <v>1.293338952722954</v>
      </c>
      <c r="G229" s="22" t="n">
        <v>0.1962486876081835</v>
      </c>
      <c r="H229" s="22" t="n">
        <v>0.164309403138537</v>
      </c>
      <c r="I229" s="22" t="n">
        <v>0.07434460691841446</v>
      </c>
      <c r="J229" s="22" t="n">
        <v>0.4896811960935061</v>
      </c>
      <c r="K229" s="22" t="n">
        <v>0.360242441451178</v>
      </c>
      <c r="L229" s="22" t="n">
        <v>0.9104288985969681</v>
      </c>
    </row>
    <row r="230">
      <c r="A230" s="10" t="n">
        <v>0.965</v>
      </c>
      <c r="B230" s="22" t="n">
        <v>0.4839299027600609</v>
      </c>
      <c r="C230" s="22" t="n">
        <v>0.4774901660562397</v>
      </c>
      <c r="D230" s="22" t="n">
        <v>0.1895452887590816</v>
      </c>
      <c r="E230" s="22" t="n">
        <v>0.8127165587631886</v>
      </c>
      <c r="F230" s="22" t="n">
        <v>1.173801024032839</v>
      </c>
      <c r="G230" s="22" t="n">
        <v>0.2003372019333539</v>
      </c>
      <c r="H230" s="22" t="n">
        <v>0.164309403138537</v>
      </c>
      <c r="I230" s="22" t="n">
        <v>0.07434460691841446</v>
      </c>
      <c r="J230" s="22" t="n">
        <v>0.47644656917206</v>
      </c>
      <c r="K230" s="22" t="n">
        <v>0.360242441451178</v>
      </c>
      <c r="L230" s="22" t="n">
        <v>0.8082816594876381</v>
      </c>
    </row>
    <row r="231">
      <c r="A231" s="10" t="n">
        <v>0.975</v>
      </c>
      <c r="B231" s="22" t="n">
        <v>0.3686019695797189</v>
      </c>
      <c r="C231" s="22" t="n">
        <v>0.3616972955388661</v>
      </c>
      <c r="D231" s="22" t="n">
        <v>0.08056414662311102</v>
      </c>
      <c r="E231" s="22" t="n">
        <v>0.7964622275879247</v>
      </c>
      <c r="F231" s="22" t="n">
        <v>0.8924816056594325</v>
      </c>
      <c r="G231" s="22" t="n">
        <v>0.1962486876081835</v>
      </c>
      <c r="H231" s="22" t="n">
        <v>0.164309403138537</v>
      </c>
      <c r="I231" s="22" t="n">
        <v>0.07434460691841446</v>
      </c>
      <c r="J231" s="22" t="n">
        <v>0.4896811960935061</v>
      </c>
      <c r="K231" s="22" t="n">
        <v>0.3514560404401736</v>
      </c>
      <c r="L231" s="22" t="n">
        <v>0.2549073176198551</v>
      </c>
    </row>
    <row r="232">
      <c r="A232" s="10" t="n">
        <v>0.985</v>
      </c>
      <c r="B232" s="22" t="n">
        <v>0.367642635382802</v>
      </c>
      <c r="C232" s="22" t="n">
        <v>0.3556188167683017</v>
      </c>
      <c r="D232" s="22" t="n">
        <v>0.08056414662311102</v>
      </c>
      <c r="E232" s="22" t="n">
        <v>0.8127165587631886</v>
      </c>
      <c r="F232" s="22" t="n">
        <v>0.8707137616189585</v>
      </c>
      <c r="G232" s="22" t="n">
        <v>0.1962486876081835</v>
      </c>
      <c r="H232" s="22" t="n">
        <v>0.164309403138537</v>
      </c>
      <c r="I232" s="22" t="n">
        <v>0.07194639379201401</v>
      </c>
      <c r="J232" s="22" t="n">
        <v>0.4896811960935061</v>
      </c>
      <c r="K232" s="22" t="n">
        <v>0.360242441451178</v>
      </c>
      <c r="L232" s="22" t="n">
        <v>0.2486900659705904</v>
      </c>
    </row>
    <row r="233">
      <c r="A233" s="10" t="n">
        <v>0.995</v>
      </c>
      <c r="B233" s="22" t="n">
        <v>0.3694967877880495</v>
      </c>
      <c r="C233" s="22" t="n">
        <v>0.3556188167683017</v>
      </c>
      <c r="D233" s="22" t="n">
        <v>0.08056414662311102</v>
      </c>
      <c r="E233" s="22" t="n">
        <v>0.7964622275879247</v>
      </c>
      <c r="F233" s="22" t="n">
        <v>0.8924816056594325</v>
      </c>
      <c r="G233" s="22" t="n">
        <v>0.1962486876081835</v>
      </c>
      <c r="H233" s="22" t="n">
        <v>0.164309403138537</v>
      </c>
      <c r="I233" s="22" t="n">
        <v>0.07434460691841446</v>
      </c>
      <c r="J233" s="22" t="n">
        <v>0.4896811960935061</v>
      </c>
      <c r="K233" s="22" t="n">
        <v>0.360242441451178</v>
      </c>
      <c r="L233" s="22" t="n">
        <v>0.2549073176198551</v>
      </c>
    </row>
    <row r="257">
      <c r="A257" s="6" t="inlineStr">
        <is>
          <t>■ 行程グループ別 平均カーブ(密度・面積1)</t>
        </is>
      </c>
    </row>
    <row r="258">
      <c r="A258" s="5" t="inlineStr">
        <is>
          <t>各行程グループが正準時間軸のどこで消化されるか。山が立つ位置がマイルストーン直前に来ていれば位置合わせが効いている。</t>
        </is>
      </c>
    </row>
    <row r="259">
      <c r="A259" s="7" t="inlineStr">
        <is>
          <t>t</t>
        </is>
      </c>
      <c r="B259" s="8" t="inlineStr">
        <is>
          <t>企画・プリプロ</t>
        </is>
      </c>
      <c r="C259" s="8" t="inlineStr">
        <is>
          <t>ゲームデザイン・シナリオ</t>
        </is>
      </c>
      <c r="D259" s="8" t="inlineStr">
        <is>
          <t>プログラム</t>
        </is>
      </c>
      <c r="E259" s="8" t="inlineStr">
        <is>
          <t>アート</t>
        </is>
      </c>
      <c r="F259" s="8" t="inlineStr">
        <is>
          <t>サウンド</t>
        </is>
      </c>
      <c r="G259" s="8" t="inlineStr">
        <is>
          <t>QA・デバッグ</t>
        </is>
      </c>
      <c r="H259" s="8" t="inlineStr">
        <is>
          <t>PM・運営</t>
        </is>
      </c>
    </row>
    <row r="260">
      <c r="A260" s="10" t="n">
        <v>0.005</v>
      </c>
      <c r="B260" s="22" t="n">
        <v>3.941437146295669</v>
      </c>
      <c r="C260" s="22" t="n">
        <v>0.6696951614754967</v>
      </c>
      <c r="D260" s="22" t="n">
        <v>0.1156237252927844</v>
      </c>
      <c r="E260" s="22" t="n">
        <v>0.04569951575529758</v>
      </c>
      <c r="F260" s="22" t="n">
        <v>0</v>
      </c>
      <c r="G260" s="22" t="n">
        <v>0</v>
      </c>
      <c r="H260" s="22" t="n">
        <v>0.4752873839002238</v>
      </c>
    </row>
    <row r="261">
      <c r="A261" s="10" t="n">
        <v>0.015</v>
      </c>
      <c r="B261" s="22" t="n">
        <v>3.940899936083637</v>
      </c>
      <c r="C261" s="22" t="n">
        <v>0.6705487861552633</v>
      </c>
      <c r="D261" s="22" t="n">
        <v>0.1159383883636126</v>
      </c>
      <c r="E261" s="22" t="n">
        <v>0.04589862615539415</v>
      </c>
      <c r="F261" s="22" t="n">
        <v>0</v>
      </c>
      <c r="G261" s="22" t="n">
        <v>0</v>
      </c>
      <c r="H261" s="22" t="n">
        <v>0.4752908733427151</v>
      </c>
    </row>
    <row r="262">
      <c r="A262" s="10" t="n">
        <v>0.025</v>
      </c>
      <c r="B262" s="22" t="n">
        <v>3.986605846595426</v>
      </c>
      <c r="C262" s="22" t="n">
        <v>0.6918250225451796</v>
      </c>
      <c r="D262" s="22" t="n">
        <v>0.1188402842651544</v>
      </c>
      <c r="E262" s="22" t="n">
        <v>0.04712673485450121</v>
      </c>
      <c r="F262" s="22" t="n">
        <v>0</v>
      </c>
      <c r="G262" s="22" t="n">
        <v>0</v>
      </c>
      <c r="H262" s="22" t="n">
        <v>0.485994194681533</v>
      </c>
    </row>
    <row r="263">
      <c r="A263" s="10" t="n">
        <v>0.035</v>
      </c>
      <c r="B263" s="22" t="n">
        <v>4.002596706559378</v>
      </c>
      <c r="C263" s="22" t="n">
        <v>0.7941953137122136</v>
      </c>
      <c r="D263" s="22" t="n">
        <v>0.1463147009129873</v>
      </c>
      <c r="E263" s="22" t="n">
        <v>0.06406837028246083</v>
      </c>
      <c r="F263" s="22" t="n">
        <v>0.003099932278402534</v>
      </c>
      <c r="G263" s="22" t="n">
        <v>0</v>
      </c>
      <c r="H263" s="22" t="n">
        <v>0.5381809018304463</v>
      </c>
    </row>
    <row r="264">
      <c r="A264" s="10" t="n">
        <v>0.045</v>
      </c>
      <c r="B264" s="22" t="n">
        <v>3.68680281788339</v>
      </c>
      <c r="C264" s="22" t="n">
        <v>0.9305619771983992</v>
      </c>
      <c r="D264" s="22" t="n">
        <v>0.2037999140348651</v>
      </c>
      <c r="E264" s="22" t="n">
        <v>0.1092191490046586</v>
      </c>
      <c r="F264" s="22" t="n">
        <v>0.01417166765650679</v>
      </c>
      <c r="G264" s="22" t="n">
        <v>0</v>
      </c>
      <c r="H264" s="22" t="n">
        <v>0.6067298587230039</v>
      </c>
    </row>
    <row r="265">
      <c r="A265" s="10" t="n">
        <v>0.055</v>
      </c>
      <c r="B265" s="22" t="n">
        <v>3.621025748783166</v>
      </c>
      <c r="C265" s="22" t="n">
        <v>0.9788713589446573</v>
      </c>
      <c r="D265" s="22" t="n">
        <v>0.2276862522119634</v>
      </c>
      <c r="E265" s="22" t="n">
        <v>0.126857318336063</v>
      </c>
      <c r="F265" s="22" t="n">
        <v>0.01648900295391208</v>
      </c>
      <c r="G265" s="22" t="n">
        <v>0</v>
      </c>
      <c r="H265" s="22" t="n">
        <v>0.6366192478574595</v>
      </c>
    </row>
    <row r="266">
      <c r="A266" s="10" t="n">
        <v>0.065</v>
      </c>
      <c r="B266" s="22" t="n">
        <v>3.621038433178061</v>
      </c>
      <c r="C266" s="22" t="n">
        <v>1.215766611880865</v>
      </c>
      <c r="D266" s="22" t="n">
        <v>0.3234078334422904</v>
      </c>
      <c r="E266" s="22" t="n">
        <v>0.1948034423924698</v>
      </c>
      <c r="F266" s="22" t="n">
        <v>0.0257123617758694</v>
      </c>
      <c r="G266" s="22" t="n">
        <v>0</v>
      </c>
      <c r="H266" s="22" t="n">
        <v>0.7910576592956137</v>
      </c>
    </row>
    <row r="267">
      <c r="A267" s="10" t="n">
        <v>0.075</v>
      </c>
      <c r="B267" s="22" t="n">
        <v>3.395543620317405</v>
      </c>
      <c r="C267" s="22" t="n">
        <v>1.175917866160372</v>
      </c>
      <c r="D267" s="22" t="n">
        <v>0.3373276612452294</v>
      </c>
      <c r="E267" s="22" t="n">
        <v>0.2072647884972477</v>
      </c>
      <c r="F267" s="22" t="n">
        <v>0.03073511366481365</v>
      </c>
      <c r="G267" s="22" t="n">
        <v>0</v>
      </c>
      <c r="H267" s="22" t="n">
        <v>0.7822269776707585</v>
      </c>
    </row>
    <row r="268">
      <c r="A268" s="10" t="n">
        <v>0.08500000000000001</v>
      </c>
      <c r="B268" s="22" t="n">
        <v>3.287820979991289</v>
      </c>
      <c r="C268" s="22" t="n">
        <v>1.214839158860828</v>
      </c>
      <c r="D268" s="22" t="n">
        <v>0.3613289806998426</v>
      </c>
      <c r="E268" s="22" t="n">
        <v>0.2342214248447398</v>
      </c>
      <c r="F268" s="22" t="n">
        <v>0.04149004041703386</v>
      </c>
      <c r="G268" s="22" t="n">
        <v>0.0003554133901994759</v>
      </c>
      <c r="H268" s="22" t="n">
        <v>0.8170284514085367</v>
      </c>
    </row>
    <row r="269">
      <c r="A269" s="10" t="n">
        <v>0.095</v>
      </c>
      <c r="B269" s="22" t="n">
        <v>3.146707745374763</v>
      </c>
      <c r="C269" s="22" t="n">
        <v>1.211021303365726</v>
      </c>
      <c r="D269" s="22" t="n">
        <v>0.3663266789714752</v>
      </c>
      <c r="E269" s="22" t="n">
        <v>0.2497215564146</v>
      </c>
      <c r="F269" s="22" t="n">
        <v>0.04908432049340618</v>
      </c>
      <c r="G269" s="22" t="n">
        <v>0.0007503171570877827</v>
      </c>
      <c r="H269" s="22" t="n">
        <v>0.8060630858577784</v>
      </c>
    </row>
    <row r="270">
      <c r="A270" s="10" t="n">
        <v>0.105</v>
      </c>
      <c r="B270" s="22" t="n">
        <v>3.129617727616574</v>
      </c>
      <c r="C270" s="22" t="n">
        <v>1.208828893415459</v>
      </c>
      <c r="D270" s="22" t="n">
        <v>0.3730913141735824</v>
      </c>
      <c r="E270" s="22" t="n">
        <v>0.2593720801141122</v>
      </c>
      <c r="F270" s="22" t="n">
        <v>0.0537808880985632</v>
      </c>
      <c r="G270" s="22" t="n">
        <v>0.001113507986853956</v>
      </c>
      <c r="H270" s="22" t="n">
        <v>0.8066349460767518</v>
      </c>
    </row>
    <row r="271">
      <c r="A271" s="10" t="n">
        <v>0.115</v>
      </c>
      <c r="B271" s="22" t="n">
        <v>2.976744302452556</v>
      </c>
      <c r="C271" s="22" t="n">
        <v>1.268251159510488</v>
      </c>
      <c r="D271" s="22" t="n">
        <v>0.4167121688454043</v>
      </c>
      <c r="E271" s="22" t="n">
        <v>0.3043127253644147</v>
      </c>
      <c r="F271" s="22" t="n">
        <v>0.06925459003391643</v>
      </c>
      <c r="G271" s="22" t="n">
        <v>0.001874073143064433</v>
      </c>
      <c r="H271" s="22" t="n">
        <v>0.8346228262768948</v>
      </c>
    </row>
    <row r="272">
      <c r="A272" s="10" t="n">
        <v>0.125</v>
      </c>
      <c r="B272" s="22" t="n">
        <v>2.773366167275966</v>
      </c>
      <c r="C272" s="22" t="n">
        <v>1.377254566661914</v>
      </c>
      <c r="D272" s="22" t="n">
        <v>0.4931014250842237</v>
      </c>
      <c r="E272" s="22" t="n">
        <v>0.3711776134776883</v>
      </c>
      <c r="F272" s="22" t="n">
        <v>0.09617235209063385</v>
      </c>
      <c r="G272" s="22" t="n">
        <v>0.004305867121199364</v>
      </c>
      <c r="H272" s="22" t="n">
        <v>0.8963819089251227</v>
      </c>
    </row>
    <row r="273">
      <c r="A273" s="10" t="n">
        <v>0.135</v>
      </c>
      <c r="B273" s="22" t="n">
        <v>2.721751782587371</v>
      </c>
      <c r="C273" s="22" t="n">
        <v>1.388710351907457</v>
      </c>
      <c r="D273" s="22" t="n">
        <v>0.5380745541206686</v>
      </c>
      <c r="E273" s="22" t="n">
        <v>0.4089504239720614</v>
      </c>
      <c r="F273" s="22" t="n">
        <v>0.1118570496449311</v>
      </c>
      <c r="G273" s="22" t="n">
        <v>0.006331312653109117</v>
      </c>
      <c r="H273" s="22" t="n">
        <v>0.920111829537297</v>
      </c>
    </row>
    <row r="274">
      <c r="A274" s="10" t="n">
        <v>0.145</v>
      </c>
      <c r="B274" s="22" t="n">
        <v>2.622744606459673</v>
      </c>
      <c r="C274" s="22" t="n">
        <v>1.395954171294194</v>
      </c>
      <c r="D274" s="22" t="n">
        <v>0.5491802567517343</v>
      </c>
      <c r="E274" s="22" t="n">
        <v>0.4215566299509213</v>
      </c>
      <c r="F274" s="22" t="n">
        <v>0.1220394356543271</v>
      </c>
      <c r="G274" s="22" t="n">
        <v>0.007720516766432262</v>
      </c>
      <c r="H274" s="22" t="n">
        <v>0.9185515657996102</v>
      </c>
    </row>
    <row r="275">
      <c r="A275" s="10" t="n">
        <v>0.155</v>
      </c>
      <c r="B275" s="22" t="n">
        <v>2.614155692111274</v>
      </c>
      <c r="C275" s="22" t="n">
        <v>1.398550873371592</v>
      </c>
      <c r="D275" s="22" t="n">
        <v>0.5499875704886119</v>
      </c>
      <c r="E275" s="22" t="n">
        <v>0.4218363157600059</v>
      </c>
      <c r="F275" s="22" t="n">
        <v>0.1228860404249435</v>
      </c>
      <c r="G275" s="22" t="n">
        <v>0.007853287342887519</v>
      </c>
      <c r="H275" s="22" t="n">
        <v>0.9180174312839249</v>
      </c>
    </row>
    <row r="276">
      <c r="A276" s="10" t="n">
        <v>0.165</v>
      </c>
      <c r="B276" s="22" t="n">
        <v>2.497454421947524</v>
      </c>
      <c r="C276" s="22" t="n">
        <v>1.366470756421465</v>
      </c>
      <c r="D276" s="22" t="n">
        <v>0.5466158315350722</v>
      </c>
      <c r="E276" s="22" t="n">
        <v>0.4129062515654055</v>
      </c>
      <c r="F276" s="22" t="n">
        <v>0.1235625130981966</v>
      </c>
      <c r="G276" s="22" t="n">
        <v>0.007951855206471625</v>
      </c>
      <c r="H276" s="22" t="n">
        <v>0.9113940350957216</v>
      </c>
    </row>
    <row r="277">
      <c r="A277" s="10" t="n">
        <v>0.175</v>
      </c>
      <c r="B277" s="22" t="n">
        <v>2.266770100479235</v>
      </c>
      <c r="C277" s="22" t="n">
        <v>1.322894203488604</v>
      </c>
      <c r="D277" s="22" t="n">
        <v>0.5886281913619439</v>
      </c>
      <c r="E277" s="22" t="n">
        <v>0.4486774378615246</v>
      </c>
      <c r="F277" s="22" t="n">
        <v>0.1558601319589893</v>
      </c>
      <c r="G277" s="22" t="n">
        <v>0.0122925676196888</v>
      </c>
      <c r="H277" s="22" t="n">
        <v>0.9313816735623041</v>
      </c>
    </row>
    <row r="278">
      <c r="A278" s="10" t="n">
        <v>0.185</v>
      </c>
      <c r="B278" s="22" t="n">
        <v>2.018336940109962</v>
      </c>
      <c r="C278" s="22" t="n">
        <v>1.34068132711384</v>
      </c>
      <c r="D278" s="22" t="n">
        <v>0.6808319765926664</v>
      </c>
      <c r="E278" s="22" t="n">
        <v>0.531735241073745</v>
      </c>
      <c r="F278" s="22" t="n">
        <v>0.2145163107678408</v>
      </c>
      <c r="G278" s="22" t="n">
        <v>0.01819957202921684</v>
      </c>
      <c r="H278" s="22" t="n">
        <v>0.9944359207725129</v>
      </c>
    </row>
    <row r="279">
      <c r="A279" s="10" t="n">
        <v>0.195</v>
      </c>
      <c r="B279" s="22" t="n">
        <v>2.021762320862856</v>
      </c>
      <c r="C279" s="22" t="n">
        <v>1.349891908526715</v>
      </c>
      <c r="D279" s="22" t="n">
        <v>0.6830875846404364</v>
      </c>
      <c r="E279" s="22" t="n">
        <v>0.5409962129345118</v>
      </c>
      <c r="F279" s="22" t="n">
        <v>0.2176272790458388</v>
      </c>
      <c r="G279" s="22" t="n">
        <v>0.01819350719360937</v>
      </c>
      <c r="H279" s="22" t="n">
        <v>0.9653471360904929</v>
      </c>
    </row>
    <row r="280">
      <c r="A280" s="10" t="n">
        <v>0.205</v>
      </c>
      <c r="B280" s="22" t="n">
        <v>2.034064728219875</v>
      </c>
      <c r="C280" s="22" t="n">
        <v>1.362332974250458</v>
      </c>
      <c r="D280" s="22" t="n">
        <v>0.6871191713489559</v>
      </c>
      <c r="E280" s="22" t="n">
        <v>0.5449199456798166</v>
      </c>
      <c r="F280" s="22" t="n">
        <v>0.2183533372678222</v>
      </c>
      <c r="G280" s="22" t="n">
        <v>0.01823101279078325</v>
      </c>
      <c r="H280" s="22" t="n">
        <v>0.9644587948155157</v>
      </c>
    </row>
    <row r="281">
      <c r="A281" s="10" t="n">
        <v>0.215</v>
      </c>
      <c r="B281" s="22" t="n">
        <v>1.987908317657882</v>
      </c>
      <c r="C281" s="22" t="n">
        <v>1.343660489493916</v>
      </c>
      <c r="D281" s="22" t="n">
        <v>0.6859458428706053</v>
      </c>
      <c r="E281" s="22" t="n">
        <v>0.5642119100950238</v>
      </c>
      <c r="F281" s="22" t="n">
        <v>0.2342595524659145</v>
      </c>
      <c r="G281" s="22" t="n">
        <v>0.02214347892141027</v>
      </c>
      <c r="H281" s="22" t="n">
        <v>0.9447582039681246</v>
      </c>
    </row>
    <row r="282">
      <c r="A282" s="10" t="n">
        <v>0.225</v>
      </c>
      <c r="B282" s="22" t="n">
        <v>1.967708434770405</v>
      </c>
      <c r="C282" s="22" t="n">
        <v>1.351386568767934</v>
      </c>
      <c r="D282" s="22" t="n">
        <v>0.7104373285744373</v>
      </c>
      <c r="E282" s="22" t="n">
        <v>0.5917159936404778</v>
      </c>
      <c r="F282" s="22" t="n">
        <v>0.2577755214549224</v>
      </c>
      <c r="G282" s="22" t="n">
        <v>0.02839262286203822</v>
      </c>
      <c r="H282" s="22" t="n">
        <v>0.9613986352318162</v>
      </c>
    </row>
    <row r="283">
      <c r="A283" s="10" t="n">
        <v>0.235</v>
      </c>
      <c r="B283" s="22" t="n">
        <v>1.878676104990299</v>
      </c>
      <c r="C283" s="22" t="n">
        <v>1.397601088814945</v>
      </c>
      <c r="D283" s="22" t="n">
        <v>0.7493237780334793</v>
      </c>
      <c r="E283" s="22" t="n">
        <v>0.6284245030556027</v>
      </c>
      <c r="F283" s="22" t="n">
        <v>0.2801251273365847</v>
      </c>
      <c r="G283" s="22" t="n">
        <v>0.03208243849568906</v>
      </c>
      <c r="H283" s="22" t="n">
        <v>0.983113062410604</v>
      </c>
    </row>
    <row r="284">
      <c r="A284" s="10" t="n">
        <v>0.245</v>
      </c>
      <c r="B284" s="22" t="n">
        <v>1.655505651794141</v>
      </c>
      <c r="C284" s="22" t="n">
        <v>1.49410254623543</v>
      </c>
      <c r="D284" s="22" t="n">
        <v>0.8452812816464791</v>
      </c>
      <c r="E284" s="22" t="n">
        <v>0.7257556489682224</v>
      </c>
      <c r="F284" s="22" t="n">
        <v>0.3475359640406961</v>
      </c>
      <c r="G284" s="22" t="n">
        <v>0.04501521685836282</v>
      </c>
      <c r="H284" s="22" t="n">
        <v>1.044957686832376</v>
      </c>
    </row>
    <row r="285">
      <c r="A285" s="10" t="n">
        <v>0.255</v>
      </c>
      <c r="B285" s="22" t="n">
        <v>1.612154705033007</v>
      </c>
      <c r="C285" s="22" t="n">
        <v>1.493480335175173</v>
      </c>
      <c r="D285" s="22" t="n">
        <v>0.8523169135190923</v>
      </c>
      <c r="E285" s="22" t="n">
        <v>0.7244240232215735</v>
      </c>
      <c r="F285" s="22" t="n">
        <v>0.3514189174036141</v>
      </c>
      <c r="G285" s="22" t="n">
        <v>0.04731734244231432</v>
      </c>
      <c r="H285" s="22" t="n">
        <v>1.054948142951241</v>
      </c>
    </row>
    <row r="286">
      <c r="A286" s="10" t="n">
        <v>0.265</v>
      </c>
      <c r="B286" s="22" t="n">
        <v>1.60253340943102</v>
      </c>
      <c r="C286" s="22" t="n">
        <v>1.533324106875994</v>
      </c>
      <c r="D286" s="22" t="n">
        <v>0.8716453946038606</v>
      </c>
      <c r="E286" s="22" t="n">
        <v>0.7623677676242789</v>
      </c>
      <c r="F286" s="22" t="n">
        <v>0.3919518488992418</v>
      </c>
      <c r="G286" s="22" t="n">
        <v>0.05518781884873324</v>
      </c>
      <c r="H286" s="22" t="n">
        <v>1.067900697146331</v>
      </c>
    </row>
    <row r="287">
      <c r="A287" s="10" t="n">
        <v>0.275</v>
      </c>
      <c r="B287" s="22" t="n">
        <v>1.565440592535214</v>
      </c>
      <c r="C287" s="22" t="n">
        <v>1.508187412234804</v>
      </c>
      <c r="D287" s="22" t="n">
        <v>0.8622534066208311</v>
      </c>
      <c r="E287" s="22" t="n">
        <v>0.7714457039289203</v>
      </c>
      <c r="F287" s="22" t="n">
        <v>0.4057553251316742</v>
      </c>
      <c r="G287" s="22" t="n">
        <v>0.05733673008072217</v>
      </c>
      <c r="H287" s="22" t="n">
        <v>1.056435987447274</v>
      </c>
    </row>
    <row r="288">
      <c r="A288" s="10" t="n">
        <v>0.285</v>
      </c>
      <c r="B288" s="22" t="n">
        <v>1.572175325879598</v>
      </c>
      <c r="C288" s="22" t="n">
        <v>1.518533682617156</v>
      </c>
      <c r="D288" s="22" t="n">
        <v>0.8685793733990662</v>
      </c>
      <c r="E288" s="22" t="n">
        <v>0.7943637602854606</v>
      </c>
      <c r="F288" s="22" t="n">
        <v>0.4188742048084919</v>
      </c>
      <c r="G288" s="22" t="n">
        <v>0.05897779317037696</v>
      </c>
      <c r="H288" s="22" t="n">
        <v>1.063871622307835</v>
      </c>
    </row>
    <row r="289">
      <c r="A289" s="10" t="n">
        <v>0.295</v>
      </c>
      <c r="B289" s="22" t="n">
        <v>1.483352345701816</v>
      </c>
      <c r="C289" s="22" t="n">
        <v>1.534785884014695</v>
      </c>
      <c r="D289" s="22" t="n">
        <v>0.9143051177320795</v>
      </c>
      <c r="E289" s="22" t="n">
        <v>0.8301738794406962</v>
      </c>
      <c r="F289" s="22" t="n">
        <v>0.4450224121713859</v>
      </c>
      <c r="G289" s="22" t="n">
        <v>0.06523929565005573</v>
      </c>
      <c r="H289" s="22" t="n">
        <v>1.075362451968884</v>
      </c>
    </row>
    <row r="290">
      <c r="A290" s="10" t="n">
        <v>0.305</v>
      </c>
      <c r="B290" s="22" t="n">
        <v>1.259312251230786</v>
      </c>
      <c r="C290" s="22" t="n">
        <v>1.584885941512126</v>
      </c>
      <c r="D290" s="22" t="n">
        <v>1.099010696193711</v>
      </c>
      <c r="E290" s="22" t="n">
        <v>0.9432311811703245</v>
      </c>
      <c r="F290" s="22" t="n">
        <v>0.5230271184945803</v>
      </c>
      <c r="G290" s="22" t="n">
        <v>0.09350583946643319</v>
      </c>
      <c r="H290" s="22" t="n">
        <v>1.100261304511646</v>
      </c>
    </row>
    <row r="291">
      <c r="A291" s="10" t="n">
        <v>0.315</v>
      </c>
      <c r="B291" s="22" t="n">
        <v>1.237495589331734</v>
      </c>
      <c r="C291" s="22" t="n">
        <v>1.580682895341179</v>
      </c>
      <c r="D291" s="22" t="n">
        <v>1.157549046169112</v>
      </c>
      <c r="E291" s="22" t="n">
        <v>0.9450512868495856</v>
      </c>
      <c r="F291" s="22" t="n">
        <v>0.530540958704289</v>
      </c>
      <c r="G291" s="22" t="n">
        <v>0.1033063538639509</v>
      </c>
      <c r="H291" s="22" t="n">
        <v>1.107987513383467</v>
      </c>
    </row>
    <row r="292">
      <c r="A292" s="10" t="n">
        <v>0.325</v>
      </c>
      <c r="B292" s="22" t="n">
        <v>1.215836554002666</v>
      </c>
      <c r="C292" s="22" t="n">
        <v>1.569819803709331</v>
      </c>
      <c r="D292" s="22" t="n">
        <v>1.155515708630444</v>
      </c>
      <c r="E292" s="22" t="n">
        <v>0.9466803633122224</v>
      </c>
      <c r="F292" s="22" t="n">
        <v>0.5330054477040521</v>
      </c>
      <c r="G292" s="22" t="n">
        <v>0.1039669735902085</v>
      </c>
      <c r="H292" s="22" t="n">
        <v>1.110722932235025</v>
      </c>
    </row>
    <row r="293">
      <c r="A293" s="10" t="n">
        <v>0.335</v>
      </c>
      <c r="B293" s="22" t="n">
        <v>1.183684420722426</v>
      </c>
      <c r="C293" s="22" t="n">
        <v>1.594510563876252</v>
      </c>
      <c r="D293" s="22" t="n">
        <v>1.177443082870669</v>
      </c>
      <c r="E293" s="22" t="n">
        <v>0.9684079278584957</v>
      </c>
      <c r="F293" s="22" t="n">
        <v>0.5442233266989086</v>
      </c>
      <c r="G293" s="22" t="n">
        <v>0.1059704324620117</v>
      </c>
      <c r="H293" s="22" t="n">
        <v>1.139174359252587</v>
      </c>
    </row>
    <row r="294">
      <c r="A294" s="10" t="n">
        <v>0.345</v>
      </c>
      <c r="B294" s="22" t="n">
        <v>1.176686544339332</v>
      </c>
      <c r="C294" s="22" t="n">
        <v>1.586838339022585</v>
      </c>
      <c r="D294" s="22" t="n">
        <v>1.171835103741269</v>
      </c>
      <c r="E294" s="22" t="n">
        <v>0.9570884305160624</v>
      </c>
      <c r="F294" s="22" t="n">
        <v>0.5418995326898584</v>
      </c>
      <c r="G294" s="22" t="n">
        <v>0.1057479576870023</v>
      </c>
      <c r="H294" s="22" t="n">
        <v>1.128194759801896</v>
      </c>
    </row>
    <row r="295">
      <c r="A295" s="10" t="n">
        <v>0.355</v>
      </c>
      <c r="B295" s="22" t="n">
        <v>1.065634458306042</v>
      </c>
      <c r="C295" s="22" t="n">
        <v>1.62215330171042</v>
      </c>
      <c r="D295" s="22" t="n">
        <v>1.231477454197138</v>
      </c>
      <c r="E295" s="22" t="n">
        <v>0.9947717910509638</v>
      </c>
      <c r="F295" s="22" t="n">
        <v>0.6291563334067974</v>
      </c>
      <c r="G295" s="22" t="n">
        <v>0.1296130023761027</v>
      </c>
      <c r="H295" s="22" t="n">
        <v>1.151661142087336</v>
      </c>
    </row>
    <row r="296">
      <c r="A296" s="10" t="n">
        <v>0.365</v>
      </c>
      <c r="B296" s="22" t="n">
        <v>0.8860738341460124</v>
      </c>
      <c r="C296" s="22" t="n">
        <v>1.624382124842446</v>
      </c>
      <c r="D296" s="22" t="n">
        <v>1.29807974513839</v>
      </c>
      <c r="E296" s="22" t="n">
        <v>1.070766356227333</v>
      </c>
      <c r="F296" s="22" t="n">
        <v>0.7193551327527773</v>
      </c>
      <c r="G296" s="22" t="n">
        <v>0.1511434982529592</v>
      </c>
      <c r="H296" s="22" t="n">
        <v>1.19021116838994</v>
      </c>
    </row>
    <row r="297">
      <c r="A297" s="10" t="n">
        <v>0.375</v>
      </c>
      <c r="B297" s="22" t="n">
        <v>0.8884219989553435</v>
      </c>
      <c r="C297" s="22" t="n">
        <v>1.628492437930918</v>
      </c>
      <c r="D297" s="22" t="n">
        <v>1.299289547684296</v>
      </c>
      <c r="E297" s="22" t="n">
        <v>1.076109711587465</v>
      </c>
      <c r="F297" s="22" t="n">
        <v>0.7211513435449222</v>
      </c>
      <c r="G297" s="22" t="n">
        <v>0.1509904678973487</v>
      </c>
      <c r="H297" s="22" t="n">
        <v>1.194925844010417</v>
      </c>
    </row>
    <row r="298">
      <c r="A298" s="10" t="n">
        <v>0.385</v>
      </c>
      <c r="B298" s="22" t="n">
        <v>0.8786303842094979</v>
      </c>
      <c r="C298" s="22" t="n">
        <v>1.652561934321469</v>
      </c>
      <c r="D298" s="22" t="n">
        <v>1.321068013454048</v>
      </c>
      <c r="E298" s="22" t="n">
        <v>1.093543312786124</v>
      </c>
      <c r="F298" s="22" t="n">
        <v>0.7446924098083531</v>
      </c>
      <c r="G298" s="22" t="n">
        <v>0.1561385580566181</v>
      </c>
      <c r="H298" s="22" t="n">
        <v>1.195017074066585</v>
      </c>
    </row>
    <row r="299">
      <c r="A299" s="10" t="n">
        <v>0.395</v>
      </c>
      <c r="B299" s="22" t="n">
        <v>0.8606569796327885</v>
      </c>
      <c r="C299" s="22" t="n">
        <v>1.637751975076295</v>
      </c>
      <c r="D299" s="22" t="n">
        <v>1.316336437102325</v>
      </c>
      <c r="E299" s="22" t="n">
        <v>1.14028440941909</v>
      </c>
      <c r="F299" s="22" t="n">
        <v>0.7830851880246965</v>
      </c>
      <c r="G299" s="22" t="n">
        <v>0.1709395468047197</v>
      </c>
      <c r="H299" s="22" t="n">
        <v>1.186179905616896</v>
      </c>
    </row>
    <row r="300">
      <c r="A300" s="10" t="n">
        <v>0.405</v>
      </c>
      <c r="B300" s="22" t="n">
        <v>0.8414215709275684</v>
      </c>
      <c r="C300" s="22" t="n">
        <v>1.60309247895672</v>
      </c>
      <c r="D300" s="22" t="n">
        <v>1.298588492041786</v>
      </c>
      <c r="E300" s="22" t="n">
        <v>1.15392226210558</v>
      </c>
      <c r="F300" s="22" t="n">
        <v>0.7974403654728535</v>
      </c>
      <c r="G300" s="22" t="n">
        <v>0.1814787779333058</v>
      </c>
      <c r="H300" s="22" t="n">
        <v>1.16936001159408</v>
      </c>
    </row>
    <row r="301">
      <c r="A301" s="10" t="n">
        <v>0.415</v>
      </c>
      <c r="B301" s="22" t="n">
        <v>0.7611528480376705</v>
      </c>
      <c r="C301" s="22" t="n">
        <v>1.619938076562635</v>
      </c>
      <c r="D301" s="22" t="n">
        <v>1.403527914007125</v>
      </c>
      <c r="E301" s="22" t="n">
        <v>1.181277684243822</v>
      </c>
      <c r="F301" s="22" t="n">
        <v>0.8544509660436451</v>
      </c>
      <c r="G301" s="22" t="n">
        <v>0.2027666746379999</v>
      </c>
      <c r="H301" s="22" t="n">
        <v>1.200263841564073</v>
      </c>
    </row>
    <row r="302">
      <c r="A302" s="10" t="n">
        <v>0.425</v>
      </c>
      <c r="B302" s="22" t="n">
        <v>0.6260963639579376</v>
      </c>
      <c r="C302" s="22" t="n">
        <v>1.627621006347223</v>
      </c>
      <c r="D302" s="22" t="n">
        <v>1.518829731341083</v>
      </c>
      <c r="E302" s="22" t="n">
        <v>1.24290256613782</v>
      </c>
      <c r="F302" s="22" t="n">
        <v>0.9356149442435504</v>
      </c>
      <c r="G302" s="22" t="n">
        <v>0.2359203548735381</v>
      </c>
      <c r="H302" s="22" t="n">
        <v>1.229118458653277</v>
      </c>
    </row>
    <row r="303">
      <c r="A303" s="10" t="n">
        <v>0.435</v>
      </c>
      <c r="B303" s="22" t="n">
        <v>0.5897264423305012</v>
      </c>
      <c r="C303" s="22" t="n">
        <v>1.628485001891924</v>
      </c>
      <c r="D303" s="22" t="n">
        <v>1.522313038930735</v>
      </c>
      <c r="E303" s="22" t="n">
        <v>1.260919471394593</v>
      </c>
      <c r="F303" s="22" t="n">
        <v>0.9507905463062273</v>
      </c>
      <c r="G303" s="22" t="n">
        <v>0.2474033815754338</v>
      </c>
      <c r="H303" s="22" t="n">
        <v>1.248195992739131</v>
      </c>
    </row>
    <row r="304">
      <c r="A304" s="10" t="n">
        <v>0.445</v>
      </c>
      <c r="B304" s="22" t="n">
        <v>0.5688442031258565</v>
      </c>
      <c r="C304" s="22" t="n">
        <v>1.560727722645253</v>
      </c>
      <c r="D304" s="22" t="n">
        <v>1.461715806033357</v>
      </c>
      <c r="E304" s="22" t="n">
        <v>1.239381962481739</v>
      </c>
      <c r="F304" s="22" t="n">
        <v>0.960148275576949</v>
      </c>
      <c r="G304" s="22" t="n">
        <v>0.280445177145894</v>
      </c>
      <c r="H304" s="22" t="n">
        <v>1.243013268903739</v>
      </c>
    </row>
    <row r="305">
      <c r="A305" s="10" t="n">
        <v>0.455</v>
      </c>
      <c r="B305" s="22" t="n">
        <v>0.5590434579549864</v>
      </c>
      <c r="C305" s="22" t="n">
        <v>1.594283529256043</v>
      </c>
      <c r="D305" s="22" t="n">
        <v>1.472340550492014</v>
      </c>
      <c r="E305" s="22" t="n">
        <v>1.25345136623157</v>
      </c>
      <c r="F305" s="22" t="n">
        <v>0.9871359432603668</v>
      </c>
      <c r="G305" s="22" t="n">
        <v>0.2856307181924254</v>
      </c>
      <c r="H305" s="22" t="n">
        <v>1.251286060482568</v>
      </c>
    </row>
    <row r="306">
      <c r="A306" s="10" t="n">
        <v>0.465</v>
      </c>
      <c r="B306" s="22" t="n">
        <v>0.5481480043386464</v>
      </c>
      <c r="C306" s="22" t="n">
        <v>1.614059815535884</v>
      </c>
      <c r="D306" s="22" t="n">
        <v>1.485466164190614</v>
      </c>
      <c r="E306" s="22" t="n">
        <v>1.264578736226849</v>
      </c>
      <c r="F306" s="22" t="n">
        <v>1.006883376664885</v>
      </c>
      <c r="G306" s="22" t="n">
        <v>0.2871291039071457</v>
      </c>
      <c r="H306" s="22" t="n">
        <v>1.253533862525748</v>
      </c>
    </row>
    <row r="307">
      <c r="A307" s="10" t="n">
        <v>0.475</v>
      </c>
      <c r="B307" s="22" t="n">
        <v>0.5164946361153259</v>
      </c>
      <c r="C307" s="22" t="n">
        <v>1.658279203619953</v>
      </c>
      <c r="D307" s="22" t="n">
        <v>1.592832253308727</v>
      </c>
      <c r="E307" s="22" t="n">
        <v>1.342784829247838</v>
      </c>
      <c r="F307" s="22" t="n">
        <v>1.101000252533762</v>
      </c>
      <c r="G307" s="22" t="n">
        <v>0.3311962515216497</v>
      </c>
      <c r="H307" s="22" t="n">
        <v>1.274241770709935</v>
      </c>
    </row>
    <row r="308">
      <c r="A308" s="10" t="n">
        <v>0.485</v>
      </c>
      <c r="B308" s="22" t="n">
        <v>0.4704547050788586</v>
      </c>
      <c r="C308" s="22" t="n">
        <v>1.777113635074958</v>
      </c>
      <c r="D308" s="22" t="n">
        <v>1.813646377747369</v>
      </c>
      <c r="E308" s="22" t="n">
        <v>1.507285512202958</v>
      </c>
      <c r="F308" s="22" t="n">
        <v>1.256832131608094</v>
      </c>
      <c r="G308" s="22" t="n">
        <v>0.3971074254121512</v>
      </c>
      <c r="H308" s="22" t="n">
        <v>1.333379389023543</v>
      </c>
    </row>
    <row r="309">
      <c r="A309" s="10" t="n">
        <v>0.495</v>
      </c>
      <c r="B309" s="22" t="n">
        <v>0.4546413721058041</v>
      </c>
      <c r="C309" s="22" t="n">
        <v>1.848312826272379</v>
      </c>
      <c r="D309" s="22" t="n">
        <v>1.902090774284113</v>
      </c>
      <c r="E309" s="22" t="n">
        <v>1.591960481180173</v>
      </c>
      <c r="F309" s="22" t="n">
        <v>1.30398405059973</v>
      </c>
      <c r="G309" s="22" t="n">
        <v>0.4241170365470153</v>
      </c>
      <c r="H309" s="22" t="n">
        <v>1.377403097771239</v>
      </c>
    </row>
    <row r="310">
      <c r="A310" s="10" t="n">
        <v>0.505</v>
      </c>
      <c r="B310" s="22" t="n">
        <v>0.422340308641259</v>
      </c>
      <c r="C310" s="22" t="n">
        <v>1.831943003353085</v>
      </c>
      <c r="D310" s="22" t="n">
        <v>1.91163967549333</v>
      </c>
      <c r="E310" s="22" t="n">
        <v>1.573898868132588</v>
      </c>
      <c r="F310" s="22" t="n">
        <v>1.307131957260921</v>
      </c>
      <c r="G310" s="22" t="n">
        <v>0.4278786690671491</v>
      </c>
      <c r="H310" s="22" t="n">
        <v>1.342328914083158</v>
      </c>
    </row>
    <row r="311">
      <c r="A311" s="10" t="n">
        <v>0.515</v>
      </c>
      <c r="B311" s="22" t="n">
        <v>0.3837842824825642</v>
      </c>
      <c r="C311" s="22" t="n">
        <v>1.790927898519373</v>
      </c>
      <c r="D311" s="22" t="n">
        <v>1.921087710512691</v>
      </c>
      <c r="E311" s="22" t="n">
        <v>1.555523294475488</v>
      </c>
      <c r="F311" s="22" t="n">
        <v>1.301174801223332</v>
      </c>
      <c r="G311" s="22" t="n">
        <v>0.4334878844908445</v>
      </c>
      <c r="H311" s="22" t="n">
        <v>1.286192951306004</v>
      </c>
    </row>
    <row r="312">
      <c r="A312" s="10" t="n">
        <v>0.525</v>
      </c>
      <c r="B312" s="22" t="n">
        <v>0.350543161212712</v>
      </c>
      <c r="C312" s="22" t="n">
        <v>1.682102504251893</v>
      </c>
      <c r="D312" s="22" t="n">
        <v>1.876669182830209</v>
      </c>
      <c r="E312" s="22" t="n">
        <v>1.543981445779723</v>
      </c>
      <c r="F312" s="22" t="n">
        <v>1.304522945069172</v>
      </c>
      <c r="G312" s="22" t="n">
        <v>0.4673924090857842</v>
      </c>
      <c r="H312" s="22" t="n">
        <v>1.252996215609076</v>
      </c>
    </row>
    <row r="313">
      <c r="A313" s="10" t="n">
        <v>0.535</v>
      </c>
      <c r="B313" s="22" t="n">
        <v>0.3059196210729086</v>
      </c>
      <c r="C313" s="22" t="n">
        <v>1.658775642671551</v>
      </c>
      <c r="D313" s="22" t="n">
        <v>1.977857738671318</v>
      </c>
      <c r="E313" s="22" t="n">
        <v>1.60795671767789</v>
      </c>
      <c r="F313" s="22" t="n">
        <v>1.45433459317637</v>
      </c>
      <c r="G313" s="22" t="n">
        <v>0.5348202391537457</v>
      </c>
      <c r="H313" s="22" t="n">
        <v>1.317944631822089</v>
      </c>
    </row>
    <row r="314">
      <c r="A314" s="10" t="n">
        <v>0.545</v>
      </c>
      <c r="B314" s="22" t="n">
        <v>0.2889178609749564</v>
      </c>
      <c r="C314" s="22" t="n">
        <v>1.601429940431982</v>
      </c>
      <c r="D314" s="22" t="n">
        <v>1.986601755119484</v>
      </c>
      <c r="E314" s="22" t="n">
        <v>1.671706754464501</v>
      </c>
      <c r="F314" s="22" t="n">
        <v>1.623875025666387</v>
      </c>
      <c r="G314" s="22" t="n">
        <v>0.6077323644433731</v>
      </c>
      <c r="H314" s="22" t="n">
        <v>1.382297959835939</v>
      </c>
    </row>
    <row r="315">
      <c r="A315" s="10" t="n">
        <v>0.555</v>
      </c>
      <c r="B315" s="22" t="n">
        <v>0.2770058168077227</v>
      </c>
      <c r="C315" s="22" t="n">
        <v>1.543525340875494</v>
      </c>
      <c r="D315" s="22" t="n">
        <v>1.958085196951064</v>
      </c>
      <c r="E315" s="22" t="n">
        <v>1.677594501412794</v>
      </c>
      <c r="F315" s="22" t="n">
        <v>1.66751670268608</v>
      </c>
      <c r="G315" s="22" t="n">
        <v>0.6795931202670398</v>
      </c>
      <c r="H315" s="22" t="n">
        <v>1.373199068916437</v>
      </c>
    </row>
    <row r="316">
      <c r="A316" s="10" t="n">
        <v>0.5649999999999999</v>
      </c>
      <c r="B316" s="22" t="n">
        <v>0.2388284178364385</v>
      </c>
      <c r="C316" s="22" t="n">
        <v>1.458077088522538</v>
      </c>
      <c r="D316" s="22" t="n">
        <v>1.877841338817378</v>
      </c>
      <c r="E316" s="22" t="n">
        <v>1.695924023660227</v>
      </c>
      <c r="F316" s="22" t="n">
        <v>1.766764619768609</v>
      </c>
      <c r="G316" s="22" t="n">
        <v>0.7914484755319819</v>
      </c>
      <c r="H316" s="22" t="n">
        <v>1.398078820775328</v>
      </c>
    </row>
    <row r="317">
      <c r="A317" s="10" t="n">
        <v>0.575</v>
      </c>
      <c r="B317" s="22" t="n">
        <v>0.1905930484503253</v>
      </c>
      <c r="C317" s="22" t="n">
        <v>1.420596547985813</v>
      </c>
      <c r="D317" s="22" t="n">
        <v>1.823396932317301</v>
      </c>
      <c r="E317" s="22" t="n">
        <v>1.742228215631218</v>
      </c>
      <c r="F317" s="22" t="n">
        <v>1.861840012779293</v>
      </c>
      <c r="G317" s="22" t="n">
        <v>0.8675989326510348</v>
      </c>
      <c r="H317" s="22" t="n">
        <v>1.406401678299634</v>
      </c>
    </row>
    <row r="318">
      <c r="A318" s="10" t="n">
        <v>0.585</v>
      </c>
      <c r="B318" s="22" t="n">
        <v>0.1722000541936092</v>
      </c>
      <c r="C318" s="22" t="n">
        <v>1.404256288818149</v>
      </c>
      <c r="D318" s="22" t="n">
        <v>1.805778630269227</v>
      </c>
      <c r="E318" s="22" t="n">
        <v>1.795157260134731</v>
      </c>
      <c r="F318" s="22" t="n">
        <v>1.874728297127508</v>
      </c>
      <c r="G318" s="22" t="n">
        <v>0.8890281237146004</v>
      </c>
      <c r="H318" s="22" t="n">
        <v>1.404249145057066</v>
      </c>
    </row>
    <row r="319">
      <c r="A319" s="10" t="n">
        <v>0.595</v>
      </c>
      <c r="B319" s="22" t="n">
        <v>0.1476110267317855</v>
      </c>
      <c r="C319" s="22" t="n">
        <v>1.21893613218811</v>
      </c>
      <c r="D319" s="22" t="n">
        <v>1.700773897128284</v>
      </c>
      <c r="E319" s="22" t="n">
        <v>1.805980379045599</v>
      </c>
      <c r="F319" s="22" t="n">
        <v>1.917966338824886</v>
      </c>
      <c r="G319" s="22" t="n">
        <v>0.9930575207997401</v>
      </c>
      <c r="H319" s="22" t="n">
        <v>1.400085731559653</v>
      </c>
    </row>
    <row r="320">
      <c r="A320" s="10" t="n">
        <v>0.605</v>
      </c>
      <c r="B320" s="22" t="n">
        <v>0.1386571428182587</v>
      </c>
      <c r="C320" s="22" t="n">
        <v>1.194178873658199</v>
      </c>
      <c r="D320" s="22" t="n">
        <v>1.706492451054391</v>
      </c>
      <c r="E320" s="22" t="n">
        <v>1.842639117278567</v>
      </c>
      <c r="F320" s="22" t="n">
        <v>1.964978601051419</v>
      </c>
      <c r="G320" s="22" t="n">
        <v>1.083808722645591</v>
      </c>
      <c r="H320" s="22" t="n">
        <v>1.393751351234105</v>
      </c>
    </row>
    <row r="321">
      <c r="A321" s="10" t="n">
        <v>0.615</v>
      </c>
      <c r="B321" s="22" t="n">
        <v>0.1323956611052593</v>
      </c>
      <c r="C321" s="22" t="n">
        <v>1.169970677506126</v>
      </c>
      <c r="D321" s="22" t="n">
        <v>1.675609739263515</v>
      </c>
      <c r="E321" s="22" t="n">
        <v>1.842147058186182</v>
      </c>
      <c r="F321" s="22" t="n">
        <v>1.970372129304049</v>
      </c>
      <c r="G321" s="22" t="n">
        <v>1.109877998783678</v>
      </c>
      <c r="H321" s="22" t="n">
        <v>1.389451372293237</v>
      </c>
    </row>
    <row r="322">
      <c r="A322" s="10" t="n">
        <v>0.625</v>
      </c>
      <c r="B322" s="22" t="n">
        <v>0.1123865973693586</v>
      </c>
      <c r="C322" s="22" t="n">
        <v>1.062197563496094</v>
      </c>
      <c r="D322" s="22" t="n">
        <v>1.599464993046647</v>
      </c>
      <c r="E322" s="22" t="n">
        <v>1.847515058731367</v>
      </c>
      <c r="F322" s="22" t="n">
        <v>2.096654685531354</v>
      </c>
      <c r="G322" s="22" t="n">
        <v>1.193133915241555</v>
      </c>
      <c r="H322" s="22" t="n">
        <v>1.38408658108239</v>
      </c>
    </row>
    <row r="323">
      <c r="A323" s="10" t="n">
        <v>0.635</v>
      </c>
      <c r="B323" s="22" t="n">
        <v>0.1039017205241344</v>
      </c>
      <c r="C323" s="22" t="n">
        <v>1.000698818741992</v>
      </c>
      <c r="D323" s="22" t="n">
        <v>1.590742201285335</v>
      </c>
      <c r="E323" s="22" t="n">
        <v>1.853153990038049</v>
      </c>
      <c r="F323" s="22" t="n">
        <v>2.174154644460916</v>
      </c>
      <c r="G323" s="22" t="n">
        <v>1.296208306383637</v>
      </c>
      <c r="H323" s="22" t="n">
        <v>1.358731709400478</v>
      </c>
    </row>
    <row r="324">
      <c r="A324" s="10" t="n">
        <v>0.645</v>
      </c>
      <c r="B324" s="22" t="n">
        <v>0.09683135210142332</v>
      </c>
      <c r="C324" s="22" t="n">
        <v>0.9466011324805457</v>
      </c>
      <c r="D324" s="22" t="n">
        <v>1.574952813335231</v>
      </c>
      <c r="E324" s="22" t="n">
        <v>1.815472954815739</v>
      </c>
      <c r="F324" s="22" t="n">
        <v>2.200971857939042</v>
      </c>
      <c r="G324" s="22" t="n">
        <v>1.424595889925639</v>
      </c>
      <c r="H324" s="22" t="n">
        <v>1.360557009696995</v>
      </c>
    </row>
    <row r="325">
      <c r="A325" s="10" t="n">
        <v>0.655</v>
      </c>
      <c r="B325" s="22" t="n">
        <v>0.08295624549386009</v>
      </c>
      <c r="C325" s="22" t="n">
        <v>0.8879399784701902</v>
      </c>
      <c r="D325" s="22" t="n">
        <v>1.556006653050781</v>
      </c>
      <c r="E325" s="22" t="n">
        <v>1.842713098893836</v>
      </c>
      <c r="F325" s="22" t="n">
        <v>2.248929515165511</v>
      </c>
      <c r="G325" s="22" t="n">
        <v>1.754762211216929</v>
      </c>
      <c r="H325" s="22" t="n">
        <v>1.348764592613721</v>
      </c>
    </row>
    <row r="326">
      <c r="A326" s="10" t="n">
        <v>0.665</v>
      </c>
      <c r="B326" s="22" t="n">
        <v>0.07462171482982528</v>
      </c>
      <c r="C326" s="22" t="n">
        <v>0.8514677258747118</v>
      </c>
      <c r="D326" s="22" t="n">
        <v>1.538821115381508</v>
      </c>
      <c r="E326" s="22" t="n">
        <v>1.875984464376832</v>
      </c>
      <c r="F326" s="22" t="n">
        <v>2.280351049480754</v>
      </c>
      <c r="G326" s="22" t="n">
        <v>1.873906415475932</v>
      </c>
      <c r="H326" s="22" t="n">
        <v>1.357074998536994</v>
      </c>
    </row>
    <row r="327">
      <c r="A327" s="10" t="n">
        <v>0.675</v>
      </c>
      <c r="B327" s="22" t="n">
        <v>0.05756566279360897</v>
      </c>
      <c r="C327" s="22" t="n">
        <v>0.746395624385811</v>
      </c>
      <c r="D327" s="22" t="n">
        <v>1.475592122761482</v>
      </c>
      <c r="E327" s="22" t="n">
        <v>1.909194095124418</v>
      </c>
      <c r="F327" s="22" t="n">
        <v>2.29426442903095</v>
      </c>
      <c r="G327" s="22" t="n">
        <v>1.937946191481906</v>
      </c>
      <c r="H327" s="22" t="n">
        <v>1.343149884463795</v>
      </c>
    </row>
    <row r="328">
      <c r="A328" s="10" t="n">
        <v>0.6850000000000001</v>
      </c>
      <c r="B328" s="22" t="n">
        <v>0.04115862938149368</v>
      </c>
      <c r="C328" s="22" t="n">
        <v>0.6451594761343566</v>
      </c>
      <c r="D328" s="22" t="n">
        <v>1.469675618622054</v>
      </c>
      <c r="E328" s="22" t="n">
        <v>1.944034023358954</v>
      </c>
      <c r="F328" s="22" t="n">
        <v>2.313586300152178</v>
      </c>
      <c r="G328" s="22" t="n">
        <v>2.203178373784703</v>
      </c>
      <c r="H328" s="22" t="n">
        <v>1.264534445230557</v>
      </c>
    </row>
    <row r="329">
      <c r="A329" s="10" t="n">
        <v>0.695</v>
      </c>
      <c r="B329" s="22" t="n">
        <v>0.0276367733231517</v>
      </c>
      <c r="C329" s="22" t="n">
        <v>0.5533465170992905</v>
      </c>
      <c r="D329" s="22" t="n">
        <v>1.426374836518551</v>
      </c>
      <c r="E329" s="22" t="n">
        <v>1.903242735070855</v>
      </c>
      <c r="F329" s="22" t="n">
        <v>2.263392429758005</v>
      </c>
      <c r="G329" s="22" t="n">
        <v>2.329377260269396</v>
      </c>
      <c r="H329" s="22" t="n">
        <v>1.197103722161111</v>
      </c>
    </row>
    <row r="330">
      <c r="A330" s="10" t="n">
        <v>0.705</v>
      </c>
      <c r="B330" s="22" t="n">
        <v>0.02711460103243768</v>
      </c>
      <c r="C330" s="22" t="n">
        <v>0.5311514696805734</v>
      </c>
      <c r="D330" s="22" t="n">
        <v>1.388703462988568</v>
      </c>
      <c r="E330" s="22" t="n">
        <v>1.865704332021649</v>
      </c>
      <c r="F330" s="22" t="n">
        <v>2.264616624974659</v>
      </c>
      <c r="G330" s="22" t="n">
        <v>2.421945623109649</v>
      </c>
      <c r="H330" s="22" t="n">
        <v>1.182648247457551</v>
      </c>
    </row>
    <row r="331">
      <c r="A331" s="10" t="n">
        <v>0.715</v>
      </c>
      <c r="B331" s="22" t="n">
        <v>0.02382600925553447</v>
      </c>
      <c r="C331" s="22" t="n">
        <v>0.4549836075742931</v>
      </c>
      <c r="D331" s="22" t="n">
        <v>1.240257716519147</v>
      </c>
      <c r="E331" s="22" t="n">
        <v>1.677345673233193</v>
      </c>
      <c r="F331" s="22" t="n">
        <v>2.081422792289271</v>
      </c>
      <c r="G331" s="22" t="n">
        <v>2.218663573247748</v>
      </c>
      <c r="H331" s="22" t="n">
        <v>1.058085800617116</v>
      </c>
    </row>
    <row r="332">
      <c r="A332" s="10" t="n">
        <v>0.725</v>
      </c>
      <c r="B332" s="22" t="n">
        <v>0.01405941699962837</v>
      </c>
      <c r="C332" s="22" t="n">
        <v>0.3765295693956712</v>
      </c>
      <c r="D332" s="22" t="n">
        <v>1.304285823047437</v>
      </c>
      <c r="E332" s="22" t="n">
        <v>1.731220754996101</v>
      </c>
      <c r="F332" s="22" t="n">
        <v>2.186981829619778</v>
      </c>
      <c r="G332" s="22" t="n">
        <v>2.569639942405599</v>
      </c>
      <c r="H332" s="22" t="n">
        <v>1.064874879557707</v>
      </c>
    </row>
    <row r="333">
      <c r="A333" s="10" t="n">
        <v>0.735</v>
      </c>
      <c r="B333" s="22" t="n">
        <v>0.01470290937569481</v>
      </c>
      <c r="C333" s="22" t="n">
        <v>0.3806526542782987</v>
      </c>
      <c r="D333" s="22" t="n">
        <v>1.3086138071764</v>
      </c>
      <c r="E333" s="22" t="n">
        <v>1.74672604514735</v>
      </c>
      <c r="F333" s="22" t="n">
        <v>2.224674314993087</v>
      </c>
      <c r="G333" s="22" t="n">
        <v>2.60937569579474</v>
      </c>
      <c r="H333" s="22" t="n">
        <v>1.0807113178348</v>
      </c>
    </row>
    <row r="334">
      <c r="A334" s="10" t="n">
        <v>0.745</v>
      </c>
      <c r="B334" s="22" t="n">
        <v>0.02234771745983235</v>
      </c>
      <c r="C334" s="22" t="n">
        <v>0.4277571248391886</v>
      </c>
      <c r="D334" s="22" t="n">
        <v>1.251454953695535</v>
      </c>
      <c r="E334" s="22" t="n">
        <v>1.692948499080549</v>
      </c>
      <c r="F334" s="22" t="n">
        <v>2.173900400902838</v>
      </c>
      <c r="G334" s="22" t="n">
        <v>2.319704896872501</v>
      </c>
      <c r="H334" s="22" t="n">
        <v>1.100955026731682</v>
      </c>
    </row>
    <row r="335">
      <c r="A335" s="10" t="n">
        <v>0.755</v>
      </c>
      <c r="B335" s="22" t="n">
        <v>0.0106134330325608</v>
      </c>
      <c r="C335" s="22" t="n">
        <v>0.3284585379025476</v>
      </c>
      <c r="D335" s="22" t="n">
        <v>1.115474727066334</v>
      </c>
      <c r="E335" s="22" t="n">
        <v>1.517112161992355</v>
      </c>
      <c r="F335" s="22" t="n">
        <v>1.946959257754776</v>
      </c>
      <c r="G335" s="22" t="n">
        <v>2.264905586559173</v>
      </c>
      <c r="H335" s="22" t="n">
        <v>0.9712456362272236</v>
      </c>
    </row>
    <row r="336">
      <c r="A336" s="10" t="n">
        <v>0.765</v>
      </c>
      <c r="B336" s="22" t="n">
        <v>0.009191579342609588</v>
      </c>
      <c r="C336" s="22" t="n">
        <v>0.2982289030299097</v>
      </c>
      <c r="D336" s="22" t="n">
        <v>1.06106171067643</v>
      </c>
      <c r="E336" s="22" t="n">
        <v>1.390512788902016</v>
      </c>
      <c r="F336" s="22" t="n">
        <v>1.834605721977482</v>
      </c>
      <c r="G336" s="22" t="n">
        <v>2.137792172043269</v>
      </c>
      <c r="H336" s="22" t="n">
        <v>0.9065530137349376</v>
      </c>
    </row>
    <row r="337">
      <c r="A337" s="10" t="n">
        <v>0.775</v>
      </c>
      <c r="B337" s="22" t="n">
        <v>0.00718303250077953</v>
      </c>
      <c r="C337" s="22" t="n">
        <v>0.292051591396394</v>
      </c>
      <c r="D337" s="22" t="n">
        <v>1.088674633179141</v>
      </c>
      <c r="E337" s="22" t="n">
        <v>1.421997984016733</v>
      </c>
      <c r="F337" s="22" t="n">
        <v>1.902312928674731</v>
      </c>
      <c r="G337" s="22" t="n">
        <v>2.233764751958896</v>
      </c>
      <c r="H337" s="22" t="n">
        <v>0.9284982196452838</v>
      </c>
    </row>
    <row r="338">
      <c r="A338" s="10" t="n">
        <v>0.785</v>
      </c>
      <c r="B338" s="22" t="n">
        <v>0.002821214581580509</v>
      </c>
      <c r="C338" s="22" t="n">
        <v>0.2444924123362924</v>
      </c>
      <c r="D338" s="22" t="n">
        <v>1.037393181249685</v>
      </c>
      <c r="E338" s="22" t="n">
        <v>1.362247912766628</v>
      </c>
      <c r="F338" s="22" t="n">
        <v>1.87925844842619</v>
      </c>
      <c r="G338" s="22" t="n">
        <v>2.357803525323333</v>
      </c>
      <c r="H338" s="22" t="n">
        <v>0.9043678141454798</v>
      </c>
    </row>
    <row r="339">
      <c r="A339" s="10" t="n">
        <v>0.795</v>
      </c>
      <c r="B339" s="22" t="n">
        <v>0.000836242045948969</v>
      </c>
      <c r="C339" s="22" t="n">
        <v>0.2053663165440571</v>
      </c>
      <c r="D339" s="22" t="n">
        <v>0.9307336561981924</v>
      </c>
      <c r="E339" s="22" t="n">
        <v>1.251719175781017</v>
      </c>
      <c r="F339" s="22" t="n">
        <v>1.765376959980147</v>
      </c>
      <c r="G339" s="22" t="n">
        <v>2.440819341241937</v>
      </c>
      <c r="H339" s="22" t="n">
        <v>0.861762879332758</v>
      </c>
    </row>
    <row r="340">
      <c r="A340" s="10" t="n">
        <v>0.805</v>
      </c>
      <c r="B340" s="22" t="n">
        <v>0.0002894684005207968</v>
      </c>
      <c r="C340" s="22" t="n">
        <v>0.1888531354174269</v>
      </c>
      <c r="D340" s="22" t="n">
        <v>0.8910142029408024</v>
      </c>
      <c r="E340" s="22" t="n">
        <v>1.214240941320669</v>
      </c>
      <c r="F340" s="22" t="n">
        <v>1.707735402409206</v>
      </c>
      <c r="G340" s="22" t="n">
        <v>2.435874873976271</v>
      </c>
      <c r="H340" s="22" t="n">
        <v>0.8159738208531102</v>
      </c>
    </row>
    <row r="341">
      <c r="A341" s="10" t="n">
        <v>0.8149999999999999</v>
      </c>
      <c r="B341" s="22" t="n">
        <v>0</v>
      </c>
      <c r="C341" s="22" t="n">
        <v>0.1819834737252586</v>
      </c>
      <c r="D341" s="22" t="n">
        <v>0.8958915651826374</v>
      </c>
      <c r="E341" s="22" t="n">
        <v>1.216322368087667</v>
      </c>
      <c r="F341" s="22" t="n">
        <v>1.70073791243242</v>
      </c>
      <c r="G341" s="22" t="n">
        <v>2.471350304508206</v>
      </c>
      <c r="H341" s="22" t="n">
        <v>0.8188747523192483</v>
      </c>
    </row>
    <row r="342">
      <c r="A342" s="10" t="n">
        <v>0.825</v>
      </c>
      <c r="B342" s="22" t="n">
        <v>0</v>
      </c>
      <c r="C342" s="22" t="n">
        <v>0.1767745918451939</v>
      </c>
      <c r="D342" s="22" t="n">
        <v>0.9061555596856847</v>
      </c>
      <c r="E342" s="22" t="n">
        <v>1.214213073833827</v>
      </c>
      <c r="F342" s="22" t="n">
        <v>1.667018565819276</v>
      </c>
      <c r="G342" s="22" t="n">
        <v>2.5139179113253</v>
      </c>
      <c r="H342" s="22" t="n">
        <v>0.8205742068571702</v>
      </c>
    </row>
    <row r="343">
      <c r="A343" s="10" t="n">
        <v>0.835</v>
      </c>
      <c r="B343" s="22" t="n">
        <v>0</v>
      </c>
      <c r="C343" s="22" t="n">
        <v>0.149482064677171</v>
      </c>
      <c r="D343" s="22" t="n">
        <v>0.7906625818648274</v>
      </c>
      <c r="E343" s="22" t="n">
        <v>1.064860992597957</v>
      </c>
      <c r="F343" s="22" t="n">
        <v>1.527632278834599</v>
      </c>
      <c r="G343" s="22" t="n">
        <v>2.437118104974993</v>
      </c>
      <c r="H343" s="22" t="n">
        <v>0.7952294730501501</v>
      </c>
    </row>
    <row r="344">
      <c r="A344" s="10" t="n">
        <v>0.845</v>
      </c>
      <c r="B344" s="22" t="n">
        <v>0</v>
      </c>
      <c r="C344" s="22" t="n">
        <v>0.1430147153672029</v>
      </c>
      <c r="D344" s="22" t="n">
        <v>0.8141729866015598</v>
      </c>
      <c r="E344" s="22" t="n">
        <v>1.072836543603744</v>
      </c>
      <c r="F344" s="22" t="n">
        <v>1.556087747945814</v>
      </c>
      <c r="G344" s="22" t="n">
        <v>2.460225155200114</v>
      </c>
      <c r="H344" s="22" t="n">
        <v>0.7981447642911718</v>
      </c>
    </row>
    <row r="345">
      <c r="A345" s="10" t="n">
        <v>0.855</v>
      </c>
      <c r="B345" s="22" t="n">
        <v>0</v>
      </c>
      <c r="C345" s="22" t="n">
        <v>0.1331727973723904</v>
      </c>
      <c r="D345" s="22" t="n">
        <v>0.7842047669693174</v>
      </c>
      <c r="E345" s="22" t="n">
        <v>1.021473071348137</v>
      </c>
      <c r="F345" s="22" t="n">
        <v>1.479099874958276</v>
      </c>
      <c r="G345" s="22" t="n">
        <v>2.417960293073901</v>
      </c>
      <c r="H345" s="22" t="n">
        <v>0.7885698199134749</v>
      </c>
    </row>
    <row r="346">
      <c r="A346" s="10" t="n">
        <v>0.865</v>
      </c>
      <c r="B346" s="22" t="n">
        <v>0</v>
      </c>
      <c r="C346" s="22" t="n">
        <v>0.1222785696417974</v>
      </c>
      <c r="D346" s="22" t="n">
        <v>0.7238834997533989</v>
      </c>
      <c r="E346" s="22" t="n">
        <v>0.9498911564339515</v>
      </c>
      <c r="F346" s="22" t="n">
        <v>1.399403883115146</v>
      </c>
      <c r="G346" s="22" t="n">
        <v>2.483366288180608</v>
      </c>
      <c r="H346" s="22" t="n">
        <v>0.7707072363920261</v>
      </c>
    </row>
    <row r="347">
      <c r="A347" s="10" t="n">
        <v>0.875</v>
      </c>
      <c r="B347" s="22" t="n">
        <v>0</v>
      </c>
      <c r="C347" s="22" t="n">
        <v>0.101613983130155</v>
      </c>
      <c r="D347" s="22" t="n">
        <v>0.6232867473682051</v>
      </c>
      <c r="E347" s="22" t="n">
        <v>0.8106382798936539</v>
      </c>
      <c r="F347" s="22" t="n">
        <v>1.2206544676794</v>
      </c>
      <c r="G347" s="22" t="n">
        <v>2.504227305456649</v>
      </c>
      <c r="H347" s="22" t="n">
        <v>0.7069436423295047</v>
      </c>
    </row>
    <row r="348">
      <c r="A348" s="10" t="n">
        <v>0.885</v>
      </c>
      <c r="B348" s="22" t="n">
        <v>0</v>
      </c>
      <c r="C348" s="22" t="n">
        <v>0.07793215583147345</v>
      </c>
      <c r="D348" s="22" t="n">
        <v>0.5316433266955207</v>
      </c>
      <c r="E348" s="22" t="n">
        <v>0.6858986819020769</v>
      </c>
      <c r="F348" s="22" t="n">
        <v>1.070981581286067</v>
      </c>
      <c r="G348" s="22" t="n">
        <v>2.482012206827657</v>
      </c>
      <c r="H348" s="22" t="n">
        <v>0.6729772444761617</v>
      </c>
    </row>
    <row r="349">
      <c r="A349" s="10" t="n">
        <v>0.895</v>
      </c>
      <c r="B349" s="22" t="n">
        <v>0</v>
      </c>
      <c r="C349" s="22" t="n">
        <v>0.06798848918211331</v>
      </c>
      <c r="D349" s="22" t="n">
        <v>0.4990651201376258</v>
      </c>
      <c r="E349" s="22" t="n">
        <v>0.6438204304994507</v>
      </c>
      <c r="F349" s="22" t="n">
        <v>1.036445110252034</v>
      </c>
      <c r="G349" s="22" t="n">
        <v>2.56041905638189</v>
      </c>
      <c r="H349" s="22" t="n">
        <v>0.6698408265383217</v>
      </c>
    </row>
    <row r="350">
      <c r="A350" s="10" t="n">
        <v>0.905</v>
      </c>
      <c r="B350" s="22" t="n">
        <v>0</v>
      </c>
      <c r="C350" s="22" t="n">
        <v>0.06403650607103265</v>
      </c>
      <c r="D350" s="22" t="n">
        <v>0.4571274654812431</v>
      </c>
      <c r="E350" s="22" t="n">
        <v>0.5897852864416897</v>
      </c>
      <c r="F350" s="22" t="n">
        <v>0.965789687077649</v>
      </c>
      <c r="G350" s="22" t="n">
        <v>2.59082725711556</v>
      </c>
      <c r="H350" s="22" t="n">
        <v>0.6406175468283012</v>
      </c>
    </row>
    <row r="351">
      <c r="A351" s="10" t="n">
        <v>0.915</v>
      </c>
      <c r="B351" s="22" t="n">
        <v>0</v>
      </c>
      <c r="C351" s="22" t="n">
        <v>0.06383364804045087</v>
      </c>
      <c r="D351" s="22" t="n">
        <v>0.4371868685665111</v>
      </c>
      <c r="E351" s="22" t="n">
        <v>0.5680133928343902</v>
      </c>
      <c r="F351" s="22" t="n">
        <v>0.9651578636690299</v>
      </c>
      <c r="G351" s="22" t="n">
        <v>2.684866230353655</v>
      </c>
      <c r="H351" s="22" t="n">
        <v>0.6535017740339714</v>
      </c>
    </row>
    <row r="352">
      <c r="A352" s="10" t="n">
        <v>0.925</v>
      </c>
      <c r="B352" s="22" t="n">
        <v>0</v>
      </c>
      <c r="C352" s="22" t="n">
        <v>0.06005177668557287</v>
      </c>
      <c r="D352" s="22" t="n">
        <v>0.4200032524178631</v>
      </c>
      <c r="E352" s="22" t="n">
        <v>0.5451418156614537</v>
      </c>
      <c r="F352" s="22" t="n">
        <v>0.9344122291192126</v>
      </c>
      <c r="G352" s="22" t="n">
        <v>2.748479264849576</v>
      </c>
      <c r="H352" s="22" t="n">
        <v>0.6531893969357391</v>
      </c>
    </row>
    <row r="353">
      <c r="A353" s="10" t="n">
        <v>0.9350000000000001</v>
      </c>
      <c r="B353" s="22" t="n">
        <v>0</v>
      </c>
      <c r="C353" s="22" t="n">
        <v>0.05334896783378055</v>
      </c>
      <c r="D353" s="22" t="n">
        <v>0.4036987815847771</v>
      </c>
      <c r="E353" s="22" t="n">
        <v>0.5179224444435196</v>
      </c>
      <c r="F353" s="22" t="n">
        <v>0.9064092055060966</v>
      </c>
      <c r="G353" s="22" t="n">
        <v>2.925632659355228</v>
      </c>
      <c r="H353" s="22" t="n">
        <v>0.6718225831346661</v>
      </c>
    </row>
    <row r="354">
      <c r="A354" s="10" t="n">
        <v>0.945</v>
      </c>
      <c r="B354" s="22" t="n">
        <v>0</v>
      </c>
      <c r="C354" s="22" t="n">
        <v>0.03886628477735389</v>
      </c>
      <c r="D354" s="22" t="n">
        <v>0.3383365819290655</v>
      </c>
      <c r="E354" s="22" t="n">
        <v>0.4218956289736497</v>
      </c>
      <c r="F354" s="22" t="n">
        <v>0.7591160488168763</v>
      </c>
      <c r="G354" s="22" t="n">
        <v>2.847573164775347</v>
      </c>
      <c r="H354" s="22" t="n">
        <v>0.6356617642909591</v>
      </c>
    </row>
    <row r="355">
      <c r="A355" s="10" t="n">
        <v>0.955</v>
      </c>
      <c r="B355" s="22" t="n">
        <v>0</v>
      </c>
      <c r="C355" s="22" t="n">
        <v>0.01831221381336892</v>
      </c>
      <c r="D355" s="22" t="n">
        <v>0.2265359441190087</v>
      </c>
      <c r="E355" s="22" t="n">
        <v>0.2602128622108958</v>
      </c>
      <c r="F355" s="22" t="n">
        <v>0.4831902905340909</v>
      </c>
      <c r="G355" s="22" t="n">
        <v>2.373926539611424</v>
      </c>
      <c r="H355" s="22" t="n">
        <v>0.5152338713982342</v>
      </c>
    </row>
    <row r="356">
      <c r="A356" s="10" t="n">
        <v>0.965</v>
      </c>
      <c r="B356" s="22" t="n">
        <v>0</v>
      </c>
      <c r="C356" s="22" t="n">
        <v>0.01532952457807489</v>
      </c>
      <c r="D356" s="22" t="n">
        <v>0.2049929640816143</v>
      </c>
      <c r="E356" s="22" t="n">
        <v>0.232188128216494</v>
      </c>
      <c r="F356" s="22" t="n">
        <v>0.4346709199064008</v>
      </c>
      <c r="G356" s="22" t="n">
        <v>2.271393130691175</v>
      </c>
      <c r="H356" s="22" t="n">
        <v>0.4906128470524677</v>
      </c>
    </row>
    <row r="357">
      <c r="A357" s="10" t="n">
        <v>0.975</v>
      </c>
      <c r="B357" s="22" t="n">
        <v>0</v>
      </c>
      <c r="C357" s="22" t="n">
        <v>0.004279925623950786</v>
      </c>
      <c r="D357" s="22" t="n">
        <v>0.1299903416275092</v>
      </c>
      <c r="E357" s="22" t="n">
        <v>0.1361552941325274</v>
      </c>
      <c r="F357" s="22" t="n">
        <v>0.2646498489538843</v>
      </c>
      <c r="G357" s="22" t="n">
        <v>1.88545763966471</v>
      </c>
      <c r="H357" s="22" t="n">
        <v>0.416228152812553</v>
      </c>
    </row>
    <row r="358">
      <c r="A358" s="10" t="n">
        <v>0.985</v>
      </c>
      <c r="B358" s="22" t="n">
        <v>0</v>
      </c>
      <c r="C358" s="22" t="n">
        <v>0.004249814322526254</v>
      </c>
      <c r="D358" s="22" t="n">
        <v>0.1296886601558943</v>
      </c>
      <c r="E358" s="22" t="n">
        <v>0.1358256299121158</v>
      </c>
      <c r="F358" s="22" t="n">
        <v>0.2641041725960386</v>
      </c>
      <c r="G358" s="22" t="n">
        <v>1.88056031497965</v>
      </c>
      <c r="H358" s="22" t="n">
        <v>0.4147475826936678</v>
      </c>
    </row>
    <row r="359">
      <c r="A359" s="10" t="n">
        <v>0.995</v>
      </c>
      <c r="B359" s="22" t="n">
        <v>0</v>
      </c>
      <c r="C359" s="22" t="n">
        <v>0.004279925623950786</v>
      </c>
      <c r="D359" s="22" t="n">
        <v>0.130271669668545</v>
      </c>
      <c r="E359" s="22" t="n">
        <v>0.1364759566424775</v>
      </c>
      <c r="F359" s="22" t="n">
        <v>0.2652538088610226</v>
      </c>
      <c r="G359" s="22" t="n">
        <v>1.890181085792771</v>
      </c>
      <c r="H359" s="22" t="n">
        <v>0.4171701241449634</v>
      </c>
    </row>
    <row r="383">
      <c r="A383" s="6" t="inlineStr">
        <is>
          <t>■ 案件ごとのワープ(実位置 → 正準位置)</t>
        </is>
      </c>
    </row>
    <row r="384">
      <c r="A384" s="8" t="inlineStr">
        <is>
          <t>案件ID</t>
        </is>
      </c>
      <c r="B384" s="8" t="inlineStr">
        <is>
          <t>名称</t>
        </is>
      </c>
      <c r="C384" s="8" t="inlineStr">
        <is>
          <t>種別</t>
        </is>
      </c>
      <c r="D384" s="8" t="inlineStr">
        <is>
          <t>期間(月)</t>
        </is>
      </c>
      <c r="E384" s="8" t="inlineStr">
        <is>
          <t>プロトタイプ</t>
        </is>
      </c>
      <c r="F384" s="8" t="inlineStr">
        <is>
          <t>α版</t>
        </is>
      </c>
      <c r="G384" s="8" t="inlineStr">
        <is>
          <t>β版</t>
        </is>
      </c>
      <c r="H384" s="8" t="inlineStr">
        <is>
          <t>マスターアップ</t>
        </is>
      </c>
    </row>
    <row r="385">
      <c r="A385" s="10" t="inlineStr">
        <is>
          <t>PJ-2019-A</t>
        </is>
      </c>
      <c r="B385" s="10" t="inlineStr">
        <is>
          <t>蒼穹のレガリア</t>
        </is>
      </c>
      <c r="C385" s="10" t="inlineStr">
        <is>
          <t>新規タイトル開発</t>
        </is>
      </c>
      <c r="D385" s="10" t="n">
        <v>36</v>
      </c>
      <c r="E385" s="22" t="n">
        <v>0.181</v>
      </c>
      <c r="F385" s="22" t="n">
        <v>0.515</v>
      </c>
      <c r="G385" s="22" t="n">
        <v>0.793</v>
      </c>
      <c r="H385" s="22" t="n">
        <v>0.9320000000000001</v>
      </c>
    </row>
    <row r="386">
      <c r="A386" s="10" t="inlineStr">
        <is>
          <t>PJ-2020-B</t>
        </is>
      </c>
      <c r="B386" s="10" t="inlineStr">
        <is>
          <t>ブレイブフロンティア外伝(後半集中)</t>
        </is>
      </c>
      <c r="C386" s="10" t="inlineStr">
        <is>
          <t>大型アップデート</t>
        </is>
      </c>
      <c r="D386" s="10" t="n">
        <v>14</v>
      </c>
      <c r="E386" s="22" t="n">
        <v/>
      </c>
      <c r="F386" s="22" t="n">
        <v>0.608</v>
      </c>
      <c r="G386" s="22" t="n">
        <v>0.752</v>
      </c>
      <c r="H386" s="22" t="n">
        <v>0.899</v>
      </c>
    </row>
    <row r="387">
      <c r="A387" s="10" t="inlineStr">
        <is>
          <t>PJ-2020-C</t>
        </is>
      </c>
      <c r="B387" s="10" t="inlineStr">
        <is>
          <t>クロノスギア(二山)</t>
        </is>
      </c>
      <c r="C387" s="10" t="inlineStr">
        <is>
          <t>新規タイトル開発</t>
        </is>
      </c>
      <c r="D387" s="10" t="n">
        <v>30</v>
      </c>
      <c r="E387" s="22" t="n">
        <v>0.218</v>
      </c>
      <c r="F387" s="22" t="n">
        <v>0.483</v>
      </c>
      <c r="G387" s="22" t="n">
        <v>0.65</v>
      </c>
      <c r="H387" s="22" t="n">
        <v>0.917</v>
      </c>
    </row>
    <row r="388">
      <c r="A388" s="10" t="inlineStr">
        <is>
          <t>PJ-2021-D</t>
        </is>
      </c>
      <c r="B388" s="10" t="inlineStr">
        <is>
          <t>蒼穹のレガリア HD Edition(前倒し)</t>
        </is>
      </c>
      <c r="C388" s="10" t="inlineStr">
        <is>
          <t>移植・リマスター</t>
        </is>
      </c>
      <c r="D388" s="10" t="n">
        <v>15</v>
      </c>
      <c r="E388" s="22" t="n">
        <v/>
      </c>
      <c r="F388" s="22" t="n">
        <v>0.569</v>
      </c>
      <c r="G388" s="22" t="n">
        <v>0.767</v>
      </c>
      <c r="H388" s="22" t="n">
        <v>0.901</v>
      </c>
    </row>
    <row r="389">
      <c r="A389" s="10" t="inlineStr">
        <is>
          <t>PJ-2022-F</t>
        </is>
      </c>
      <c r="B389" s="10" t="inlineStr">
        <is>
          <t>ネオンハーツ Season2</t>
        </is>
      </c>
      <c r="C389" s="10" t="inlineStr">
        <is>
          <t>大型アップデート</t>
        </is>
      </c>
      <c r="D389" s="10" t="n">
        <v>18</v>
      </c>
      <c r="E389" s="22" t="n">
        <v/>
      </c>
      <c r="F389" s="22" t="n">
        <v>0.473</v>
      </c>
      <c r="G389" s="22" t="n">
        <v>0.804</v>
      </c>
      <c r="H389" s="22" t="n">
        <v>0.918</v>
      </c>
    </row>
    <row r="390">
      <c r="A390" s="10" t="inlineStr">
        <is>
          <t>PJ-2022-G</t>
        </is>
      </c>
      <c r="B390" s="10" t="inlineStr">
        <is>
          <t>ギルドマスターズ(前倒し)</t>
        </is>
      </c>
      <c r="C390" s="10" t="inlineStr">
        <is>
          <t>新規タイトル開発</t>
        </is>
      </c>
      <c r="D390" s="10" t="n">
        <v>24</v>
      </c>
      <c r="E390" s="22" t="n">
        <v>0.226</v>
      </c>
      <c r="F390" s="22" t="n">
        <v>0.479</v>
      </c>
      <c r="G390" s="22" t="n">
        <v>0.727</v>
      </c>
      <c r="H390" s="22" t="n">
        <v>0.9370000000000001</v>
      </c>
    </row>
    <row r="391">
      <c r="A391" s="10" t="inlineStr">
        <is>
          <t>PJ-2023-H</t>
        </is>
      </c>
      <c r="B391" s="10" t="inlineStr">
        <is>
          <t>クロノスギア:蒼き遺産</t>
        </is>
      </c>
      <c r="C391" s="10" t="inlineStr">
        <is>
          <t>大型アップデート</t>
        </is>
      </c>
      <c r="D391" s="10" t="n">
        <v>20</v>
      </c>
      <c r="E391" s="22" t="n">
        <v/>
      </c>
      <c r="F391" s="22" t="n">
        <v>0.423</v>
      </c>
      <c r="G391" s="22" t="n">
        <v>0.773</v>
      </c>
      <c r="H391" s="22" t="n">
        <v>0.924</v>
      </c>
    </row>
    <row r="392">
      <c r="A392" s="10" t="inlineStr">
        <is>
          <t>PJ-2023-I</t>
        </is>
      </c>
      <c r="B392" s="10" t="inlineStr">
        <is>
          <t>ブレイブフロンティア Remaster</t>
        </is>
      </c>
      <c r="C392" s="10" t="inlineStr">
        <is>
          <t>移植・リマスター</t>
        </is>
      </c>
      <c r="D392" s="10" t="n">
        <v>18</v>
      </c>
      <c r="E392" s="22" t="n">
        <v/>
      </c>
      <c r="F392" s="22" t="n">
        <v>0.474</v>
      </c>
      <c r="G392" s="22" t="n">
        <v>0.694</v>
      </c>
      <c r="H392" s="22" t="n">
        <v>0.916</v>
      </c>
    </row>
    <row r="393">
      <c r="A393" s="10" t="inlineStr">
        <is>
          <t>PJ-2024-J</t>
        </is>
      </c>
      <c r="B393" s="10" t="inlineStr">
        <is>
          <t>オーヴァーロード・サーガ(後半集中)</t>
        </is>
      </c>
      <c r="C393" s="10" t="inlineStr">
        <is>
          <t>新規タイトル開発</t>
        </is>
      </c>
      <c r="D393" s="10" t="n">
        <v>30</v>
      </c>
      <c r="E393" s="22" t="n">
        <v>0.25</v>
      </c>
      <c r="F393" s="22" t="n">
        <v>0.516</v>
      </c>
      <c r="G393" s="22" t="n">
        <v>0.6840000000000001</v>
      </c>
      <c r="H393" s="22" t="n">
        <v>0.917</v>
      </c>
    </row>
    <row r="394">
      <c r="A394" s="10" t="inlineStr">
        <is>
          <t>(正準位置)</t>
        </is>
      </c>
      <c r="B394" s="10" t="inlineStr"/>
      <c r="C394" s="10" t="inlineStr"/>
      <c r="D394" s="10" t="n"/>
      <c r="E394" s="22" t="n"/>
      <c r="F394" s="22" t="n">
        <v>0.504</v>
      </c>
      <c r="G394" s="22" t="n">
        <v>0.738</v>
      </c>
      <c r="H394" s="22" t="n">
        <v>0.918</v>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M1561"/>
  <sheetViews>
    <sheetView workbookViewId="0">
      <selection activeCell="A1" sqref="A1"/>
    </sheetView>
  </sheetViews>
  <sheetFormatPr baseColWidth="8" defaultRowHeight="15"/>
  <cols>
    <col width="13" customWidth="1" min="1" max="1"/>
    <col width="22" customWidth="1" min="2" max="2"/>
    <col width="10" customWidth="1" min="3" max="3"/>
    <col width="11" customWidth="1" min="4" max="4"/>
    <col width="11.4" customWidth="1" min="5" max="5"/>
    <col width="11.4" customWidth="1" min="6" max="6"/>
    <col width="11.4" customWidth="1" min="7" max="7"/>
    <col width="11" customWidth="1" min="8" max="8"/>
    <col width="11" customWidth="1" min="9" max="9"/>
    <col width="22.8" customWidth="1" min="10" max="10"/>
    <col width="17.1" customWidth="1" min="11" max="11"/>
    <col width="11.4" customWidth="1" min="12" max="12"/>
    <col width="13.3" customWidth="1" min="13" max="13"/>
  </cols>
  <sheetData>
    <row r="1">
      <c r="A1" s="1" t="inlineStr">
        <is>
          <t>leave-one-out 検証</t>
        </is>
      </c>
    </row>
    <row r="2">
      <c r="A2" s="5" t="inlineStr">
        <is>
          <t>1件を除いた残りで学習し、除いた1件を予測して実績と比較する。工数の量ではなく形を評価するため、予測値は実績合計に正規化してから比較している。</t>
        </is>
      </c>
    </row>
    <row r="3">
      <c r="A3" s="5" t="inlineStr">
        <is>
          <t>WAPE = Σ|予測-実績| / Σ実績。0 が完全一致。</t>
        </is>
      </c>
    </row>
    <row r="5">
      <c r="A5" s="6" t="inlineStr">
        <is>
          <t>■ モード別サマリ</t>
        </is>
      </c>
    </row>
    <row r="6">
      <c r="A6" s="7" t="inlineStr">
        <is>
          <t>モード</t>
        </is>
      </c>
      <c r="B6" s="8" t="inlineStr">
        <is>
          <t>案件数</t>
        </is>
      </c>
      <c r="C6" s="8" t="inlineStr">
        <is>
          <t>月次誤差WAPE_平均</t>
        </is>
      </c>
      <c r="D6" s="8" t="inlineStr">
        <is>
          <t>月次誤差WAPE_最悪</t>
        </is>
      </c>
      <c r="E6" s="8" t="inlineStr">
        <is>
          <t>月×グループ誤差WAPE_平均</t>
        </is>
      </c>
      <c r="F6" s="8" t="inlineStr">
        <is>
          <t>累積カーブ最大乖離_平均</t>
        </is>
      </c>
      <c r="G6" s="8" t="inlineStr">
        <is>
          <t>ピーク月ズレ_絶対値平均</t>
        </is>
      </c>
      <c r="H6" s="8" t="inlineStr">
        <is>
          <t>素朴版比_改善率</t>
        </is>
      </c>
    </row>
    <row r="7">
      <c r="A7" s="10" t="inlineStr">
        <is>
          <t>素朴版／月内均等</t>
        </is>
      </c>
      <c r="B7" s="10" t="n">
        <v>10</v>
      </c>
      <c r="C7" s="22" t="n">
        <v>0.3515</v>
      </c>
      <c r="D7" s="22" t="n">
        <v>0.6358</v>
      </c>
      <c r="E7" s="22" t="n">
        <v>0.4413</v>
      </c>
      <c r="F7" s="22" t="n">
        <v>0.1309</v>
      </c>
      <c r="G7" s="24" t="n">
        <v>3.3</v>
      </c>
      <c r="H7" s="13" t="n">
        <v>0</v>
      </c>
    </row>
    <row r="8">
      <c r="A8" s="10" t="inlineStr">
        <is>
          <t>位置合わせ(MS学習値)／月内均等</t>
        </is>
      </c>
      <c r="B8" s="10" t="n">
        <v>10</v>
      </c>
      <c r="C8" s="22" t="n">
        <v>0.3578</v>
      </c>
      <c r="D8" s="22" t="n">
        <v>0.6329</v>
      </c>
      <c r="E8" s="22" t="n">
        <v>0.447</v>
      </c>
      <c r="F8" s="22" t="n">
        <v>0.1362</v>
      </c>
      <c r="G8" s="24" t="n">
        <v>3.7</v>
      </c>
      <c r="H8" s="13" t="n">
        <v>-0.0179</v>
      </c>
    </row>
    <row r="9">
      <c r="A9" s="10" t="inlineStr">
        <is>
          <t>位置合わせ(MS指定)／月内均等</t>
        </is>
      </c>
      <c r="B9" s="10" t="n">
        <v>10</v>
      </c>
      <c r="C9" s="22" t="n">
        <v>0.2866</v>
      </c>
      <c r="D9" s="22" t="n">
        <v>0.4797</v>
      </c>
      <c r="E9" s="22" t="n">
        <v>0.387</v>
      </c>
      <c r="F9" s="22" t="n">
        <v>0.1151</v>
      </c>
      <c r="G9" s="24" t="n">
        <v>1.4</v>
      </c>
      <c r="H9" s="13" t="n">
        <v>0.1846</v>
      </c>
    </row>
    <row r="10">
      <c r="A10" s="10" t="inlineStr">
        <is>
          <t>素朴版／単調補間</t>
        </is>
      </c>
      <c r="B10" s="10" t="n">
        <v>10</v>
      </c>
      <c r="C10" s="22" t="n">
        <v>0.3512</v>
      </c>
      <c r="D10" s="22" t="n">
        <v>0.6358</v>
      </c>
      <c r="E10" s="22" t="n">
        <v>0.4413</v>
      </c>
      <c r="F10" s="22" t="n">
        <v>0.1311</v>
      </c>
      <c r="G10" s="24" t="n">
        <v>3.4</v>
      </c>
      <c r="H10" s="13" t="n">
        <v>0.0009</v>
      </c>
    </row>
    <row r="11">
      <c r="A11" s="10" t="inlineStr">
        <is>
          <t>位置合わせ(MS学習値)／単調補間</t>
        </is>
      </c>
      <c r="B11" s="10" t="n">
        <v>10</v>
      </c>
      <c r="C11" s="22" t="n">
        <v>0.358</v>
      </c>
      <c r="D11" s="22" t="n">
        <v>0.6324</v>
      </c>
      <c r="E11" s="22" t="n">
        <v>0.4474</v>
      </c>
      <c r="F11" s="22" t="n">
        <v>0.1366</v>
      </c>
      <c r="G11" s="24" t="n">
        <v>4.2</v>
      </c>
      <c r="H11" s="13" t="n">
        <v>-0.0185</v>
      </c>
    </row>
    <row r="12">
      <c r="A12" s="10" t="inlineStr">
        <is>
          <t>位置合わせ(MS指定)／単調補間</t>
        </is>
      </c>
      <c r="B12" s="10" t="n">
        <v>10</v>
      </c>
      <c r="C12" s="22" t="n">
        <v>0.2866</v>
      </c>
      <c r="D12" s="22" t="n">
        <v>0.4815</v>
      </c>
      <c r="E12" s="22" t="n">
        <v>0.3866</v>
      </c>
      <c r="F12" s="22" t="n">
        <v>0.1151</v>
      </c>
      <c r="G12" s="24" t="n">
        <v>1.4</v>
      </c>
      <c r="H12" s="13" t="n">
        <v>0.1846</v>
      </c>
    </row>
    <row r="14">
      <c r="A14" s="5" t="inlineStr">
        <is>
          <t>素朴版 vs 位置合わせ(MS学習値):平均カーブを鋭くしただけで当たるようになるかを測る。</t>
        </is>
      </c>
    </row>
    <row r="15">
      <c r="A15" s="5" t="inlineStr">
        <is>
          <t>位置合わせ(MS学習値) vs 位置合わせ(MS指定):マイルストーンを手入力する価値を測る。</t>
        </is>
      </c>
    </row>
    <row r="17">
      <c r="A17" s="6" t="inlineStr">
        <is>
          <t>■ 案件別 誤差</t>
        </is>
      </c>
    </row>
    <row r="18">
      <c r="A18" s="7" t="inlineStr">
        <is>
          <t>案件ID</t>
        </is>
      </c>
      <c r="B18" s="8" t="inlineStr">
        <is>
          <t>素朴版／月内均等</t>
        </is>
      </c>
      <c r="C18" s="8" t="inlineStr">
        <is>
          <t>位置合わせ(MS学習値)／月内均等</t>
        </is>
      </c>
      <c r="D18" s="8" t="inlineStr">
        <is>
          <t>位置合わせ(MS指定)／月内均等</t>
        </is>
      </c>
      <c r="E18" s="8" t="inlineStr">
        <is>
          <t>素朴版／単調補間</t>
        </is>
      </c>
      <c r="F18" s="8" t="inlineStr">
        <is>
          <t>位置合わせ(MS学習値)／単調補間</t>
        </is>
      </c>
      <c r="G18" s="8" t="inlineStr">
        <is>
          <t>位置合わせ(MS指定)／単調補間</t>
        </is>
      </c>
    </row>
    <row r="19">
      <c r="A19" s="10" t="inlineStr">
        <is>
          <t>PJ-2019-A</t>
        </is>
      </c>
      <c r="B19" s="22" t="n">
        <v>0.1921</v>
      </c>
      <c r="C19" s="22" t="n">
        <v>0.2018</v>
      </c>
      <c r="D19" s="22" t="n">
        <v>0.171</v>
      </c>
      <c r="E19" s="22" t="n">
        <v>0.1903</v>
      </c>
      <c r="F19" s="22" t="n">
        <v>0.2</v>
      </c>
      <c r="G19" s="22" t="n">
        <v>0.1695</v>
      </c>
    </row>
    <row r="20">
      <c r="A20" s="10" t="inlineStr">
        <is>
          <t>PJ-2020-B</t>
        </is>
      </c>
      <c r="B20" s="22" t="n">
        <v>0.6358</v>
      </c>
      <c r="C20" s="22" t="n">
        <v>0.6329</v>
      </c>
      <c r="D20" s="22" t="n">
        <v>0.3062</v>
      </c>
      <c r="E20" s="22" t="n">
        <v>0.6358</v>
      </c>
      <c r="F20" s="22" t="n">
        <v>0.6324</v>
      </c>
      <c r="G20" s="22" t="n">
        <v>0.3064</v>
      </c>
    </row>
    <row r="21">
      <c r="A21" s="10" t="inlineStr">
        <is>
          <t>PJ-2020-C</t>
        </is>
      </c>
      <c r="B21" s="22" t="n">
        <v>0.3825</v>
      </c>
      <c r="C21" s="22" t="n">
        <v>0.3845</v>
      </c>
      <c r="D21" s="22" t="n">
        <v>0.4602</v>
      </c>
      <c r="E21" s="22" t="n">
        <v>0.385</v>
      </c>
      <c r="F21" s="22" t="n">
        <v>0.3857</v>
      </c>
      <c r="G21" s="22" t="n">
        <v>0.4625</v>
      </c>
    </row>
    <row r="22">
      <c r="A22" s="10" t="inlineStr">
        <is>
          <t>PJ-2021-D</t>
        </is>
      </c>
      <c r="B22" s="22" t="n">
        <v>0.1611</v>
      </c>
      <c r="C22" s="22" t="n">
        <v>0.1625</v>
      </c>
      <c r="D22" s="22" t="n">
        <v>0.2935</v>
      </c>
      <c r="E22" s="22" t="n">
        <v>0.1612</v>
      </c>
      <c r="F22" s="22" t="n">
        <v>0.163</v>
      </c>
      <c r="G22" s="22" t="n">
        <v>0.2937</v>
      </c>
    </row>
    <row r="23">
      <c r="A23" s="10" t="inlineStr">
        <is>
          <t>PJ-2021-E</t>
        </is>
      </c>
      <c r="B23" s="22" t="n">
        <v>0.3767</v>
      </c>
      <c r="C23" s="22" t="n">
        <v>0.3706</v>
      </c>
      <c r="D23" s="22" t="n">
        <v>0.3008</v>
      </c>
      <c r="E23" s="22" t="n">
        <v>0.3774</v>
      </c>
      <c r="F23" s="22" t="n">
        <v>0.3705</v>
      </c>
      <c r="G23" s="22" t="n">
        <v>0.3</v>
      </c>
    </row>
    <row r="24">
      <c r="A24" s="10" t="inlineStr">
        <is>
          <t>PJ-2022-F</t>
        </is>
      </c>
      <c r="B24" s="22" t="n">
        <v>0.2442</v>
      </c>
      <c r="C24" s="22" t="n">
        <v>0.26</v>
      </c>
      <c r="D24" s="22" t="n">
        <v>0.1504</v>
      </c>
      <c r="E24" s="22" t="n">
        <v>0.2431</v>
      </c>
      <c r="F24" s="22" t="n">
        <v>0.2632</v>
      </c>
      <c r="G24" s="22" t="n">
        <v>0.1517</v>
      </c>
    </row>
    <row r="25">
      <c r="A25" s="10" t="inlineStr">
        <is>
          <t>PJ-2022-G</t>
        </is>
      </c>
      <c r="B25" s="22" t="n">
        <v>0.4951</v>
      </c>
      <c r="C25" s="22" t="n">
        <v>0.5234</v>
      </c>
      <c r="D25" s="22" t="n">
        <v>0.4797</v>
      </c>
      <c r="E25" s="22" t="n">
        <v>0.4954</v>
      </c>
      <c r="F25" s="22" t="n">
        <v>0.5249</v>
      </c>
      <c r="G25" s="22" t="n">
        <v>0.4815</v>
      </c>
    </row>
    <row r="26">
      <c r="A26" s="10" t="inlineStr">
        <is>
          <t>PJ-2023-H</t>
        </is>
      </c>
      <c r="B26" s="22" t="n">
        <v>0.2502</v>
      </c>
      <c r="C26" s="22" t="n">
        <v>0.3002</v>
      </c>
      <c r="D26" s="22" t="n">
        <v>0.1009</v>
      </c>
      <c r="E26" s="22" t="n">
        <v>0.25</v>
      </c>
      <c r="F26" s="22" t="n">
        <v>0.3034</v>
      </c>
      <c r="G26" s="22" t="n">
        <v>0.1014</v>
      </c>
    </row>
    <row r="27">
      <c r="A27" s="10" t="inlineStr">
        <is>
          <t>PJ-2023-I</t>
        </is>
      </c>
      <c r="B27" s="22" t="n">
        <v>0.3793</v>
      </c>
      <c r="C27" s="22" t="n">
        <v>0.3448</v>
      </c>
      <c r="D27" s="22" t="n">
        <v>0.2717</v>
      </c>
      <c r="E27" s="22" t="n">
        <v>0.3792</v>
      </c>
      <c r="F27" s="22" t="n">
        <v>0.3433</v>
      </c>
      <c r="G27" s="22" t="n">
        <v>0.2712</v>
      </c>
    </row>
    <row r="28">
      <c r="A28" s="10" t="inlineStr">
        <is>
          <t>PJ-2024-J</t>
        </is>
      </c>
      <c r="B28" s="22" t="n">
        <v>0.3979</v>
      </c>
      <c r="C28" s="22" t="n">
        <v>0.3971</v>
      </c>
      <c r="D28" s="22" t="n">
        <v>0.3318</v>
      </c>
      <c r="E28" s="22" t="n">
        <v>0.3945</v>
      </c>
      <c r="F28" s="22" t="n">
        <v>0.3935</v>
      </c>
      <c r="G28" s="22" t="n">
        <v>0.3282</v>
      </c>
    </row>
    <row r="50">
      <c r="A50" s="6" t="inlineStr">
        <is>
          <t>■ 案件別 詳細指標</t>
        </is>
      </c>
    </row>
    <row r="51">
      <c r="A51" s="8" t="inlineStr">
        <is>
          <t>案件ID</t>
        </is>
      </c>
      <c r="B51" s="8" t="inlineStr">
        <is>
          <t>名称</t>
        </is>
      </c>
      <c r="C51" s="8" t="inlineStr">
        <is>
          <t>種別</t>
        </is>
      </c>
      <c r="D51" s="8" t="inlineStr">
        <is>
          <t>モード</t>
        </is>
      </c>
      <c r="E51" s="8" t="inlineStr">
        <is>
          <t>復元方式</t>
        </is>
      </c>
      <c r="F51" s="8" t="inlineStr">
        <is>
          <t>契約人月</t>
        </is>
      </c>
      <c r="G51" s="8" t="inlineStr">
        <is>
          <t>期間(月)</t>
        </is>
      </c>
      <c r="H51" s="8" t="inlineStr">
        <is>
          <t>学習件数</t>
        </is>
      </c>
      <c r="I51" s="8" t="inlineStr">
        <is>
          <t>月次誤差WAPE</t>
        </is>
      </c>
      <c r="J51" s="8" t="inlineStr">
        <is>
          <t>月×グループ誤差WAPE</t>
        </is>
      </c>
      <c r="K51" s="8" t="inlineStr">
        <is>
          <t>累積カーブ最大乖離</t>
        </is>
      </c>
      <c r="L51" s="8" t="inlineStr">
        <is>
          <t>ピーク月ズレ</t>
        </is>
      </c>
      <c r="M51" s="8" t="inlineStr">
        <is>
          <t>ピーク高さ誤差</t>
        </is>
      </c>
    </row>
    <row r="52">
      <c r="A52" s="10" t="inlineStr">
        <is>
          <t>PJ-2019-A</t>
        </is>
      </c>
      <c r="B52" s="10" t="inlineStr">
        <is>
          <t>蒼穹のレガリア</t>
        </is>
      </c>
      <c r="C52" s="10" t="inlineStr">
        <is>
          <t>新規タイトル開発</t>
        </is>
      </c>
      <c r="D52" s="10" t="inlineStr">
        <is>
          <t>素朴版／月内均等</t>
        </is>
      </c>
      <c r="E52" s="10" t="inlineStr">
        <is>
          <t>月内均等</t>
        </is>
      </c>
      <c r="F52" s="12" t="n">
        <v>2400</v>
      </c>
      <c r="G52" s="10" t="n">
        <v>36</v>
      </c>
      <c r="H52" s="10" t="n">
        <v>9</v>
      </c>
      <c r="I52" s="22" t="n">
        <v>0.1921</v>
      </c>
      <c r="J52" s="22" t="n">
        <v>0.2332</v>
      </c>
      <c r="K52" s="22" t="n">
        <v>0.0434</v>
      </c>
      <c r="L52" s="10" t="n">
        <v>-5</v>
      </c>
      <c r="M52" s="13" t="n">
        <v>-0.1739</v>
      </c>
    </row>
    <row r="53">
      <c r="A53" s="10" t="inlineStr">
        <is>
          <t>PJ-2019-A</t>
        </is>
      </c>
      <c r="B53" s="10" t="inlineStr">
        <is>
          <t>蒼穹のレガリア</t>
        </is>
      </c>
      <c r="C53" s="10" t="inlineStr">
        <is>
          <t>新規タイトル開発</t>
        </is>
      </c>
      <c r="D53" s="10" t="inlineStr">
        <is>
          <t>位置合わせ(MS学習値)／月内均等</t>
        </is>
      </c>
      <c r="E53" s="10" t="inlineStr">
        <is>
          <t>月内均等</t>
        </is>
      </c>
      <c r="F53" s="12" t="n">
        <v>2400</v>
      </c>
      <c r="G53" s="10" t="n">
        <v>36</v>
      </c>
      <c r="H53" s="10" t="n">
        <v>9</v>
      </c>
      <c r="I53" s="22" t="n">
        <v>0.2018</v>
      </c>
      <c r="J53" s="22" t="n">
        <v>0.2403</v>
      </c>
      <c r="K53" s="22" t="n">
        <v>0.0506</v>
      </c>
      <c r="L53" s="10" t="n">
        <v>-5</v>
      </c>
      <c r="M53" s="13" t="n">
        <v>-0.1908</v>
      </c>
    </row>
    <row r="54">
      <c r="A54" s="10" t="inlineStr">
        <is>
          <t>PJ-2019-A</t>
        </is>
      </c>
      <c r="B54" s="10" t="inlineStr">
        <is>
          <t>蒼穹のレガリア</t>
        </is>
      </c>
      <c r="C54" s="10" t="inlineStr">
        <is>
          <t>新規タイトル開発</t>
        </is>
      </c>
      <c r="D54" s="10" t="inlineStr">
        <is>
          <t>位置合わせ(MS指定)／月内均等</t>
        </is>
      </c>
      <c r="E54" s="10" t="inlineStr">
        <is>
          <t>月内均等</t>
        </is>
      </c>
      <c r="F54" s="12" t="n">
        <v>2400</v>
      </c>
      <c r="G54" s="10" t="n">
        <v>36</v>
      </c>
      <c r="H54" s="10" t="n">
        <v>9</v>
      </c>
      <c r="I54" s="22" t="n">
        <v>0.171</v>
      </c>
      <c r="J54" s="22" t="n">
        <v>0.2259</v>
      </c>
      <c r="K54" s="22" t="n">
        <v>0.0536</v>
      </c>
      <c r="L54" s="10" t="n">
        <v>0</v>
      </c>
      <c r="M54" s="13" t="n">
        <v>-0.2013</v>
      </c>
    </row>
    <row r="55">
      <c r="A55" s="10" t="inlineStr">
        <is>
          <t>PJ-2019-A</t>
        </is>
      </c>
      <c r="B55" s="10" t="inlineStr">
        <is>
          <t>蒼穹のレガリア</t>
        </is>
      </c>
      <c r="C55" s="10" t="inlineStr">
        <is>
          <t>新規タイトル開発</t>
        </is>
      </c>
      <c r="D55" s="10" t="inlineStr">
        <is>
          <t>素朴版／単調補間</t>
        </is>
      </c>
      <c r="E55" s="10" t="inlineStr">
        <is>
          <t>単調補間</t>
        </is>
      </c>
      <c r="F55" s="12" t="n">
        <v>2400</v>
      </c>
      <c r="G55" s="10" t="n">
        <v>36</v>
      </c>
      <c r="H55" s="10" t="n">
        <v>9</v>
      </c>
      <c r="I55" s="22" t="n">
        <v>0.1903</v>
      </c>
      <c r="J55" s="22" t="n">
        <v>0.2317</v>
      </c>
      <c r="K55" s="22" t="n">
        <v>0.0436</v>
      </c>
      <c r="L55" s="10" t="n">
        <v>-5</v>
      </c>
      <c r="M55" s="13" t="n">
        <v>-0.177</v>
      </c>
    </row>
    <row r="56">
      <c r="A56" s="10" t="inlineStr">
        <is>
          <t>PJ-2019-A</t>
        </is>
      </c>
      <c r="B56" s="10" t="inlineStr">
        <is>
          <t>蒼穹のレガリア</t>
        </is>
      </c>
      <c r="C56" s="10" t="inlineStr">
        <is>
          <t>新規タイトル開発</t>
        </is>
      </c>
      <c r="D56" s="10" t="inlineStr">
        <is>
          <t>位置合わせ(MS学習値)／単調補間</t>
        </is>
      </c>
      <c r="E56" s="10" t="inlineStr">
        <is>
          <t>単調補間</t>
        </is>
      </c>
      <c r="F56" s="12" t="n">
        <v>2400</v>
      </c>
      <c r="G56" s="10" t="n">
        <v>36</v>
      </c>
      <c r="H56" s="10" t="n">
        <v>9</v>
      </c>
      <c r="I56" s="22" t="n">
        <v>0.2</v>
      </c>
      <c r="J56" s="22" t="n">
        <v>0.2388</v>
      </c>
      <c r="K56" s="22" t="n">
        <v>0.0518</v>
      </c>
      <c r="L56" s="10" t="n">
        <v>-5</v>
      </c>
      <c r="M56" s="13" t="n">
        <v>-0.1872</v>
      </c>
    </row>
    <row r="57">
      <c r="A57" s="10" t="inlineStr">
        <is>
          <t>PJ-2019-A</t>
        </is>
      </c>
      <c r="B57" s="10" t="inlineStr">
        <is>
          <t>蒼穹のレガリア</t>
        </is>
      </c>
      <c r="C57" s="10" t="inlineStr">
        <is>
          <t>新規タイトル開発</t>
        </is>
      </c>
      <c r="D57" s="10" t="inlineStr">
        <is>
          <t>位置合わせ(MS指定)／単調補間</t>
        </is>
      </c>
      <c r="E57" s="10" t="inlineStr">
        <is>
          <t>単調補間</t>
        </is>
      </c>
      <c r="F57" s="12" t="n">
        <v>2400</v>
      </c>
      <c r="G57" s="10" t="n">
        <v>36</v>
      </c>
      <c r="H57" s="10" t="n">
        <v>9</v>
      </c>
      <c r="I57" s="22" t="n">
        <v>0.1695</v>
      </c>
      <c r="J57" s="22" t="n">
        <v>0.2216</v>
      </c>
      <c r="K57" s="22" t="n">
        <v>0.0531</v>
      </c>
      <c r="L57" s="10" t="n">
        <v>0</v>
      </c>
      <c r="M57" s="13" t="n">
        <v>-0.201</v>
      </c>
    </row>
    <row r="58">
      <c r="A58" s="10" t="inlineStr">
        <is>
          <t>PJ-2020-B</t>
        </is>
      </c>
      <c r="B58" s="10" t="inlineStr">
        <is>
          <t>ブレイブフロンティア外伝(後半集中)</t>
        </is>
      </c>
      <c r="C58" s="10" t="inlineStr">
        <is>
          <t>大型アップデート</t>
        </is>
      </c>
      <c r="D58" s="10" t="inlineStr">
        <is>
          <t>素朴版／月内均等</t>
        </is>
      </c>
      <c r="E58" s="10" t="inlineStr">
        <is>
          <t>月内均等</t>
        </is>
      </c>
      <c r="F58" s="12" t="n">
        <v>620</v>
      </c>
      <c r="G58" s="10" t="n">
        <v>14</v>
      </c>
      <c r="H58" s="10" t="n">
        <v>9</v>
      </c>
      <c r="I58" s="22" t="n">
        <v>0.6358</v>
      </c>
      <c r="J58" s="22" t="n">
        <v>0.7104</v>
      </c>
      <c r="K58" s="22" t="n">
        <v>0.3179</v>
      </c>
      <c r="L58" s="10" t="n">
        <v>-2</v>
      </c>
      <c r="M58" s="13" t="n">
        <v>-0.4952</v>
      </c>
    </row>
    <row r="59">
      <c r="A59" s="10" t="inlineStr">
        <is>
          <t>PJ-2020-B</t>
        </is>
      </c>
      <c r="B59" s="10" t="inlineStr">
        <is>
          <t>ブレイブフロンティア外伝(後半集中)</t>
        </is>
      </c>
      <c r="C59" s="10" t="inlineStr">
        <is>
          <t>大型アップデート</t>
        </is>
      </c>
      <c r="D59" s="10" t="inlineStr">
        <is>
          <t>位置合わせ(MS学習値)／月内均等</t>
        </is>
      </c>
      <c r="E59" s="10" t="inlineStr">
        <is>
          <t>月内均等</t>
        </is>
      </c>
      <c r="F59" s="12" t="n">
        <v>620</v>
      </c>
      <c r="G59" s="10" t="n">
        <v>14</v>
      </c>
      <c r="H59" s="10" t="n">
        <v>9</v>
      </c>
      <c r="I59" s="22" t="n">
        <v>0.6329</v>
      </c>
      <c r="J59" s="22" t="n">
        <v>0.7086</v>
      </c>
      <c r="K59" s="22" t="n">
        <v>0.3165</v>
      </c>
      <c r="L59" s="10" t="n">
        <v>0</v>
      </c>
      <c r="M59" s="13" t="n">
        <v>-0.4952</v>
      </c>
    </row>
    <row r="60">
      <c r="A60" s="10" t="inlineStr">
        <is>
          <t>PJ-2020-B</t>
        </is>
      </c>
      <c r="B60" s="10" t="inlineStr">
        <is>
          <t>ブレイブフロンティア外伝(後半集中)</t>
        </is>
      </c>
      <c r="C60" s="10" t="inlineStr">
        <is>
          <t>大型アップデート</t>
        </is>
      </c>
      <c r="D60" s="10" t="inlineStr">
        <is>
          <t>位置合わせ(MS指定)／月内均等</t>
        </is>
      </c>
      <c r="E60" s="10" t="inlineStr">
        <is>
          <t>月内均等</t>
        </is>
      </c>
      <c r="F60" s="12" t="n">
        <v>620</v>
      </c>
      <c r="G60" s="10" t="n">
        <v>14</v>
      </c>
      <c r="H60" s="10" t="n">
        <v>9</v>
      </c>
      <c r="I60" s="22" t="n">
        <v>0.3062</v>
      </c>
      <c r="J60" s="22" t="n">
        <v>0.4069</v>
      </c>
      <c r="K60" s="22" t="n">
        <v>0.1531</v>
      </c>
      <c r="L60" s="10" t="n">
        <v>0</v>
      </c>
      <c r="M60" s="13" t="n">
        <v>-0.1475</v>
      </c>
    </row>
    <row r="61">
      <c r="A61" s="10" t="inlineStr">
        <is>
          <t>PJ-2020-B</t>
        </is>
      </c>
      <c r="B61" s="10" t="inlineStr">
        <is>
          <t>ブレイブフロンティア外伝(後半集中)</t>
        </is>
      </c>
      <c r="C61" s="10" t="inlineStr">
        <is>
          <t>大型アップデート</t>
        </is>
      </c>
      <c r="D61" s="10" t="inlineStr">
        <is>
          <t>素朴版／単調補間</t>
        </is>
      </c>
      <c r="E61" s="10" t="inlineStr">
        <is>
          <t>単調補間</t>
        </is>
      </c>
      <c r="F61" s="12" t="n">
        <v>620</v>
      </c>
      <c r="G61" s="10" t="n">
        <v>14</v>
      </c>
      <c r="H61" s="10" t="n">
        <v>9</v>
      </c>
      <c r="I61" s="22" t="n">
        <v>0.6358</v>
      </c>
      <c r="J61" s="22" t="n">
        <v>0.7108</v>
      </c>
      <c r="K61" s="22" t="n">
        <v>0.3179</v>
      </c>
      <c r="L61" s="10" t="n">
        <v>-2</v>
      </c>
      <c r="M61" s="13" t="n">
        <v>-0.4947</v>
      </c>
    </row>
    <row r="62">
      <c r="A62" s="10" t="inlineStr">
        <is>
          <t>PJ-2020-B</t>
        </is>
      </c>
      <c r="B62" s="10" t="inlineStr">
        <is>
          <t>ブレイブフロンティア外伝(後半集中)</t>
        </is>
      </c>
      <c r="C62" s="10" t="inlineStr">
        <is>
          <t>大型アップデート</t>
        </is>
      </c>
      <c r="D62" s="10" t="inlineStr">
        <is>
          <t>位置合わせ(MS学習値)／単調補間</t>
        </is>
      </c>
      <c r="E62" s="10" t="inlineStr">
        <is>
          <t>単調補間</t>
        </is>
      </c>
      <c r="F62" s="12" t="n">
        <v>620</v>
      </c>
      <c r="G62" s="10" t="n">
        <v>14</v>
      </c>
      <c r="H62" s="10" t="n">
        <v>9</v>
      </c>
      <c r="I62" s="22" t="n">
        <v>0.6324</v>
      </c>
      <c r="J62" s="22" t="n">
        <v>0.7087</v>
      </c>
      <c r="K62" s="22" t="n">
        <v>0.3162</v>
      </c>
      <c r="L62" s="10" t="n">
        <v>0</v>
      </c>
      <c r="M62" s="13" t="n">
        <v>-0.492</v>
      </c>
    </row>
    <row r="63">
      <c r="A63" s="10" t="inlineStr">
        <is>
          <t>PJ-2020-B</t>
        </is>
      </c>
      <c r="B63" s="10" t="inlineStr">
        <is>
          <t>ブレイブフロンティア外伝(後半集中)</t>
        </is>
      </c>
      <c r="C63" s="10" t="inlineStr">
        <is>
          <t>大型アップデート</t>
        </is>
      </c>
      <c r="D63" s="10" t="inlineStr">
        <is>
          <t>位置合わせ(MS指定)／単調補間</t>
        </is>
      </c>
      <c r="E63" s="10" t="inlineStr">
        <is>
          <t>単調補間</t>
        </is>
      </c>
      <c r="F63" s="12" t="n">
        <v>620</v>
      </c>
      <c r="G63" s="10" t="n">
        <v>14</v>
      </c>
      <c r="H63" s="10" t="n">
        <v>9</v>
      </c>
      <c r="I63" s="22" t="n">
        <v>0.3064</v>
      </c>
      <c r="J63" s="22" t="n">
        <v>0.4069</v>
      </c>
      <c r="K63" s="22" t="n">
        <v>0.1532</v>
      </c>
      <c r="L63" s="10" t="n">
        <v>0</v>
      </c>
      <c r="M63" s="13" t="n">
        <v>-0.1422</v>
      </c>
    </row>
    <row r="64">
      <c r="A64" s="10" t="inlineStr">
        <is>
          <t>PJ-2020-C</t>
        </is>
      </c>
      <c r="B64" s="10" t="inlineStr">
        <is>
          <t>クロノスギア(二山)</t>
        </is>
      </c>
      <c r="C64" s="10" t="inlineStr">
        <is>
          <t>新規タイトル開発</t>
        </is>
      </c>
      <c r="D64" s="10" t="inlineStr">
        <is>
          <t>素朴版／月内均等</t>
        </is>
      </c>
      <c r="E64" s="10" t="inlineStr">
        <is>
          <t>月内均等</t>
        </is>
      </c>
      <c r="F64" s="12" t="n">
        <v>1800</v>
      </c>
      <c r="G64" s="10" t="n">
        <v>30</v>
      </c>
      <c r="H64" s="10" t="n">
        <v>9</v>
      </c>
      <c r="I64" s="22" t="n">
        <v>0.3825</v>
      </c>
      <c r="J64" s="22" t="n">
        <v>0.4106</v>
      </c>
      <c r="K64" s="22" t="n">
        <v>0.089</v>
      </c>
      <c r="L64" s="10" t="n">
        <v>3</v>
      </c>
      <c r="M64" s="13" t="n">
        <v>-0.1047</v>
      </c>
    </row>
    <row r="65">
      <c r="A65" s="10" t="inlineStr">
        <is>
          <t>PJ-2020-C</t>
        </is>
      </c>
      <c r="B65" s="10" t="inlineStr">
        <is>
          <t>クロノスギア(二山)</t>
        </is>
      </c>
      <c r="C65" s="10" t="inlineStr">
        <is>
          <t>新規タイトル開発</t>
        </is>
      </c>
      <c r="D65" s="10" t="inlineStr">
        <is>
          <t>位置合わせ(MS学習値)／月内均等</t>
        </is>
      </c>
      <c r="E65" s="10" t="inlineStr">
        <is>
          <t>月内均等</t>
        </is>
      </c>
      <c r="F65" s="12" t="n">
        <v>1800</v>
      </c>
      <c r="G65" s="10" t="n">
        <v>30</v>
      </c>
      <c r="H65" s="10" t="n">
        <v>9</v>
      </c>
      <c r="I65" s="22" t="n">
        <v>0.3845</v>
      </c>
      <c r="J65" s="22" t="n">
        <v>0.4142</v>
      </c>
      <c r="K65" s="22" t="n">
        <v>0.0914</v>
      </c>
      <c r="L65" s="10" t="n">
        <v>5</v>
      </c>
      <c r="M65" s="13" t="n">
        <v>-0.1191</v>
      </c>
    </row>
    <row r="66">
      <c r="A66" s="10" t="inlineStr">
        <is>
          <t>PJ-2020-C</t>
        </is>
      </c>
      <c r="B66" s="10" t="inlineStr">
        <is>
          <t>クロノスギア(二山)</t>
        </is>
      </c>
      <c r="C66" s="10" t="inlineStr">
        <is>
          <t>新規タイトル開発</t>
        </is>
      </c>
      <c r="D66" s="10" t="inlineStr">
        <is>
          <t>位置合わせ(MS指定)／月内均等</t>
        </is>
      </c>
      <c r="E66" s="10" t="inlineStr">
        <is>
          <t>月内均等</t>
        </is>
      </c>
      <c r="F66" s="12" t="n">
        <v>1800</v>
      </c>
      <c r="G66" s="10" t="n">
        <v>30</v>
      </c>
      <c r="H66" s="10" t="n">
        <v>9</v>
      </c>
      <c r="I66" s="22" t="n">
        <v>0.4602</v>
      </c>
      <c r="J66" s="22" t="n">
        <v>0.4841</v>
      </c>
      <c r="K66" s="22" t="n">
        <v>0.1445</v>
      </c>
      <c r="L66" s="10" t="n">
        <v>3</v>
      </c>
      <c r="M66" s="13" t="n">
        <v>0.3087</v>
      </c>
    </row>
    <row r="67">
      <c r="A67" s="10" t="inlineStr">
        <is>
          <t>PJ-2020-C</t>
        </is>
      </c>
      <c r="B67" s="10" t="inlineStr">
        <is>
          <t>クロノスギア(二山)</t>
        </is>
      </c>
      <c r="C67" s="10" t="inlineStr">
        <is>
          <t>新規タイトル開発</t>
        </is>
      </c>
      <c r="D67" s="10" t="inlineStr">
        <is>
          <t>素朴版／単調補間</t>
        </is>
      </c>
      <c r="E67" s="10" t="inlineStr">
        <is>
          <t>単調補間</t>
        </is>
      </c>
      <c r="F67" s="12" t="n">
        <v>1800</v>
      </c>
      <c r="G67" s="10" t="n">
        <v>30</v>
      </c>
      <c r="H67" s="10" t="n">
        <v>9</v>
      </c>
      <c r="I67" s="22" t="n">
        <v>0.385</v>
      </c>
      <c r="J67" s="22" t="n">
        <v>0.4138</v>
      </c>
      <c r="K67" s="22" t="n">
        <v>0.0895</v>
      </c>
      <c r="L67" s="10" t="n">
        <v>3</v>
      </c>
      <c r="M67" s="13" t="n">
        <v>-0.0859</v>
      </c>
    </row>
    <row r="68">
      <c r="A68" s="10" t="inlineStr">
        <is>
          <t>PJ-2020-C</t>
        </is>
      </c>
      <c r="B68" s="10" t="inlineStr">
        <is>
          <t>クロノスギア(二山)</t>
        </is>
      </c>
      <c r="C68" s="10" t="inlineStr">
        <is>
          <t>新規タイトル開発</t>
        </is>
      </c>
      <c r="D68" s="10" t="inlineStr">
        <is>
          <t>位置合わせ(MS学習値)／単調補間</t>
        </is>
      </c>
      <c r="E68" s="10" t="inlineStr">
        <is>
          <t>単調補間</t>
        </is>
      </c>
      <c r="F68" s="12" t="n">
        <v>1800</v>
      </c>
      <c r="G68" s="10" t="n">
        <v>30</v>
      </c>
      <c r="H68" s="10" t="n">
        <v>9</v>
      </c>
      <c r="I68" s="22" t="n">
        <v>0.3857</v>
      </c>
      <c r="J68" s="22" t="n">
        <v>0.4157</v>
      </c>
      <c r="K68" s="22" t="n">
        <v>0.0917</v>
      </c>
      <c r="L68" s="10" t="n">
        <v>5</v>
      </c>
      <c r="M68" s="13" t="n">
        <v>-0.114</v>
      </c>
    </row>
    <row r="69">
      <c r="A69" s="10" t="inlineStr">
        <is>
          <t>PJ-2020-C</t>
        </is>
      </c>
      <c r="B69" s="10" t="inlineStr">
        <is>
          <t>クロノスギア(二山)</t>
        </is>
      </c>
      <c r="C69" s="10" t="inlineStr">
        <is>
          <t>新規タイトル開発</t>
        </is>
      </c>
      <c r="D69" s="10" t="inlineStr">
        <is>
          <t>位置合わせ(MS指定)／単調補間</t>
        </is>
      </c>
      <c r="E69" s="10" t="inlineStr">
        <is>
          <t>単調補間</t>
        </is>
      </c>
      <c r="F69" s="12" t="n">
        <v>1800</v>
      </c>
      <c r="G69" s="10" t="n">
        <v>30</v>
      </c>
      <c r="H69" s="10" t="n">
        <v>9</v>
      </c>
      <c r="I69" s="22" t="n">
        <v>0.4625</v>
      </c>
      <c r="J69" s="22" t="n">
        <v>0.4869</v>
      </c>
      <c r="K69" s="22" t="n">
        <v>0.1452</v>
      </c>
      <c r="L69" s="10" t="n">
        <v>3</v>
      </c>
      <c r="M69" s="13" t="n">
        <v>0.3096</v>
      </c>
    </row>
    <row r="70">
      <c r="A70" s="10" t="inlineStr">
        <is>
          <t>PJ-2021-D</t>
        </is>
      </c>
      <c r="B70" s="10" t="inlineStr">
        <is>
          <t>蒼穹のレガリア HD Edition(前倒し)</t>
        </is>
      </c>
      <c r="C70" s="10" t="inlineStr">
        <is>
          <t>移植・リマスター</t>
        </is>
      </c>
      <c r="D70" s="10" t="inlineStr">
        <is>
          <t>素朴版／月内均等</t>
        </is>
      </c>
      <c r="E70" s="10" t="inlineStr">
        <is>
          <t>月内均等</t>
        </is>
      </c>
      <c r="F70" s="12" t="n">
        <v>520</v>
      </c>
      <c r="G70" s="10" t="n">
        <v>15</v>
      </c>
      <c r="H70" s="10" t="n">
        <v>9</v>
      </c>
      <c r="I70" s="22" t="n">
        <v>0.1611</v>
      </c>
      <c r="J70" s="22" t="n">
        <v>0.4514</v>
      </c>
      <c r="K70" s="22" t="n">
        <v>0.0493</v>
      </c>
      <c r="L70" s="10" t="n">
        <v>-1</v>
      </c>
      <c r="M70" s="13" t="n">
        <v>-0.0355</v>
      </c>
    </row>
    <row r="71">
      <c r="A71" s="10" t="inlineStr">
        <is>
          <t>PJ-2021-D</t>
        </is>
      </c>
      <c r="B71" s="10" t="inlineStr">
        <is>
          <t>蒼穹のレガリア HD Edition(前倒し)</t>
        </is>
      </c>
      <c r="C71" s="10" t="inlineStr">
        <is>
          <t>移植・リマスター</t>
        </is>
      </c>
      <c r="D71" s="10" t="inlineStr">
        <is>
          <t>位置合わせ(MS学習値)／月内均等</t>
        </is>
      </c>
      <c r="E71" s="10" t="inlineStr">
        <is>
          <t>月内均等</t>
        </is>
      </c>
      <c r="F71" s="12" t="n">
        <v>520</v>
      </c>
      <c r="G71" s="10" t="n">
        <v>15</v>
      </c>
      <c r="H71" s="10" t="n">
        <v>9</v>
      </c>
      <c r="I71" s="22" t="n">
        <v>0.1625</v>
      </c>
      <c r="J71" s="22" t="n">
        <v>0.4574</v>
      </c>
      <c r="K71" s="22" t="n">
        <v>0.0574</v>
      </c>
      <c r="L71" s="10" t="n">
        <v>-2</v>
      </c>
      <c r="M71" s="13" t="n">
        <v>-0.0677</v>
      </c>
    </row>
    <row r="72">
      <c r="A72" s="10" t="inlineStr">
        <is>
          <t>PJ-2021-D</t>
        </is>
      </c>
      <c r="B72" s="10" t="inlineStr">
        <is>
          <t>蒼穹のレガリア HD Edition(前倒し)</t>
        </is>
      </c>
      <c r="C72" s="10" t="inlineStr">
        <is>
          <t>移植・リマスター</t>
        </is>
      </c>
      <c r="D72" s="10" t="inlineStr">
        <is>
          <t>位置合わせ(MS指定)／月内均等</t>
        </is>
      </c>
      <c r="E72" s="10" t="inlineStr">
        <is>
          <t>月内均等</t>
        </is>
      </c>
      <c r="F72" s="12" t="n">
        <v>520</v>
      </c>
      <c r="G72" s="10" t="n">
        <v>15</v>
      </c>
      <c r="H72" s="10" t="n">
        <v>9</v>
      </c>
      <c r="I72" s="22" t="n">
        <v>0.2935</v>
      </c>
      <c r="J72" s="22" t="n">
        <v>0.545</v>
      </c>
      <c r="K72" s="22" t="n">
        <v>0.1468</v>
      </c>
      <c r="L72" s="10" t="n">
        <v>-1</v>
      </c>
      <c r="M72" s="13" t="n">
        <v>0.1548</v>
      </c>
    </row>
    <row r="73">
      <c r="A73" s="10" t="inlineStr">
        <is>
          <t>PJ-2021-D</t>
        </is>
      </c>
      <c r="B73" s="10" t="inlineStr">
        <is>
          <t>蒼穹のレガリア HD Edition(前倒し)</t>
        </is>
      </c>
      <c r="C73" s="10" t="inlineStr">
        <is>
          <t>移植・リマスター</t>
        </is>
      </c>
      <c r="D73" s="10" t="inlineStr">
        <is>
          <t>素朴版／単調補間</t>
        </is>
      </c>
      <c r="E73" s="10" t="inlineStr">
        <is>
          <t>単調補間</t>
        </is>
      </c>
      <c r="F73" s="12" t="n">
        <v>520</v>
      </c>
      <c r="G73" s="10" t="n">
        <v>15</v>
      </c>
      <c r="H73" s="10" t="n">
        <v>9</v>
      </c>
      <c r="I73" s="22" t="n">
        <v>0.1612</v>
      </c>
      <c r="J73" s="22" t="n">
        <v>0.4505</v>
      </c>
      <c r="K73" s="22" t="n">
        <v>0.0495</v>
      </c>
      <c r="L73" s="10" t="n">
        <v>-1</v>
      </c>
      <c r="M73" s="13" t="n">
        <v>-0.0231</v>
      </c>
    </row>
    <row r="74">
      <c r="A74" s="10" t="inlineStr">
        <is>
          <t>PJ-2021-D</t>
        </is>
      </c>
      <c r="B74" s="10" t="inlineStr">
        <is>
          <t>蒼穹のレガリア HD Edition(前倒し)</t>
        </is>
      </c>
      <c r="C74" s="10" t="inlineStr">
        <is>
          <t>移植・リマスター</t>
        </is>
      </c>
      <c r="D74" s="10" t="inlineStr">
        <is>
          <t>位置合わせ(MS学習値)／単調補間</t>
        </is>
      </c>
      <c r="E74" s="10" t="inlineStr">
        <is>
          <t>単調補間</t>
        </is>
      </c>
      <c r="F74" s="12" t="n">
        <v>520</v>
      </c>
      <c r="G74" s="10" t="n">
        <v>15</v>
      </c>
      <c r="H74" s="10" t="n">
        <v>9</v>
      </c>
      <c r="I74" s="22" t="n">
        <v>0.163</v>
      </c>
      <c r="J74" s="22" t="n">
        <v>0.4574</v>
      </c>
      <c r="K74" s="22" t="n">
        <v>0.0583</v>
      </c>
      <c r="L74" s="10" t="n">
        <v>-2</v>
      </c>
      <c r="M74" s="13" t="n">
        <v>-0.0611</v>
      </c>
    </row>
    <row r="75">
      <c r="A75" s="10" t="inlineStr">
        <is>
          <t>PJ-2021-D</t>
        </is>
      </c>
      <c r="B75" s="10" t="inlineStr">
        <is>
          <t>蒼穹のレガリア HD Edition(前倒し)</t>
        </is>
      </c>
      <c r="C75" s="10" t="inlineStr">
        <is>
          <t>移植・リマスター</t>
        </is>
      </c>
      <c r="D75" s="10" t="inlineStr">
        <is>
          <t>位置合わせ(MS指定)／単調補間</t>
        </is>
      </c>
      <c r="E75" s="10" t="inlineStr">
        <is>
          <t>単調補間</t>
        </is>
      </c>
      <c r="F75" s="12" t="n">
        <v>520</v>
      </c>
      <c r="G75" s="10" t="n">
        <v>15</v>
      </c>
      <c r="H75" s="10" t="n">
        <v>9</v>
      </c>
      <c r="I75" s="22" t="n">
        <v>0.2937</v>
      </c>
      <c r="J75" s="22" t="n">
        <v>0.545</v>
      </c>
      <c r="K75" s="22" t="n">
        <v>0.1468</v>
      </c>
      <c r="L75" s="10" t="n">
        <v>-1</v>
      </c>
      <c r="M75" s="13" t="n">
        <v>0.1633</v>
      </c>
    </row>
    <row r="76">
      <c r="A76" s="10" t="inlineStr">
        <is>
          <t>PJ-2021-E</t>
        </is>
      </c>
      <c r="B76" s="10" t="inlineStr">
        <is>
          <t>シャドウヴェイル</t>
        </is>
      </c>
      <c r="C76" s="10" t="inlineStr">
        <is>
          <t>新規タイトル開発</t>
        </is>
      </c>
      <c r="D76" s="10" t="inlineStr">
        <is>
          <t>素朴版／月内均等</t>
        </is>
      </c>
      <c r="E76" s="10" t="inlineStr">
        <is>
          <t>月内均等</t>
        </is>
      </c>
      <c r="F76" s="12" t="n">
        <v>2950</v>
      </c>
      <c r="G76" s="10" t="n">
        <v>36</v>
      </c>
      <c r="H76" s="10" t="n">
        <v>9</v>
      </c>
      <c r="I76" s="22" t="n">
        <v>0.3767</v>
      </c>
      <c r="J76" s="22" t="n">
        <v>0.424</v>
      </c>
      <c r="K76" s="22" t="n">
        <v>0.1218</v>
      </c>
      <c r="L76" s="10" t="n">
        <v>7</v>
      </c>
      <c r="M76" s="13" t="n">
        <v>-0.4668</v>
      </c>
    </row>
    <row r="77">
      <c r="A77" s="10" t="inlineStr">
        <is>
          <t>PJ-2021-E</t>
        </is>
      </c>
      <c r="B77" s="10" t="inlineStr">
        <is>
          <t>シャドウヴェイル</t>
        </is>
      </c>
      <c r="C77" s="10" t="inlineStr">
        <is>
          <t>新規タイトル開発</t>
        </is>
      </c>
      <c r="D77" s="10" t="inlineStr">
        <is>
          <t>位置合わせ(MS学習値)／月内均等</t>
        </is>
      </c>
      <c r="E77" s="10" t="inlineStr">
        <is>
          <t>月内均等</t>
        </is>
      </c>
      <c r="F77" s="12" t="n">
        <v>2950</v>
      </c>
      <c r="G77" s="10" t="n">
        <v>36</v>
      </c>
      <c r="H77" s="10" t="n">
        <v>9</v>
      </c>
      <c r="I77" s="22" t="n">
        <v>0.3706</v>
      </c>
      <c r="J77" s="22" t="n">
        <v>0.4141</v>
      </c>
      <c r="K77" s="22" t="n">
        <v>0.13</v>
      </c>
      <c r="L77" s="10" t="n">
        <v>10</v>
      </c>
      <c r="M77" s="13" t="n">
        <v>-0.4705</v>
      </c>
    </row>
    <row r="78">
      <c r="A78" s="10" t="inlineStr">
        <is>
          <t>PJ-2021-E</t>
        </is>
      </c>
      <c r="B78" s="10" t="inlineStr">
        <is>
          <t>シャドウヴェイル</t>
        </is>
      </c>
      <c r="C78" s="10" t="inlineStr">
        <is>
          <t>新規タイトル開発</t>
        </is>
      </c>
      <c r="D78" s="10" t="inlineStr">
        <is>
          <t>位置合わせ(MS指定)／月内均等</t>
        </is>
      </c>
      <c r="E78" s="10" t="inlineStr">
        <is>
          <t>月内均等</t>
        </is>
      </c>
      <c r="F78" s="12" t="n">
        <v>2950</v>
      </c>
      <c r="G78" s="10" t="n">
        <v>36</v>
      </c>
      <c r="H78" s="10" t="n">
        <v>9</v>
      </c>
      <c r="I78" s="22" t="n">
        <v>0.3008</v>
      </c>
      <c r="J78" s="22" t="n">
        <v>0.3413</v>
      </c>
      <c r="K78" s="22" t="n">
        <v>0.0914</v>
      </c>
      <c r="L78" s="10" t="n">
        <v>0</v>
      </c>
      <c r="M78" s="13" t="n">
        <v>-0.4857</v>
      </c>
    </row>
    <row r="79">
      <c r="A79" s="10" t="inlineStr">
        <is>
          <t>PJ-2021-E</t>
        </is>
      </c>
      <c r="B79" s="10" t="inlineStr">
        <is>
          <t>シャドウヴェイル</t>
        </is>
      </c>
      <c r="C79" s="10" t="inlineStr">
        <is>
          <t>新規タイトル開発</t>
        </is>
      </c>
      <c r="D79" s="10" t="inlineStr">
        <is>
          <t>素朴版／単調補間</t>
        </is>
      </c>
      <c r="E79" s="10" t="inlineStr">
        <is>
          <t>単調補間</t>
        </is>
      </c>
      <c r="F79" s="12" t="n">
        <v>2950</v>
      </c>
      <c r="G79" s="10" t="n">
        <v>36</v>
      </c>
      <c r="H79" s="10" t="n">
        <v>9</v>
      </c>
      <c r="I79" s="22" t="n">
        <v>0.3774</v>
      </c>
      <c r="J79" s="22" t="n">
        <v>0.4243</v>
      </c>
      <c r="K79" s="22" t="n">
        <v>0.1221</v>
      </c>
      <c r="L79" s="10" t="n">
        <v>8</v>
      </c>
      <c r="M79" s="13" t="n">
        <v>-0.4573</v>
      </c>
    </row>
    <row r="80">
      <c r="A80" s="10" t="inlineStr">
        <is>
          <t>PJ-2021-E</t>
        </is>
      </c>
      <c r="B80" s="10" t="inlineStr">
        <is>
          <t>シャドウヴェイル</t>
        </is>
      </c>
      <c r="C80" s="10" t="inlineStr">
        <is>
          <t>新規タイトル開発</t>
        </is>
      </c>
      <c r="D80" s="10" t="inlineStr">
        <is>
          <t>位置合わせ(MS学習値)／単調補間</t>
        </is>
      </c>
      <c r="E80" s="10" t="inlineStr">
        <is>
          <t>単調補間</t>
        </is>
      </c>
      <c r="F80" s="12" t="n">
        <v>2950</v>
      </c>
      <c r="G80" s="10" t="n">
        <v>36</v>
      </c>
      <c r="H80" s="10" t="n">
        <v>9</v>
      </c>
      <c r="I80" s="22" t="n">
        <v>0.3705</v>
      </c>
      <c r="J80" s="22" t="n">
        <v>0.4132</v>
      </c>
      <c r="K80" s="22" t="n">
        <v>0.1304</v>
      </c>
      <c r="L80" s="10" t="n">
        <v>10</v>
      </c>
      <c r="M80" s="13" t="n">
        <v>-0.4662</v>
      </c>
    </row>
    <row r="81">
      <c r="A81" s="10" t="inlineStr">
        <is>
          <t>PJ-2021-E</t>
        </is>
      </c>
      <c r="B81" s="10" t="inlineStr">
        <is>
          <t>シャドウヴェイル</t>
        </is>
      </c>
      <c r="C81" s="10" t="inlineStr">
        <is>
          <t>新規タイトル開発</t>
        </is>
      </c>
      <c r="D81" s="10" t="inlineStr">
        <is>
          <t>位置合わせ(MS指定)／単調補間</t>
        </is>
      </c>
      <c r="E81" s="10" t="inlineStr">
        <is>
          <t>単調補間</t>
        </is>
      </c>
      <c r="F81" s="12" t="n">
        <v>2950</v>
      </c>
      <c r="G81" s="10" t="n">
        <v>36</v>
      </c>
      <c r="H81" s="10" t="n">
        <v>9</v>
      </c>
      <c r="I81" s="22" t="n">
        <v>0.3</v>
      </c>
      <c r="J81" s="22" t="n">
        <v>0.3392</v>
      </c>
      <c r="K81" s="22" t="n">
        <v>0.09080000000000001</v>
      </c>
      <c r="L81" s="10" t="n">
        <v>0</v>
      </c>
      <c r="M81" s="13" t="n">
        <v>-0.4926</v>
      </c>
    </row>
    <row r="82">
      <c r="A82" s="10" t="inlineStr">
        <is>
          <t>PJ-2022-F</t>
        </is>
      </c>
      <c r="B82" s="10" t="inlineStr">
        <is>
          <t>ネオンハーツ Season2</t>
        </is>
      </c>
      <c r="C82" s="10" t="inlineStr">
        <is>
          <t>大型アップデート</t>
        </is>
      </c>
      <c r="D82" s="10" t="inlineStr">
        <is>
          <t>素朴版／月内均等</t>
        </is>
      </c>
      <c r="E82" s="10" t="inlineStr">
        <is>
          <t>月内均等</t>
        </is>
      </c>
      <c r="F82" s="12" t="n">
        <v>880</v>
      </c>
      <c r="G82" s="10" t="n">
        <v>18</v>
      </c>
      <c r="H82" s="10" t="n">
        <v>9</v>
      </c>
      <c r="I82" s="22" t="n">
        <v>0.2442</v>
      </c>
      <c r="J82" s="22" t="n">
        <v>0.307</v>
      </c>
      <c r="K82" s="22" t="n">
        <v>0.0552</v>
      </c>
      <c r="L82" s="10" t="n">
        <v>-3</v>
      </c>
      <c r="M82" s="13" t="n">
        <v>-0.1619</v>
      </c>
    </row>
    <row r="83">
      <c r="A83" s="10" t="inlineStr">
        <is>
          <t>PJ-2022-F</t>
        </is>
      </c>
      <c r="B83" s="10" t="inlineStr">
        <is>
          <t>ネオンハーツ Season2</t>
        </is>
      </c>
      <c r="C83" s="10" t="inlineStr">
        <is>
          <t>大型アップデート</t>
        </is>
      </c>
      <c r="D83" s="10" t="inlineStr">
        <is>
          <t>位置合わせ(MS学習値)／月内均等</t>
        </is>
      </c>
      <c r="E83" s="10" t="inlineStr">
        <is>
          <t>月内均等</t>
        </is>
      </c>
      <c r="F83" s="12" t="n">
        <v>880</v>
      </c>
      <c r="G83" s="10" t="n">
        <v>18</v>
      </c>
      <c r="H83" s="10" t="n">
        <v>9</v>
      </c>
      <c r="I83" s="22" t="n">
        <v>0.26</v>
      </c>
      <c r="J83" s="22" t="n">
        <v>0.3203</v>
      </c>
      <c r="K83" s="22" t="n">
        <v>0.0625</v>
      </c>
      <c r="L83" s="10" t="n">
        <v>-3</v>
      </c>
      <c r="M83" s="13" t="n">
        <v>-0.1875</v>
      </c>
    </row>
    <row r="84">
      <c r="A84" s="10" t="inlineStr">
        <is>
          <t>PJ-2022-F</t>
        </is>
      </c>
      <c r="B84" s="10" t="inlineStr">
        <is>
          <t>ネオンハーツ Season2</t>
        </is>
      </c>
      <c r="C84" s="10" t="inlineStr">
        <is>
          <t>大型アップデート</t>
        </is>
      </c>
      <c r="D84" s="10" t="inlineStr">
        <is>
          <t>位置合わせ(MS指定)／月内均等</t>
        </is>
      </c>
      <c r="E84" s="10" t="inlineStr">
        <is>
          <t>月内均等</t>
        </is>
      </c>
      <c r="F84" s="12" t="n">
        <v>880</v>
      </c>
      <c r="G84" s="10" t="n">
        <v>18</v>
      </c>
      <c r="H84" s="10" t="n">
        <v>9</v>
      </c>
      <c r="I84" s="22" t="n">
        <v>0.1504</v>
      </c>
      <c r="J84" s="22" t="n">
        <v>0.2323</v>
      </c>
      <c r="K84" s="22" t="n">
        <v>0.045</v>
      </c>
      <c r="L84" s="10" t="n">
        <v>1</v>
      </c>
      <c r="M84" s="13" t="n">
        <v>-0.1234</v>
      </c>
    </row>
    <row r="85">
      <c r="A85" s="10" t="inlineStr">
        <is>
          <t>PJ-2022-F</t>
        </is>
      </c>
      <c r="B85" s="10" t="inlineStr">
        <is>
          <t>ネオンハーツ Season2</t>
        </is>
      </c>
      <c r="C85" s="10" t="inlineStr">
        <is>
          <t>大型アップデート</t>
        </is>
      </c>
      <c r="D85" s="10" t="inlineStr">
        <is>
          <t>素朴版／単調補間</t>
        </is>
      </c>
      <c r="E85" s="10" t="inlineStr">
        <is>
          <t>単調補間</t>
        </is>
      </c>
      <c r="F85" s="12" t="n">
        <v>880</v>
      </c>
      <c r="G85" s="10" t="n">
        <v>18</v>
      </c>
      <c r="H85" s="10" t="n">
        <v>9</v>
      </c>
      <c r="I85" s="22" t="n">
        <v>0.2431</v>
      </c>
      <c r="J85" s="22" t="n">
        <v>0.3059</v>
      </c>
      <c r="K85" s="22" t="n">
        <v>0.0558</v>
      </c>
      <c r="L85" s="10" t="n">
        <v>-3</v>
      </c>
      <c r="M85" s="13" t="n">
        <v>-0.1509</v>
      </c>
    </row>
    <row r="86">
      <c r="A86" s="10" t="inlineStr">
        <is>
          <t>PJ-2022-F</t>
        </is>
      </c>
      <c r="B86" s="10" t="inlineStr">
        <is>
          <t>ネオンハーツ Season2</t>
        </is>
      </c>
      <c r="C86" s="10" t="inlineStr">
        <is>
          <t>大型アップデート</t>
        </is>
      </c>
      <c r="D86" s="10" t="inlineStr">
        <is>
          <t>位置合わせ(MS学習値)／単調補間</t>
        </is>
      </c>
      <c r="E86" s="10" t="inlineStr">
        <is>
          <t>単調補間</t>
        </is>
      </c>
      <c r="F86" s="12" t="n">
        <v>880</v>
      </c>
      <c r="G86" s="10" t="n">
        <v>18</v>
      </c>
      <c r="H86" s="10" t="n">
        <v>9</v>
      </c>
      <c r="I86" s="22" t="n">
        <v>0.2632</v>
      </c>
      <c r="J86" s="22" t="n">
        <v>0.3224</v>
      </c>
      <c r="K86" s="22" t="n">
        <v>0.0635</v>
      </c>
      <c r="L86" s="10" t="n">
        <v>-3</v>
      </c>
      <c r="M86" s="13" t="n">
        <v>-0.1816</v>
      </c>
    </row>
    <row r="87">
      <c r="A87" s="10" t="inlineStr">
        <is>
          <t>PJ-2022-F</t>
        </is>
      </c>
      <c r="B87" s="10" t="inlineStr">
        <is>
          <t>ネオンハーツ Season2</t>
        </is>
      </c>
      <c r="C87" s="10" t="inlineStr">
        <is>
          <t>大型アップデート</t>
        </is>
      </c>
      <c r="D87" s="10" t="inlineStr">
        <is>
          <t>位置合わせ(MS指定)／単調補間</t>
        </is>
      </c>
      <c r="E87" s="10" t="inlineStr">
        <is>
          <t>単調補間</t>
        </is>
      </c>
      <c r="F87" s="12" t="n">
        <v>880</v>
      </c>
      <c r="G87" s="10" t="n">
        <v>18</v>
      </c>
      <c r="H87" s="10" t="n">
        <v>9</v>
      </c>
      <c r="I87" s="22" t="n">
        <v>0.1517</v>
      </c>
      <c r="J87" s="22" t="n">
        <v>0.2322</v>
      </c>
      <c r="K87" s="22" t="n">
        <v>0.0446</v>
      </c>
      <c r="L87" s="10" t="n">
        <v>1</v>
      </c>
      <c r="M87" s="13" t="n">
        <v>-0.1239</v>
      </c>
    </row>
    <row r="88">
      <c r="A88" s="10" t="inlineStr">
        <is>
          <t>PJ-2022-G</t>
        </is>
      </c>
      <c r="B88" s="10" t="inlineStr">
        <is>
          <t>ギルドマスターズ(前倒し)</t>
        </is>
      </c>
      <c r="C88" s="10" t="inlineStr">
        <is>
          <t>新規タイトル開発</t>
        </is>
      </c>
      <c r="D88" s="10" t="inlineStr">
        <is>
          <t>素朴版／月内均等</t>
        </is>
      </c>
      <c r="E88" s="10" t="inlineStr">
        <is>
          <t>月内均等</t>
        </is>
      </c>
      <c r="F88" s="12" t="n">
        <v>1450</v>
      </c>
      <c r="G88" s="10" t="n">
        <v>24</v>
      </c>
      <c r="H88" s="10" t="n">
        <v>9</v>
      </c>
      <c r="I88" s="22" t="n">
        <v>0.4951</v>
      </c>
      <c r="J88" s="22" t="n">
        <v>0.5812</v>
      </c>
      <c r="K88" s="22" t="n">
        <v>0.2476</v>
      </c>
      <c r="L88" s="10" t="n">
        <v>7</v>
      </c>
      <c r="M88" s="13" t="n">
        <v>-0.07489999999999999</v>
      </c>
    </row>
    <row r="89">
      <c r="A89" s="10" t="inlineStr">
        <is>
          <t>PJ-2022-G</t>
        </is>
      </c>
      <c r="B89" s="10" t="inlineStr">
        <is>
          <t>ギルドマスターズ(前倒し)</t>
        </is>
      </c>
      <c r="C89" s="10" t="inlineStr">
        <is>
          <t>新規タイトル開発</t>
        </is>
      </c>
      <c r="D89" s="10" t="inlineStr">
        <is>
          <t>位置合わせ(MS学習値)／月内均等</t>
        </is>
      </c>
      <c r="E89" s="10" t="inlineStr">
        <is>
          <t>月内均等</t>
        </is>
      </c>
      <c r="F89" s="12" t="n">
        <v>1450</v>
      </c>
      <c r="G89" s="10" t="n">
        <v>24</v>
      </c>
      <c r="H89" s="10" t="n">
        <v>9</v>
      </c>
      <c r="I89" s="22" t="n">
        <v>0.5234</v>
      </c>
      <c r="J89" s="22" t="n">
        <v>0.6022</v>
      </c>
      <c r="K89" s="22" t="n">
        <v>0.2617</v>
      </c>
      <c r="L89" s="10" t="n">
        <v>5</v>
      </c>
      <c r="M89" s="13" t="n">
        <v>-0.0911</v>
      </c>
    </row>
    <row r="90">
      <c r="A90" s="10" t="inlineStr">
        <is>
          <t>PJ-2022-G</t>
        </is>
      </c>
      <c r="B90" s="10" t="inlineStr">
        <is>
          <t>ギルドマスターズ(前倒し)</t>
        </is>
      </c>
      <c r="C90" s="10" t="inlineStr">
        <is>
          <t>新規タイトル開発</t>
        </is>
      </c>
      <c r="D90" s="10" t="inlineStr">
        <is>
          <t>位置合わせ(MS指定)／月内均等</t>
        </is>
      </c>
      <c r="E90" s="10" t="inlineStr">
        <is>
          <t>月内均等</t>
        </is>
      </c>
      <c r="F90" s="12" t="n">
        <v>1450</v>
      </c>
      <c r="G90" s="10" t="n">
        <v>24</v>
      </c>
      <c r="H90" s="10" t="n">
        <v>9</v>
      </c>
      <c r="I90" s="22" t="n">
        <v>0.4797</v>
      </c>
      <c r="J90" s="22" t="n">
        <v>0.5479000000000001</v>
      </c>
      <c r="K90" s="22" t="n">
        <v>0.2398</v>
      </c>
      <c r="L90" s="10" t="n">
        <v>3</v>
      </c>
      <c r="M90" s="13" t="n">
        <v>-0.09030000000000001</v>
      </c>
    </row>
    <row r="91">
      <c r="A91" s="10" t="inlineStr">
        <is>
          <t>PJ-2022-G</t>
        </is>
      </c>
      <c r="B91" s="10" t="inlineStr">
        <is>
          <t>ギルドマスターズ(前倒し)</t>
        </is>
      </c>
      <c r="C91" s="10" t="inlineStr">
        <is>
          <t>新規タイトル開発</t>
        </is>
      </c>
      <c r="D91" s="10" t="inlineStr">
        <is>
          <t>素朴版／単調補間</t>
        </is>
      </c>
      <c r="E91" s="10" t="inlineStr">
        <is>
          <t>単調補間</t>
        </is>
      </c>
      <c r="F91" s="12" t="n">
        <v>1450</v>
      </c>
      <c r="G91" s="10" t="n">
        <v>24</v>
      </c>
      <c r="H91" s="10" t="n">
        <v>9</v>
      </c>
      <c r="I91" s="22" t="n">
        <v>0.4954</v>
      </c>
      <c r="J91" s="22" t="n">
        <v>0.5824</v>
      </c>
      <c r="K91" s="22" t="n">
        <v>0.2477</v>
      </c>
      <c r="L91" s="10" t="n">
        <v>7</v>
      </c>
      <c r="M91" s="13" t="n">
        <v>-0.063</v>
      </c>
    </row>
    <row r="92">
      <c r="A92" s="10" t="inlineStr">
        <is>
          <t>PJ-2022-G</t>
        </is>
      </c>
      <c r="B92" s="10" t="inlineStr">
        <is>
          <t>ギルドマスターズ(前倒し)</t>
        </is>
      </c>
      <c r="C92" s="10" t="inlineStr">
        <is>
          <t>新規タイトル開発</t>
        </is>
      </c>
      <c r="D92" s="10" t="inlineStr">
        <is>
          <t>位置合わせ(MS学習値)／単調補間</t>
        </is>
      </c>
      <c r="E92" s="10" t="inlineStr">
        <is>
          <t>単調補間</t>
        </is>
      </c>
      <c r="F92" s="12" t="n">
        <v>1450</v>
      </c>
      <c r="G92" s="10" t="n">
        <v>24</v>
      </c>
      <c r="H92" s="10" t="n">
        <v>9</v>
      </c>
      <c r="I92" s="22" t="n">
        <v>0.5249</v>
      </c>
      <c r="J92" s="22" t="n">
        <v>0.6039</v>
      </c>
      <c r="K92" s="22" t="n">
        <v>0.2624</v>
      </c>
      <c r="L92" s="10" t="n">
        <v>9</v>
      </c>
      <c r="M92" s="13" t="n">
        <v>-0.0834</v>
      </c>
    </row>
    <row r="93">
      <c r="A93" s="10" t="inlineStr">
        <is>
          <t>PJ-2022-G</t>
        </is>
      </c>
      <c r="B93" s="10" t="inlineStr">
        <is>
          <t>ギルドマスターズ(前倒し)</t>
        </is>
      </c>
      <c r="C93" s="10" t="inlineStr">
        <is>
          <t>新規タイトル開発</t>
        </is>
      </c>
      <c r="D93" s="10" t="inlineStr">
        <is>
          <t>位置合わせ(MS指定)／単調補間</t>
        </is>
      </c>
      <c r="E93" s="10" t="inlineStr">
        <is>
          <t>単調補間</t>
        </is>
      </c>
      <c r="F93" s="12" t="n">
        <v>1450</v>
      </c>
      <c r="G93" s="10" t="n">
        <v>24</v>
      </c>
      <c r="H93" s="10" t="n">
        <v>9</v>
      </c>
      <c r="I93" s="22" t="n">
        <v>0.4815</v>
      </c>
      <c r="J93" s="22" t="n">
        <v>0.5498</v>
      </c>
      <c r="K93" s="22" t="n">
        <v>0.2408</v>
      </c>
      <c r="L93" s="10" t="n">
        <v>3</v>
      </c>
      <c r="M93" s="13" t="n">
        <v>-0.0965</v>
      </c>
    </row>
    <row r="94">
      <c r="A94" s="10" t="inlineStr">
        <is>
          <t>PJ-2023-H</t>
        </is>
      </c>
      <c r="B94" s="10" t="inlineStr">
        <is>
          <t>クロノスギア:蒼き遺産</t>
        </is>
      </c>
      <c r="C94" s="10" t="inlineStr">
        <is>
          <t>大型アップデート</t>
        </is>
      </c>
      <c r="D94" s="10" t="inlineStr">
        <is>
          <t>素朴版／月内均等</t>
        </is>
      </c>
      <c r="E94" s="10" t="inlineStr">
        <is>
          <t>月内均等</t>
        </is>
      </c>
      <c r="F94" s="12" t="n">
        <v>1100</v>
      </c>
      <c r="G94" s="10" t="n">
        <v>20</v>
      </c>
      <c r="H94" s="10" t="n">
        <v>9</v>
      </c>
      <c r="I94" s="22" t="n">
        <v>0.2502</v>
      </c>
      <c r="J94" s="22" t="n">
        <v>0.2853</v>
      </c>
      <c r="K94" s="22" t="n">
        <v>0.0712</v>
      </c>
      <c r="L94" s="10" t="n">
        <v>4</v>
      </c>
      <c r="M94" s="13" t="n">
        <v>0.0164</v>
      </c>
    </row>
    <row r="95">
      <c r="A95" s="10" t="inlineStr">
        <is>
          <t>PJ-2023-H</t>
        </is>
      </c>
      <c r="B95" s="10" t="inlineStr">
        <is>
          <t>クロノスギア:蒼き遺産</t>
        </is>
      </c>
      <c r="C95" s="10" t="inlineStr">
        <is>
          <t>大型アップデート</t>
        </is>
      </c>
      <c r="D95" s="10" t="inlineStr">
        <is>
          <t>位置合わせ(MS学習値)／月内均等</t>
        </is>
      </c>
      <c r="E95" s="10" t="inlineStr">
        <is>
          <t>月内均等</t>
        </is>
      </c>
      <c r="F95" s="12" t="n">
        <v>1100</v>
      </c>
      <c r="G95" s="10" t="n">
        <v>20</v>
      </c>
      <c r="H95" s="10" t="n">
        <v>9</v>
      </c>
      <c r="I95" s="22" t="n">
        <v>0.3002</v>
      </c>
      <c r="J95" s="22" t="n">
        <v>0.3254</v>
      </c>
      <c r="K95" s="22" t="n">
        <v>0.08400000000000001</v>
      </c>
      <c r="L95" s="10" t="n">
        <v>3</v>
      </c>
      <c r="M95" s="13" t="n">
        <v>-0.0177</v>
      </c>
    </row>
    <row r="96">
      <c r="A96" s="10" t="inlineStr">
        <is>
          <t>PJ-2023-H</t>
        </is>
      </c>
      <c r="B96" s="10" t="inlineStr">
        <is>
          <t>クロノスギア:蒼き遺産</t>
        </is>
      </c>
      <c r="C96" s="10" t="inlineStr">
        <is>
          <t>大型アップデート</t>
        </is>
      </c>
      <c r="D96" s="10" t="inlineStr">
        <is>
          <t>位置合わせ(MS指定)／月内均等</t>
        </is>
      </c>
      <c r="E96" s="10" t="inlineStr">
        <is>
          <t>月内均等</t>
        </is>
      </c>
      <c r="F96" s="12" t="n">
        <v>1100</v>
      </c>
      <c r="G96" s="10" t="n">
        <v>20</v>
      </c>
      <c r="H96" s="10" t="n">
        <v>9</v>
      </c>
      <c r="I96" s="22" t="n">
        <v>0.1009</v>
      </c>
      <c r="J96" s="22" t="n">
        <v>0.2045</v>
      </c>
      <c r="K96" s="22" t="n">
        <v>0.0336</v>
      </c>
      <c r="L96" s="10" t="n">
        <v>-1</v>
      </c>
      <c r="M96" s="13" t="n">
        <v>-0.0243</v>
      </c>
    </row>
    <row r="97">
      <c r="A97" s="10" t="inlineStr">
        <is>
          <t>PJ-2023-H</t>
        </is>
      </c>
      <c r="B97" s="10" t="inlineStr">
        <is>
          <t>クロノスギア:蒼き遺産</t>
        </is>
      </c>
      <c r="C97" s="10" t="inlineStr">
        <is>
          <t>大型アップデート</t>
        </is>
      </c>
      <c r="D97" s="10" t="inlineStr">
        <is>
          <t>素朴版／単調補間</t>
        </is>
      </c>
      <c r="E97" s="10" t="inlineStr">
        <is>
          <t>単調補間</t>
        </is>
      </c>
      <c r="F97" s="12" t="n">
        <v>1100</v>
      </c>
      <c r="G97" s="10" t="n">
        <v>20</v>
      </c>
      <c r="H97" s="10" t="n">
        <v>9</v>
      </c>
      <c r="I97" s="22" t="n">
        <v>0.25</v>
      </c>
      <c r="J97" s="22" t="n">
        <v>0.2849</v>
      </c>
      <c r="K97" s="22" t="n">
        <v>0.0713</v>
      </c>
      <c r="L97" s="10" t="n">
        <v>4</v>
      </c>
      <c r="M97" s="13" t="n">
        <v>0.0414</v>
      </c>
    </row>
    <row r="98">
      <c r="A98" s="10" t="inlineStr">
        <is>
          <t>PJ-2023-H</t>
        </is>
      </c>
      <c r="B98" s="10" t="inlineStr">
        <is>
          <t>クロノスギア:蒼き遺産</t>
        </is>
      </c>
      <c r="C98" s="10" t="inlineStr">
        <is>
          <t>大型アップデート</t>
        </is>
      </c>
      <c r="D98" s="10" t="inlineStr">
        <is>
          <t>位置合わせ(MS学習値)／単調補間</t>
        </is>
      </c>
      <c r="E98" s="10" t="inlineStr">
        <is>
          <t>単調補間</t>
        </is>
      </c>
      <c r="F98" s="12" t="n">
        <v>1100</v>
      </c>
      <c r="G98" s="10" t="n">
        <v>20</v>
      </c>
      <c r="H98" s="10" t="n">
        <v>9</v>
      </c>
      <c r="I98" s="22" t="n">
        <v>0.3034</v>
      </c>
      <c r="J98" s="22" t="n">
        <v>0.3284</v>
      </c>
      <c r="K98" s="22" t="n">
        <v>0.0848</v>
      </c>
      <c r="L98" s="10" t="n">
        <v>4</v>
      </c>
      <c r="M98" s="13" t="n">
        <v>-0.0117</v>
      </c>
    </row>
    <row r="99">
      <c r="A99" s="10" t="inlineStr">
        <is>
          <t>PJ-2023-H</t>
        </is>
      </c>
      <c r="B99" s="10" t="inlineStr">
        <is>
          <t>クロノスギア:蒼き遺産</t>
        </is>
      </c>
      <c r="C99" s="10" t="inlineStr">
        <is>
          <t>大型アップデート</t>
        </is>
      </c>
      <c r="D99" s="10" t="inlineStr">
        <is>
          <t>位置合わせ(MS指定)／単調補間</t>
        </is>
      </c>
      <c r="E99" s="10" t="inlineStr">
        <is>
          <t>単調補間</t>
        </is>
      </c>
      <c r="F99" s="12" t="n">
        <v>1100</v>
      </c>
      <c r="G99" s="10" t="n">
        <v>20</v>
      </c>
      <c r="H99" s="10" t="n">
        <v>9</v>
      </c>
      <c r="I99" s="22" t="n">
        <v>0.1014</v>
      </c>
      <c r="J99" s="22" t="n">
        <v>0.2048</v>
      </c>
      <c r="K99" s="22" t="n">
        <v>0.0334</v>
      </c>
      <c r="L99" s="10" t="n">
        <v>-1</v>
      </c>
      <c r="M99" s="13" t="n">
        <v>-0.0256</v>
      </c>
    </row>
    <row r="100">
      <c r="A100" s="10" t="inlineStr">
        <is>
          <t>PJ-2023-I</t>
        </is>
      </c>
      <c r="B100" s="10" t="inlineStr">
        <is>
          <t>ブレイブフロンティア Remaster</t>
        </is>
      </c>
      <c r="C100" s="10" t="inlineStr">
        <is>
          <t>移植・リマスター</t>
        </is>
      </c>
      <c r="D100" s="10" t="inlineStr">
        <is>
          <t>素朴版／月内均等</t>
        </is>
      </c>
      <c r="E100" s="10" t="inlineStr">
        <is>
          <t>月内均等</t>
        </is>
      </c>
      <c r="F100" s="12" t="n">
        <v>700</v>
      </c>
      <c r="G100" s="10" t="n">
        <v>18</v>
      </c>
      <c r="H100" s="10" t="n">
        <v>9</v>
      </c>
      <c r="I100" s="22" t="n">
        <v>0.3793</v>
      </c>
      <c r="J100" s="22" t="n">
        <v>0.5123</v>
      </c>
      <c r="K100" s="22" t="n">
        <v>0.1231</v>
      </c>
      <c r="L100" s="10" t="n">
        <v>0</v>
      </c>
      <c r="M100" s="13" t="n">
        <v>-0.4217</v>
      </c>
    </row>
    <row r="101">
      <c r="A101" s="10" t="inlineStr">
        <is>
          <t>PJ-2023-I</t>
        </is>
      </c>
      <c r="B101" s="10" t="inlineStr">
        <is>
          <t>ブレイブフロンティア Remaster</t>
        </is>
      </c>
      <c r="C101" s="10" t="inlineStr">
        <is>
          <t>移植・リマスター</t>
        </is>
      </c>
      <c r="D101" s="10" t="inlineStr">
        <is>
          <t>位置合わせ(MS学習値)／月内均等</t>
        </is>
      </c>
      <c r="E101" s="10" t="inlineStr">
        <is>
          <t>月内均等</t>
        </is>
      </c>
      <c r="F101" s="12" t="n">
        <v>700</v>
      </c>
      <c r="G101" s="10" t="n">
        <v>18</v>
      </c>
      <c r="H101" s="10" t="n">
        <v>9</v>
      </c>
      <c r="I101" s="22" t="n">
        <v>0.3448</v>
      </c>
      <c r="J101" s="22" t="n">
        <v>0.4983</v>
      </c>
      <c r="K101" s="22" t="n">
        <v>0.1193</v>
      </c>
      <c r="L101" s="10" t="n">
        <v>1</v>
      </c>
      <c r="M101" s="13" t="n">
        <v>-0.4065</v>
      </c>
    </row>
    <row r="102">
      <c r="A102" s="10" t="inlineStr">
        <is>
          <t>PJ-2023-I</t>
        </is>
      </c>
      <c r="B102" s="10" t="inlineStr">
        <is>
          <t>ブレイブフロンティア Remaster</t>
        </is>
      </c>
      <c r="C102" s="10" t="inlineStr">
        <is>
          <t>移植・リマスター</t>
        </is>
      </c>
      <c r="D102" s="10" t="inlineStr">
        <is>
          <t>位置合わせ(MS指定)／月内均等</t>
        </is>
      </c>
      <c r="E102" s="10" t="inlineStr">
        <is>
          <t>月内均等</t>
        </is>
      </c>
      <c r="F102" s="12" t="n">
        <v>700</v>
      </c>
      <c r="G102" s="10" t="n">
        <v>18</v>
      </c>
      <c r="H102" s="10" t="n">
        <v>9</v>
      </c>
      <c r="I102" s="22" t="n">
        <v>0.2717</v>
      </c>
      <c r="J102" s="22" t="n">
        <v>0.4293</v>
      </c>
      <c r="K102" s="22" t="n">
        <v>0.0809</v>
      </c>
      <c r="L102" s="10" t="n">
        <v>-3</v>
      </c>
      <c r="M102" s="13" t="n">
        <v>-0.353</v>
      </c>
    </row>
    <row r="103">
      <c r="A103" s="10" t="inlineStr">
        <is>
          <t>PJ-2023-I</t>
        </is>
      </c>
      <c r="B103" s="10" t="inlineStr">
        <is>
          <t>ブレイブフロンティア Remaster</t>
        </is>
      </c>
      <c r="C103" s="10" t="inlineStr">
        <is>
          <t>移植・リマスター</t>
        </is>
      </c>
      <c r="D103" s="10" t="inlineStr">
        <is>
          <t>素朴版／単調補間</t>
        </is>
      </c>
      <c r="E103" s="10" t="inlineStr">
        <is>
          <t>単調補間</t>
        </is>
      </c>
      <c r="F103" s="12" t="n">
        <v>700</v>
      </c>
      <c r="G103" s="10" t="n">
        <v>18</v>
      </c>
      <c r="H103" s="10" t="n">
        <v>9</v>
      </c>
      <c r="I103" s="22" t="n">
        <v>0.3792</v>
      </c>
      <c r="J103" s="22" t="n">
        <v>0.5128</v>
      </c>
      <c r="K103" s="22" t="n">
        <v>0.1233</v>
      </c>
      <c r="L103" s="10" t="n">
        <v>0</v>
      </c>
      <c r="M103" s="13" t="n">
        <v>-0.4153</v>
      </c>
    </row>
    <row r="104">
      <c r="A104" s="10" t="inlineStr">
        <is>
          <t>PJ-2023-I</t>
        </is>
      </c>
      <c r="B104" s="10" t="inlineStr">
        <is>
          <t>ブレイブフロンティア Remaster</t>
        </is>
      </c>
      <c r="C104" s="10" t="inlineStr">
        <is>
          <t>移植・リマスター</t>
        </is>
      </c>
      <c r="D104" s="10" t="inlineStr">
        <is>
          <t>位置合わせ(MS学習値)／単調補間</t>
        </is>
      </c>
      <c r="E104" s="10" t="inlineStr">
        <is>
          <t>単調補間</t>
        </is>
      </c>
      <c r="F104" s="12" t="n">
        <v>700</v>
      </c>
      <c r="G104" s="10" t="n">
        <v>18</v>
      </c>
      <c r="H104" s="10" t="n">
        <v>9</v>
      </c>
      <c r="I104" s="22" t="n">
        <v>0.3433</v>
      </c>
      <c r="J104" s="22" t="n">
        <v>0.4975</v>
      </c>
      <c r="K104" s="22" t="n">
        <v>0.1189</v>
      </c>
      <c r="L104" s="10" t="n">
        <v>1</v>
      </c>
      <c r="M104" s="13" t="n">
        <v>-0.4066</v>
      </c>
    </row>
    <row r="105">
      <c r="A105" s="10" t="inlineStr">
        <is>
          <t>PJ-2023-I</t>
        </is>
      </c>
      <c r="B105" s="10" t="inlineStr">
        <is>
          <t>ブレイブフロンティア Remaster</t>
        </is>
      </c>
      <c r="C105" s="10" t="inlineStr">
        <is>
          <t>移植・リマスター</t>
        </is>
      </c>
      <c r="D105" s="10" t="inlineStr">
        <is>
          <t>位置合わせ(MS指定)／単調補間</t>
        </is>
      </c>
      <c r="E105" s="10" t="inlineStr">
        <is>
          <t>単調補間</t>
        </is>
      </c>
      <c r="F105" s="12" t="n">
        <v>700</v>
      </c>
      <c r="G105" s="10" t="n">
        <v>18</v>
      </c>
      <c r="H105" s="10" t="n">
        <v>9</v>
      </c>
      <c r="I105" s="22" t="n">
        <v>0.2712</v>
      </c>
      <c r="J105" s="22" t="n">
        <v>0.4277</v>
      </c>
      <c r="K105" s="22" t="n">
        <v>0.0808</v>
      </c>
      <c r="L105" s="10" t="n">
        <v>-3</v>
      </c>
      <c r="M105" s="13" t="n">
        <v>-0.3573</v>
      </c>
    </row>
    <row r="106">
      <c r="A106" s="10" t="inlineStr">
        <is>
          <t>PJ-2024-J</t>
        </is>
      </c>
      <c r="B106" s="10" t="inlineStr">
        <is>
          <t>オーヴァーロード・サーガ(後半集中)</t>
        </is>
      </c>
      <c r="C106" s="10" t="inlineStr">
        <is>
          <t>新規タイトル開発</t>
        </is>
      </c>
      <c r="D106" s="10" t="inlineStr">
        <is>
          <t>素朴版／月内均等</t>
        </is>
      </c>
      <c r="E106" s="10" t="inlineStr">
        <is>
          <t>月内均等</t>
        </is>
      </c>
      <c r="F106" s="12" t="n">
        <v>2200</v>
      </c>
      <c r="G106" s="10" t="n">
        <v>30</v>
      </c>
      <c r="H106" s="10" t="n">
        <v>9</v>
      </c>
      <c r="I106" s="22" t="n">
        <v>0.3979</v>
      </c>
      <c r="J106" s="22" t="n">
        <v>0.4974</v>
      </c>
      <c r="K106" s="22" t="n">
        <v>0.1903</v>
      </c>
      <c r="L106" s="10" t="n">
        <v>1</v>
      </c>
      <c r="M106" s="13" t="n">
        <v>-0.4662</v>
      </c>
    </row>
    <row r="107">
      <c r="A107" s="10" t="inlineStr">
        <is>
          <t>PJ-2024-J</t>
        </is>
      </c>
      <c r="B107" s="10" t="inlineStr">
        <is>
          <t>オーヴァーロード・サーガ(後半集中)</t>
        </is>
      </c>
      <c r="C107" s="10" t="inlineStr">
        <is>
          <t>新規タイトル開発</t>
        </is>
      </c>
      <c r="D107" s="10" t="inlineStr">
        <is>
          <t>位置合わせ(MS学習値)／月内均等</t>
        </is>
      </c>
      <c r="E107" s="10" t="inlineStr">
        <is>
          <t>月内均等</t>
        </is>
      </c>
      <c r="F107" s="12" t="n">
        <v>2200</v>
      </c>
      <c r="G107" s="10" t="n">
        <v>30</v>
      </c>
      <c r="H107" s="10" t="n">
        <v>9</v>
      </c>
      <c r="I107" s="22" t="n">
        <v>0.3971</v>
      </c>
      <c r="J107" s="22" t="n">
        <v>0.4892</v>
      </c>
      <c r="K107" s="22" t="n">
        <v>0.1888</v>
      </c>
      <c r="L107" s="10" t="n">
        <v>-3</v>
      </c>
      <c r="M107" s="13" t="n">
        <v>-0.4444</v>
      </c>
    </row>
    <row r="108">
      <c r="A108" s="10" t="inlineStr">
        <is>
          <t>PJ-2024-J</t>
        </is>
      </c>
      <c r="B108" s="10" t="inlineStr">
        <is>
          <t>オーヴァーロード・サーガ(後半集中)</t>
        </is>
      </c>
      <c r="C108" s="10" t="inlineStr">
        <is>
          <t>新規タイトル開発</t>
        </is>
      </c>
      <c r="D108" s="10" t="inlineStr">
        <is>
          <t>位置合わせ(MS指定)／月内均等</t>
        </is>
      </c>
      <c r="E108" s="10" t="inlineStr">
        <is>
          <t>月内均等</t>
        </is>
      </c>
      <c r="F108" s="12" t="n">
        <v>2200</v>
      </c>
      <c r="G108" s="10" t="n">
        <v>30</v>
      </c>
      <c r="H108" s="10" t="n">
        <v>9</v>
      </c>
      <c r="I108" s="22" t="n">
        <v>0.3318</v>
      </c>
      <c r="J108" s="22" t="n">
        <v>0.4533</v>
      </c>
      <c r="K108" s="22" t="n">
        <v>0.1626</v>
      </c>
      <c r="L108" s="10" t="n">
        <v>2</v>
      </c>
      <c r="M108" s="13" t="n">
        <v>-0.1988</v>
      </c>
    </row>
    <row r="109">
      <c r="A109" s="10" t="inlineStr">
        <is>
          <t>PJ-2024-J</t>
        </is>
      </c>
      <c r="B109" s="10" t="inlineStr">
        <is>
          <t>オーヴァーロード・サーガ(後半集中)</t>
        </is>
      </c>
      <c r="C109" s="10" t="inlineStr">
        <is>
          <t>新規タイトル開発</t>
        </is>
      </c>
      <c r="D109" s="10" t="inlineStr">
        <is>
          <t>素朴版／単調補間</t>
        </is>
      </c>
      <c r="E109" s="10" t="inlineStr">
        <is>
          <t>単調補間</t>
        </is>
      </c>
      <c r="F109" s="12" t="n">
        <v>2200</v>
      </c>
      <c r="G109" s="10" t="n">
        <v>30</v>
      </c>
      <c r="H109" s="10" t="n">
        <v>9</v>
      </c>
      <c r="I109" s="22" t="n">
        <v>0.3945</v>
      </c>
      <c r="J109" s="22" t="n">
        <v>0.4961</v>
      </c>
      <c r="K109" s="22" t="n">
        <v>0.1903</v>
      </c>
      <c r="L109" s="10" t="n">
        <v>1</v>
      </c>
      <c r="M109" s="13" t="n">
        <v>-0.4534</v>
      </c>
    </row>
    <row r="110">
      <c r="A110" s="10" t="inlineStr">
        <is>
          <t>PJ-2024-J</t>
        </is>
      </c>
      <c r="B110" s="10" t="inlineStr">
        <is>
          <t>オーヴァーロード・サーガ(後半集中)</t>
        </is>
      </c>
      <c r="C110" s="10" t="inlineStr">
        <is>
          <t>新規タイトル開発</t>
        </is>
      </c>
      <c r="D110" s="10" t="inlineStr">
        <is>
          <t>位置合わせ(MS学習値)／単調補間</t>
        </is>
      </c>
      <c r="E110" s="10" t="inlineStr">
        <is>
          <t>単調補間</t>
        </is>
      </c>
      <c r="F110" s="12" t="n">
        <v>2200</v>
      </c>
      <c r="G110" s="10" t="n">
        <v>30</v>
      </c>
      <c r="H110" s="10" t="n">
        <v>9</v>
      </c>
      <c r="I110" s="22" t="n">
        <v>0.3935</v>
      </c>
      <c r="J110" s="22" t="n">
        <v>0.488</v>
      </c>
      <c r="K110" s="22" t="n">
        <v>0.1876</v>
      </c>
      <c r="L110" s="10" t="n">
        <v>-3</v>
      </c>
      <c r="M110" s="13" t="n">
        <v>-0.4574</v>
      </c>
    </row>
    <row r="111">
      <c r="A111" s="10" t="inlineStr">
        <is>
          <t>PJ-2024-J</t>
        </is>
      </c>
      <c r="B111" s="10" t="inlineStr">
        <is>
          <t>オーヴァーロード・サーガ(後半集中)</t>
        </is>
      </c>
      <c r="C111" s="10" t="inlineStr">
        <is>
          <t>新規タイトル開発</t>
        </is>
      </c>
      <c r="D111" s="10" t="inlineStr">
        <is>
          <t>位置合わせ(MS指定)／単調補間</t>
        </is>
      </c>
      <c r="E111" s="10" t="inlineStr">
        <is>
          <t>単調補間</t>
        </is>
      </c>
      <c r="F111" s="12" t="n">
        <v>2200</v>
      </c>
      <c r="G111" s="10" t="n">
        <v>30</v>
      </c>
      <c r="H111" s="10" t="n">
        <v>9</v>
      </c>
      <c r="I111" s="22" t="n">
        <v>0.3282</v>
      </c>
      <c r="J111" s="22" t="n">
        <v>0.4519</v>
      </c>
      <c r="K111" s="22" t="n">
        <v>0.1618</v>
      </c>
      <c r="L111" s="10" t="n">
        <v>2</v>
      </c>
      <c r="M111" s="13" t="n">
        <v>-0.1979</v>
      </c>
    </row>
    <row r="113">
      <c r="A113" s="6" t="inlineStr">
        <is>
          <t>■ 月次 予測 vs 実績(全案件・全モード)</t>
        </is>
      </c>
    </row>
    <row r="114">
      <c r="A114" s="5" t="inlineStr">
        <is>
          <t>ピボットテーブルで案件・モードを切り替えて確認できる形にしてある。</t>
        </is>
      </c>
    </row>
    <row r="115">
      <c r="A115" s="8" t="inlineStr">
        <is>
          <t>案件ID</t>
        </is>
      </c>
      <c r="B115" s="8" t="inlineStr">
        <is>
          <t>モード</t>
        </is>
      </c>
      <c r="C115" s="8" t="inlineStr">
        <is>
          <t>月</t>
        </is>
      </c>
      <c r="D115" s="8" t="inlineStr">
        <is>
          <t>月次番号</t>
        </is>
      </c>
      <c r="E115" s="8" t="inlineStr">
        <is>
          <t>予測(時間)</t>
        </is>
      </c>
      <c r="F115" s="8" t="inlineStr">
        <is>
          <t>実績(時間)</t>
        </is>
      </c>
      <c r="G115" s="8" t="inlineStr">
        <is>
          <t>差分(時間)</t>
        </is>
      </c>
      <c r="H115" s="8" t="inlineStr">
        <is>
          <t>予測累積率</t>
        </is>
      </c>
      <c r="I115" s="8" t="inlineStr">
        <is>
          <t>実績累積率</t>
        </is>
      </c>
    </row>
    <row r="116">
      <c r="A116" s="10" t="inlineStr">
        <is>
          <t>PJ-2019-A</t>
        </is>
      </c>
      <c r="B116" s="10" t="inlineStr">
        <is>
          <t>素朴版／月内均等</t>
        </is>
      </c>
      <c r="C116" s="10" t="inlineStr">
        <is>
          <t>2019-04</t>
        </is>
      </c>
      <c r="D116" s="10" t="n">
        <v>1</v>
      </c>
      <c r="E116" s="12" t="n">
        <v>4096.9</v>
      </c>
      <c r="F116" s="12" t="n">
        <v>3071.8</v>
      </c>
      <c r="G116" s="12" t="n">
        <v>1025.1</v>
      </c>
      <c r="H116" s="13" t="n">
        <v>0.0108</v>
      </c>
      <c r="I116" s="13" t="n">
        <v>0.0081</v>
      </c>
    </row>
    <row r="117">
      <c r="A117" s="10" t="inlineStr">
        <is>
          <t>PJ-2019-A</t>
        </is>
      </c>
      <c r="B117" s="10" t="inlineStr">
        <is>
          <t>素朴版／月内均等</t>
        </is>
      </c>
      <c r="C117" s="10" t="inlineStr">
        <is>
          <t>2019-05</t>
        </is>
      </c>
      <c r="D117" s="10" t="n">
        <v>2</v>
      </c>
      <c r="E117" s="12" t="n">
        <v>4746.3</v>
      </c>
      <c r="F117" s="12" t="n">
        <v>5541.4</v>
      </c>
      <c r="G117" s="12" t="n">
        <v>-795.1</v>
      </c>
      <c r="H117" s="13" t="n">
        <v>0.0233</v>
      </c>
      <c r="I117" s="13" t="n">
        <v>0.0227</v>
      </c>
    </row>
    <row r="118">
      <c r="A118" s="10" t="inlineStr">
        <is>
          <t>PJ-2019-A</t>
        </is>
      </c>
      <c r="B118" s="10" t="inlineStr">
        <is>
          <t>素朴版／月内均等</t>
        </is>
      </c>
      <c r="C118" s="10" t="inlineStr">
        <is>
          <t>2019-06</t>
        </is>
      </c>
      <c r="D118" s="10" t="n">
        <v>3</v>
      </c>
      <c r="E118" s="12" t="n">
        <v>5387.8</v>
      </c>
      <c r="F118" s="12" t="n">
        <v>6929.4</v>
      </c>
      <c r="G118" s="12" t="n">
        <v>-1541.6</v>
      </c>
      <c r="H118" s="13" t="n">
        <v>0.0375</v>
      </c>
      <c r="I118" s="13" t="n">
        <v>0.0409</v>
      </c>
    </row>
    <row r="119">
      <c r="A119" s="10" t="inlineStr">
        <is>
          <t>PJ-2019-A</t>
        </is>
      </c>
      <c r="B119" s="10" t="inlineStr">
        <is>
          <t>素朴版／月内均等</t>
        </is>
      </c>
      <c r="C119" s="10" t="inlineStr">
        <is>
          <t>2019-07</t>
        </is>
      </c>
      <c r="D119" s="10" t="n">
        <v>4</v>
      </c>
      <c r="E119" s="12" t="n">
        <v>5921.5</v>
      </c>
      <c r="F119" s="12" t="n">
        <v>8197.200000000001</v>
      </c>
      <c r="G119" s="12" t="n">
        <v>-2275.7</v>
      </c>
      <c r="H119" s="13" t="n">
        <v>0.0531</v>
      </c>
      <c r="I119" s="13" t="n">
        <v>0.0625</v>
      </c>
    </row>
    <row r="120">
      <c r="A120" s="10" t="inlineStr">
        <is>
          <t>PJ-2019-A</t>
        </is>
      </c>
      <c r="B120" s="10" t="inlineStr">
        <is>
          <t>素朴版／月内均等</t>
        </is>
      </c>
      <c r="C120" s="10" t="inlineStr">
        <is>
          <t>2019-08</t>
        </is>
      </c>
      <c r="D120" s="10" t="n">
        <v>5</v>
      </c>
      <c r="E120" s="12" t="n">
        <v>6419.5</v>
      </c>
      <c r="F120" s="12" t="n">
        <v>9127.4</v>
      </c>
      <c r="G120" s="12" t="n">
        <v>-2707.9</v>
      </c>
      <c r="H120" s="13" t="n">
        <v>0.07000000000000001</v>
      </c>
      <c r="I120" s="13" t="n">
        <v>0.0866</v>
      </c>
    </row>
    <row r="121">
      <c r="A121" s="10" t="inlineStr">
        <is>
          <t>PJ-2019-A</t>
        </is>
      </c>
      <c r="B121" s="10" t="inlineStr">
        <is>
          <t>素朴版／月内均等</t>
        </is>
      </c>
      <c r="C121" s="10" t="inlineStr">
        <is>
          <t>2019-09</t>
        </is>
      </c>
      <c r="D121" s="10" t="n">
        <v>6</v>
      </c>
      <c r="E121" s="12" t="n">
        <v>6613.3</v>
      </c>
      <c r="F121" s="12" t="n">
        <v>9824.700000000001</v>
      </c>
      <c r="G121" s="12" t="n">
        <v>-3211.4</v>
      </c>
      <c r="H121" s="13" t="n">
        <v>0.08740000000000001</v>
      </c>
      <c r="I121" s="13" t="n">
        <v>0.1125</v>
      </c>
    </row>
    <row r="122">
      <c r="A122" s="10" t="inlineStr">
        <is>
          <t>PJ-2019-A</t>
        </is>
      </c>
      <c r="B122" s="10" t="inlineStr">
        <is>
          <t>素朴版／月内均等</t>
        </is>
      </c>
      <c r="C122" s="10" t="inlineStr">
        <is>
          <t>2019-10</t>
        </is>
      </c>
      <c r="D122" s="10" t="n">
        <v>7</v>
      </c>
      <c r="E122" s="12" t="n">
        <v>7269.5</v>
      </c>
      <c r="F122" s="12" t="n">
        <v>7570.4</v>
      </c>
      <c r="G122" s="12" t="n">
        <v>-300.9</v>
      </c>
      <c r="H122" s="13" t="n">
        <v>0.1066</v>
      </c>
      <c r="I122" s="13" t="n">
        <v>0.1324</v>
      </c>
    </row>
    <row r="123">
      <c r="A123" s="10" t="inlineStr">
        <is>
          <t>PJ-2019-A</t>
        </is>
      </c>
      <c r="B123" s="10" t="inlineStr">
        <is>
          <t>素朴版／月内均等</t>
        </is>
      </c>
      <c r="C123" s="10" t="inlineStr">
        <is>
          <t>2019-11</t>
        </is>
      </c>
      <c r="D123" s="10" t="n">
        <v>8</v>
      </c>
      <c r="E123" s="12" t="n">
        <v>7328.5</v>
      </c>
      <c r="F123" s="12" t="n">
        <v>7669.4</v>
      </c>
      <c r="G123" s="12" t="n">
        <v>-340.9</v>
      </c>
      <c r="H123" s="13" t="n">
        <v>0.1259</v>
      </c>
      <c r="I123" s="13" t="n">
        <v>0.1526</v>
      </c>
    </row>
    <row r="124">
      <c r="A124" s="10" t="inlineStr">
        <is>
          <t>PJ-2019-A</t>
        </is>
      </c>
      <c r="B124" s="10" t="inlineStr">
        <is>
          <t>素朴版／月内均等</t>
        </is>
      </c>
      <c r="C124" s="10" t="inlineStr">
        <is>
          <t>2019-12</t>
        </is>
      </c>
      <c r="D124" s="10" t="n">
        <v>9</v>
      </c>
      <c r="E124" s="12" t="n">
        <v>8366.4</v>
      </c>
      <c r="F124" s="12" t="n">
        <v>7989.5</v>
      </c>
      <c r="G124" s="12" t="n">
        <v>376.9</v>
      </c>
      <c r="H124" s="13" t="n">
        <v>0.1479</v>
      </c>
      <c r="I124" s="13" t="n">
        <v>0.1737</v>
      </c>
    </row>
    <row r="125">
      <c r="A125" s="10" t="inlineStr">
        <is>
          <t>PJ-2019-A</t>
        </is>
      </c>
      <c r="B125" s="10" t="inlineStr">
        <is>
          <t>素朴版／月内均等</t>
        </is>
      </c>
      <c r="C125" s="10" t="inlineStr">
        <is>
          <t>2020-01</t>
        </is>
      </c>
      <c r="D125" s="10" t="n">
        <v>10</v>
      </c>
      <c r="E125" s="12" t="n">
        <v>9171.200000000001</v>
      </c>
      <c r="F125" s="12" t="n">
        <v>8507.5</v>
      </c>
      <c r="G125" s="12" t="n">
        <v>663.7</v>
      </c>
      <c r="H125" s="13" t="n">
        <v>0.1721</v>
      </c>
      <c r="I125" s="13" t="n">
        <v>0.1961</v>
      </c>
    </row>
    <row r="126">
      <c r="A126" s="10" t="inlineStr">
        <is>
          <t>PJ-2019-A</t>
        </is>
      </c>
      <c r="B126" s="10" t="inlineStr">
        <is>
          <t>素朴版／月内均等</t>
        </is>
      </c>
      <c r="C126" s="10" t="inlineStr">
        <is>
          <t>2020-02</t>
        </is>
      </c>
      <c r="D126" s="10" t="n">
        <v>11</v>
      </c>
      <c r="E126" s="12" t="n">
        <v>10283.8</v>
      </c>
      <c r="F126" s="12" t="n">
        <v>8132.8</v>
      </c>
      <c r="G126" s="12" t="n">
        <v>2151</v>
      </c>
      <c r="H126" s="13" t="n">
        <v>0.1992</v>
      </c>
      <c r="I126" s="13" t="n">
        <v>0.2175</v>
      </c>
    </row>
    <row r="127">
      <c r="A127" s="10" t="inlineStr">
        <is>
          <t>PJ-2019-A</t>
        </is>
      </c>
      <c r="B127" s="10" t="inlineStr">
        <is>
          <t>素朴版／月内均等</t>
        </is>
      </c>
      <c r="C127" s="10" t="inlineStr">
        <is>
          <t>2020-03</t>
        </is>
      </c>
      <c r="D127" s="10" t="n">
        <v>12</v>
      </c>
      <c r="E127" s="12" t="n">
        <v>11513.3</v>
      </c>
      <c r="F127" s="12" t="n">
        <v>9311.5</v>
      </c>
      <c r="G127" s="12" t="n">
        <v>2201.8</v>
      </c>
      <c r="H127" s="13" t="n">
        <v>0.2295</v>
      </c>
      <c r="I127" s="13" t="n">
        <v>0.2421</v>
      </c>
    </row>
    <row r="128">
      <c r="A128" s="10" t="inlineStr">
        <is>
          <t>PJ-2019-A</t>
        </is>
      </c>
      <c r="B128" s="10" t="inlineStr">
        <is>
          <t>素朴版／月内均等</t>
        </is>
      </c>
      <c r="C128" s="10" t="inlineStr">
        <is>
          <t>2020-04</t>
        </is>
      </c>
      <c r="D128" s="10" t="n">
        <v>13</v>
      </c>
      <c r="E128" s="12" t="n">
        <v>12210.6</v>
      </c>
      <c r="F128" s="12" t="n">
        <v>9039.6</v>
      </c>
      <c r="G128" s="12" t="n">
        <v>3171</v>
      </c>
      <c r="H128" s="13" t="n">
        <v>0.2617</v>
      </c>
      <c r="I128" s="13" t="n">
        <v>0.2659</v>
      </c>
    </row>
    <row r="129">
      <c r="A129" s="10" t="inlineStr">
        <is>
          <t>PJ-2019-A</t>
        </is>
      </c>
      <c r="B129" s="10" t="inlineStr">
        <is>
          <t>素朴版／月内均等</t>
        </is>
      </c>
      <c r="C129" s="10" t="inlineStr">
        <is>
          <t>2020-05</t>
        </is>
      </c>
      <c r="D129" s="10" t="n">
        <v>14</v>
      </c>
      <c r="E129" s="12" t="n">
        <v>13289.6</v>
      </c>
      <c r="F129" s="12" t="n">
        <v>9635.799999999999</v>
      </c>
      <c r="G129" s="12" t="n">
        <v>3653.8</v>
      </c>
      <c r="H129" s="13" t="n">
        <v>0.2967</v>
      </c>
      <c r="I129" s="13" t="n">
        <v>0.2913</v>
      </c>
    </row>
    <row r="130">
      <c r="A130" s="10" t="inlineStr">
        <is>
          <t>PJ-2019-A</t>
        </is>
      </c>
      <c r="B130" s="10" t="inlineStr">
        <is>
          <t>素朴版／月内均等</t>
        </is>
      </c>
      <c r="C130" s="10" t="inlineStr">
        <is>
          <t>2020-06</t>
        </is>
      </c>
      <c r="D130" s="10" t="n">
        <v>15</v>
      </c>
      <c r="E130" s="12" t="n">
        <v>14033.4</v>
      </c>
      <c r="F130" s="12" t="n">
        <v>10344.9</v>
      </c>
      <c r="G130" s="12" t="n">
        <v>3688.5</v>
      </c>
      <c r="H130" s="13" t="n">
        <v>0.3337</v>
      </c>
      <c r="I130" s="13" t="n">
        <v>0.3185</v>
      </c>
    </row>
    <row r="131">
      <c r="A131" s="10" t="inlineStr">
        <is>
          <t>PJ-2019-A</t>
        </is>
      </c>
      <c r="B131" s="10" t="inlineStr">
        <is>
          <t>素朴版／月内均等</t>
        </is>
      </c>
      <c r="C131" s="10" t="inlineStr">
        <is>
          <t>2020-07</t>
        </is>
      </c>
      <c r="D131" s="10" t="n">
        <v>16</v>
      </c>
      <c r="E131" s="12" t="n">
        <v>13356.9</v>
      </c>
      <c r="F131" s="12" t="n">
        <v>11426.7</v>
      </c>
      <c r="G131" s="12" t="n">
        <v>1930.2</v>
      </c>
      <c r="H131" s="13" t="n">
        <v>0.3689</v>
      </c>
      <c r="I131" s="13" t="n">
        <v>0.3486</v>
      </c>
    </row>
    <row r="132">
      <c r="A132" s="10" t="inlineStr">
        <is>
          <t>PJ-2019-A</t>
        </is>
      </c>
      <c r="B132" s="10" t="inlineStr">
        <is>
          <t>素朴版／月内均等</t>
        </is>
      </c>
      <c r="C132" s="10" t="inlineStr">
        <is>
          <t>2020-08</t>
        </is>
      </c>
      <c r="D132" s="10" t="n">
        <v>17</v>
      </c>
      <c r="E132" s="12" t="n">
        <v>12731.5</v>
      </c>
      <c r="F132" s="12" t="n">
        <v>12271.1</v>
      </c>
      <c r="G132" s="12" t="n">
        <v>460.4</v>
      </c>
      <c r="H132" s="13" t="n">
        <v>0.4024</v>
      </c>
      <c r="I132" s="13" t="n">
        <v>0.3809</v>
      </c>
    </row>
    <row r="133">
      <c r="A133" s="10" t="inlineStr">
        <is>
          <t>PJ-2019-A</t>
        </is>
      </c>
      <c r="B133" s="10" t="inlineStr">
        <is>
          <t>素朴版／月内均等</t>
        </is>
      </c>
      <c r="C133" s="10" t="inlineStr">
        <is>
          <t>2020-09</t>
        </is>
      </c>
      <c r="D133" s="10" t="n">
        <v>18</v>
      </c>
      <c r="E133" s="12" t="n">
        <v>12074</v>
      </c>
      <c r="F133" s="12" t="n">
        <v>12547.9</v>
      </c>
      <c r="G133" s="12" t="n">
        <v>-473.9</v>
      </c>
      <c r="H133" s="13" t="n">
        <v>0.4342</v>
      </c>
      <c r="I133" s="13" t="n">
        <v>0.414</v>
      </c>
    </row>
    <row r="134">
      <c r="A134" s="10" t="inlineStr">
        <is>
          <t>PJ-2019-A</t>
        </is>
      </c>
      <c r="B134" s="10" t="inlineStr">
        <is>
          <t>素朴版／月内均等</t>
        </is>
      </c>
      <c r="C134" s="10" t="inlineStr">
        <is>
          <t>2020-10</t>
        </is>
      </c>
      <c r="D134" s="10" t="n">
        <v>19</v>
      </c>
      <c r="E134" s="12" t="n">
        <v>14456.3</v>
      </c>
      <c r="F134" s="12" t="n">
        <v>14214.2</v>
      </c>
      <c r="G134" s="12" t="n">
        <v>242.1</v>
      </c>
      <c r="H134" s="13" t="n">
        <v>0.4723</v>
      </c>
      <c r="I134" s="13" t="n">
        <v>0.4515</v>
      </c>
    </row>
    <row r="135">
      <c r="A135" s="10" t="inlineStr">
        <is>
          <t>PJ-2019-A</t>
        </is>
      </c>
      <c r="B135" s="10" t="inlineStr">
        <is>
          <t>素朴版／月内均等</t>
        </is>
      </c>
      <c r="C135" s="10" t="inlineStr">
        <is>
          <t>2020-11</t>
        </is>
      </c>
      <c r="D135" s="10" t="n">
        <v>20</v>
      </c>
      <c r="E135" s="12" t="n">
        <v>14079.4</v>
      </c>
      <c r="F135" s="12" t="n">
        <v>16661.4</v>
      </c>
      <c r="G135" s="12" t="n">
        <v>-2582</v>
      </c>
      <c r="H135" s="13" t="n">
        <v>0.5094</v>
      </c>
      <c r="I135" s="13" t="n">
        <v>0.4953</v>
      </c>
    </row>
    <row r="136">
      <c r="A136" s="10" t="inlineStr">
        <is>
          <t>PJ-2019-A</t>
        </is>
      </c>
      <c r="B136" s="10" t="inlineStr">
        <is>
          <t>素朴版／月内均等</t>
        </is>
      </c>
      <c r="C136" s="10" t="inlineStr">
        <is>
          <t>2020-12</t>
        </is>
      </c>
      <c r="D136" s="10" t="n">
        <v>21</v>
      </c>
      <c r="E136" s="12" t="n">
        <v>15109.9</v>
      </c>
      <c r="F136" s="12" t="n">
        <v>15314.9</v>
      </c>
      <c r="G136" s="12" t="n">
        <v>-205</v>
      </c>
      <c r="H136" s="13" t="n">
        <v>0.5492</v>
      </c>
      <c r="I136" s="13" t="n">
        <v>0.5357</v>
      </c>
    </row>
    <row r="137">
      <c r="A137" s="10" t="inlineStr">
        <is>
          <t>PJ-2019-A</t>
        </is>
      </c>
      <c r="B137" s="10" t="inlineStr">
        <is>
          <t>素朴版／月内均等</t>
        </is>
      </c>
      <c r="C137" s="10" t="inlineStr">
        <is>
          <t>2021-01</t>
        </is>
      </c>
      <c r="D137" s="10" t="n">
        <v>22</v>
      </c>
      <c r="E137" s="12" t="n">
        <v>16302.6</v>
      </c>
      <c r="F137" s="12" t="n">
        <v>13490.4</v>
      </c>
      <c r="G137" s="12" t="n">
        <v>2812.2</v>
      </c>
      <c r="H137" s="13" t="n">
        <v>0.5921999999999999</v>
      </c>
      <c r="I137" s="13" t="n">
        <v>0.5712</v>
      </c>
    </row>
    <row r="138">
      <c r="A138" s="10" t="inlineStr">
        <is>
          <t>PJ-2019-A</t>
        </is>
      </c>
      <c r="B138" s="10" t="inlineStr">
        <is>
          <t>素朴版／月内均等</t>
        </is>
      </c>
      <c r="C138" s="10" t="inlineStr">
        <is>
          <t>2021-02</t>
        </is>
      </c>
      <c r="D138" s="10" t="n">
        <v>23</v>
      </c>
      <c r="E138" s="12" t="n">
        <v>15043.7</v>
      </c>
      <c r="F138" s="12" t="n">
        <v>11965.7</v>
      </c>
      <c r="G138" s="12" t="n">
        <v>3078</v>
      </c>
      <c r="H138" s="13" t="n">
        <v>0.6318</v>
      </c>
      <c r="I138" s="13" t="n">
        <v>0.6028</v>
      </c>
    </row>
    <row r="139">
      <c r="A139" s="10" t="inlineStr">
        <is>
          <t>PJ-2019-A</t>
        </is>
      </c>
      <c r="B139" s="10" t="inlineStr">
        <is>
          <t>素朴版／月内均等</t>
        </is>
      </c>
      <c r="C139" s="10" t="inlineStr">
        <is>
          <t>2021-03</t>
        </is>
      </c>
      <c r="D139" s="10" t="n">
        <v>24</v>
      </c>
      <c r="E139" s="12" t="n">
        <v>16398</v>
      </c>
      <c r="F139" s="12" t="n">
        <v>12853.7</v>
      </c>
      <c r="G139" s="12" t="n">
        <v>3544.3</v>
      </c>
      <c r="H139" s="13" t="n">
        <v>0.675</v>
      </c>
      <c r="I139" s="13" t="n">
        <v>0.6366000000000001</v>
      </c>
    </row>
    <row r="140">
      <c r="A140" s="10" t="inlineStr">
        <is>
          <t>PJ-2019-A</t>
        </is>
      </c>
      <c r="B140" s="10" t="inlineStr">
        <is>
          <t>素朴版／月内均等</t>
        </is>
      </c>
      <c r="C140" s="10" t="inlineStr">
        <is>
          <t>2021-04</t>
        </is>
      </c>
      <c r="D140" s="10" t="n">
        <v>25</v>
      </c>
      <c r="E140" s="12" t="n">
        <v>14442.5</v>
      </c>
      <c r="F140" s="12" t="n">
        <v>12825.4</v>
      </c>
      <c r="G140" s="12" t="n">
        <v>1617.1</v>
      </c>
      <c r="H140" s="13" t="n">
        <v>0.7131</v>
      </c>
      <c r="I140" s="13" t="n">
        <v>0.6704</v>
      </c>
    </row>
    <row r="141">
      <c r="A141" s="10" t="inlineStr">
        <is>
          <t>PJ-2019-A</t>
        </is>
      </c>
      <c r="B141" s="10" t="inlineStr">
        <is>
          <t>素朴版／月内均等</t>
        </is>
      </c>
      <c r="C141" s="10" t="inlineStr">
        <is>
          <t>2021-05</t>
        </is>
      </c>
      <c r="D141" s="10" t="n">
        <v>26</v>
      </c>
      <c r="E141" s="12" t="n">
        <v>14273.6</v>
      </c>
      <c r="F141" s="12" t="n">
        <v>13976.5</v>
      </c>
      <c r="G141" s="12" t="n">
        <v>297.1</v>
      </c>
      <c r="H141" s="13" t="n">
        <v>0.7507</v>
      </c>
      <c r="I141" s="13" t="n">
        <v>0.7072000000000001</v>
      </c>
    </row>
    <row r="142">
      <c r="A142" s="10" t="inlineStr">
        <is>
          <t>PJ-2019-A</t>
        </is>
      </c>
      <c r="B142" s="10" t="inlineStr">
        <is>
          <t>素朴版／月内均等</t>
        </is>
      </c>
      <c r="C142" s="10" t="inlineStr">
        <is>
          <t>2021-06</t>
        </is>
      </c>
      <c r="D142" s="10" t="n">
        <v>27</v>
      </c>
      <c r="E142" s="12" t="n">
        <v>13092.1</v>
      </c>
      <c r="F142" s="12" t="n">
        <v>14724.1</v>
      </c>
      <c r="G142" s="12" t="n">
        <v>-1632</v>
      </c>
      <c r="H142" s="13" t="n">
        <v>0.7851</v>
      </c>
      <c r="I142" s="13" t="n">
        <v>0.746</v>
      </c>
    </row>
    <row r="143">
      <c r="A143" s="10" t="inlineStr">
        <is>
          <t>PJ-2019-A</t>
        </is>
      </c>
      <c r="B143" s="10" t="inlineStr">
        <is>
          <t>素朴版／月内均等</t>
        </is>
      </c>
      <c r="C143" s="10" t="inlineStr">
        <is>
          <t>2021-07</t>
        </is>
      </c>
      <c r="D143" s="10" t="n">
        <v>28</v>
      </c>
      <c r="E143" s="12" t="n">
        <v>13241.6</v>
      </c>
      <c r="F143" s="12" t="n">
        <v>17311.9</v>
      </c>
      <c r="G143" s="12" t="n">
        <v>-4070.3</v>
      </c>
      <c r="H143" s="13" t="n">
        <v>0.82</v>
      </c>
      <c r="I143" s="13" t="n">
        <v>0.7916</v>
      </c>
    </row>
    <row r="144">
      <c r="A144" s="10" t="inlineStr">
        <is>
          <t>PJ-2019-A</t>
        </is>
      </c>
      <c r="B144" s="10" t="inlineStr">
        <is>
          <t>素朴版／月内均等</t>
        </is>
      </c>
      <c r="C144" s="10" t="inlineStr">
        <is>
          <t>2021-08</t>
        </is>
      </c>
      <c r="D144" s="10" t="n">
        <v>29</v>
      </c>
      <c r="E144" s="12" t="n">
        <v>13360</v>
      </c>
      <c r="F144" s="12" t="n">
        <v>19848.8</v>
      </c>
      <c r="G144" s="12" t="n">
        <v>-6488.8</v>
      </c>
      <c r="H144" s="13" t="n">
        <v>0.8552</v>
      </c>
      <c r="I144" s="13" t="n">
        <v>0.8439</v>
      </c>
    </row>
    <row r="145">
      <c r="A145" s="10" t="inlineStr">
        <is>
          <t>PJ-2019-A</t>
        </is>
      </c>
      <c r="B145" s="10" t="inlineStr">
        <is>
          <t>素朴版／月内均等</t>
        </is>
      </c>
      <c r="C145" s="10" t="inlineStr">
        <is>
          <t>2021-09</t>
        </is>
      </c>
      <c r="D145" s="10" t="n">
        <v>30</v>
      </c>
      <c r="E145" s="12" t="n">
        <v>11973.9</v>
      </c>
      <c r="F145" s="12" t="n">
        <v>17282.1</v>
      </c>
      <c r="G145" s="12" t="n">
        <v>-5308.2</v>
      </c>
      <c r="H145" s="13" t="n">
        <v>0.8868</v>
      </c>
      <c r="I145" s="13" t="n">
        <v>0.8895</v>
      </c>
    </row>
    <row r="146">
      <c r="A146" s="10" t="inlineStr">
        <is>
          <t>PJ-2019-A</t>
        </is>
      </c>
      <c r="B146" s="10" t="inlineStr">
        <is>
          <t>素朴版／月内均等</t>
        </is>
      </c>
      <c r="C146" s="10" t="inlineStr">
        <is>
          <t>2021-10</t>
        </is>
      </c>
      <c r="D146" s="10" t="n">
        <v>31</v>
      </c>
      <c r="E146" s="12" t="n">
        <v>10871.4</v>
      </c>
      <c r="F146" s="12" t="n">
        <v>13450.6</v>
      </c>
      <c r="G146" s="12" t="n">
        <v>-2579.2</v>
      </c>
      <c r="H146" s="13" t="n">
        <v>0.9154</v>
      </c>
      <c r="I146" s="13" t="n">
        <v>0.9249000000000001</v>
      </c>
    </row>
    <row r="147">
      <c r="A147" s="10" t="inlineStr">
        <is>
          <t>PJ-2019-A</t>
        </is>
      </c>
      <c r="B147" s="10" t="inlineStr">
        <is>
          <t>素朴版／月内均等</t>
        </is>
      </c>
      <c r="C147" s="10" t="inlineStr">
        <is>
          <t>2021-11</t>
        </is>
      </c>
      <c r="D147" s="10" t="n">
        <v>32</v>
      </c>
      <c r="E147" s="12" t="n">
        <v>8972.6</v>
      </c>
      <c r="F147" s="12" t="n">
        <v>9371.200000000001</v>
      </c>
      <c r="G147" s="12" t="n">
        <v>-398.6</v>
      </c>
      <c r="H147" s="13" t="n">
        <v>0.9391</v>
      </c>
      <c r="I147" s="13" t="n">
        <v>0.9496</v>
      </c>
    </row>
    <row r="148">
      <c r="A148" s="10" t="inlineStr">
        <is>
          <t>PJ-2019-A</t>
        </is>
      </c>
      <c r="B148" s="10" t="inlineStr">
        <is>
          <t>素朴版／月内均等</t>
        </is>
      </c>
      <c r="C148" s="10" t="inlineStr">
        <is>
          <t>2021-12</t>
        </is>
      </c>
      <c r="D148" s="10" t="n">
        <v>33</v>
      </c>
      <c r="E148" s="12" t="n">
        <v>7712.5</v>
      </c>
      <c r="F148" s="12" t="n">
        <v>9266</v>
      </c>
      <c r="G148" s="12" t="n">
        <v>-1553.5</v>
      </c>
      <c r="H148" s="13" t="n">
        <v>0.9594</v>
      </c>
      <c r="I148" s="13" t="n">
        <v>0.974</v>
      </c>
    </row>
    <row r="149">
      <c r="A149" s="10" t="inlineStr">
        <is>
          <t>PJ-2019-A</t>
        </is>
      </c>
      <c r="B149" s="10" t="inlineStr">
        <is>
          <t>素朴版／月内均等</t>
        </is>
      </c>
      <c r="C149" s="10" t="inlineStr">
        <is>
          <t>2022-01</t>
        </is>
      </c>
      <c r="D149" s="10" t="n">
        <v>34</v>
      </c>
      <c r="E149" s="12" t="n">
        <v>7081.5</v>
      </c>
      <c r="F149" s="12" t="n">
        <v>5982.7</v>
      </c>
      <c r="G149" s="12" t="n">
        <v>1098.8</v>
      </c>
      <c r="H149" s="13" t="n">
        <v>0.978</v>
      </c>
      <c r="I149" s="13" t="n">
        <v>0.9898</v>
      </c>
    </row>
    <row r="150">
      <c r="A150" s="10" t="inlineStr">
        <is>
          <t>PJ-2019-A</t>
        </is>
      </c>
      <c r="B150" s="10" t="inlineStr">
        <is>
          <t>素朴版／月内均等</t>
        </is>
      </c>
      <c r="C150" s="10" t="inlineStr">
        <is>
          <t>2022-02</t>
        </is>
      </c>
      <c r="D150" s="10" t="n">
        <v>35</v>
      </c>
      <c r="E150" s="12" t="n">
        <v>4682.4</v>
      </c>
      <c r="F150" s="12" t="n">
        <v>2863</v>
      </c>
      <c r="G150" s="12" t="n">
        <v>1819.4</v>
      </c>
      <c r="H150" s="13" t="n">
        <v>0.9903999999999999</v>
      </c>
      <c r="I150" s="13" t="n">
        <v>0.9973</v>
      </c>
    </row>
    <row r="151">
      <c r="A151" s="10" t="inlineStr">
        <is>
          <t>PJ-2019-A</t>
        </is>
      </c>
      <c r="B151" s="10" t="inlineStr">
        <is>
          <t>素朴版／月内均等</t>
        </is>
      </c>
      <c r="C151" s="10" t="inlineStr">
        <is>
          <t>2022-03</t>
        </is>
      </c>
      <c r="D151" s="10" t="n">
        <v>36</v>
      </c>
      <c r="E151" s="12" t="n">
        <v>3653.2</v>
      </c>
      <c r="F151" s="12" t="n">
        <v>1019.3</v>
      </c>
      <c r="G151" s="12" t="n">
        <v>2633.9</v>
      </c>
      <c r="H151" s="13" t="n">
        <v>1</v>
      </c>
      <c r="I151" s="13" t="n">
        <v>1</v>
      </c>
    </row>
    <row r="152">
      <c r="A152" s="10" t="inlineStr">
        <is>
          <t>PJ-2019-A</t>
        </is>
      </c>
      <c r="B152" s="10" t="inlineStr">
        <is>
          <t>位置合わせ(MS学習値)／月内均等</t>
        </is>
      </c>
      <c r="C152" s="10" t="inlineStr">
        <is>
          <t>2019-04</t>
        </is>
      </c>
      <c r="D152" s="10" t="n">
        <v>1</v>
      </c>
      <c r="E152" s="12" t="n">
        <v>4091.7</v>
      </c>
      <c r="F152" s="12" t="n">
        <v>3071.8</v>
      </c>
      <c r="G152" s="12" t="n">
        <v>1019.9</v>
      </c>
      <c r="H152" s="13" t="n">
        <v>0.0108</v>
      </c>
      <c r="I152" s="13" t="n">
        <v>0.0081</v>
      </c>
    </row>
    <row r="153">
      <c r="A153" s="10" t="inlineStr">
        <is>
          <t>PJ-2019-A</t>
        </is>
      </c>
      <c r="B153" s="10" t="inlineStr">
        <is>
          <t>位置合わせ(MS学習値)／月内均等</t>
        </is>
      </c>
      <c r="C153" s="10" t="inlineStr">
        <is>
          <t>2019-05</t>
        </is>
      </c>
      <c r="D153" s="10" t="n">
        <v>2</v>
      </c>
      <c r="E153" s="12" t="n">
        <v>4634.4</v>
      </c>
      <c r="F153" s="12" t="n">
        <v>5541.4</v>
      </c>
      <c r="G153" s="12" t="n">
        <v>-907</v>
      </c>
      <c r="H153" s="13" t="n">
        <v>0.023</v>
      </c>
      <c r="I153" s="13" t="n">
        <v>0.0227</v>
      </c>
    </row>
    <row r="154">
      <c r="A154" s="10" t="inlineStr">
        <is>
          <t>PJ-2019-A</t>
        </is>
      </c>
      <c r="B154" s="10" t="inlineStr">
        <is>
          <t>位置合わせ(MS学習値)／月内均等</t>
        </is>
      </c>
      <c r="C154" s="10" t="inlineStr">
        <is>
          <t>2019-06</t>
        </is>
      </c>
      <c r="D154" s="10" t="n">
        <v>3</v>
      </c>
      <c r="E154" s="12" t="n">
        <v>5358.2</v>
      </c>
      <c r="F154" s="12" t="n">
        <v>6929.4</v>
      </c>
      <c r="G154" s="12" t="n">
        <v>-1571.2</v>
      </c>
      <c r="H154" s="13" t="n">
        <v>0.0371</v>
      </c>
      <c r="I154" s="13" t="n">
        <v>0.0409</v>
      </c>
    </row>
    <row r="155">
      <c r="A155" s="10" t="inlineStr">
        <is>
          <t>PJ-2019-A</t>
        </is>
      </c>
      <c r="B155" s="10" t="inlineStr">
        <is>
          <t>位置合わせ(MS学習値)／月内均等</t>
        </is>
      </c>
      <c r="C155" s="10" t="inlineStr">
        <is>
          <t>2019-07</t>
        </is>
      </c>
      <c r="D155" s="10" t="n">
        <v>4</v>
      </c>
      <c r="E155" s="12" t="n">
        <v>5752.6</v>
      </c>
      <c r="F155" s="12" t="n">
        <v>8197.200000000001</v>
      </c>
      <c r="G155" s="12" t="n">
        <v>-2444.6</v>
      </c>
      <c r="H155" s="13" t="n">
        <v>0.0523</v>
      </c>
      <c r="I155" s="13" t="n">
        <v>0.0625</v>
      </c>
    </row>
    <row r="156">
      <c r="A156" s="10" t="inlineStr">
        <is>
          <t>PJ-2019-A</t>
        </is>
      </c>
      <c r="B156" s="10" t="inlineStr">
        <is>
          <t>位置合わせ(MS学習値)／月内均等</t>
        </is>
      </c>
      <c r="C156" s="10" t="inlineStr">
        <is>
          <t>2019-08</t>
        </is>
      </c>
      <c r="D156" s="10" t="n">
        <v>5</v>
      </c>
      <c r="E156" s="12" t="n">
        <v>6402.7</v>
      </c>
      <c r="F156" s="12" t="n">
        <v>9127.4</v>
      </c>
      <c r="G156" s="12" t="n">
        <v>-2724.7</v>
      </c>
      <c r="H156" s="13" t="n">
        <v>0.06909999999999999</v>
      </c>
      <c r="I156" s="13" t="n">
        <v>0.0866</v>
      </c>
    </row>
    <row r="157">
      <c r="A157" s="10" t="inlineStr">
        <is>
          <t>PJ-2019-A</t>
        </is>
      </c>
      <c r="B157" s="10" t="inlineStr">
        <is>
          <t>位置合わせ(MS学習値)／月内均等</t>
        </is>
      </c>
      <c r="C157" s="10" t="inlineStr">
        <is>
          <t>2019-09</t>
        </is>
      </c>
      <c r="D157" s="10" t="n">
        <v>6</v>
      </c>
      <c r="E157" s="12" t="n">
        <v>6378.7</v>
      </c>
      <c r="F157" s="12" t="n">
        <v>9824.700000000001</v>
      </c>
      <c r="G157" s="12" t="n">
        <v>-3446</v>
      </c>
      <c r="H157" s="13" t="n">
        <v>0.0859</v>
      </c>
      <c r="I157" s="13" t="n">
        <v>0.1125</v>
      </c>
    </row>
    <row r="158">
      <c r="A158" s="10" t="inlineStr">
        <is>
          <t>PJ-2019-A</t>
        </is>
      </c>
      <c r="B158" s="10" t="inlineStr">
        <is>
          <t>位置合わせ(MS学習値)／月内均等</t>
        </is>
      </c>
      <c r="C158" s="10" t="inlineStr">
        <is>
          <t>2019-10</t>
        </is>
      </c>
      <c r="D158" s="10" t="n">
        <v>7</v>
      </c>
      <c r="E158" s="12" t="n">
        <v>7202.6</v>
      </c>
      <c r="F158" s="12" t="n">
        <v>7570.4</v>
      </c>
      <c r="G158" s="12" t="n">
        <v>-367.8</v>
      </c>
      <c r="H158" s="13" t="n">
        <v>0.1049</v>
      </c>
      <c r="I158" s="13" t="n">
        <v>0.1324</v>
      </c>
    </row>
    <row r="159">
      <c r="A159" s="10" t="inlineStr">
        <is>
          <t>PJ-2019-A</t>
        </is>
      </c>
      <c r="B159" s="10" t="inlineStr">
        <is>
          <t>位置合わせ(MS学習値)／月内均等</t>
        </is>
      </c>
      <c r="C159" s="10" t="inlineStr">
        <is>
          <t>2019-11</t>
        </is>
      </c>
      <c r="D159" s="10" t="n">
        <v>8</v>
      </c>
      <c r="E159" s="12" t="n">
        <v>7170.7</v>
      </c>
      <c r="F159" s="12" t="n">
        <v>7669.4</v>
      </c>
      <c r="G159" s="12" t="n">
        <v>-498.7</v>
      </c>
      <c r="H159" s="13" t="n">
        <v>0.1238</v>
      </c>
      <c r="I159" s="13" t="n">
        <v>0.1526</v>
      </c>
    </row>
    <row r="160">
      <c r="A160" s="10" t="inlineStr">
        <is>
          <t>PJ-2019-A</t>
        </is>
      </c>
      <c r="B160" s="10" t="inlineStr">
        <is>
          <t>位置合わせ(MS学習値)／月内均等</t>
        </is>
      </c>
      <c r="C160" s="10" t="inlineStr">
        <is>
          <t>2019-12</t>
        </is>
      </c>
      <c r="D160" s="10" t="n">
        <v>9</v>
      </c>
      <c r="E160" s="12" t="n">
        <v>8254.6</v>
      </c>
      <c r="F160" s="12" t="n">
        <v>7989.5</v>
      </c>
      <c r="G160" s="12" t="n">
        <v>265.1</v>
      </c>
      <c r="H160" s="13" t="n">
        <v>0.1456</v>
      </c>
      <c r="I160" s="13" t="n">
        <v>0.1737</v>
      </c>
    </row>
    <row r="161">
      <c r="A161" s="10" t="inlineStr">
        <is>
          <t>PJ-2019-A</t>
        </is>
      </c>
      <c r="B161" s="10" t="inlineStr">
        <is>
          <t>位置合わせ(MS学習値)／月内均等</t>
        </is>
      </c>
      <c r="C161" s="10" t="inlineStr">
        <is>
          <t>2020-01</t>
        </is>
      </c>
      <c r="D161" s="10" t="n">
        <v>10</v>
      </c>
      <c r="E161" s="12" t="n">
        <v>8722.200000000001</v>
      </c>
      <c r="F161" s="12" t="n">
        <v>8507.5</v>
      </c>
      <c r="G161" s="12" t="n">
        <v>214.7</v>
      </c>
      <c r="H161" s="13" t="n">
        <v>0.1685</v>
      </c>
      <c r="I161" s="13" t="n">
        <v>0.1961</v>
      </c>
    </row>
    <row r="162">
      <c r="A162" s="10" t="inlineStr">
        <is>
          <t>PJ-2019-A</t>
        </is>
      </c>
      <c r="B162" s="10" t="inlineStr">
        <is>
          <t>位置合わせ(MS学習値)／月内均等</t>
        </is>
      </c>
      <c r="C162" s="10" t="inlineStr">
        <is>
          <t>2020-02</t>
        </is>
      </c>
      <c r="D162" s="10" t="n">
        <v>11</v>
      </c>
      <c r="E162" s="12" t="n">
        <v>9006.6</v>
      </c>
      <c r="F162" s="12" t="n">
        <v>8132.8</v>
      </c>
      <c r="G162" s="12" t="n">
        <v>873.8</v>
      </c>
      <c r="H162" s="13" t="n">
        <v>0.1923</v>
      </c>
      <c r="I162" s="13" t="n">
        <v>0.2175</v>
      </c>
    </row>
    <row r="163">
      <c r="A163" s="10" t="inlineStr">
        <is>
          <t>PJ-2019-A</t>
        </is>
      </c>
      <c r="B163" s="10" t="inlineStr">
        <is>
          <t>位置合わせ(MS学習値)／月内均等</t>
        </is>
      </c>
      <c r="C163" s="10" t="inlineStr">
        <is>
          <t>2020-03</t>
        </is>
      </c>
      <c r="D163" s="10" t="n">
        <v>12</v>
      </c>
      <c r="E163" s="12" t="n">
        <v>10840.6</v>
      </c>
      <c r="F163" s="12" t="n">
        <v>9311.5</v>
      </c>
      <c r="G163" s="12" t="n">
        <v>1529.1</v>
      </c>
      <c r="H163" s="13" t="n">
        <v>0.2208</v>
      </c>
      <c r="I163" s="13" t="n">
        <v>0.2421</v>
      </c>
    </row>
    <row r="164">
      <c r="A164" s="10" t="inlineStr">
        <is>
          <t>PJ-2019-A</t>
        </is>
      </c>
      <c r="B164" s="10" t="inlineStr">
        <is>
          <t>位置合わせ(MS学習値)／月内均等</t>
        </is>
      </c>
      <c r="C164" s="10" t="inlineStr">
        <is>
          <t>2020-04</t>
        </is>
      </c>
      <c r="D164" s="10" t="n">
        <v>13</v>
      </c>
      <c r="E164" s="12" t="n">
        <v>11468.5</v>
      </c>
      <c r="F164" s="12" t="n">
        <v>9039.6</v>
      </c>
      <c r="G164" s="12" t="n">
        <v>2428.9</v>
      </c>
      <c r="H164" s="13" t="n">
        <v>0.251</v>
      </c>
      <c r="I164" s="13" t="n">
        <v>0.2659</v>
      </c>
    </row>
    <row r="165">
      <c r="A165" s="10" t="inlineStr">
        <is>
          <t>PJ-2019-A</t>
        </is>
      </c>
      <c r="B165" s="10" t="inlineStr">
        <is>
          <t>位置合わせ(MS学習値)／月内均等</t>
        </is>
      </c>
      <c r="C165" s="10" t="inlineStr">
        <is>
          <t>2020-05</t>
        </is>
      </c>
      <c r="D165" s="10" t="n">
        <v>14</v>
      </c>
      <c r="E165" s="12" t="n">
        <v>12371.8</v>
      </c>
      <c r="F165" s="12" t="n">
        <v>9635.799999999999</v>
      </c>
      <c r="G165" s="12" t="n">
        <v>2736</v>
      </c>
      <c r="H165" s="13" t="n">
        <v>0.2836</v>
      </c>
      <c r="I165" s="13" t="n">
        <v>0.2913</v>
      </c>
    </row>
    <row r="166">
      <c r="A166" s="10" t="inlineStr">
        <is>
          <t>PJ-2019-A</t>
        </is>
      </c>
      <c r="B166" s="10" t="inlineStr">
        <is>
          <t>位置合わせ(MS学習値)／月内均等</t>
        </is>
      </c>
      <c r="C166" s="10" t="inlineStr">
        <is>
          <t>2020-06</t>
        </is>
      </c>
      <c r="D166" s="10" t="n">
        <v>15</v>
      </c>
      <c r="E166" s="12" t="n">
        <v>12620.6</v>
      </c>
      <c r="F166" s="12" t="n">
        <v>10344.9</v>
      </c>
      <c r="G166" s="12" t="n">
        <v>2275.7</v>
      </c>
      <c r="H166" s="13" t="n">
        <v>0.3169</v>
      </c>
      <c r="I166" s="13" t="n">
        <v>0.3185</v>
      </c>
    </row>
    <row r="167">
      <c r="A167" s="10" t="inlineStr">
        <is>
          <t>PJ-2019-A</t>
        </is>
      </c>
      <c r="B167" s="10" t="inlineStr">
        <is>
          <t>位置合わせ(MS学習値)／月内均等</t>
        </is>
      </c>
      <c r="C167" s="10" t="inlineStr">
        <is>
          <t>2020-07</t>
        </is>
      </c>
      <c r="D167" s="10" t="n">
        <v>16</v>
      </c>
      <c r="E167" s="12" t="n">
        <v>13937.2</v>
      </c>
      <c r="F167" s="12" t="n">
        <v>11426.7</v>
      </c>
      <c r="G167" s="12" t="n">
        <v>2510.5</v>
      </c>
      <c r="H167" s="13" t="n">
        <v>0.3536</v>
      </c>
      <c r="I167" s="13" t="n">
        <v>0.3486</v>
      </c>
    </row>
    <row r="168">
      <c r="A168" s="10" t="inlineStr">
        <is>
          <t>PJ-2019-A</t>
        </is>
      </c>
      <c r="B168" s="10" t="inlineStr">
        <is>
          <t>位置合わせ(MS学習値)／月内均等</t>
        </is>
      </c>
      <c r="C168" s="10" t="inlineStr">
        <is>
          <t>2020-08</t>
        </is>
      </c>
      <c r="D168" s="10" t="n">
        <v>17</v>
      </c>
      <c r="E168" s="12" t="n">
        <v>14827.2</v>
      </c>
      <c r="F168" s="12" t="n">
        <v>12271.1</v>
      </c>
      <c r="G168" s="12" t="n">
        <v>2556.1</v>
      </c>
      <c r="H168" s="13" t="n">
        <v>0.3927</v>
      </c>
      <c r="I168" s="13" t="n">
        <v>0.3809</v>
      </c>
    </row>
    <row r="169">
      <c r="A169" s="10" t="inlineStr">
        <is>
          <t>PJ-2019-A</t>
        </is>
      </c>
      <c r="B169" s="10" t="inlineStr">
        <is>
          <t>位置合わせ(MS学習値)／月内均等</t>
        </is>
      </c>
      <c r="C169" s="10" t="inlineStr">
        <is>
          <t>2020-09</t>
        </is>
      </c>
      <c r="D169" s="10" t="n">
        <v>18</v>
      </c>
      <c r="E169" s="12" t="n">
        <v>15461.4</v>
      </c>
      <c r="F169" s="12" t="n">
        <v>12547.9</v>
      </c>
      <c r="G169" s="12" t="n">
        <v>2913.5</v>
      </c>
      <c r="H169" s="13" t="n">
        <v>0.4334</v>
      </c>
      <c r="I169" s="13" t="n">
        <v>0.414</v>
      </c>
    </row>
    <row r="170">
      <c r="A170" s="10" t="inlineStr">
        <is>
          <t>PJ-2019-A</t>
        </is>
      </c>
      <c r="B170" s="10" t="inlineStr">
        <is>
          <t>位置合わせ(MS学習値)／月内均等</t>
        </is>
      </c>
      <c r="C170" s="10" t="inlineStr">
        <is>
          <t>2020-10</t>
        </is>
      </c>
      <c r="D170" s="10" t="n">
        <v>19</v>
      </c>
      <c r="E170" s="12" t="n">
        <v>15310.2</v>
      </c>
      <c r="F170" s="12" t="n">
        <v>14214.2</v>
      </c>
      <c r="G170" s="12" t="n">
        <v>1096</v>
      </c>
      <c r="H170" s="13" t="n">
        <v>0.4737</v>
      </c>
      <c r="I170" s="13" t="n">
        <v>0.4515</v>
      </c>
    </row>
    <row r="171">
      <c r="A171" s="10" t="inlineStr">
        <is>
          <t>PJ-2019-A</t>
        </is>
      </c>
      <c r="B171" s="10" t="inlineStr">
        <is>
          <t>位置合わせ(MS学習値)／月内均等</t>
        </is>
      </c>
      <c r="C171" s="10" t="inlineStr">
        <is>
          <t>2020-11</t>
        </is>
      </c>
      <c r="D171" s="10" t="n">
        <v>20</v>
      </c>
      <c r="E171" s="12" t="n">
        <v>15157.5</v>
      </c>
      <c r="F171" s="12" t="n">
        <v>16661.4</v>
      </c>
      <c r="G171" s="12" t="n">
        <v>-1503.9</v>
      </c>
      <c r="H171" s="13" t="n">
        <v>0.5137</v>
      </c>
      <c r="I171" s="13" t="n">
        <v>0.4953</v>
      </c>
    </row>
    <row r="172">
      <c r="A172" s="10" t="inlineStr">
        <is>
          <t>PJ-2019-A</t>
        </is>
      </c>
      <c r="B172" s="10" t="inlineStr">
        <is>
          <t>位置合わせ(MS学習値)／月内均等</t>
        </is>
      </c>
      <c r="C172" s="10" t="inlineStr">
        <is>
          <t>2020-12</t>
        </is>
      </c>
      <c r="D172" s="10" t="n">
        <v>21</v>
      </c>
      <c r="E172" s="12" t="n">
        <v>15989.7</v>
      </c>
      <c r="F172" s="12" t="n">
        <v>15314.9</v>
      </c>
      <c r="G172" s="12" t="n">
        <v>674.8</v>
      </c>
      <c r="H172" s="13" t="n">
        <v>0.5558</v>
      </c>
      <c r="I172" s="13" t="n">
        <v>0.5357</v>
      </c>
    </row>
    <row r="173">
      <c r="A173" s="10" t="inlineStr">
        <is>
          <t>PJ-2019-A</t>
        </is>
      </c>
      <c r="B173" s="10" t="inlineStr">
        <is>
          <t>位置合わせ(MS学習値)／月内均等</t>
        </is>
      </c>
      <c r="C173" s="10" t="inlineStr">
        <is>
          <t>2021-01</t>
        </is>
      </c>
      <c r="D173" s="10" t="n">
        <v>22</v>
      </c>
      <c r="E173" s="12" t="n">
        <v>15710.3</v>
      </c>
      <c r="F173" s="12" t="n">
        <v>13490.4</v>
      </c>
      <c r="G173" s="12" t="n">
        <v>2219.9</v>
      </c>
      <c r="H173" s="13" t="n">
        <v>0.5972</v>
      </c>
      <c r="I173" s="13" t="n">
        <v>0.5712</v>
      </c>
    </row>
    <row r="174">
      <c r="A174" s="10" t="inlineStr">
        <is>
          <t>PJ-2019-A</t>
        </is>
      </c>
      <c r="B174" s="10" t="inlineStr">
        <is>
          <t>位置合わせ(MS学習値)／月内均等</t>
        </is>
      </c>
      <c r="C174" s="10" t="inlineStr">
        <is>
          <t>2021-02</t>
        </is>
      </c>
      <c r="D174" s="10" t="n">
        <v>23</v>
      </c>
      <c r="E174" s="12" t="n">
        <v>13965.4</v>
      </c>
      <c r="F174" s="12" t="n">
        <v>11965.7</v>
      </c>
      <c r="G174" s="12" t="n">
        <v>1999.7</v>
      </c>
      <c r="H174" s="13" t="n">
        <v>0.634</v>
      </c>
      <c r="I174" s="13" t="n">
        <v>0.6028</v>
      </c>
    </row>
    <row r="175">
      <c r="A175" s="10" t="inlineStr">
        <is>
          <t>PJ-2019-A</t>
        </is>
      </c>
      <c r="B175" s="10" t="inlineStr">
        <is>
          <t>位置合わせ(MS学習値)／月内均等</t>
        </is>
      </c>
      <c r="C175" s="10" t="inlineStr">
        <is>
          <t>2021-03</t>
        </is>
      </c>
      <c r="D175" s="10" t="n">
        <v>24</v>
      </c>
      <c r="E175" s="12" t="n">
        <v>16061.4</v>
      </c>
      <c r="F175" s="12" t="n">
        <v>12853.7</v>
      </c>
      <c r="G175" s="12" t="n">
        <v>3207.7</v>
      </c>
      <c r="H175" s="13" t="n">
        <v>0.6763</v>
      </c>
      <c r="I175" s="13" t="n">
        <v>0.6366000000000001</v>
      </c>
    </row>
    <row r="176">
      <c r="A176" s="10" t="inlineStr">
        <is>
          <t>PJ-2019-A</t>
        </is>
      </c>
      <c r="B176" s="10" t="inlineStr">
        <is>
          <t>位置合わせ(MS学習値)／月内均等</t>
        </is>
      </c>
      <c r="C176" s="10" t="inlineStr">
        <is>
          <t>2021-04</t>
        </is>
      </c>
      <c r="D176" s="10" t="n">
        <v>25</v>
      </c>
      <c r="E176" s="12" t="n">
        <v>15820</v>
      </c>
      <c r="F176" s="12" t="n">
        <v>12825.4</v>
      </c>
      <c r="G176" s="12" t="n">
        <v>2994.6</v>
      </c>
      <c r="H176" s="13" t="n">
        <v>0.718</v>
      </c>
      <c r="I176" s="13" t="n">
        <v>0.6704</v>
      </c>
    </row>
    <row r="177">
      <c r="A177" s="10" t="inlineStr">
        <is>
          <t>PJ-2019-A</t>
        </is>
      </c>
      <c r="B177" s="10" t="inlineStr">
        <is>
          <t>位置合わせ(MS学習値)／月内均等</t>
        </is>
      </c>
      <c r="C177" s="10" t="inlineStr">
        <is>
          <t>2021-05</t>
        </is>
      </c>
      <c r="D177" s="10" t="n">
        <v>26</v>
      </c>
      <c r="E177" s="12" t="n">
        <v>15130.5</v>
      </c>
      <c r="F177" s="12" t="n">
        <v>13976.5</v>
      </c>
      <c r="G177" s="12" t="n">
        <v>1154</v>
      </c>
      <c r="H177" s="13" t="n">
        <v>0.7578</v>
      </c>
      <c r="I177" s="13" t="n">
        <v>0.7072000000000001</v>
      </c>
    </row>
    <row r="178">
      <c r="A178" s="10" t="inlineStr">
        <is>
          <t>PJ-2019-A</t>
        </is>
      </c>
      <c r="B178" s="10" t="inlineStr">
        <is>
          <t>位置合わせ(MS学習値)／月内均等</t>
        </is>
      </c>
      <c r="C178" s="10" t="inlineStr">
        <is>
          <t>2021-06</t>
        </is>
      </c>
      <c r="D178" s="10" t="n">
        <v>27</v>
      </c>
      <c r="E178" s="12" t="n">
        <v>14188.5</v>
      </c>
      <c r="F178" s="12" t="n">
        <v>14724.1</v>
      </c>
      <c r="G178" s="12" t="n">
        <v>-535.6</v>
      </c>
      <c r="H178" s="13" t="n">
        <v>0.7952</v>
      </c>
      <c r="I178" s="13" t="n">
        <v>0.746</v>
      </c>
    </row>
    <row r="179">
      <c r="A179" s="10" t="inlineStr">
        <is>
          <t>PJ-2019-A</t>
        </is>
      </c>
      <c r="B179" s="10" t="inlineStr">
        <is>
          <t>位置合わせ(MS学習値)／月内均等</t>
        </is>
      </c>
      <c r="C179" s="10" t="inlineStr">
        <is>
          <t>2021-07</t>
        </is>
      </c>
      <c r="D179" s="10" t="n">
        <v>28</v>
      </c>
      <c r="E179" s="12" t="n">
        <v>12553.1</v>
      </c>
      <c r="F179" s="12" t="n">
        <v>17311.9</v>
      </c>
      <c r="G179" s="12" t="n">
        <v>-4758.8</v>
      </c>
      <c r="H179" s="13" t="n">
        <v>0.8283</v>
      </c>
      <c r="I179" s="13" t="n">
        <v>0.7916</v>
      </c>
    </row>
    <row r="180">
      <c r="A180" s="10" t="inlineStr">
        <is>
          <t>PJ-2019-A</t>
        </is>
      </c>
      <c r="B180" s="10" t="inlineStr">
        <is>
          <t>位置合わせ(MS学習値)／月内均等</t>
        </is>
      </c>
      <c r="C180" s="10" t="inlineStr">
        <is>
          <t>2021-08</t>
        </is>
      </c>
      <c r="D180" s="10" t="n">
        <v>29</v>
      </c>
      <c r="E180" s="12" t="n">
        <v>11816.9</v>
      </c>
      <c r="F180" s="12" t="n">
        <v>19848.8</v>
      </c>
      <c r="G180" s="12" t="n">
        <v>-8031.9</v>
      </c>
      <c r="H180" s="13" t="n">
        <v>0.8594000000000001</v>
      </c>
      <c r="I180" s="13" t="n">
        <v>0.8439</v>
      </c>
    </row>
    <row r="181">
      <c r="A181" s="10" t="inlineStr">
        <is>
          <t>PJ-2019-A</t>
        </is>
      </c>
      <c r="B181" s="10" t="inlineStr">
        <is>
          <t>位置合わせ(MS学習値)／月内均等</t>
        </is>
      </c>
      <c r="C181" s="10" t="inlineStr">
        <is>
          <t>2021-09</t>
        </is>
      </c>
      <c r="D181" s="10" t="n">
        <v>30</v>
      </c>
      <c r="E181" s="12" t="n">
        <v>11004.7</v>
      </c>
      <c r="F181" s="12" t="n">
        <v>17282.1</v>
      </c>
      <c r="G181" s="12" t="n">
        <v>-6277.4</v>
      </c>
      <c r="H181" s="13" t="n">
        <v>0.8884</v>
      </c>
      <c r="I181" s="13" t="n">
        <v>0.8895</v>
      </c>
    </row>
    <row r="182">
      <c r="A182" s="10" t="inlineStr">
        <is>
          <t>PJ-2019-A</t>
        </is>
      </c>
      <c r="B182" s="10" t="inlineStr">
        <is>
          <t>位置合わせ(MS学習値)／月内均等</t>
        </is>
      </c>
      <c r="C182" s="10" t="inlineStr">
        <is>
          <t>2021-10</t>
        </is>
      </c>
      <c r="D182" s="10" t="n">
        <v>31</v>
      </c>
      <c r="E182" s="12" t="n">
        <v>10406.3</v>
      </c>
      <c r="F182" s="12" t="n">
        <v>13450.6</v>
      </c>
      <c r="G182" s="12" t="n">
        <v>-3044.3</v>
      </c>
      <c r="H182" s="13" t="n">
        <v>0.9157999999999999</v>
      </c>
      <c r="I182" s="13" t="n">
        <v>0.9249000000000001</v>
      </c>
    </row>
    <row r="183">
      <c r="A183" s="10" t="inlineStr">
        <is>
          <t>PJ-2019-A</t>
        </is>
      </c>
      <c r="B183" s="10" t="inlineStr">
        <is>
          <t>位置合わせ(MS学習値)／月内均等</t>
        </is>
      </c>
      <c r="C183" s="10" t="inlineStr">
        <is>
          <t>2021-11</t>
        </is>
      </c>
      <c r="D183" s="10" t="n">
        <v>32</v>
      </c>
      <c r="E183" s="12" t="n">
        <v>8401.200000000001</v>
      </c>
      <c r="F183" s="12" t="n">
        <v>9371.200000000001</v>
      </c>
      <c r="G183" s="12" t="n">
        <v>-970</v>
      </c>
      <c r="H183" s="13" t="n">
        <v>0.9379999999999999</v>
      </c>
      <c r="I183" s="13" t="n">
        <v>0.9496</v>
      </c>
    </row>
    <row r="184">
      <c r="A184" s="10" t="inlineStr">
        <is>
          <t>PJ-2019-A</t>
        </is>
      </c>
      <c r="B184" s="10" t="inlineStr">
        <is>
          <t>位置合わせ(MS学習値)／月内均等</t>
        </is>
      </c>
      <c r="C184" s="10" t="inlineStr">
        <is>
          <t>2021-12</t>
        </is>
      </c>
      <c r="D184" s="10" t="n">
        <v>33</v>
      </c>
      <c r="E184" s="12" t="n">
        <v>8048.9</v>
      </c>
      <c r="F184" s="12" t="n">
        <v>9266</v>
      </c>
      <c r="G184" s="12" t="n">
        <v>-1217.1</v>
      </c>
      <c r="H184" s="13" t="n">
        <v>0.9592000000000001</v>
      </c>
      <c r="I184" s="13" t="n">
        <v>0.974</v>
      </c>
    </row>
    <row r="185">
      <c r="A185" s="10" t="inlineStr">
        <is>
          <t>PJ-2019-A</t>
        </is>
      </c>
      <c r="B185" s="10" t="inlineStr">
        <is>
          <t>位置合わせ(MS学習値)／月内均等</t>
        </is>
      </c>
      <c r="C185" s="10" t="inlineStr">
        <is>
          <t>2022-01</t>
        </is>
      </c>
      <c r="D185" s="10" t="n">
        <v>34</v>
      </c>
      <c r="E185" s="12" t="n">
        <v>7390.8</v>
      </c>
      <c r="F185" s="12" t="n">
        <v>5982.7</v>
      </c>
      <c r="G185" s="12" t="n">
        <v>1408.1</v>
      </c>
      <c r="H185" s="13" t="n">
        <v>0.9787</v>
      </c>
      <c r="I185" s="13" t="n">
        <v>0.9898</v>
      </c>
    </row>
    <row r="186">
      <c r="A186" s="10" t="inlineStr">
        <is>
          <t>PJ-2019-A</t>
        </is>
      </c>
      <c r="B186" s="10" t="inlineStr">
        <is>
          <t>位置合わせ(MS学習値)／月内均等</t>
        </is>
      </c>
      <c r="C186" s="10" t="inlineStr">
        <is>
          <t>2022-02</t>
        </is>
      </c>
      <c r="D186" s="10" t="n">
        <v>35</v>
      </c>
      <c r="E186" s="12" t="n">
        <v>4494.8</v>
      </c>
      <c r="F186" s="12" t="n">
        <v>2863</v>
      </c>
      <c r="G186" s="12" t="n">
        <v>1631.8</v>
      </c>
      <c r="H186" s="13" t="n">
        <v>0.9905</v>
      </c>
      <c r="I186" s="13" t="n">
        <v>0.9973</v>
      </c>
    </row>
    <row r="187">
      <c r="A187" s="10" t="inlineStr">
        <is>
          <t>PJ-2019-A</t>
        </is>
      </c>
      <c r="B187" s="10" t="inlineStr">
        <is>
          <t>位置合わせ(MS学習値)／月内均等</t>
        </is>
      </c>
      <c r="C187" s="10" t="inlineStr">
        <is>
          <t>2022-03</t>
        </is>
      </c>
      <c r="D187" s="10" t="n">
        <v>36</v>
      </c>
      <c r="E187" s="12" t="n">
        <v>3608.5</v>
      </c>
      <c r="F187" s="12" t="n">
        <v>1019.3</v>
      </c>
      <c r="G187" s="12" t="n">
        <v>2589.2</v>
      </c>
      <c r="H187" s="13" t="n">
        <v>1</v>
      </c>
      <c r="I187" s="13" t="n">
        <v>1</v>
      </c>
    </row>
    <row r="188">
      <c r="A188" s="10" t="inlineStr">
        <is>
          <t>PJ-2019-A</t>
        </is>
      </c>
      <c r="B188" s="10" t="inlineStr">
        <is>
          <t>位置合わせ(MS指定)／月内均等</t>
        </is>
      </c>
      <c r="C188" s="10" t="inlineStr">
        <is>
          <t>2019-04</t>
        </is>
      </c>
      <c r="D188" s="10" t="n">
        <v>1</v>
      </c>
      <c r="E188" s="12" t="n">
        <v>3905.4</v>
      </c>
      <c r="F188" s="12" t="n">
        <v>3071.8</v>
      </c>
      <c r="G188" s="12" t="n">
        <v>833.6</v>
      </c>
      <c r="H188" s="13" t="n">
        <v>0.0103</v>
      </c>
      <c r="I188" s="13" t="n">
        <v>0.0081</v>
      </c>
    </row>
    <row r="189">
      <c r="A189" s="10" t="inlineStr">
        <is>
          <t>PJ-2019-A</t>
        </is>
      </c>
      <c r="B189" s="10" t="inlineStr">
        <is>
          <t>位置合わせ(MS指定)／月内均等</t>
        </is>
      </c>
      <c r="C189" s="10" t="inlineStr">
        <is>
          <t>2019-05</t>
        </is>
      </c>
      <c r="D189" s="10" t="n">
        <v>2</v>
      </c>
      <c r="E189" s="12" t="n">
        <v>4428.8</v>
      </c>
      <c r="F189" s="12" t="n">
        <v>5541.4</v>
      </c>
      <c r="G189" s="12" t="n">
        <v>-1112.6</v>
      </c>
      <c r="H189" s="13" t="n">
        <v>0.022</v>
      </c>
      <c r="I189" s="13" t="n">
        <v>0.0227</v>
      </c>
    </row>
    <row r="190">
      <c r="A190" s="10" t="inlineStr">
        <is>
          <t>PJ-2019-A</t>
        </is>
      </c>
      <c r="B190" s="10" t="inlineStr">
        <is>
          <t>位置合わせ(MS指定)／月内均等</t>
        </is>
      </c>
      <c r="C190" s="10" t="inlineStr">
        <is>
          <t>2019-06</t>
        </is>
      </c>
      <c r="D190" s="10" t="n">
        <v>3</v>
      </c>
      <c r="E190" s="12" t="n">
        <v>5103.3</v>
      </c>
      <c r="F190" s="12" t="n">
        <v>6929.4</v>
      </c>
      <c r="G190" s="12" t="n">
        <v>-1826.1</v>
      </c>
      <c r="H190" s="13" t="n">
        <v>0.0354</v>
      </c>
      <c r="I190" s="13" t="n">
        <v>0.0409</v>
      </c>
    </row>
    <row r="191">
      <c r="A191" s="10" t="inlineStr">
        <is>
          <t>PJ-2019-A</t>
        </is>
      </c>
      <c r="B191" s="10" t="inlineStr">
        <is>
          <t>位置合わせ(MS指定)／月内均等</t>
        </is>
      </c>
      <c r="C191" s="10" t="inlineStr">
        <is>
          <t>2019-07</t>
        </is>
      </c>
      <c r="D191" s="10" t="n">
        <v>4</v>
      </c>
      <c r="E191" s="12" t="n">
        <v>5478.1</v>
      </c>
      <c r="F191" s="12" t="n">
        <v>8197.200000000001</v>
      </c>
      <c r="G191" s="12" t="n">
        <v>-2719.1</v>
      </c>
      <c r="H191" s="13" t="n">
        <v>0.0498</v>
      </c>
      <c r="I191" s="13" t="n">
        <v>0.0625</v>
      </c>
    </row>
    <row r="192">
      <c r="A192" s="10" t="inlineStr">
        <is>
          <t>PJ-2019-A</t>
        </is>
      </c>
      <c r="B192" s="10" t="inlineStr">
        <is>
          <t>位置合わせ(MS指定)／月内均等</t>
        </is>
      </c>
      <c r="C192" s="10" t="inlineStr">
        <is>
          <t>2019-08</t>
        </is>
      </c>
      <c r="D192" s="10" t="n">
        <v>5</v>
      </c>
      <c r="E192" s="12" t="n">
        <v>6030.9</v>
      </c>
      <c r="F192" s="12" t="n">
        <v>9127.4</v>
      </c>
      <c r="G192" s="12" t="n">
        <v>-3096.5</v>
      </c>
      <c r="H192" s="13" t="n">
        <v>0.06569999999999999</v>
      </c>
      <c r="I192" s="13" t="n">
        <v>0.0866</v>
      </c>
    </row>
    <row r="193">
      <c r="A193" s="10" t="inlineStr">
        <is>
          <t>PJ-2019-A</t>
        </is>
      </c>
      <c r="B193" s="10" t="inlineStr">
        <is>
          <t>位置合わせ(MS指定)／月内均等</t>
        </is>
      </c>
      <c r="C193" s="10" t="inlineStr">
        <is>
          <t>2019-09</t>
        </is>
      </c>
      <c r="D193" s="10" t="n">
        <v>6</v>
      </c>
      <c r="E193" s="12" t="n">
        <v>6121.1</v>
      </c>
      <c r="F193" s="12" t="n">
        <v>9824.700000000001</v>
      </c>
      <c r="G193" s="12" t="n">
        <v>-3703.6</v>
      </c>
      <c r="H193" s="13" t="n">
        <v>0.0819</v>
      </c>
      <c r="I193" s="13" t="n">
        <v>0.1125</v>
      </c>
    </row>
    <row r="194">
      <c r="A194" s="10" t="inlineStr">
        <is>
          <t>PJ-2019-A</t>
        </is>
      </c>
      <c r="B194" s="10" t="inlineStr">
        <is>
          <t>位置合わせ(MS指定)／月内均等</t>
        </is>
      </c>
      <c r="C194" s="10" t="inlineStr">
        <is>
          <t>2019-10</t>
        </is>
      </c>
      <c r="D194" s="10" t="n">
        <v>7</v>
      </c>
      <c r="E194" s="12" t="n">
        <v>6737.9</v>
      </c>
      <c r="F194" s="12" t="n">
        <v>7570.4</v>
      </c>
      <c r="G194" s="12" t="n">
        <v>-832.5</v>
      </c>
      <c r="H194" s="13" t="n">
        <v>0.09959999999999999</v>
      </c>
      <c r="I194" s="13" t="n">
        <v>0.1324</v>
      </c>
    </row>
    <row r="195">
      <c r="A195" s="10" t="inlineStr">
        <is>
          <t>PJ-2019-A</t>
        </is>
      </c>
      <c r="B195" s="10" t="inlineStr">
        <is>
          <t>位置合わせ(MS指定)／月内均等</t>
        </is>
      </c>
      <c r="C195" s="10" t="inlineStr">
        <is>
          <t>2019-11</t>
        </is>
      </c>
      <c r="D195" s="10" t="n">
        <v>8</v>
      </c>
      <c r="E195" s="12" t="n">
        <v>6864.2</v>
      </c>
      <c r="F195" s="12" t="n">
        <v>7669.4</v>
      </c>
      <c r="G195" s="12" t="n">
        <v>-805.2</v>
      </c>
      <c r="H195" s="13" t="n">
        <v>0.1177</v>
      </c>
      <c r="I195" s="13" t="n">
        <v>0.1526</v>
      </c>
    </row>
    <row r="196">
      <c r="A196" s="10" t="inlineStr">
        <is>
          <t>PJ-2019-A</t>
        </is>
      </c>
      <c r="B196" s="10" t="inlineStr">
        <is>
          <t>位置合わせ(MS指定)／月内均等</t>
        </is>
      </c>
      <c r="C196" s="10" t="inlineStr">
        <is>
          <t>2019-12</t>
        </is>
      </c>
      <c r="D196" s="10" t="n">
        <v>9</v>
      </c>
      <c r="E196" s="12" t="n">
        <v>7591.2</v>
      </c>
      <c r="F196" s="12" t="n">
        <v>7989.5</v>
      </c>
      <c r="G196" s="12" t="n">
        <v>-398.3</v>
      </c>
      <c r="H196" s="13" t="n">
        <v>0.1377</v>
      </c>
      <c r="I196" s="13" t="n">
        <v>0.1737</v>
      </c>
    </row>
    <row r="197">
      <c r="A197" s="10" t="inlineStr">
        <is>
          <t>PJ-2019-A</t>
        </is>
      </c>
      <c r="B197" s="10" t="inlineStr">
        <is>
          <t>位置合わせ(MS指定)／月内均等</t>
        </is>
      </c>
      <c r="C197" s="10" t="inlineStr">
        <is>
          <t>2020-01</t>
        </is>
      </c>
      <c r="D197" s="10" t="n">
        <v>10</v>
      </c>
      <c r="E197" s="12" t="n">
        <v>8281.700000000001</v>
      </c>
      <c r="F197" s="12" t="n">
        <v>8507.5</v>
      </c>
      <c r="G197" s="12" t="n">
        <v>-225.8</v>
      </c>
      <c r="H197" s="13" t="n">
        <v>0.1595</v>
      </c>
      <c r="I197" s="13" t="n">
        <v>0.1961</v>
      </c>
    </row>
    <row r="198">
      <c r="A198" s="10" t="inlineStr">
        <is>
          <t>PJ-2019-A</t>
        </is>
      </c>
      <c r="B198" s="10" t="inlineStr">
        <is>
          <t>位置合わせ(MS指定)／月内均等</t>
        </is>
      </c>
      <c r="C198" s="10" t="inlineStr">
        <is>
          <t>2020-02</t>
        </is>
      </c>
      <c r="D198" s="10" t="n">
        <v>11</v>
      </c>
      <c r="E198" s="12" t="n">
        <v>8121.8</v>
      </c>
      <c r="F198" s="12" t="n">
        <v>8132.8</v>
      </c>
      <c r="G198" s="12" t="n">
        <v>-11</v>
      </c>
      <c r="H198" s="13" t="n">
        <v>0.1809</v>
      </c>
      <c r="I198" s="13" t="n">
        <v>0.2175</v>
      </c>
    </row>
    <row r="199">
      <c r="A199" s="10" t="inlineStr">
        <is>
          <t>PJ-2019-A</t>
        </is>
      </c>
      <c r="B199" s="10" t="inlineStr">
        <is>
          <t>位置合わせ(MS指定)／月内均等</t>
        </is>
      </c>
      <c r="C199" s="10" t="inlineStr">
        <is>
          <t>2020-03</t>
        </is>
      </c>
      <c r="D199" s="10" t="n">
        <v>12</v>
      </c>
      <c r="E199" s="12" t="n">
        <v>9933.1</v>
      </c>
      <c r="F199" s="12" t="n">
        <v>9311.5</v>
      </c>
      <c r="G199" s="12" t="n">
        <v>621.6</v>
      </c>
      <c r="H199" s="13" t="n">
        <v>0.2071</v>
      </c>
      <c r="I199" s="13" t="n">
        <v>0.2421</v>
      </c>
    </row>
    <row r="200">
      <c r="A200" s="10" t="inlineStr">
        <is>
          <t>PJ-2019-A</t>
        </is>
      </c>
      <c r="B200" s="10" t="inlineStr">
        <is>
          <t>位置合わせ(MS指定)／月内均等</t>
        </is>
      </c>
      <c r="C200" s="10" t="inlineStr">
        <is>
          <t>2020-04</t>
        </is>
      </c>
      <c r="D200" s="10" t="n">
        <v>13</v>
      </c>
      <c r="E200" s="12" t="n">
        <v>10590</v>
      </c>
      <c r="F200" s="12" t="n">
        <v>9039.6</v>
      </c>
      <c r="G200" s="12" t="n">
        <v>1550.4</v>
      </c>
      <c r="H200" s="13" t="n">
        <v>0.235</v>
      </c>
      <c r="I200" s="13" t="n">
        <v>0.2659</v>
      </c>
    </row>
    <row r="201">
      <c r="A201" s="10" t="inlineStr">
        <is>
          <t>PJ-2019-A</t>
        </is>
      </c>
      <c r="B201" s="10" t="inlineStr">
        <is>
          <t>位置合わせ(MS指定)／月内均等</t>
        </is>
      </c>
      <c r="C201" s="10" t="inlineStr">
        <is>
          <t>2020-05</t>
        </is>
      </c>
      <c r="D201" s="10" t="n">
        <v>14</v>
      </c>
      <c r="E201" s="12" t="n">
        <v>11751.1</v>
      </c>
      <c r="F201" s="12" t="n">
        <v>9635.799999999999</v>
      </c>
      <c r="G201" s="12" t="n">
        <v>2115.3</v>
      </c>
      <c r="H201" s="13" t="n">
        <v>0.2659</v>
      </c>
      <c r="I201" s="13" t="n">
        <v>0.2913</v>
      </c>
    </row>
    <row r="202">
      <c r="A202" s="10" t="inlineStr">
        <is>
          <t>PJ-2019-A</t>
        </is>
      </c>
      <c r="B202" s="10" t="inlineStr">
        <is>
          <t>位置合わせ(MS指定)／月内均等</t>
        </is>
      </c>
      <c r="C202" s="10" t="inlineStr">
        <is>
          <t>2020-06</t>
        </is>
      </c>
      <c r="D202" s="10" t="n">
        <v>15</v>
      </c>
      <c r="E202" s="12" t="n">
        <v>11711</v>
      </c>
      <c r="F202" s="12" t="n">
        <v>10344.9</v>
      </c>
      <c r="G202" s="12" t="n">
        <v>1366.1</v>
      </c>
      <c r="H202" s="13" t="n">
        <v>0.2968</v>
      </c>
      <c r="I202" s="13" t="n">
        <v>0.3185</v>
      </c>
    </row>
    <row r="203">
      <c r="A203" s="10" t="inlineStr">
        <is>
          <t>PJ-2019-A</t>
        </is>
      </c>
      <c r="B203" s="10" t="inlineStr">
        <is>
          <t>位置合わせ(MS指定)／月内均等</t>
        </is>
      </c>
      <c r="C203" s="10" t="inlineStr">
        <is>
          <t>2020-07</t>
        </is>
      </c>
      <c r="D203" s="10" t="n">
        <v>16</v>
      </c>
      <c r="E203" s="12" t="n">
        <v>13066.2</v>
      </c>
      <c r="F203" s="12" t="n">
        <v>11426.7</v>
      </c>
      <c r="G203" s="12" t="n">
        <v>1639.5</v>
      </c>
      <c r="H203" s="13" t="n">
        <v>0.3312</v>
      </c>
      <c r="I203" s="13" t="n">
        <v>0.3486</v>
      </c>
    </row>
    <row r="204">
      <c r="A204" s="10" t="inlineStr">
        <is>
          <t>PJ-2019-A</t>
        </is>
      </c>
      <c r="B204" s="10" t="inlineStr">
        <is>
          <t>位置合わせ(MS指定)／月内均等</t>
        </is>
      </c>
      <c r="C204" s="10" t="inlineStr">
        <is>
          <t>2020-08</t>
        </is>
      </c>
      <c r="D204" s="10" t="n">
        <v>17</v>
      </c>
      <c r="E204" s="12" t="n">
        <v>13375.5</v>
      </c>
      <c r="F204" s="12" t="n">
        <v>12271.1</v>
      </c>
      <c r="G204" s="12" t="n">
        <v>1104.4</v>
      </c>
      <c r="H204" s="13" t="n">
        <v>0.3665</v>
      </c>
      <c r="I204" s="13" t="n">
        <v>0.3809</v>
      </c>
    </row>
    <row r="205">
      <c r="A205" s="10" t="inlineStr">
        <is>
          <t>PJ-2019-A</t>
        </is>
      </c>
      <c r="B205" s="10" t="inlineStr">
        <is>
          <t>位置合わせ(MS指定)／月内均等</t>
        </is>
      </c>
      <c r="C205" s="10" t="inlineStr">
        <is>
          <t>2020-09</t>
        </is>
      </c>
      <c r="D205" s="10" t="n">
        <v>18</v>
      </c>
      <c r="E205" s="12" t="n">
        <v>14444.8</v>
      </c>
      <c r="F205" s="12" t="n">
        <v>12547.9</v>
      </c>
      <c r="G205" s="12" t="n">
        <v>1896.9</v>
      </c>
      <c r="H205" s="13" t="n">
        <v>0.4045</v>
      </c>
      <c r="I205" s="13" t="n">
        <v>0.414</v>
      </c>
    </row>
    <row r="206">
      <c r="A206" s="10" t="inlineStr">
        <is>
          <t>PJ-2019-A</t>
        </is>
      </c>
      <c r="B206" s="10" t="inlineStr">
        <is>
          <t>位置合わせ(MS指定)／月内均等</t>
        </is>
      </c>
      <c r="C206" s="10" t="inlineStr">
        <is>
          <t>2020-10</t>
        </is>
      </c>
      <c r="D206" s="10" t="n">
        <v>19</v>
      </c>
      <c r="E206" s="12" t="n">
        <v>14305.9</v>
      </c>
      <c r="F206" s="12" t="n">
        <v>14214.2</v>
      </c>
      <c r="G206" s="12" t="n">
        <v>91.7</v>
      </c>
      <c r="H206" s="13" t="n">
        <v>0.4422</v>
      </c>
      <c r="I206" s="13" t="n">
        <v>0.4515</v>
      </c>
    </row>
    <row r="207">
      <c r="A207" s="10" t="inlineStr">
        <is>
          <t>PJ-2019-A</t>
        </is>
      </c>
      <c r="B207" s="10" t="inlineStr">
        <is>
          <t>位置合わせ(MS指定)／月内均等</t>
        </is>
      </c>
      <c r="C207" s="10" t="inlineStr">
        <is>
          <t>2020-11</t>
        </is>
      </c>
      <c r="D207" s="10" t="n">
        <v>20</v>
      </c>
      <c r="E207" s="12" t="n">
        <v>12522.7</v>
      </c>
      <c r="F207" s="12" t="n">
        <v>16661.4</v>
      </c>
      <c r="G207" s="12" t="n">
        <v>-4138.7</v>
      </c>
      <c r="H207" s="13" t="n">
        <v>0.4752</v>
      </c>
      <c r="I207" s="13" t="n">
        <v>0.4953</v>
      </c>
    </row>
    <row r="208">
      <c r="A208" s="10" t="inlineStr">
        <is>
          <t>PJ-2019-A</t>
        </is>
      </c>
      <c r="B208" s="10" t="inlineStr">
        <is>
          <t>位置合わせ(MS指定)／月内均等</t>
        </is>
      </c>
      <c r="C208" s="10" t="inlineStr">
        <is>
          <t>2020-12</t>
        </is>
      </c>
      <c r="D208" s="10" t="n">
        <v>21</v>
      </c>
      <c r="E208" s="12" t="n">
        <v>13490.1</v>
      </c>
      <c r="F208" s="12" t="n">
        <v>15314.9</v>
      </c>
      <c r="G208" s="12" t="n">
        <v>-1824.8</v>
      </c>
      <c r="H208" s="13" t="n">
        <v>0.5107</v>
      </c>
      <c r="I208" s="13" t="n">
        <v>0.5357</v>
      </c>
    </row>
    <row r="209">
      <c r="A209" s="10" t="inlineStr">
        <is>
          <t>PJ-2019-A</t>
        </is>
      </c>
      <c r="B209" s="10" t="inlineStr">
        <is>
          <t>位置合わせ(MS指定)／月内均等</t>
        </is>
      </c>
      <c r="C209" s="10" t="inlineStr">
        <is>
          <t>2021-01</t>
        </is>
      </c>
      <c r="D209" s="10" t="n">
        <v>22</v>
      </c>
      <c r="E209" s="12" t="n">
        <v>13510.8</v>
      </c>
      <c r="F209" s="12" t="n">
        <v>13490.4</v>
      </c>
      <c r="G209" s="12" t="n">
        <v>20.4</v>
      </c>
      <c r="H209" s="13" t="n">
        <v>0.5463</v>
      </c>
      <c r="I209" s="13" t="n">
        <v>0.5712</v>
      </c>
    </row>
    <row r="210">
      <c r="A210" s="10" t="inlineStr">
        <is>
          <t>PJ-2019-A</t>
        </is>
      </c>
      <c r="B210" s="10" t="inlineStr">
        <is>
          <t>位置合わせ(MS指定)／月内均等</t>
        </is>
      </c>
      <c r="C210" s="10" t="inlineStr">
        <is>
          <t>2021-02</t>
        </is>
      </c>
      <c r="D210" s="10" t="n">
        <v>23</v>
      </c>
      <c r="E210" s="12" t="n">
        <v>12089.1</v>
      </c>
      <c r="F210" s="12" t="n">
        <v>11965.7</v>
      </c>
      <c r="G210" s="12" t="n">
        <v>123.4</v>
      </c>
      <c r="H210" s="13" t="n">
        <v>0.5782</v>
      </c>
      <c r="I210" s="13" t="n">
        <v>0.6028</v>
      </c>
    </row>
    <row r="211">
      <c r="A211" s="10" t="inlineStr">
        <is>
          <t>PJ-2019-A</t>
        </is>
      </c>
      <c r="B211" s="10" t="inlineStr">
        <is>
          <t>位置合わせ(MS指定)／月内均等</t>
        </is>
      </c>
      <c r="C211" s="10" t="inlineStr">
        <is>
          <t>2021-03</t>
        </is>
      </c>
      <c r="D211" s="10" t="n">
        <v>24</v>
      </c>
      <c r="E211" s="12" t="n">
        <v>13364.8</v>
      </c>
      <c r="F211" s="12" t="n">
        <v>12853.7</v>
      </c>
      <c r="G211" s="12" t="n">
        <v>511.1</v>
      </c>
      <c r="H211" s="13" t="n">
        <v>0.6133999999999999</v>
      </c>
      <c r="I211" s="13" t="n">
        <v>0.6366000000000001</v>
      </c>
    </row>
    <row r="212">
      <c r="A212" s="10" t="inlineStr">
        <is>
          <t>PJ-2019-A</t>
        </is>
      </c>
      <c r="B212" s="10" t="inlineStr">
        <is>
          <t>位置合わせ(MS指定)／月内均等</t>
        </is>
      </c>
      <c r="C212" s="10" t="inlineStr">
        <is>
          <t>2021-04</t>
        </is>
      </c>
      <c r="D212" s="10" t="n">
        <v>25</v>
      </c>
      <c r="E212" s="12" t="n">
        <v>13048.3</v>
      </c>
      <c r="F212" s="12" t="n">
        <v>12825.4</v>
      </c>
      <c r="G212" s="12" t="n">
        <v>222.9</v>
      </c>
      <c r="H212" s="13" t="n">
        <v>0.6478</v>
      </c>
      <c r="I212" s="13" t="n">
        <v>0.6704</v>
      </c>
    </row>
    <row r="213">
      <c r="A213" s="10" t="inlineStr">
        <is>
          <t>PJ-2019-A</t>
        </is>
      </c>
      <c r="B213" s="10" t="inlineStr">
        <is>
          <t>位置合わせ(MS指定)／月内均等</t>
        </is>
      </c>
      <c r="C213" s="10" t="inlineStr">
        <is>
          <t>2021-05</t>
        </is>
      </c>
      <c r="D213" s="10" t="n">
        <v>26</v>
      </c>
      <c r="E213" s="12" t="n">
        <v>13701.9</v>
      </c>
      <c r="F213" s="12" t="n">
        <v>13976.5</v>
      </c>
      <c r="G213" s="12" t="n">
        <v>-274.6</v>
      </c>
      <c r="H213" s="13" t="n">
        <v>0.6839</v>
      </c>
      <c r="I213" s="13" t="n">
        <v>0.7072000000000001</v>
      </c>
    </row>
    <row r="214">
      <c r="A214" s="10" t="inlineStr">
        <is>
          <t>PJ-2019-A</t>
        </is>
      </c>
      <c r="B214" s="10" t="inlineStr">
        <is>
          <t>位置合わせ(MS指定)／月内均等</t>
        </is>
      </c>
      <c r="C214" s="10" t="inlineStr">
        <is>
          <t>2021-06</t>
        </is>
      </c>
      <c r="D214" s="10" t="n">
        <v>27</v>
      </c>
      <c r="E214" s="12" t="n">
        <v>13514</v>
      </c>
      <c r="F214" s="12" t="n">
        <v>14724.1</v>
      </c>
      <c r="G214" s="12" t="n">
        <v>-1210.1</v>
      </c>
      <c r="H214" s="13" t="n">
        <v>0.7195</v>
      </c>
      <c r="I214" s="13" t="n">
        <v>0.746</v>
      </c>
    </row>
    <row r="215">
      <c r="A215" s="10" t="inlineStr">
        <is>
          <t>PJ-2019-A</t>
        </is>
      </c>
      <c r="B215" s="10" t="inlineStr">
        <is>
          <t>位置合わせ(MS指定)／月内均等</t>
        </is>
      </c>
      <c r="C215" s="10" t="inlineStr">
        <is>
          <t>2021-07</t>
        </is>
      </c>
      <c r="D215" s="10" t="n">
        <v>28</v>
      </c>
      <c r="E215" s="12" t="n">
        <v>12787</v>
      </c>
      <c r="F215" s="12" t="n">
        <v>17311.9</v>
      </c>
      <c r="G215" s="12" t="n">
        <v>-4524.9</v>
      </c>
      <c r="H215" s="13" t="n">
        <v>0.7532</v>
      </c>
      <c r="I215" s="13" t="n">
        <v>0.7916</v>
      </c>
    </row>
    <row r="216">
      <c r="A216" s="10" t="inlineStr">
        <is>
          <t>PJ-2019-A</t>
        </is>
      </c>
      <c r="B216" s="10" t="inlineStr">
        <is>
          <t>位置合わせ(MS指定)／月内均等</t>
        </is>
      </c>
      <c r="C216" s="10" t="inlineStr">
        <is>
          <t>2021-08</t>
        </is>
      </c>
      <c r="D216" s="10" t="n">
        <v>29</v>
      </c>
      <c r="E216" s="12" t="n">
        <v>15854</v>
      </c>
      <c r="F216" s="12" t="n">
        <v>19848.8</v>
      </c>
      <c r="G216" s="12" t="n">
        <v>-3994.8</v>
      </c>
      <c r="H216" s="13" t="n">
        <v>0.7949000000000001</v>
      </c>
      <c r="I216" s="13" t="n">
        <v>0.8439</v>
      </c>
    </row>
    <row r="217">
      <c r="A217" s="10" t="inlineStr">
        <is>
          <t>PJ-2019-A</t>
        </is>
      </c>
      <c r="B217" s="10" t="inlineStr">
        <is>
          <t>位置合わせ(MS指定)／月内均等</t>
        </is>
      </c>
      <c r="C217" s="10" t="inlineStr">
        <is>
          <t>2021-09</t>
        </is>
      </c>
      <c r="D217" s="10" t="n">
        <v>30</v>
      </c>
      <c r="E217" s="12" t="n">
        <v>15532.3</v>
      </c>
      <c r="F217" s="12" t="n">
        <v>17282.1</v>
      </c>
      <c r="G217" s="12" t="n">
        <v>-1749.8</v>
      </c>
      <c r="H217" s="13" t="n">
        <v>0.8359</v>
      </c>
      <c r="I217" s="13" t="n">
        <v>0.8895</v>
      </c>
    </row>
    <row r="218">
      <c r="A218" s="10" t="inlineStr">
        <is>
          <t>PJ-2019-A</t>
        </is>
      </c>
      <c r="B218" s="10" t="inlineStr">
        <is>
          <t>位置合わせ(MS指定)／月内均等</t>
        </is>
      </c>
      <c r="C218" s="10" t="inlineStr">
        <is>
          <t>2021-10</t>
        </is>
      </c>
      <c r="D218" s="10" t="n">
        <v>31</v>
      </c>
      <c r="E218" s="12" t="n">
        <v>15121.3</v>
      </c>
      <c r="F218" s="12" t="n">
        <v>13450.6</v>
      </c>
      <c r="G218" s="12" t="n">
        <v>1670.7</v>
      </c>
      <c r="H218" s="13" t="n">
        <v>0.8757</v>
      </c>
      <c r="I218" s="13" t="n">
        <v>0.9249000000000001</v>
      </c>
    </row>
    <row r="219">
      <c r="A219" s="10" t="inlineStr">
        <is>
          <t>PJ-2019-A</t>
        </is>
      </c>
      <c r="B219" s="10" t="inlineStr">
        <is>
          <t>位置合わせ(MS指定)／月内均等</t>
        </is>
      </c>
      <c r="C219" s="10" t="inlineStr">
        <is>
          <t>2021-11</t>
        </is>
      </c>
      <c r="D219" s="10" t="n">
        <v>32</v>
      </c>
      <c r="E219" s="12" t="n">
        <v>13313.3</v>
      </c>
      <c r="F219" s="12" t="n">
        <v>9371.200000000001</v>
      </c>
      <c r="G219" s="12" t="n">
        <v>3942.1</v>
      </c>
      <c r="H219" s="13" t="n">
        <v>0.9108000000000001</v>
      </c>
      <c r="I219" s="13" t="n">
        <v>0.9496</v>
      </c>
    </row>
    <row r="220">
      <c r="A220" s="10" t="inlineStr">
        <is>
          <t>PJ-2019-A</t>
        </is>
      </c>
      <c r="B220" s="10" t="inlineStr">
        <is>
          <t>位置合わせ(MS指定)／月内均等</t>
        </is>
      </c>
      <c r="C220" s="10" t="inlineStr">
        <is>
          <t>2021-12</t>
        </is>
      </c>
      <c r="D220" s="10" t="n">
        <v>33</v>
      </c>
      <c r="E220" s="12" t="n">
        <v>11257.9</v>
      </c>
      <c r="F220" s="12" t="n">
        <v>9266</v>
      </c>
      <c r="G220" s="12" t="n">
        <v>1991.9</v>
      </c>
      <c r="H220" s="13" t="n">
        <v>0.9404</v>
      </c>
      <c r="I220" s="13" t="n">
        <v>0.974</v>
      </c>
    </row>
    <row r="221">
      <c r="A221" s="10" t="inlineStr">
        <is>
          <t>PJ-2019-A</t>
        </is>
      </c>
      <c r="B221" s="10" t="inlineStr">
        <is>
          <t>位置合わせ(MS指定)／月内均等</t>
        </is>
      </c>
      <c r="C221" s="10" t="inlineStr">
        <is>
          <t>2022-01</t>
        </is>
      </c>
      <c r="D221" s="10" t="n">
        <v>34</v>
      </c>
      <c r="E221" s="12" t="n">
        <v>10318.2</v>
      </c>
      <c r="F221" s="12" t="n">
        <v>5982.7</v>
      </c>
      <c r="G221" s="12" t="n">
        <v>4335.5</v>
      </c>
      <c r="H221" s="13" t="n">
        <v>0.9676</v>
      </c>
      <c r="I221" s="13" t="n">
        <v>0.9898</v>
      </c>
    </row>
    <row r="222">
      <c r="A222" s="10" t="inlineStr">
        <is>
          <t>PJ-2019-A</t>
        </is>
      </c>
      <c r="B222" s="10" t="inlineStr">
        <is>
          <t>位置合わせ(MS指定)／月内均等</t>
        </is>
      </c>
      <c r="C222" s="10" t="inlineStr">
        <is>
          <t>2022-02</t>
        </is>
      </c>
      <c r="D222" s="10" t="n">
        <v>35</v>
      </c>
      <c r="E222" s="12" t="n">
        <v>7370.8</v>
      </c>
      <c r="F222" s="12" t="n">
        <v>2863</v>
      </c>
      <c r="G222" s="12" t="n">
        <v>4507.8</v>
      </c>
      <c r="H222" s="13" t="n">
        <v>0.987</v>
      </c>
      <c r="I222" s="13" t="n">
        <v>0.9973</v>
      </c>
    </row>
    <row r="223">
      <c r="A223" s="10" t="inlineStr">
        <is>
          <t>PJ-2019-A</t>
        </is>
      </c>
      <c r="B223" s="10" t="inlineStr">
        <is>
          <t>位置合わせ(MS指定)／月内均等</t>
        </is>
      </c>
      <c r="C223" s="10" t="inlineStr">
        <is>
          <t>2022-03</t>
        </is>
      </c>
      <c r="D223" s="10" t="n">
        <v>36</v>
      </c>
      <c r="E223" s="12" t="n">
        <v>4922.4</v>
      </c>
      <c r="F223" s="12" t="n">
        <v>1019.3</v>
      </c>
      <c r="G223" s="12" t="n">
        <v>3903.1</v>
      </c>
      <c r="H223" s="13" t="n">
        <v>1</v>
      </c>
      <c r="I223" s="13" t="n">
        <v>1</v>
      </c>
    </row>
    <row r="224">
      <c r="A224" s="10" t="inlineStr">
        <is>
          <t>PJ-2019-A</t>
        </is>
      </c>
      <c r="B224" s="10" t="inlineStr">
        <is>
          <t>素朴版／単調補間</t>
        </is>
      </c>
      <c r="C224" s="10" t="inlineStr">
        <is>
          <t>2019-04</t>
        </is>
      </c>
      <c r="D224" s="10" t="n">
        <v>1</v>
      </c>
      <c r="E224" s="12" t="n">
        <v>3955.2</v>
      </c>
      <c r="F224" s="12" t="n">
        <v>3071.8</v>
      </c>
      <c r="G224" s="12" t="n">
        <v>883.4</v>
      </c>
      <c r="H224" s="13" t="n">
        <v>0.0104</v>
      </c>
      <c r="I224" s="13" t="n">
        <v>0.0081</v>
      </c>
    </row>
    <row r="225">
      <c r="A225" s="10" t="inlineStr">
        <is>
          <t>PJ-2019-A</t>
        </is>
      </c>
      <c r="B225" s="10" t="inlineStr">
        <is>
          <t>素朴版／単調補間</t>
        </is>
      </c>
      <c r="C225" s="10" t="inlineStr">
        <is>
          <t>2019-05</t>
        </is>
      </c>
      <c r="D225" s="10" t="n">
        <v>2</v>
      </c>
      <c r="E225" s="12" t="n">
        <v>4793.2</v>
      </c>
      <c r="F225" s="12" t="n">
        <v>5541.4</v>
      </c>
      <c r="G225" s="12" t="n">
        <v>-748.2</v>
      </c>
      <c r="H225" s="13" t="n">
        <v>0.023</v>
      </c>
      <c r="I225" s="13" t="n">
        <v>0.0227</v>
      </c>
    </row>
    <row r="226">
      <c r="A226" s="10" t="inlineStr">
        <is>
          <t>PJ-2019-A</t>
        </is>
      </c>
      <c r="B226" s="10" t="inlineStr">
        <is>
          <t>素朴版／単調補間</t>
        </is>
      </c>
      <c r="C226" s="10" t="inlineStr">
        <is>
          <t>2019-06</t>
        </is>
      </c>
      <c r="D226" s="10" t="n">
        <v>3</v>
      </c>
      <c r="E226" s="12" t="n">
        <v>5272.7</v>
      </c>
      <c r="F226" s="12" t="n">
        <v>6929.4</v>
      </c>
      <c r="G226" s="12" t="n">
        <v>-1656.7</v>
      </c>
      <c r="H226" s="13" t="n">
        <v>0.0369</v>
      </c>
      <c r="I226" s="13" t="n">
        <v>0.0409</v>
      </c>
    </row>
    <row r="227">
      <c r="A227" s="10" t="inlineStr">
        <is>
          <t>PJ-2019-A</t>
        </is>
      </c>
      <c r="B227" s="10" t="inlineStr">
        <is>
          <t>素朴版／単調補間</t>
        </is>
      </c>
      <c r="C227" s="10" t="inlineStr">
        <is>
          <t>2019-07</t>
        </is>
      </c>
      <c r="D227" s="10" t="n">
        <v>4</v>
      </c>
      <c r="E227" s="12" t="n">
        <v>5999.8</v>
      </c>
      <c r="F227" s="12" t="n">
        <v>8197.200000000001</v>
      </c>
      <c r="G227" s="12" t="n">
        <v>-2197.4</v>
      </c>
      <c r="H227" s="13" t="n">
        <v>0.0527</v>
      </c>
      <c r="I227" s="13" t="n">
        <v>0.0625</v>
      </c>
    </row>
    <row r="228">
      <c r="A228" s="10" t="inlineStr">
        <is>
          <t>PJ-2019-A</t>
        </is>
      </c>
      <c r="B228" s="10" t="inlineStr">
        <is>
          <t>素朴版／単調補間</t>
        </is>
      </c>
      <c r="C228" s="10" t="inlineStr">
        <is>
          <t>2019-08</t>
        </is>
      </c>
      <c r="D228" s="10" t="n">
        <v>5</v>
      </c>
      <c r="E228" s="12" t="n">
        <v>6402.2</v>
      </c>
      <c r="F228" s="12" t="n">
        <v>9127.4</v>
      </c>
      <c r="G228" s="12" t="n">
        <v>-2725.2</v>
      </c>
      <c r="H228" s="13" t="n">
        <v>0.0696</v>
      </c>
      <c r="I228" s="13" t="n">
        <v>0.0866</v>
      </c>
    </row>
    <row r="229">
      <c r="A229" s="10" t="inlineStr">
        <is>
          <t>PJ-2019-A</t>
        </is>
      </c>
      <c r="B229" s="10" t="inlineStr">
        <is>
          <t>素朴版／単調補間</t>
        </is>
      </c>
      <c r="C229" s="10" t="inlineStr">
        <is>
          <t>2019-09</t>
        </is>
      </c>
      <c r="D229" s="10" t="n">
        <v>6</v>
      </c>
      <c r="E229" s="12" t="n">
        <v>6621.9</v>
      </c>
      <c r="F229" s="12" t="n">
        <v>9824.700000000001</v>
      </c>
      <c r="G229" s="12" t="n">
        <v>-3202.8</v>
      </c>
      <c r="H229" s="13" t="n">
        <v>0.0871</v>
      </c>
      <c r="I229" s="13" t="n">
        <v>0.1125</v>
      </c>
    </row>
    <row r="230">
      <c r="A230" s="10" t="inlineStr">
        <is>
          <t>PJ-2019-A</t>
        </is>
      </c>
      <c r="B230" s="10" t="inlineStr">
        <is>
          <t>素朴版／単調補間</t>
        </is>
      </c>
      <c r="C230" s="10" t="inlineStr">
        <is>
          <t>2019-10</t>
        </is>
      </c>
      <c r="D230" s="10" t="n">
        <v>7</v>
      </c>
      <c r="E230" s="12" t="n">
        <v>7262.9</v>
      </c>
      <c r="F230" s="12" t="n">
        <v>7570.4</v>
      </c>
      <c r="G230" s="12" t="n">
        <v>-307.5</v>
      </c>
      <c r="H230" s="13" t="n">
        <v>0.1062</v>
      </c>
      <c r="I230" s="13" t="n">
        <v>0.1324</v>
      </c>
    </row>
    <row r="231">
      <c r="A231" s="10" t="inlineStr">
        <is>
          <t>PJ-2019-A</t>
        </is>
      </c>
      <c r="B231" s="10" t="inlineStr">
        <is>
          <t>素朴版／単調補間</t>
        </is>
      </c>
      <c r="C231" s="10" t="inlineStr">
        <is>
          <t>2019-11</t>
        </is>
      </c>
      <c r="D231" s="10" t="n">
        <v>8</v>
      </c>
      <c r="E231" s="12" t="n">
        <v>7319.7</v>
      </c>
      <c r="F231" s="12" t="n">
        <v>7669.4</v>
      </c>
      <c r="G231" s="12" t="n">
        <v>-349.7</v>
      </c>
      <c r="H231" s="13" t="n">
        <v>0.1255</v>
      </c>
      <c r="I231" s="13" t="n">
        <v>0.1526</v>
      </c>
    </row>
    <row r="232">
      <c r="A232" s="10" t="inlineStr">
        <is>
          <t>PJ-2019-A</t>
        </is>
      </c>
      <c r="B232" s="10" t="inlineStr">
        <is>
          <t>素朴版／単調補間</t>
        </is>
      </c>
      <c r="C232" s="10" t="inlineStr">
        <is>
          <t>2019-12</t>
        </is>
      </c>
      <c r="D232" s="10" t="n">
        <v>9</v>
      </c>
      <c r="E232" s="12" t="n">
        <v>8322</v>
      </c>
      <c r="F232" s="12" t="n">
        <v>7989.5</v>
      </c>
      <c r="G232" s="12" t="n">
        <v>332.5</v>
      </c>
      <c r="H232" s="13" t="n">
        <v>0.1474</v>
      </c>
      <c r="I232" s="13" t="n">
        <v>0.1737</v>
      </c>
    </row>
    <row r="233">
      <c r="A233" s="10" t="inlineStr">
        <is>
          <t>PJ-2019-A</t>
        </is>
      </c>
      <c r="B233" s="10" t="inlineStr">
        <is>
          <t>素朴版／単調補間</t>
        </is>
      </c>
      <c r="C233" s="10" t="inlineStr">
        <is>
          <t>2020-01</t>
        </is>
      </c>
      <c r="D233" s="10" t="n">
        <v>10</v>
      </c>
      <c r="E233" s="12" t="n">
        <v>9205.700000000001</v>
      </c>
      <c r="F233" s="12" t="n">
        <v>8507.5</v>
      </c>
      <c r="G233" s="12" t="n">
        <v>698.2</v>
      </c>
      <c r="H233" s="13" t="n">
        <v>0.1717</v>
      </c>
      <c r="I233" s="13" t="n">
        <v>0.1961</v>
      </c>
    </row>
    <row r="234">
      <c r="A234" s="10" t="inlineStr">
        <is>
          <t>PJ-2019-A</t>
        </is>
      </c>
      <c r="B234" s="10" t="inlineStr">
        <is>
          <t>素朴版／単調補間</t>
        </is>
      </c>
      <c r="C234" s="10" t="inlineStr">
        <is>
          <t>2020-02</t>
        </is>
      </c>
      <c r="D234" s="10" t="n">
        <v>11</v>
      </c>
      <c r="E234" s="12" t="n">
        <v>10201.9</v>
      </c>
      <c r="F234" s="12" t="n">
        <v>8132.8</v>
      </c>
      <c r="G234" s="12" t="n">
        <v>2069.1</v>
      </c>
      <c r="H234" s="13" t="n">
        <v>0.1985</v>
      </c>
      <c r="I234" s="13" t="n">
        <v>0.2175</v>
      </c>
    </row>
    <row r="235">
      <c r="A235" s="10" t="inlineStr">
        <is>
          <t>PJ-2019-A</t>
        </is>
      </c>
      <c r="B235" s="10" t="inlineStr">
        <is>
          <t>素朴版／単調補間</t>
        </is>
      </c>
      <c r="C235" s="10" t="inlineStr">
        <is>
          <t>2020-03</t>
        </is>
      </c>
      <c r="D235" s="10" t="n">
        <v>12</v>
      </c>
      <c r="E235" s="12" t="n">
        <v>11624.3</v>
      </c>
      <c r="F235" s="12" t="n">
        <v>9311.5</v>
      </c>
      <c r="G235" s="12" t="n">
        <v>2312.8</v>
      </c>
      <c r="H235" s="13" t="n">
        <v>0.2292</v>
      </c>
      <c r="I235" s="13" t="n">
        <v>0.2421</v>
      </c>
    </row>
    <row r="236">
      <c r="A236" s="10" t="inlineStr">
        <is>
          <t>PJ-2019-A</t>
        </is>
      </c>
      <c r="B236" s="10" t="inlineStr">
        <is>
          <t>素朴版／単調補間</t>
        </is>
      </c>
      <c r="C236" s="10" t="inlineStr">
        <is>
          <t>2020-04</t>
        </is>
      </c>
      <c r="D236" s="10" t="n">
        <v>13</v>
      </c>
      <c r="E236" s="12" t="n">
        <v>12143</v>
      </c>
      <c r="F236" s="12" t="n">
        <v>9039.6</v>
      </c>
      <c r="G236" s="12" t="n">
        <v>3103.4</v>
      </c>
      <c r="H236" s="13" t="n">
        <v>0.2612</v>
      </c>
      <c r="I236" s="13" t="n">
        <v>0.2659</v>
      </c>
    </row>
    <row r="237">
      <c r="A237" s="10" t="inlineStr">
        <is>
          <t>PJ-2019-A</t>
        </is>
      </c>
      <c r="B237" s="10" t="inlineStr">
        <is>
          <t>素朴版／単調補間</t>
        </is>
      </c>
      <c r="C237" s="10" t="inlineStr">
        <is>
          <t>2020-05</t>
        </is>
      </c>
      <c r="D237" s="10" t="n">
        <v>14</v>
      </c>
      <c r="E237" s="12" t="n">
        <v>13392.3</v>
      </c>
      <c r="F237" s="12" t="n">
        <v>9635.799999999999</v>
      </c>
      <c r="G237" s="12" t="n">
        <v>3756.5</v>
      </c>
      <c r="H237" s="13" t="n">
        <v>0.2964</v>
      </c>
      <c r="I237" s="13" t="n">
        <v>0.2913</v>
      </c>
    </row>
    <row r="238">
      <c r="A238" s="10" t="inlineStr">
        <is>
          <t>PJ-2019-A</t>
        </is>
      </c>
      <c r="B238" s="10" t="inlineStr">
        <is>
          <t>素朴版／単調補間</t>
        </is>
      </c>
      <c r="C238" s="10" t="inlineStr">
        <is>
          <t>2020-06</t>
        </is>
      </c>
      <c r="D238" s="10" t="n">
        <v>15</v>
      </c>
      <c r="E238" s="12" t="n">
        <v>14106</v>
      </c>
      <c r="F238" s="12" t="n">
        <v>10344.9</v>
      </c>
      <c r="G238" s="12" t="n">
        <v>3761.1</v>
      </c>
      <c r="H238" s="13" t="n">
        <v>0.3336</v>
      </c>
      <c r="I238" s="13" t="n">
        <v>0.3185</v>
      </c>
    </row>
    <row r="239">
      <c r="A239" s="10" t="inlineStr">
        <is>
          <t>PJ-2019-A</t>
        </is>
      </c>
      <c r="B239" s="10" t="inlineStr">
        <is>
          <t>素朴版／単調補間</t>
        </is>
      </c>
      <c r="C239" s="10" t="inlineStr">
        <is>
          <t>2020-07</t>
        </is>
      </c>
      <c r="D239" s="10" t="n">
        <v>16</v>
      </c>
      <c r="E239" s="12" t="n">
        <v>13421</v>
      </c>
      <c r="F239" s="12" t="n">
        <v>11426.7</v>
      </c>
      <c r="G239" s="12" t="n">
        <v>1994.3</v>
      </c>
      <c r="H239" s="13" t="n">
        <v>0.369</v>
      </c>
      <c r="I239" s="13" t="n">
        <v>0.3486</v>
      </c>
    </row>
    <row r="240">
      <c r="A240" s="10" t="inlineStr">
        <is>
          <t>PJ-2019-A</t>
        </is>
      </c>
      <c r="B240" s="10" t="inlineStr">
        <is>
          <t>素朴版／単調補間</t>
        </is>
      </c>
      <c r="C240" s="10" t="inlineStr">
        <is>
          <t>2020-08</t>
        </is>
      </c>
      <c r="D240" s="10" t="n">
        <v>17</v>
      </c>
      <c r="E240" s="12" t="n">
        <v>12612.9</v>
      </c>
      <c r="F240" s="12" t="n">
        <v>12271.1</v>
      </c>
      <c r="G240" s="12" t="n">
        <v>341.8</v>
      </c>
      <c r="H240" s="13" t="n">
        <v>0.4022</v>
      </c>
      <c r="I240" s="13" t="n">
        <v>0.3809</v>
      </c>
    </row>
    <row r="241">
      <c r="A241" s="10" t="inlineStr">
        <is>
          <t>PJ-2019-A</t>
        </is>
      </c>
      <c r="B241" s="10" t="inlineStr">
        <is>
          <t>素朴版／単調補間</t>
        </is>
      </c>
      <c r="C241" s="10" t="inlineStr">
        <is>
          <t>2020-09</t>
        </is>
      </c>
      <c r="D241" s="10" t="n">
        <v>18</v>
      </c>
      <c r="E241" s="12" t="n">
        <v>12129.6</v>
      </c>
      <c r="F241" s="12" t="n">
        <v>12547.9</v>
      </c>
      <c r="G241" s="12" t="n">
        <v>-418.3</v>
      </c>
      <c r="H241" s="13" t="n">
        <v>0.4341</v>
      </c>
      <c r="I241" s="13" t="n">
        <v>0.414</v>
      </c>
    </row>
    <row r="242">
      <c r="A242" s="10" t="inlineStr">
        <is>
          <t>PJ-2019-A</t>
        </is>
      </c>
      <c r="B242" s="10" t="inlineStr">
        <is>
          <t>素朴版／単調補間</t>
        </is>
      </c>
      <c r="C242" s="10" t="inlineStr">
        <is>
          <t>2020-10</t>
        </is>
      </c>
      <c r="D242" s="10" t="n">
        <v>19</v>
      </c>
      <c r="E242" s="12" t="n">
        <v>14360.9</v>
      </c>
      <c r="F242" s="12" t="n">
        <v>14214.2</v>
      </c>
      <c r="G242" s="12" t="n">
        <v>146.7</v>
      </c>
      <c r="H242" s="13" t="n">
        <v>0.472</v>
      </c>
      <c r="I242" s="13" t="n">
        <v>0.4515</v>
      </c>
    </row>
    <row r="243">
      <c r="A243" s="10" t="inlineStr">
        <is>
          <t>PJ-2019-A</t>
        </is>
      </c>
      <c r="B243" s="10" t="inlineStr">
        <is>
          <t>素朴版／単調補間</t>
        </is>
      </c>
      <c r="C243" s="10" t="inlineStr">
        <is>
          <t>2020-11</t>
        </is>
      </c>
      <c r="D243" s="10" t="n">
        <v>20</v>
      </c>
      <c r="E243" s="12" t="n">
        <v>13965.9</v>
      </c>
      <c r="F243" s="12" t="n">
        <v>16661.4</v>
      </c>
      <c r="G243" s="12" t="n">
        <v>-2695.5</v>
      </c>
      <c r="H243" s="13" t="n">
        <v>0.5088</v>
      </c>
      <c r="I243" s="13" t="n">
        <v>0.4953</v>
      </c>
    </row>
    <row r="244">
      <c r="A244" s="10" t="inlineStr">
        <is>
          <t>PJ-2019-A</t>
        </is>
      </c>
      <c r="B244" s="10" t="inlineStr">
        <is>
          <t>素朴版／単調補間</t>
        </is>
      </c>
      <c r="C244" s="10" t="inlineStr">
        <is>
          <t>2020-12</t>
        </is>
      </c>
      <c r="D244" s="10" t="n">
        <v>21</v>
      </c>
      <c r="E244" s="12" t="n">
        <v>15031.4</v>
      </c>
      <c r="F244" s="12" t="n">
        <v>15314.9</v>
      </c>
      <c r="G244" s="12" t="n">
        <v>-283.5</v>
      </c>
      <c r="H244" s="13" t="n">
        <v>0.5484</v>
      </c>
      <c r="I244" s="13" t="n">
        <v>0.5357</v>
      </c>
    </row>
    <row r="245">
      <c r="A245" s="10" t="inlineStr">
        <is>
          <t>PJ-2019-A</t>
        </is>
      </c>
      <c r="B245" s="10" t="inlineStr">
        <is>
          <t>素朴版／単調補間</t>
        </is>
      </c>
      <c r="C245" s="10" t="inlineStr">
        <is>
          <t>2021-01</t>
        </is>
      </c>
      <c r="D245" s="10" t="n">
        <v>22</v>
      </c>
      <c r="E245" s="12" t="n">
        <v>16205.1</v>
      </c>
      <c r="F245" s="12" t="n">
        <v>13490.4</v>
      </c>
      <c r="G245" s="12" t="n">
        <v>2714.7</v>
      </c>
      <c r="H245" s="13" t="n">
        <v>0.5911</v>
      </c>
      <c r="I245" s="13" t="n">
        <v>0.5712</v>
      </c>
    </row>
    <row r="246">
      <c r="A246" s="10" t="inlineStr">
        <is>
          <t>PJ-2019-A</t>
        </is>
      </c>
      <c r="B246" s="10" t="inlineStr">
        <is>
          <t>素朴版／単調補間</t>
        </is>
      </c>
      <c r="C246" s="10" t="inlineStr">
        <is>
          <t>2021-02</t>
        </is>
      </c>
      <c r="D246" s="10" t="n">
        <v>23</v>
      </c>
      <c r="E246" s="12" t="n">
        <v>15532.1</v>
      </c>
      <c r="F246" s="12" t="n">
        <v>11965.7</v>
      </c>
      <c r="G246" s="12" t="n">
        <v>3566.4</v>
      </c>
      <c r="H246" s="13" t="n">
        <v>0.632</v>
      </c>
      <c r="I246" s="13" t="n">
        <v>0.6028</v>
      </c>
    </row>
    <row r="247">
      <c r="A247" s="10" t="inlineStr">
        <is>
          <t>PJ-2019-A</t>
        </is>
      </c>
      <c r="B247" s="10" t="inlineStr">
        <is>
          <t>素朴版／単調補間</t>
        </is>
      </c>
      <c r="C247" s="10" t="inlineStr">
        <is>
          <t>2021-03</t>
        </is>
      </c>
      <c r="D247" s="10" t="n">
        <v>24</v>
      </c>
      <c r="E247" s="12" t="n">
        <v>16336.1</v>
      </c>
      <c r="F247" s="12" t="n">
        <v>12853.7</v>
      </c>
      <c r="G247" s="12" t="n">
        <v>3482.4</v>
      </c>
      <c r="H247" s="13" t="n">
        <v>0.675</v>
      </c>
      <c r="I247" s="13" t="n">
        <v>0.6366000000000001</v>
      </c>
    </row>
    <row r="248">
      <c r="A248" s="10" t="inlineStr">
        <is>
          <t>PJ-2019-A</t>
        </is>
      </c>
      <c r="B248" s="10" t="inlineStr">
        <is>
          <t>素朴版／単調補間</t>
        </is>
      </c>
      <c r="C248" s="10" t="inlineStr">
        <is>
          <t>2021-04</t>
        </is>
      </c>
      <c r="D248" s="10" t="n">
        <v>25</v>
      </c>
      <c r="E248" s="12" t="n">
        <v>14768.7</v>
      </c>
      <c r="F248" s="12" t="n">
        <v>12825.4</v>
      </c>
      <c r="G248" s="12" t="n">
        <v>1943.3</v>
      </c>
      <c r="H248" s="13" t="n">
        <v>0.7139</v>
      </c>
      <c r="I248" s="13" t="n">
        <v>0.6704</v>
      </c>
    </row>
    <row r="249">
      <c r="A249" s="10" t="inlineStr">
        <is>
          <t>PJ-2019-A</t>
        </is>
      </c>
      <c r="B249" s="10" t="inlineStr">
        <is>
          <t>素朴版／単調補間</t>
        </is>
      </c>
      <c r="C249" s="10" t="inlineStr">
        <is>
          <t>2021-05</t>
        </is>
      </c>
      <c r="D249" s="10" t="n">
        <v>26</v>
      </c>
      <c r="E249" s="12" t="n">
        <v>13997.6</v>
      </c>
      <c r="F249" s="12" t="n">
        <v>13976.5</v>
      </c>
      <c r="G249" s="12" t="n">
        <v>21.1</v>
      </c>
      <c r="H249" s="13" t="n">
        <v>0.7508</v>
      </c>
      <c r="I249" s="13" t="n">
        <v>0.7072000000000001</v>
      </c>
    </row>
    <row r="250">
      <c r="A250" s="10" t="inlineStr">
        <is>
          <t>PJ-2019-A</t>
        </is>
      </c>
      <c r="B250" s="10" t="inlineStr">
        <is>
          <t>素朴版／単調補間</t>
        </is>
      </c>
      <c r="C250" s="10" t="inlineStr">
        <is>
          <t>2021-06</t>
        </is>
      </c>
      <c r="D250" s="10" t="n">
        <v>27</v>
      </c>
      <c r="E250" s="12" t="n">
        <v>13157.8</v>
      </c>
      <c r="F250" s="12" t="n">
        <v>14724.1</v>
      </c>
      <c r="G250" s="12" t="n">
        <v>-1566.3</v>
      </c>
      <c r="H250" s="13" t="n">
        <v>0.7855</v>
      </c>
      <c r="I250" s="13" t="n">
        <v>0.746</v>
      </c>
    </row>
    <row r="251">
      <c r="A251" s="10" t="inlineStr">
        <is>
          <t>PJ-2019-A</t>
        </is>
      </c>
      <c r="B251" s="10" t="inlineStr">
        <is>
          <t>素朴版／単調補間</t>
        </is>
      </c>
      <c r="C251" s="10" t="inlineStr">
        <is>
          <t>2021-07</t>
        </is>
      </c>
      <c r="D251" s="10" t="n">
        <v>28</v>
      </c>
      <c r="E251" s="12" t="n">
        <v>13286.2</v>
      </c>
      <c r="F251" s="12" t="n">
        <v>17311.9</v>
      </c>
      <c r="G251" s="12" t="n">
        <v>-4025.7</v>
      </c>
      <c r="H251" s="13" t="n">
        <v>0.8205</v>
      </c>
      <c r="I251" s="13" t="n">
        <v>0.7916</v>
      </c>
    </row>
    <row r="252">
      <c r="A252" s="10" t="inlineStr">
        <is>
          <t>PJ-2019-A</t>
        </is>
      </c>
      <c r="B252" s="10" t="inlineStr">
        <is>
          <t>素朴版／単調補間</t>
        </is>
      </c>
      <c r="C252" s="10" t="inlineStr">
        <is>
          <t>2021-08</t>
        </is>
      </c>
      <c r="D252" s="10" t="n">
        <v>29</v>
      </c>
      <c r="E252" s="12" t="n">
        <v>13401.2</v>
      </c>
      <c r="F252" s="12" t="n">
        <v>19848.8</v>
      </c>
      <c r="G252" s="12" t="n">
        <v>-6447.6</v>
      </c>
      <c r="H252" s="13" t="n">
        <v>0.8558</v>
      </c>
      <c r="I252" s="13" t="n">
        <v>0.8439</v>
      </c>
    </row>
    <row r="253">
      <c r="A253" s="10" t="inlineStr">
        <is>
          <t>PJ-2019-A</t>
        </is>
      </c>
      <c r="B253" s="10" t="inlineStr">
        <is>
          <t>素朴版／単調補間</t>
        </is>
      </c>
      <c r="C253" s="10" t="inlineStr">
        <is>
          <t>2021-09</t>
        </is>
      </c>
      <c r="D253" s="10" t="n">
        <v>30</v>
      </c>
      <c r="E253" s="12" t="n">
        <v>12282.1</v>
      </c>
      <c r="F253" s="12" t="n">
        <v>17282.1</v>
      </c>
      <c r="G253" s="12" t="n">
        <v>-5000</v>
      </c>
      <c r="H253" s="13" t="n">
        <v>0.8882</v>
      </c>
      <c r="I253" s="13" t="n">
        <v>0.8895</v>
      </c>
    </row>
    <row r="254">
      <c r="A254" s="10" t="inlineStr">
        <is>
          <t>PJ-2019-A</t>
        </is>
      </c>
      <c r="B254" s="10" t="inlineStr">
        <is>
          <t>素朴版／単調補間</t>
        </is>
      </c>
      <c r="C254" s="10" t="inlineStr">
        <is>
          <t>2021-10</t>
        </is>
      </c>
      <c r="D254" s="10" t="n">
        <v>31</v>
      </c>
      <c r="E254" s="12" t="n">
        <v>10804</v>
      </c>
      <c r="F254" s="12" t="n">
        <v>13450.6</v>
      </c>
      <c r="G254" s="12" t="n">
        <v>-2646.6</v>
      </c>
      <c r="H254" s="13" t="n">
        <v>0.9166</v>
      </c>
      <c r="I254" s="13" t="n">
        <v>0.9249000000000001</v>
      </c>
    </row>
    <row r="255">
      <c r="A255" s="10" t="inlineStr">
        <is>
          <t>PJ-2019-A</t>
        </is>
      </c>
      <c r="B255" s="10" t="inlineStr">
        <is>
          <t>素朴版／単調補間</t>
        </is>
      </c>
      <c r="C255" s="10" t="inlineStr">
        <is>
          <t>2021-11</t>
        </is>
      </c>
      <c r="D255" s="10" t="n">
        <v>32</v>
      </c>
      <c r="E255" s="12" t="n">
        <v>8898</v>
      </c>
      <c r="F255" s="12" t="n">
        <v>9371.200000000001</v>
      </c>
      <c r="G255" s="12" t="n">
        <v>-473.2</v>
      </c>
      <c r="H255" s="13" t="n">
        <v>0.9401</v>
      </c>
      <c r="I255" s="13" t="n">
        <v>0.9496</v>
      </c>
    </row>
    <row r="256">
      <c r="A256" s="10" t="inlineStr">
        <is>
          <t>PJ-2019-A</t>
        </is>
      </c>
      <c r="B256" s="10" t="inlineStr">
        <is>
          <t>素朴版／単調補間</t>
        </is>
      </c>
      <c r="C256" s="10" t="inlineStr">
        <is>
          <t>2021-12</t>
        </is>
      </c>
      <c r="D256" s="10" t="n">
        <v>33</v>
      </c>
      <c r="E256" s="12" t="n">
        <v>7895.3</v>
      </c>
      <c r="F256" s="12" t="n">
        <v>9266</v>
      </c>
      <c r="G256" s="12" t="n">
        <v>-1370.7</v>
      </c>
      <c r="H256" s="13" t="n">
        <v>0.9609</v>
      </c>
      <c r="I256" s="13" t="n">
        <v>0.974</v>
      </c>
    </row>
    <row r="257">
      <c r="A257" s="10" t="inlineStr">
        <is>
          <t>PJ-2019-A</t>
        </is>
      </c>
      <c r="B257" s="10" t="inlineStr">
        <is>
          <t>素朴版／単調補間</t>
        </is>
      </c>
      <c r="C257" s="10" t="inlineStr">
        <is>
          <t>2022-01</t>
        </is>
      </c>
      <c r="D257" s="10" t="n">
        <v>34</v>
      </c>
      <c r="E257" s="12" t="n">
        <v>6775.9</v>
      </c>
      <c r="F257" s="12" t="n">
        <v>5982.7</v>
      </c>
      <c r="G257" s="12" t="n">
        <v>793.2</v>
      </c>
      <c r="H257" s="13" t="n">
        <v>0.9787</v>
      </c>
      <c r="I257" s="13" t="n">
        <v>0.9898</v>
      </c>
    </row>
    <row r="258">
      <c r="A258" s="10" t="inlineStr">
        <is>
          <t>PJ-2019-A</t>
        </is>
      </c>
      <c r="B258" s="10" t="inlineStr">
        <is>
          <t>素朴版／単調補間</t>
        </is>
      </c>
      <c r="C258" s="10" t="inlineStr">
        <is>
          <t>2022-02</t>
        </is>
      </c>
      <c r="D258" s="10" t="n">
        <v>35</v>
      </c>
      <c r="E258" s="12" t="n">
        <v>4822</v>
      </c>
      <c r="F258" s="12" t="n">
        <v>2863</v>
      </c>
      <c r="G258" s="12" t="n">
        <v>1959</v>
      </c>
      <c r="H258" s="13" t="n">
        <v>0.9913999999999999</v>
      </c>
      <c r="I258" s="13" t="n">
        <v>0.9973</v>
      </c>
    </row>
    <row r="259">
      <c r="A259" s="10" t="inlineStr">
        <is>
          <t>PJ-2019-A</t>
        </is>
      </c>
      <c r="B259" s="10" t="inlineStr">
        <is>
          <t>素朴版／単調補間</t>
        </is>
      </c>
      <c r="C259" s="10" t="inlineStr">
        <is>
          <t>2022-03</t>
        </is>
      </c>
      <c r="D259" s="10" t="n">
        <v>36</v>
      </c>
      <c r="E259" s="12" t="n">
        <v>3254.4</v>
      </c>
      <c r="F259" s="12" t="n">
        <v>1019.3</v>
      </c>
      <c r="G259" s="12" t="n">
        <v>2235.1</v>
      </c>
      <c r="H259" s="13" t="n">
        <v>1</v>
      </c>
      <c r="I259" s="13" t="n">
        <v>1</v>
      </c>
    </row>
    <row r="260">
      <c r="A260" s="10" t="inlineStr">
        <is>
          <t>PJ-2019-A</t>
        </is>
      </c>
      <c r="B260" s="10" t="inlineStr">
        <is>
          <t>位置合わせ(MS学習値)／単調補間</t>
        </is>
      </c>
      <c r="C260" s="10" t="inlineStr">
        <is>
          <t>2019-04</t>
        </is>
      </c>
      <c r="D260" s="10" t="n">
        <v>1</v>
      </c>
      <c r="E260" s="12" t="n">
        <v>3953.7</v>
      </c>
      <c r="F260" s="12" t="n">
        <v>3071.8</v>
      </c>
      <c r="G260" s="12" t="n">
        <v>881.9</v>
      </c>
      <c r="H260" s="13" t="n">
        <v>0.0104</v>
      </c>
      <c r="I260" s="13" t="n">
        <v>0.0081</v>
      </c>
    </row>
    <row r="261">
      <c r="A261" s="10" t="inlineStr">
        <is>
          <t>PJ-2019-A</t>
        </is>
      </c>
      <c r="B261" s="10" t="inlineStr">
        <is>
          <t>位置合わせ(MS学習値)／単調補間</t>
        </is>
      </c>
      <c r="C261" s="10" t="inlineStr">
        <is>
          <t>2019-05</t>
        </is>
      </c>
      <c r="D261" s="10" t="n">
        <v>2</v>
      </c>
      <c r="E261" s="12" t="n">
        <v>4697.2</v>
      </c>
      <c r="F261" s="12" t="n">
        <v>5541.4</v>
      </c>
      <c r="G261" s="12" t="n">
        <v>-844.2</v>
      </c>
      <c r="H261" s="13" t="n">
        <v>0.0228</v>
      </c>
      <c r="I261" s="13" t="n">
        <v>0.0227</v>
      </c>
    </row>
    <row r="262">
      <c r="A262" s="10" t="inlineStr">
        <is>
          <t>PJ-2019-A</t>
        </is>
      </c>
      <c r="B262" s="10" t="inlineStr">
        <is>
          <t>位置合わせ(MS学習値)／単調補間</t>
        </is>
      </c>
      <c r="C262" s="10" t="inlineStr">
        <is>
          <t>2019-06</t>
        </is>
      </c>
      <c r="D262" s="10" t="n">
        <v>3</v>
      </c>
      <c r="E262" s="12" t="n">
        <v>5192.4</v>
      </c>
      <c r="F262" s="12" t="n">
        <v>6929.4</v>
      </c>
      <c r="G262" s="12" t="n">
        <v>-1737</v>
      </c>
      <c r="H262" s="13" t="n">
        <v>0.0365</v>
      </c>
      <c r="I262" s="13" t="n">
        <v>0.0409</v>
      </c>
    </row>
    <row r="263">
      <c r="A263" s="10" t="inlineStr">
        <is>
          <t>PJ-2019-A</t>
        </is>
      </c>
      <c r="B263" s="10" t="inlineStr">
        <is>
          <t>位置合わせ(MS学習値)／単調補間</t>
        </is>
      </c>
      <c r="C263" s="10" t="inlineStr">
        <is>
          <t>2019-07</t>
        </is>
      </c>
      <c r="D263" s="10" t="n">
        <v>4</v>
      </c>
      <c r="E263" s="12" t="n">
        <v>5916.3</v>
      </c>
      <c r="F263" s="12" t="n">
        <v>8197.200000000001</v>
      </c>
      <c r="G263" s="12" t="n">
        <v>-2280.9</v>
      </c>
      <c r="H263" s="13" t="n">
        <v>0.0521</v>
      </c>
      <c r="I263" s="13" t="n">
        <v>0.0625</v>
      </c>
    </row>
    <row r="264">
      <c r="A264" s="10" t="inlineStr">
        <is>
          <t>PJ-2019-A</t>
        </is>
      </c>
      <c r="B264" s="10" t="inlineStr">
        <is>
          <t>位置合わせ(MS学習値)／単調補間</t>
        </is>
      </c>
      <c r="C264" s="10" t="inlineStr">
        <is>
          <t>2019-08</t>
        </is>
      </c>
      <c r="D264" s="10" t="n">
        <v>5</v>
      </c>
      <c r="E264" s="12" t="n">
        <v>6227.3</v>
      </c>
      <c r="F264" s="12" t="n">
        <v>9127.4</v>
      </c>
      <c r="G264" s="12" t="n">
        <v>-2900.1</v>
      </c>
      <c r="H264" s="13" t="n">
        <v>0.06850000000000001</v>
      </c>
      <c r="I264" s="13" t="n">
        <v>0.0866</v>
      </c>
    </row>
    <row r="265">
      <c r="A265" s="10" t="inlineStr">
        <is>
          <t>PJ-2019-A</t>
        </is>
      </c>
      <c r="B265" s="10" t="inlineStr">
        <is>
          <t>位置合わせ(MS学習値)／単調補間</t>
        </is>
      </c>
      <c r="C265" s="10" t="inlineStr">
        <is>
          <t>2019-09</t>
        </is>
      </c>
      <c r="D265" s="10" t="n">
        <v>6</v>
      </c>
      <c r="E265" s="12" t="n">
        <v>6549.7</v>
      </c>
      <c r="F265" s="12" t="n">
        <v>9824.700000000001</v>
      </c>
      <c r="G265" s="12" t="n">
        <v>-3275</v>
      </c>
      <c r="H265" s="13" t="n">
        <v>0.0857</v>
      </c>
      <c r="I265" s="13" t="n">
        <v>0.1125</v>
      </c>
    </row>
    <row r="266">
      <c r="A266" s="10" t="inlineStr">
        <is>
          <t>PJ-2019-A</t>
        </is>
      </c>
      <c r="B266" s="10" t="inlineStr">
        <is>
          <t>位置合わせ(MS学習値)／単調補間</t>
        </is>
      </c>
      <c r="C266" s="10" t="inlineStr">
        <is>
          <t>2019-10</t>
        </is>
      </c>
      <c r="D266" s="10" t="n">
        <v>7</v>
      </c>
      <c r="E266" s="12" t="n">
        <v>7091.3</v>
      </c>
      <c r="F266" s="12" t="n">
        <v>7570.4</v>
      </c>
      <c r="G266" s="12" t="n">
        <v>-479.1</v>
      </c>
      <c r="H266" s="13" t="n">
        <v>0.1044</v>
      </c>
      <c r="I266" s="13" t="n">
        <v>0.1324</v>
      </c>
    </row>
    <row r="267">
      <c r="A267" s="10" t="inlineStr">
        <is>
          <t>PJ-2019-A</t>
        </is>
      </c>
      <c r="B267" s="10" t="inlineStr">
        <is>
          <t>位置合わせ(MS学習値)／単調補間</t>
        </is>
      </c>
      <c r="C267" s="10" t="inlineStr">
        <is>
          <t>2019-11</t>
        </is>
      </c>
      <c r="D267" s="10" t="n">
        <v>8</v>
      </c>
      <c r="E267" s="12" t="n">
        <v>7251.6</v>
      </c>
      <c r="F267" s="12" t="n">
        <v>7669.4</v>
      </c>
      <c r="G267" s="12" t="n">
        <v>-417.8</v>
      </c>
      <c r="H267" s="13" t="n">
        <v>0.1235</v>
      </c>
      <c r="I267" s="13" t="n">
        <v>0.1526</v>
      </c>
    </row>
    <row r="268">
      <c r="A268" s="10" t="inlineStr">
        <is>
          <t>PJ-2019-A</t>
        </is>
      </c>
      <c r="B268" s="10" t="inlineStr">
        <is>
          <t>位置合わせ(MS学習値)／単調補間</t>
        </is>
      </c>
      <c r="C268" s="10" t="inlineStr">
        <is>
          <t>2019-12</t>
        </is>
      </c>
      <c r="D268" s="10" t="n">
        <v>9</v>
      </c>
      <c r="E268" s="12" t="n">
        <v>8138.7</v>
      </c>
      <c r="F268" s="12" t="n">
        <v>7989.5</v>
      </c>
      <c r="G268" s="12" t="n">
        <v>149.2</v>
      </c>
      <c r="H268" s="13" t="n">
        <v>0.145</v>
      </c>
      <c r="I268" s="13" t="n">
        <v>0.1737</v>
      </c>
    </row>
    <row r="269">
      <c r="A269" s="10" t="inlineStr">
        <is>
          <t>PJ-2019-A</t>
        </is>
      </c>
      <c r="B269" s="10" t="inlineStr">
        <is>
          <t>位置合わせ(MS学習値)／単調補間</t>
        </is>
      </c>
      <c r="C269" s="10" t="inlineStr">
        <is>
          <t>2020-01</t>
        </is>
      </c>
      <c r="D269" s="10" t="n">
        <v>10</v>
      </c>
      <c r="E269" s="12" t="n">
        <v>8746.299999999999</v>
      </c>
      <c r="F269" s="12" t="n">
        <v>8507.5</v>
      </c>
      <c r="G269" s="12" t="n">
        <v>238.8</v>
      </c>
      <c r="H269" s="13" t="n">
        <v>0.168</v>
      </c>
      <c r="I269" s="13" t="n">
        <v>0.1961</v>
      </c>
    </row>
    <row r="270">
      <c r="A270" s="10" t="inlineStr">
        <is>
          <t>PJ-2019-A</t>
        </is>
      </c>
      <c r="B270" s="10" t="inlineStr">
        <is>
          <t>位置合わせ(MS学習値)／単調補間</t>
        </is>
      </c>
      <c r="C270" s="10" t="inlineStr">
        <is>
          <t>2020-02</t>
        </is>
      </c>
      <c r="D270" s="10" t="n">
        <v>11</v>
      </c>
      <c r="E270" s="12" t="n">
        <v>8935.1</v>
      </c>
      <c r="F270" s="12" t="n">
        <v>8132.8</v>
      </c>
      <c r="G270" s="12" t="n">
        <v>802.3</v>
      </c>
      <c r="H270" s="13" t="n">
        <v>0.1915</v>
      </c>
      <c r="I270" s="13" t="n">
        <v>0.2175</v>
      </c>
    </row>
    <row r="271">
      <c r="A271" s="10" t="inlineStr">
        <is>
          <t>PJ-2019-A</t>
        </is>
      </c>
      <c r="B271" s="10" t="inlineStr">
        <is>
          <t>位置合わせ(MS学習値)／単調補間</t>
        </is>
      </c>
      <c r="C271" s="10" t="inlineStr">
        <is>
          <t>2020-03</t>
        </is>
      </c>
      <c r="D271" s="10" t="n">
        <v>12</v>
      </c>
      <c r="E271" s="12" t="n">
        <v>10890.6</v>
      </c>
      <c r="F271" s="12" t="n">
        <v>9311.5</v>
      </c>
      <c r="G271" s="12" t="n">
        <v>1579.1</v>
      </c>
      <c r="H271" s="13" t="n">
        <v>0.2202</v>
      </c>
      <c r="I271" s="13" t="n">
        <v>0.2421</v>
      </c>
    </row>
    <row r="272">
      <c r="A272" s="10" t="inlineStr">
        <is>
          <t>PJ-2019-A</t>
        </is>
      </c>
      <c r="B272" s="10" t="inlineStr">
        <is>
          <t>位置合わせ(MS学習値)／単調補間</t>
        </is>
      </c>
      <c r="C272" s="10" t="inlineStr">
        <is>
          <t>2020-04</t>
        </is>
      </c>
      <c r="D272" s="10" t="n">
        <v>13</v>
      </c>
      <c r="E272" s="12" t="n">
        <v>11545.1</v>
      </c>
      <c r="F272" s="12" t="n">
        <v>9039.6</v>
      </c>
      <c r="G272" s="12" t="n">
        <v>2505.5</v>
      </c>
      <c r="H272" s="13" t="n">
        <v>0.2506</v>
      </c>
      <c r="I272" s="13" t="n">
        <v>0.2659</v>
      </c>
    </row>
    <row r="273">
      <c r="A273" s="10" t="inlineStr">
        <is>
          <t>PJ-2019-A</t>
        </is>
      </c>
      <c r="B273" s="10" t="inlineStr">
        <is>
          <t>位置合わせ(MS学習値)／単調補間</t>
        </is>
      </c>
      <c r="C273" s="10" t="inlineStr">
        <is>
          <t>2020-05</t>
        </is>
      </c>
      <c r="D273" s="10" t="n">
        <v>14</v>
      </c>
      <c r="E273" s="12" t="n">
        <v>12358.8</v>
      </c>
      <c r="F273" s="12" t="n">
        <v>9635.799999999999</v>
      </c>
      <c r="G273" s="12" t="n">
        <v>2723</v>
      </c>
      <c r="H273" s="13" t="n">
        <v>0.2832</v>
      </c>
      <c r="I273" s="13" t="n">
        <v>0.2913</v>
      </c>
    </row>
    <row r="274">
      <c r="A274" s="10" t="inlineStr">
        <is>
          <t>PJ-2019-A</t>
        </is>
      </c>
      <c r="B274" s="10" t="inlineStr">
        <is>
          <t>位置合わせ(MS学習値)／単調補間</t>
        </is>
      </c>
      <c r="C274" s="10" t="inlineStr">
        <is>
          <t>2020-06</t>
        </is>
      </c>
      <c r="D274" s="10" t="n">
        <v>15</v>
      </c>
      <c r="E274" s="12" t="n">
        <v>12670.4</v>
      </c>
      <c r="F274" s="12" t="n">
        <v>10344.9</v>
      </c>
      <c r="G274" s="12" t="n">
        <v>2325.5</v>
      </c>
      <c r="H274" s="13" t="n">
        <v>0.3166</v>
      </c>
      <c r="I274" s="13" t="n">
        <v>0.3185</v>
      </c>
    </row>
    <row r="275">
      <c r="A275" s="10" t="inlineStr">
        <is>
          <t>PJ-2019-A</t>
        </is>
      </c>
      <c r="B275" s="10" t="inlineStr">
        <is>
          <t>位置合わせ(MS学習値)／単調補間</t>
        </is>
      </c>
      <c r="C275" s="10" t="inlineStr">
        <is>
          <t>2020-07</t>
        </is>
      </c>
      <c r="D275" s="10" t="n">
        <v>16</v>
      </c>
      <c r="E275" s="12" t="n">
        <v>13765.9</v>
      </c>
      <c r="F275" s="12" t="n">
        <v>11426.7</v>
      </c>
      <c r="G275" s="12" t="n">
        <v>2339.2</v>
      </c>
      <c r="H275" s="13" t="n">
        <v>0.3529</v>
      </c>
      <c r="I275" s="13" t="n">
        <v>0.3486</v>
      </c>
    </row>
    <row r="276">
      <c r="A276" s="10" t="inlineStr">
        <is>
          <t>PJ-2019-A</t>
        </is>
      </c>
      <c r="B276" s="10" t="inlineStr">
        <is>
          <t>位置合わせ(MS学習値)／単調補間</t>
        </is>
      </c>
      <c r="C276" s="10" t="inlineStr">
        <is>
          <t>2020-08</t>
        </is>
      </c>
      <c r="D276" s="10" t="n">
        <v>17</v>
      </c>
      <c r="E276" s="12" t="n">
        <v>14904.8</v>
      </c>
      <c r="F276" s="12" t="n">
        <v>12271.1</v>
      </c>
      <c r="G276" s="12" t="n">
        <v>2633.7</v>
      </c>
      <c r="H276" s="13" t="n">
        <v>0.3921</v>
      </c>
      <c r="I276" s="13" t="n">
        <v>0.3809</v>
      </c>
    </row>
    <row r="277">
      <c r="A277" s="10" t="inlineStr">
        <is>
          <t>PJ-2019-A</t>
        </is>
      </c>
      <c r="B277" s="10" t="inlineStr">
        <is>
          <t>位置合わせ(MS学習値)／単調補間</t>
        </is>
      </c>
      <c r="C277" s="10" t="inlineStr">
        <is>
          <t>2020-09</t>
        </is>
      </c>
      <c r="D277" s="10" t="n">
        <v>18</v>
      </c>
      <c r="E277" s="12" t="n">
        <v>15167</v>
      </c>
      <c r="F277" s="12" t="n">
        <v>12547.9</v>
      </c>
      <c r="G277" s="12" t="n">
        <v>2619.1</v>
      </c>
      <c r="H277" s="13" t="n">
        <v>0.4321</v>
      </c>
      <c r="I277" s="13" t="n">
        <v>0.414</v>
      </c>
    </row>
    <row r="278">
      <c r="A278" s="10" t="inlineStr">
        <is>
          <t>PJ-2019-A</t>
        </is>
      </c>
      <c r="B278" s="10" t="inlineStr">
        <is>
          <t>位置合わせ(MS学習値)／単調補間</t>
        </is>
      </c>
      <c r="C278" s="10" t="inlineStr">
        <is>
          <t>2020-10</t>
        </is>
      </c>
      <c r="D278" s="10" t="n">
        <v>19</v>
      </c>
      <c r="E278" s="12" t="n">
        <v>15545.2</v>
      </c>
      <c r="F278" s="12" t="n">
        <v>14214.2</v>
      </c>
      <c r="G278" s="12" t="n">
        <v>1331</v>
      </c>
      <c r="H278" s="13" t="n">
        <v>0.473</v>
      </c>
      <c r="I278" s="13" t="n">
        <v>0.4515</v>
      </c>
    </row>
    <row r="279">
      <c r="A279" s="10" t="inlineStr">
        <is>
          <t>PJ-2019-A</t>
        </is>
      </c>
      <c r="B279" s="10" t="inlineStr">
        <is>
          <t>位置合わせ(MS学習値)／単調補間</t>
        </is>
      </c>
      <c r="C279" s="10" t="inlineStr">
        <is>
          <t>2020-11</t>
        </is>
      </c>
      <c r="D279" s="10" t="n">
        <v>20</v>
      </c>
      <c r="E279" s="12" t="n">
        <v>15239.3</v>
      </c>
      <c r="F279" s="12" t="n">
        <v>16661.4</v>
      </c>
      <c r="G279" s="12" t="n">
        <v>-1422.1</v>
      </c>
      <c r="H279" s="13" t="n">
        <v>0.5132</v>
      </c>
      <c r="I279" s="13" t="n">
        <v>0.4953</v>
      </c>
    </row>
    <row r="280">
      <c r="A280" s="10" t="inlineStr">
        <is>
          <t>PJ-2019-A</t>
        </is>
      </c>
      <c r="B280" s="10" t="inlineStr">
        <is>
          <t>位置合わせ(MS学習値)／単調補間</t>
        </is>
      </c>
      <c r="C280" s="10" t="inlineStr">
        <is>
          <t>2020-12</t>
        </is>
      </c>
      <c r="D280" s="10" t="n">
        <v>21</v>
      </c>
      <c r="E280" s="12" t="n">
        <v>15990.1</v>
      </c>
      <c r="F280" s="12" t="n">
        <v>15314.9</v>
      </c>
      <c r="G280" s="12" t="n">
        <v>675.2</v>
      </c>
      <c r="H280" s="13" t="n">
        <v>0.5553</v>
      </c>
      <c r="I280" s="13" t="n">
        <v>0.5357</v>
      </c>
    </row>
    <row r="281">
      <c r="A281" s="10" t="inlineStr">
        <is>
          <t>PJ-2019-A</t>
        </is>
      </c>
      <c r="B281" s="10" t="inlineStr">
        <is>
          <t>位置合わせ(MS学習値)／単調補間</t>
        </is>
      </c>
      <c r="C281" s="10" t="inlineStr">
        <is>
          <t>2021-01</t>
        </is>
      </c>
      <c r="D281" s="10" t="n">
        <v>22</v>
      </c>
      <c r="E281" s="12" t="n">
        <v>15898.7</v>
      </c>
      <c r="F281" s="12" t="n">
        <v>13490.4</v>
      </c>
      <c r="G281" s="12" t="n">
        <v>2408.3</v>
      </c>
      <c r="H281" s="13" t="n">
        <v>0.5972</v>
      </c>
      <c r="I281" s="13" t="n">
        <v>0.5712</v>
      </c>
    </row>
    <row r="282">
      <c r="A282" s="10" t="inlineStr">
        <is>
          <t>PJ-2019-A</t>
        </is>
      </c>
      <c r="B282" s="10" t="inlineStr">
        <is>
          <t>位置合わせ(MS学習値)／単調補間</t>
        </is>
      </c>
      <c r="C282" s="10" t="inlineStr">
        <is>
          <t>2021-02</t>
        </is>
      </c>
      <c r="D282" s="10" t="n">
        <v>23</v>
      </c>
      <c r="E282" s="12" t="n">
        <v>14137.9</v>
      </c>
      <c r="F282" s="12" t="n">
        <v>11965.7</v>
      </c>
      <c r="G282" s="12" t="n">
        <v>2172.2</v>
      </c>
      <c r="H282" s="13" t="n">
        <v>0.6345</v>
      </c>
      <c r="I282" s="13" t="n">
        <v>0.6028</v>
      </c>
    </row>
    <row r="283">
      <c r="A283" s="10" t="inlineStr">
        <is>
          <t>PJ-2019-A</t>
        </is>
      </c>
      <c r="B283" s="10" t="inlineStr">
        <is>
          <t>位置合わせ(MS学習値)／単調補間</t>
        </is>
      </c>
      <c r="C283" s="10" t="inlineStr">
        <is>
          <t>2021-03</t>
        </is>
      </c>
      <c r="D283" s="10" t="n">
        <v>24</v>
      </c>
      <c r="E283" s="12" t="n">
        <v>16132.1</v>
      </c>
      <c r="F283" s="12" t="n">
        <v>12853.7</v>
      </c>
      <c r="G283" s="12" t="n">
        <v>3278.4</v>
      </c>
      <c r="H283" s="13" t="n">
        <v>0.677</v>
      </c>
      <c r="I283" s="13" t="n">
        <v>0.6366000000000001</v>
      </c>
    </row>
    <row r="284">
      <c r="A284" s="10" t="inlineStr">
        <is>
          <t>PJ-2019-A</t>
        </is>
      </c>
      <c r="B284" s="10" t="inlineStr">
        <is>
          <t>位置合わせ(MS学習値)／単調補間</t>
        </is>
      </c>
      <c r="C284" s="10" t="inlineStr">
        <is>
          <t>2021-04</t>
        </is>
      </c>
      <c r="D284" s="10" t="n">
        <v>25</v>
      </c>
      <c r="E284" s="12" t="n">
        <v>15808</v>
      </c>
      <c r="F284" s="12" t="n">
        <v>12825.4</v>
      </c>
      <c r="G284" s="12" t="n">
        <v>2982.6</v>
      </c>
      <c r="H284" s="13" t="n">
        <v>0.7186</v>
      </c>
      <c r="I284" s="13" t="n">
        <v>0.6704</v>
      </c>
    </row>
    <row r="285">
      <c r="A285" s="10" t="inlineStr">
        <is>
          <t>PJ-2019-A</t>
        </is>
      </c>
      <c r="B285" s="10" t="inlineStr">
        <is>
          <t>位置合わせ(MS学習値)／単調補間</t>
        </is>
      </c>
      <c r="C285" s="10" t="inlineStr">
        <is>
          <t>2021-05</t>
        </is>
      </c>
      <c r="D285" s="10" t="n">
        <v>26</v>
      </c>
      <c r="E285" s="12" t="n">
        <v>15337.4</v>
      </c>
      <c r="F285" s="12" t="n">
        <v>13976.5</v>
      </c>
      <c r="G285" s="12" t="n">
        <v>1360.9</v>
      </c>
      <c r="H285" s="13" t="n">
        <v>0.759</v>
      </c>
      <c r="I285" s="13" t="n">
        <v>0.7072000000000001</v>
      </c>
    </row>
    <row r="286">
      <c r="A286" s="10" t="inlineStr">
        <is>
          <t>PJ-2019-A</t>
        </is>
      </c>
      <c r="B286" s="10" t="inlineStr">
        <is>
          <t>位置合わせ(MS学習値)／単調補間</t>
        </is>
      </c>
      <c r="C286" s="10" t="inlineStr">
        <is>
          <t>2021-06</t>
        </is>
      </c>
      <c r="D286" s="10" t="n">
        <v>27</v>
      </c>
      <c r="E286" s="12" t="n">
        <v>14142.8</v>
      </c>
      <c r="F286" s="12" t="n">
        <v>14724.1</v>
      </c>
      <c r="G286" s="12" t="n">
        <v>-581.3</v>
      </c>
      <c r="H286" s="13" t="n">
        <v>0.7963</v>
      </c>
      <c r="I286" s="13" t="n">
        <v>0.746</v>
      </c>
    </row>
    <row r="287">
      <c r="A287" s="10" t="inlineStr">
        <is>
          <t>PJ-2019-A</t>
        </is>
      </c>
      <c r="B287" s="10" t="inlineStr">
        <is>
          <t>位置合わせ(MS学習値)／単調補間</t>
        </is>
      </c>
      <c r="C287" s="10" t="inlineStr">
        <is>
          <t>2021-07</t>
        </is>
      </c>
      <c r="D287" s="10" t="n">
        <v>28</v>
      </c>
      <c r="E287" s="12" t="n">
        <v>12288.9</v>
      </c>
      <c r="F287" s="12" t="n">
        <v>17311.9</v>
      </c>
      <c r="G287" s="12" t="n">
        <v>-5023</v>
      </c>
      <c r="H287" s="13" t="n">
        <v>0.8286</v>
      </c>
      <c r="I287" s="13" t="n">
        <v>0.7916</v>
      </c>
    </row>
    <row r="288">
      <c r="A288" s="10" t="inlineStr">
        <is>
          <t>PJ-2019-A</t>
        </is>
      </c>
      <c r="B288" s="10" t="inlineStr">
        <is>
          <t>位置合わせ(MS学習値)／単調補間</t>
        </is>
      </c>
      <c r="C288" s="10" t="inlineStr">
        <is>
          <t>2021-08</t>
        </is>
      </c>
      <c r="D288" s="10" t="n">
        <v>29</v>
      </c>
      <c r="E288" s="12" t="n">
        <v>12239.4</v>
      </c>
      <c r="F288" s="12" t="n">
        <v>19848.8</v>
      </c>
      <c r="G288" s="12" t="n">
        <v>-7609.4</v>
      </c>
      <c r="H288" s="13" t="n">
        <v>0.8609</v>
      </c>
      <c r="I288" s="13" t="n">
        <v>0.8439</v>
      </c>
    </row>
    <row r="289">
      <c r="A289" s="10" t="inlineStr">
        <is>
          <t>PJ-2019-A</t>
        </is>
      </c>
      <c r="B289" s="10" t="inlineStr">
        <is>
          <t>位置合わせ(MS学習値)／単調補間</t>
        </is>
      </c>
      <c r="C289" s="10" t="inlineStr">
        <is>
          <t>2021-09</t>
        </is>
      </c>
      <c r="D289" s="10" t="n">
        <v>30</v>
      </c>
      <c r="E289" s="12" t="n">
        <v>11197.8</v>
      </c>
      <c r="F289" s="12" t="n">
        <v>17282.1</v>
      </c>
      <c r="G289" s="12" t="n">
        <v>-6084.3</v>
      </c>
      <c r="H289" s="13" t="n">
        <v>0.8904</v>
      </c>
      <c r="I289" s="13" t="n">
        <v>0.8895</v>
      </c>
    </row>
    <row r="290">
      <c r="A290" s="10" t="inlineStr">
        <is>
          <t>PJ-2019-A</t>
        </is>
      </c>
      <c r="B290" s="10" t="inlineStr">
        <is>
          <t>位置合わせ(MS学習値)／単調補間</t>
        </is>
      </c>
      <c r="C290" s="10" t="inlineStr">
        <is>
          <t>2021-10</t>
        </is>
      </c>
      <c r="D290" s="10" t="n">
        <v>31</v>
      </c>
      <c r="E290" s="12" t="n">
        <v>9972.4</v>
      </c>
      <c r="F290" s="12" t="n">
        <v>13450.6</v>
      </c>
      <c r="G290" s="12" t="n">
        <v>-3478.2</v>
      </c>
      <c r="H290" s="13" t="n">
        <v>0.9167</v>
      </c>
      <c r="I290" s="13" t="n">
        <v>0.9249000000000001</v>
      </c>
    </row>
    <row r="291">
      <c r="A291" s="10" t="inlineStr">
        <is>
          <t>PJ-2019-A</t>
        </is>
      </c>
      <c r="B291" s="10" t="inlineStr">
        <is>
          <t>位置合わせ(MS学習値)／単調補間</t>
        </is>
      </c>
      <c r="C291" s="10" t="inlineStr">
        <is>
          <t>2021-11</t>
        </is>
      </c>
      <c r="D291" s="10" t="n">
        <v>32</v>
      </c>
      <c r="E291" s="12" t="n">
        <v>8460.799999999999</v>
      </c>
      <c r="F291" s="12" t="n">
        <v>9371.200000000001</v>
      </c>
      <c r="G291" s="12" t="n">
        <v>-910.4</v>
      </c>
      <c r="H291" s="13" t="n">
        <v>0.9389999999999999</v>
      </c>
      <c r="I291" s="13" t="n">
        <v>0.9496</v>
      </c>
    </row>
    <row r="292">
      <c r="A292" s="10" t="inlineStr">
        <is>
          <t>PJ-2019-A</t>
        </is>
      </c>
      <c r="B292" s="10" t="inlineStr">
        <is>
          <t>位置合わせ(MS学習値)／単調補間</t>
        </is>
      </c>
      <c r="C292" s="10" t="inlineStr">
        <is>
          <t>2021-12</t>
        </is>
      </c>
      <c r="D292" s="10" t="n">
        <v>33</v>
      </c>
      <c r="E292" s="12" t="n">
        <v>8359.4</v>
      </c>
      <c r="F292" s="12" t="n">
        <v>9266</v>
      </c>
      <c r="G292" s="12" t="n">
        <v>-906.6</v>
      </c>
      <c r="H292" s="13" t="n">
        <v>0.961</v>
      </c>
      <c r="I292" s="13" t="n">
        <v>0.974</v>
      </c>
    </row>
    <row r="293">
      <c r="A293" s="10" t="inlineStr">
        <is>
          <t>PJ-2019-A</t>
        </is>
      </c>
      <c r="B293" s="10" t="inlineStr">
        <is>
          <t>位置合わせ(MS学習値)／単調補間</t>
        </is>
      </c>
      <c r="C293" s="10" t="inlineStr">
        <is>
          <t>2022-01</t>
        </is>
      </c>
      <c r="D293" s="10" t="n">
        <v>34</v>
      </c>
      <c r="E293" s="12" t="n">
        <v>6962.4</v>
      </c>
      <c r="F293" s="12" t="n">
        <v>5982.7</v>
      </c>
      <c r="G293" s="12" t="n">
        <v>979.7</v>
      </c>
      <c r="H293" s="13" t="n">
        <v>0.9792999999999999</v>
      </c>
      <c r="I293" s="13" t="n">
        <v>0.9898</v>
      </c>
    </row>
    <row r="294">
      <c r="A294" s="10" t="inlineStr">
        <is>
          <t>PJ-2019-A</t>
        </is>
      </c>
      <c r="B294" s="10" t="inlineStr">
        <is>
          <t>位置合わせ(MS学習値)／単調補間</t>
        </is>
      </c>
      <c r="C294" s="10" t="inlineStr">
        <is>
          <t>2022-02</t>
        </is>
      </c>
      <c r="D294" s="10" t="n">
        <v>35</v>
      </c>
      <c r="E294" s="12" t="n">
        <v>4669.7</v>
      </c>
      <c r="F294" s="12" t="n">
        <v>2863</v>
      </c>
      <c r="G294" s="12" t="n">
        <v>1806.7</v>
      </c>
      <c r="H294" s="13" t="n">
        <v>0.9916</v>
      </c>
      <c r="I294" s="13" t="n">
        <v>0.9973</v>
      </c>
    </row>
    <row r="295">
      <c r="A295" s="10" t="inlineStr">
        <is>
          <t>PJ-2019-A</t>
        </is>
      </c>
      <c r="B295" s="10" t="inlineStr">
        <is>
          <t>位置合わせ(MS学習値)／単調補間</t>
        </is>
      </c>
      <c r="C295" s="10" t="inlineStr">
        <is>
          <t>2022-03</t>
        </is>
      </c>
      <c r="D295" s="10" t="n">
        <v>36</v>
      </c>
      <c r="E295" s="12" t="n">
        <v>3176.3</v>
      </c>
      <c r="F295" s="12" t="n">
        <v>1019.3</v>
      </c>
      <c r="G295" s="12" t="n">
        <v>2157</v>
      </c>
      <c r="H295" s="13" t="n">
        <v>1</v>
      </c>
      <c r="I295" s="13" t="n">
        <v>1</v>
      </c>
    </row>
    <row r="296">
      <c r="A296" s="10" t="inlineStr">
        <is>
          <t>PJ-2019-A</t>
        </is>
      </c>
      <c r="B296" s="10" t="inlineStr">
        <is>
          <t>位置合わせ(MS指定)／単調補間</t>
        </is>
      </c>
      <c r="C296" s="10" t="inlineStr">
        <is>
          <t>2019-04</t>
        </is>
      </c>
      <c r="D296" s="10" t="n">
        <v>1</v>
      </c>
      <c r="E296" s="12" t="n">
        <v>3762.9</v>
      </c>
      <c r="F296" s="12" t="n">
        <v>3071.8</v>
      </c>
      <c r="G296" s="12" t="n">
        <v>691.1</v>
      </c>
      <c r="H296" s="13" t="n">
        <v>0.009900000000000001</v>
      </c>
      <c r="I296" s="13" t="n">
        <v>0.0081</v>
      </c>
    </row>
    <row r="297">
      <c r="A297" s="10" t="inlineStr">
        <is>
          <t>PJ-2019-A</t>
        </is>
      </c>
      <c r="B297" s="10" t="inlineStr">
        <is>
          <t>位置合わせ(MS指定)／単調補間</t>
        </is>
      </c>
      <c r="C297" s="10" t="inlineStr">
        <is>
          <t>2019-05</t>
        </is>
      </c>
      <c r="D297" s="10" t="n">
        <v>2</v>
      </c>
      <c r="E297" s="12" t="n">
        <v>4486</v>
      </c>
      <c r="F297" s="12" t="n">
        <v>5541.4</v>
      </c>
      <c r="G297" s="12" t="n">
        <v>-1055.4</v>
      </c>
      <c r="H297" s="13" t="n">
        <v>0.0217</v>
      </c>
      <c r="I297" s="13" t="n">
        <v>0.0227</v>
      </c>
    </row>
    <row r="298">
      <c r="A298" s="10" t="inlineStr">
        <is>
          <t>PJ-2019-A</t>
        </is>
      </c>
      <c r="B298" s="10" t="inlineStr">
        <is>
          <t>位置合わせ(MS指定)／単調補間</t>
        </is>
      </c>
      <c r="C298" s="10" t="inlineStr">
        <is>
          <t>2019-06</t>
        </is>
      </c>
      <c r="D298" s="10" t="n">
        <v>3</v>
      </c>
      <c r="E298" s="12" t="n">
        <v>4936.3</v>
      </c>
      <c r="F298" s="12" t="n">
        <v>6929.4</v>
      </c>
      <c r="G298" s="12" t="n">
        <v>-1993.1</v>
      </c>
      <c r="H298" s="13" t="n">
        <v>0.0347</v>
      </c>
      <c r="I298" s="13" t="n">
        <v>0.0409</v>
      </c>
    </row>
    <row r="299">
      <c r="A299" s="10" t="inlineStr">
        <is>
          <t>PJ-2019-A</t>
        </is>
      </c>
      <c r="B299" s="10" t="inlineStr">
        <is>
          <t>位置合わせ(MS指定)／単調補間</t>
        </is>
      </c>
      <c r="C299" s="10" t="inlineStr">
        <is>
          <t>2019-07</t>
        </is>
      </c>
      <c r="D299" s="10" t="n">
        <v>4</v>
      </c>
      <c r="E299" s="12" t="n">
        <v>5627.5</v>
      </c>
      <c r="F299" s="12" t="n">
        <v>8197.200000000001</v>
      </c>
      <c r="G299" s="12" t="n">
        <v>-2569.7</v>
      </c>
      <c r="H299" s="13" t="n">
        <v>0.0496</v>
      </c>
      <c r="I299" s="13" t="n">
        <v>0.0625</v>
      </c>
    </row>
    <row r="300">
      <c r="A300" s="10" t="inlineStr">
        <is>
          <t>PJ-2019-A</t>
        </is>
      </c>
      <c r="B300" s="10" t="inlineStr">
        <is>
          <t>位置合わせ(MS指定)／単調補間</t>
        </is>
      </c>
      <c r="C300" s="10" t="inlineStr">
        <is>
          <t>2019-08</t>
        </is>
      </c>
      <c r="D300" s="10" t="n">
        <v>5</v>
      </c>
      <c r="E300" s="12" t="n">
        <v>5910</v>
      </c>
      <c r="F300" s="12" t="n">
        <v>9127.4</v>
      </c>
      <c r="G300" s="12" t="n">
        <v>-3217.4</v>
      </c>
      <c r="H300" s="13" t="n">
        <v>0.06510000000000001</v>
      </c>
      <c r="I300" s="13" t="n">
        <v>0.0866</v>
      </c>
    </row>
    <row r="301">
      <c r="A301" s="10" t="inlineStr">
        <is>
          <t>PJ-2019-A</t>
        </is>
      </c>
      <c r="B301" s="10" t="inlineStr">
        <is>
          <t>位置合わせ(MS指定)／単調補間</t>
        </is>
      </c>
      <c r="C301" s="10" t="inlineStr">
        <is>
          <t>2019-09</t>
        </is>
      </c>
      <c r="D301" s="10" t="n">
        <v>6</v>
      </c>
      <c r="E301" s="12" t="n">
        <v>6234</v>
      </c>
      <c r="F301" s="12" t="n">
        <v>9824.700000000001</v>
      </c>
      <c r="G301" s="12" t="n">
        <v>-3590.7</v>
      </c>
      <c r="H301" s="13" t="n">
        <v>0.08160000000000001</v>
      </c>
      <c r="I301" s="13" t="n">
        <v>0.1125</v>
      </c>
    </row>
    <row r="302">
      <c r="A302" s="10" t="inlineStr">
        <is>
          <t>PJ-2019-A</t>
        </is>
      </c>
      <c r="B302" s="10" t="inlineStr">
        <is>
          <t>位置合わせ(MS指定)／単調補間</t>
        </is>
      </c>
      <c r="C302" s="10" t="inlineStr">
        <is>
          <t>2019-10</t>
        </is>
      </c>
      <c r="D302" s="10" t="n">
        <v>7</v>
      </c>
      <c r="E302" s="12" t="n">
        <v>6692.4</v>
      </c>
      <c r="F302" s="12" t="n">
        <v>7570.4</v>
      </c>
      <c r="G302" s="12" t="n">
        <v>-878</v>
      </c>
      <c r="H302" s="13" t="n">
        <v>0.0992</v>
      </c>
      <c r="I302" s="13" t="n">
        <v>0.1324</v>
      </c>
    </row>
    <row r="303">
      <c r="A303" s="10" t="inlineStr">
        <is>
          <t>PJ-2019-A</t>
        </is>
      </c>
      <c r="B303" s="10" t="inlineStr">
        <is>
          <t>位置合わせ(MS指定)／単調補間</t>
        </is>
      </c>
      <c r="C303" s="10" t="inlineStr">
        <is>
          <t>2019-11</t>
        </is>
      </c>
      <c r="D303" s="10" t="n">
        <v>8</v>
      </c>
      <c r="E303" s="12" t="n">
        <v>6851.8</v>
      </c>
      <c r="F303" s="12" t="n">
        <v>7669.4</v>
      </c>
      <c r="G303" s="12" t="n">
        <v>-817.6</v>
      </c>
      <c r="H303" s="13" t="n">
        <v>0.1172</v>
      </c>
      <c r="I303" s="13" t="n">
        <v>0.1526</v>
      </c>
    </row>
    <row r="304">
      <c r="A304" s="10" t="inlineStr">
        <is>
          <t>PJ-2019-A</t>
        </is>
      </c>
      <c r="B304" s="10" t="inlineStr">
        <is>
          <t>位置合わせ(MS指定)／単調補間</t>
        </is>
      </c>
      <c r="C304" s="10" t="inlineStr">
        <is>
          <t>2019-12</t>
        </is>
      </c>
      <c r="D304" s="10" t="n">
        <v>9</v>
      </c>
      <c r="E304" s="12" t="n">
        <v>7575.5</v>
      </c>
      <c r="F304" s="12" t="n">
        <v>7989.5</v>
      </c>
      <c r="G304" s="12" t="n">
        <v>-414</v>
      </c>
      <c r="H304" s="13" t="n">
        <v>0.1372</v>
      </c>
      <c r="I304" s="13" t="n">
        <v>0.1737</v>
      </c>
    </row>
    <row r="305">
      <c r="A305" s="10" t="inlineStr">
        <is>
          <t>PJ-2019-A</t>
        </is>
      </c>
      <c r="B305" s="10" t="inlineStr">
        <is>
          <t>位置合わせ(MS指定)／単調補間</t>
        </is>
      </c>
      <c r="C305" s="10" t="inlineStr">
        <is>
          <t>2020-01</t>
        </is>
      </c>
      <c r="D305" s="10" t="n">
        <v>10</v>
      </c>
      <c r="E305" s="12" t="n">
        <v>8206.200000000001</v>
      </c>
      <c r="F305" s="12" t="n">
        <v>8507.5</v>
      </c>
      <c r="G305" s="12" t="n">
        <v>-301.3</v>
      </c>
      <c r="H305" s="13" t="n">
        <v>0.1588</v>
      </c>
      <c r="I305" s="13" t="n">
        <v>0.1961</v>
      </c>
    </row>
    <row r="306">
      <c r="A306" s="10" t="inlineStr">
        <is>
          <t>PJ-2019-A</t>
        </is>
      </c>
      <c r="B306" s="10" t="inlineStr">
        <is>
          <t>位置合わせ(MS指定)／単調補間</t>
        </is>
      </c>
      <c r="C306" s="10" t="inlineStr">
        <is>
          <t>2020-02</t>
        </is>
      </c>
      <c r="D306" s="10" t="n">
        <v>11</v>
      </c>
      <c r="E306" s="12" t="n">
        <v>8261.4</v>
      </c>
      <c r="F306" s="12" t="n">
        <v>8132.8</v>
      </c>
      <c r="G306" s="12" t="n">
        <v>128.6</v>
      </c>
      <c r="H306" s="13" t="n">
        <v>0.1806</v>
      </c>
      <c r="I306" s="13" t="n">
        <v>0.2175</v>
      </c>
    </row>
    <row r="307">
      <c r="A307" s="10" t="inlineStr">
        <is>
          <t>PJ-2019-A</t>
        </is>
      </c>
      <c r="B307" s="10" t="inlineStr">
        <is>
          <t>位置合わせ(MS指定)／単調補間</t>
        </is>
      </c>
      <c r="C307" s="10" t="inlineStr">
        <is>
          <t>2020-03</t>
        </is>
      </c>
      <c r="D307" s="10" t="n">
        <v>12</v>
      </c>
      <c r="E307" s="12" t="n">
        <v>9804</v>
      </c>
      <c r="F307" s="12" t="n">
        <v>9311.5</v>
      </c>
      <c r="G307" s="12" t="n">
        <v>492.5</v>
      </c>
      <c r="H307" s="13" t="n">
        <v>0.2064</v>
      </c>
      <c r="I307" s="13" t="n">
        <v>0.2421</v>
      </c>
    </row>
    <row r="308">
      <c r="A308" s="10" t="inlineStr">
        <is>
          <t>PJ-2019-A</t>
        </is>
      </c>
      <c r="B308" s="10" t="inlineStr">
        <is>
          <t>位置合わせ(MS指定)／単調補間</t>
        </is>
      </c>
      <c r="C308" s="10" t="inlineStr">
        <is>
          <t>2020-04</t>
        </is>
      </c>
      <c r="D308" s="10" t="n">
        <v>13</v>
      </c>
      <c r="E308" s="12" t="n">
        <v>10792.3</v>
      </c>
      <c r="F308" s="12" t="n">
        <v>9039.6</v>
      </c>
      <c r="G308" s="12" t="n">
        <v>1752.7</v>
      </c>
      <c r="H308" s="13" t="n">
        <v>0.2349</v>
      </c>
      <c r="I308" s="13" t="n">
        <v>0.2659</v>
      </c>
    </row>
    <row r="309">
      <c r="A309" s="10" t="inlineStr">
        <is>
          <t>PJ-2019-A</t>
        </is>
      </c>
      <c r="B309" s="10" t="inlineStr">
        <is>
          <t>位置合わせ(MS指定)／単調補間</t>
        </is>
      </c>
      <c r="C309" s="10" t="inlineStr">
        <is>
          <t>2020-05</t>
        </is>
      </c>
      <c r="D309" s="10" t="n">
        <v>14</v>
      </c>
      <c r="E309" s="12" t="n">
        <v>11598.5</v>
      </c>
      <c r="F309" s="12" t="n">
        <v>9635.799999999999</v>
      </c>
      <c r="G309" s="12" t="n">
        <v>1962.7</v>
      </c>
      <c r="H309" s="13" t="n">
        <v>0.2654</v>
      </c>
      <c r="I309" s="13" t="n">
        <v>0.2913</v>
      </c>
    </row>
    <row r="310">
      <c r="A310" s="10" t="inlineStr">
        <is>
          <t>PJ-2019-A</t>
        </is>
      </c>
      <c r="B310" s="10" t="inlineStr">
        <is>
          <t>位置合わせ(MS指定)／単調補間</t>
        </is>
      </c>
      <c r="C310" s="10" t="inlineStr">
        <is>
          <t>2020-06</t>
        </is>
      </c>
      <c r="D310" s="10" t="n">
        <v>15</v>
      </c>
      <c r="E310" s="12" t="n">
        <v>11806.6</v>
      </c>
      <c r="F310" s="12" t="n">
        <v>10344.9</v>
      </c>
      <c r="G310" s="12" t="n">
        <v>1461.7</v>
      </c>
      <c r="H310" s="13" t="n">
        <v>0.2965</v>
      </c>
      <c r="I310" s="13" t="n">
        <v>0.3185</v>
      </c>
    </row>
    <row r="311">
      <c r="A311" s="10" t="inlineStr">
        <is>
          <t>PJ-2019-A</t>
        </is>
      </c>
      <c r="B311" s="10" t="inlineStr">
        <is>
          <t>位置合わせ(MS指定)／単調補間</t>
        </is>
      </c>
      <c r="C311" s="10" t="inlineStr">
        <is>
          <t>2020-07</t>
        </is>
      </c>
      <c r="D311" s="10" t="n">
        <v>16</v>
      </c>
      <c r="E311" s="12" t="n">
        <v>12849.4</v>
      </c>
      <c r="F311" s="12" t="n">
        <v>11426.7</v>
      </c>
      <c r="G311" s="12" t="n">
        <v>1422.7</v>
      </c>
      <c r="H311" s="13" t="n">
        <v>0.3304</v>
      </c>
      <c r="I311" s="13" t="n">
        <v>0.3486</v>
      </c>
    </row>
    <row r="312">
      <c r="A312" s="10" t="inlineStr">
        <is>
          <t>PJ-2019-A</t>
        </is>
      </c>
      <c r="B312" s="10" t="inlineStr">
        <is>
          <t>位置合わせ(MS指定)／単調補間</t>
        </is>
      </c>
      <c r="C312" s="10" t="inlineStr">
        <is>
          <t>2020-08</t>
        </is>
      </c>
      <c r="D312" s="10" t="n">
        <v>17</v>
      </c>
      <c r="E312" s="12" t="n">
        <v>13524.5</v>
      </c>
      <c r="F312" s="12" t="n">
        <v>12271.1</v>
      </c>
      <c r="G312" s="12" t="n">
        <v>1253.4</v>
      </c>
      <c r="H312" s="13" t="n">
        <v>0.366</v>
      </c>
      <c r="I312" s="13" t="n">
        <v>0.3809</v>
      </c>
    </row>
    <row r="313">
      <c r="A313" s="10" t="inlineStr">
        <is>
          <t>PJ-2019-A</t>
        </is>
      </c>
      <c r="B313" s="10" t="inlineStr">
        <is>
          <t>位置合わせ(MS指定)／単調補間</t>
        </is>
      </c>
      <c r="C313" s="10" t="inlineStr">
        <is>
          <t>2020-09</t>
        </is>
      </c>
      <c r="D313" s="10" t="n">
        <v>18</v>
      </c>
      <c r="E313" s="12" t="n">
        <v>14175.1</v>
      </c>
      <c r="F313" s="12" t="n">
        <v>12547.9</v>
      </c>
      <c r="G313" s="12" t="n">
        <v>1627.2</v>
      </c>
      <c r="H313" s="13" t="n">
        <v>0.4033</v>
      </c>
      <c r="I313" s="13" t="n">
        <v>0.414</v>
      </c>
    </row>
    <row r="314">
      <c r="A314" s="10" t="inlineStr">
        <is>
          <t>PJ-2019-A</t>
        </is>
      </c>
      <c r="B314" s="10" t="inlineStr">
        <is>
          <t>位置合わせ(MS指定)／単調補間</t>
        </is>
      </c>
      <c r="C314" s="10" t="inlineStr">
        <is>
          <t>2020-10</t>
        </is>
      </c>
      <c r="D314" s="10" t="n">
        <v>19</v>
      </c>
      <c r="E314" s="12" t="n">
        <v>14239.6</v>
      </c>
      <c r="F314" s="12" t="n">
        <v>14214.2</v>
      </c>
      <c r="G314" s="12" t="n">
        <v>25.4</v>
      </c>
      <c r="H314" s="13" t="n">
        <v>0.4409</v>
      </c>
      <c r="I314" s="13" t="n">
        <v>0.4515</v>
      </c>
    </row>
    <row r="315">
      <c r="A315" s="10" t="inlineStr">
        <is>
          <t>PJ-2019-A</t>
        </is>
      </c>
      <c r="B315" s="10" t="inlineStr">
        <is>
          <t>位置合わせ(MS指定)／単調補間</t>
        </is>
      </c>
      <c r="C315" s="10" t="inlineStr">
        <is>
          <t>2020-11</t>
        </is>
      </c>
      <c r="D315" s="10" t="n">
        <v>20</v>
      </c>
      <c r="E315" s="12" t="n">
        <v>12761.9</v>
      </c>
      <c r="F315" s="12" t="n">
        <v>16661.4</v>
      </c>
      <c r="G315" s="12" t="n">
        <v>-3899.5</v>
      </c>
      <c r="H315" s="13" t="n">
        <v>0.4745</v>
      </c>
      <c r="I315" s="13" t="n">
        <v>0.4953</v>
      </c>
    </row>
    <row r="316">
      <c r="A316" s="10" t="inlineStr">
        <is>
          <t>PJ-2019-A</t>
        </is>
      </c>
      <c r="B316" s="10" t="inlineStr">
        <is>
          <t>位置合わせ(MS指定)／単調補間</t>
        </is>
      </c>
      <c r="C316" s="10" t="inlineStr">
        <is>
          <t>2020-12</t>
        </is>
      </c>
      <c r="D316" s="10" t="n">
        <v>21</v>
      </c>
      <c r="E316" s="12" t="n">
        <v>13555.8</v>
      </c>
      <c r="F316" s="12" t="n">
        <v>15314.9</v>
      </c>
      <c r="G316" s="12" t="n">
        <v>-1759.1</v>
      </c>
      <c r="H316" s="13" t="n">
        <v>0.5102</v>
      </c>
      <c r="I316" s="13" t="n">
        <v>0.5357</v>
      </c>
    </row>
    <row r="317">
      <c r="A317" s="10" t="inlineStr">
        <is>
          <t>PJ-2019-A</t>
        </is>
      </c>
      <c r="B317" s="10" t="inlineStr">
        <is>
          <t>位置合わせ(MS指定)／単調補間</t>
        </is>
      </c>
      <c r="C317" s="10" t="inlineStr">
        <is>
          <t>2021-01</t>
        </is>
      </c>
      <c r="D317" s="10" t="n">
        <v>22</v>
      </c>
      <c r="E317" s="12" t="n">
        <v>13491.6</v>
      </c>
      <c r="F317" s="12" t="n">
        <v>13490.4</v>
      </c>
      <c r="G317" s="12" t="n">
        <v>1.2</v>
      </c>
      <c r="H317" s="13" t="n">
        <v>0.5457</v>
      </c>
      <c r="I317" s="13" t="n">
        <v>0.5712</v>
      </c>
    </row>
    <row r="318">
      <c r="A318" s="10" t="inlineStr">
        <is>
          <t>PJ-2019-A</t>
        </is>
      </c>
      <c r="B318" s="10" t="inlineStr">
        <is>
          <t>位置合わせ(MS指定)／単調補間</t>
        </is>
      </c>
      <c r="C318" s="10" t="inlineStr">
        <is>
          <t>2021-02</t>
        </is>
      </c>
      <c r="D318" s="10" t="n">
        <v>23</v>
      </c>
      <c r="E318" s="12" t="n">
        <v>12217.1</v>
      </c>
      <c r="F318" s="12" t="n">
        <v>11965.7</v>
      </c>
      <c r="G318" s="12" t="n">
        <v>251.4</v>
      </c>
      <c r="H318" s="13" t="n">
        <v>0.5779</v>
      </c>
      <c r="I318" s="13" t="n">
        <v>0.6028</v>
      </c>
    </row>
    <row r="319">
      <c r="A319" s="10" t="inlineStr">
        <is>
          <t>PJ-2019-A</t>
        </is>
      </c>
      <c r="B319" s="10" t="inlineStr">
        <is>
          <t>位置合わせ(MS指定)／単調補間</t>
        </is>
      </c>
      <c r="C319" s="10" t="inlineStr">
        <is>
          <t>2021-03</t>
        </is>
      </c>
      <c r="D319" s="10" t="n">
        <v>24</v>
      </c>
      <c r="E319" s="12" t="n">
        <v>13564.3</v>
      </c>
      <c r="F319" s="12" t="n">
        <v>12853.7</v>
      </c>
      <c r="G319" s="12" t="n">
        <v>710.6</v>
      </c>
      <c r="H319" s="13" t="n">
        <v>0.6137</v>
      </c>
      <c r="I319" s="13" t="n">
        <v>0.6366000000000001</v>
      </c>
    </row>
    <row r="320">
      <c r="A320" s="10" t="inlineStr">
        <is>
          <t>PJ-2019-A</t>
        </is>
      </c>
      <c r="B320" s="10" t="inlineStr">
        <is>
          <t>位置合わせ(MS指定)／単調補間</t>
        </is>
      </c>
      <c r="C320" s="10" t="inlineStr">
        <is>
          <t>2021-04</t>
        </is>
      </c>
      <c r="D320" s="10" t="n">
        <v>25</v>
      </c>
      <c r="E320" s="12" t="n">
        <v>13077.2</v>
      </c>
      <c r="F320" s="12" t="n">
        <v>12825.4</v>
      </c>
      <c r="G320" s="12" t="n">
        <v>251.8</v>
      </c>
      <c r="H320" s="13" t="n">
        <v>0.6481</v>
      </c>
      <c r="I320" s="13" t="n">
        <v>0.6704</v>
      </c>
    </row>
    <row r="321">
      <c r="A321" s="10" t="inlineStr">
        <is>
          <t>PJ-2019-A</t>
        </is>
      </c>
      <c r="B321" s="10" t="inlineStr">
        <is>
          <t>位置合わせ(MS指定)／単調補間</t>
        </is>
      </c>
      <c r="C321" s="10" t="inlineStr">
        <is>
          <t>2021-05</t>
        </is>
      </c>
      <c r="D321" s="10" t="n">
        <v>26</v>
      </c>
      <c r="E321" s="12" t="n">
        <v>13850.5</v>
      </c>
      <c r="F321" s="12" t="n">
        <v>13976.5</v>
      </c>
      <c r="G321" s="12" t="n">
        <v>-126</v>
      </c>
      <c r="H321" s="13" t="n">
        <v>0.6846</v>
      </c>
      <c r="I321" s="13" t="n">
        <v>0.7072000000000001</v>
      </c>
    </row>
    <row r="322">
      <c r="A322" s="10" t="inlineStr">
        <is>
          <t>PJ-2019-A</t>
        </is>
      </c>
      <c r="B322" s="10" t="inlineStr">
        <is>
          <t>位置合わせ(MS指定)／単調補間</t>
        </is>
      </c>
      <c r="C322" s="10" t="inlineStr">
        <is>
          <t>2021-06</t>
        </is>
      </c>
      <c r="D322" s="10" t="n">
        <v>27</v>
      </c>
      <c r="E322" s="12" t="n">
        <v>13458.1</v>
      </c>
      <c r="F322" s="12" t="n">
        <v>14724.1</v>
      </c>
      <c r="G322" s="12" t="n">
        <v>-1266</v>
      </c>
      <c r="H322" s="13" t="n">
        <v>0.7201</v>
      </c>
      <c r="I322" s="13" t="n">
        <v>0.746</v>
      </c>
    </row>
    <row r="323">
      <c r="A323" s="10" t="inlineStr">
        <is>
          <t>PJ-2019-A</t>
        </is>
      </c>
      <c r="B323" s="10" t="inlineStr">
        <is>
          <t>位置合わせ(MS指定)／単調補間</t>
        </is>
      </c>
      <c r="C323" s="10" t="inlineStr">
        <is>
          <t>2021-07</t>
        </is>
      </c>
      <c r="D323" s="10" t="n">
        <v>28</v>
      </c>
      <c r="E323" s="12" t="n">
        <v>12953.7</v>
      </c>
      <c r="F323" s="12" t="n">
        <v>17311.9</v>
      </c>
      <c r="G323" s="12" t="n">
        <v>-4358.2</v>
      </c>
      <c r="H323" s="13" t="n">
        <v>0.7542</v>
      </c>
      <c r="I323" s="13" t="n">
        <v>0.7916</v>
      </c>
    </row>
    <row r="324">
      <c r="A324" s="10" t="inlineStr">
        <is>
          <t>PJ-2019-A</t>
        </is>
      </c>
      <c r="B324" s="10" t="inlineStr">
        <is>
          <t>位置合わせ(MS指定)／単調補間</t>
        </is>
      </c>
      <c r="C324" s="10" t="inlineStr">
        <is>
          <t>2021-08</t>
        </is>
      </c>
      <c r="D324" s="10" t="n">
        <v>29</v>
      </c>
      <c r="E324" s="12" t="n">
        <v>15859.8</v>
      </c>
      <c r="F324" s="12" t="n">
        <v>19848.8</v>
      </c>
      <c r="G324" s="12" t="n">
        <v>-3989</v>
      </c>
      <c r="H324" s="13" t="n">
        <v>0.796</v>
      </c>
      <c r="I324" s="13" t="n">
        <v>0.8439</v>
      </c>
    </row>
    <row r="325">
      <c r="A325" s="10" t="inlineStr">
        <is>
          <t>PJ-2019-A</t>
        </is>
      </c>
      <c r="B325" s="10" t="inlineStr">
        <is>
          <t>位置合わせ(MS指定)／単調補間</t>
        </is>
      </c>
      <c r="C325" s="10" t="inlineStr">
        <is>
          <t>2021-09</t>
        </is>
      </c>
      <c r="D325" s="10" t="n">
        <v>30</v>
      </c>
      <c r="E325" s="12" t="n">
        <v>15342.9</v>
      </c>
      <c r="F325" s="12" t="n">
        <v>17282.1</v>
      </c>
      <c r="G325" s="12" t="n">
        <v>-1939.2</v>
      </c>
      <c r="H325" s="13" t="n">
        <v>0.8364</v>
      </c>
      <c r="I325" s="13" t="n">
        <v>0.8895</v>
      </c>
    </row>
    <row r="326">
      <c r="A326" s="10" t="inlineStr">
        <is>
          <t>PJ-2019-A</t>
        </is>
      </c>
      <c r="B326" s="10" t="inlineStr">
        <is>
          <t>位置合わせ(MS指定)／単調補間</t>
        </is>
      </c>
      <c r="C326" s="10" t="inlineStr">
        <is>
          <t>2021-10</t>
        </is>
      </c>
      <c r="D326" s="10" t="n">
        <v>31</v>
      </c>
      <c r="E326" s="12" t="n">
        <v>15574</v>
      </c>
      <c r="F326" s="12" t="n">
        <v>13450.6</v>
      </c>
      <c r="G326" s="12" t="n">
        <v>2123.4</v>
      </c>
      <c r="H326" s="13" t="n">
        <v>0.8774</v>
      </c>
      <c r="I326" s="13" t="n">
        <v>0.9249000000000001</v>
      </c>
    </row>
    <row r="327">
      <c r="A327" s="10" t="inlineStr">
        <is>
          <t>PJ-2019-A</t>
        </is>
      </c>
      <c r="B327" s="10" t="inlineStr">
        <is>
          <t>位置合わせ(MS指定)／単調補間</t>
        </is>
      </c>
      <c r="C327" s="10" t="inlineStr">
        <is>
          <t>2021-11</t>
        </is>
      </c>
      <c r="D327" s="10" t="n">
        <v>32</v>
      </c>
      <c r="E327" s="12" t="n">
        <v>13096.9</v>
      </c>
      <c r="F327" s="12" t="n">
        <v>9371.200000000001</v>
      </c>
      <c r="G327" s="12" t="n">
        <v>3725.7</v>
      </c>
      <c r="H327" s="13" t="n">
        <v>0.9119</v>
      </c>
      <c r="I327" s="13" t="n">
        <v>0.9496</v>
      </c>
    </row>
    <row r="328">
      <c r="A328" s="10" t="inlineStr">
        <is>
          <t>PJ-2019-A</t>
        </is>
      </c>
      <c r="B328" s="10" t="inlineStr">
        <is>
          <t>位置合わせ(MS指定)／単調補間</t>
        </is>
      </c>
      <c r="C328" s="10" t="inlineStr">
        <is>
          <t>2021-12</t>
        </is>
      </c>
      <c r="D328" s="10" t="n">
        <v>33</v>
      </c>
      <c r="E328" s="12" t="n">
        <v>11229.3</v>
      </c>
      <c r="F328" s="12" t="n">
        <v>9266</v>
      </c>
      <c r="G328" s="12" t="n">
        <v>1963.3</v>
      </c>
      <c r="H328" s="13" t="n">
        <v>0.9415</v>
      </c>
      <c r="I328" s="13" t="n">
        <v>0.974</v>
      </c>
    </row>
    <row r="329">
      <c r="A329" s="10" t="inlineStr">
        <is>
          <t>PJ-2019-A</t>
        </is>
      </c>
      <c r="B329" s="10" t="inlineStr">
        <is>
          <t>位置合わせ(MS指定)／単調補間</t>
        </is>
      </c>
      <c r="C329" s="10" t="inlineStr">
        <is>
          <t>2022-01</t>
        </is>
      </c>
      <c r="D329" s="10" t="n">
        <v>34</v>
      </c>
      <c r="E329" s="12" t="n">
        <v>10486</v>
      </c>
      <c r="F329" s="12" t="n">
        <v>5982.7</v>
      </c>
      <c r="G329" s="12" t="n">
        <v>4503.3</v>
      </c>
      <c r="H329" s="13" t="n">
        <v>0.9692</v>
      </c>
      <c r="I329" s="13" t="n">
        <v>0.9898</v>
      </c>
    </row>
    <row r="330">
      <c r="A330" s="10" t="inlineStr">
        <is>
          <t>PJ-2019-A</t>
        </is>
      </c>
      <c r="B330" s="10" t="inlineStr">
        <is>
          <t>位置合わせ(MS指定)／単調補間</t>
        </is>
      </c>
      <c r="C330" s="10" t="inlineStr">
        <is>
          <t>2022-02</t>
        </is>
      </c>
      <c r="D330" s="10" t="n">
        <v>35</v>
      </c>
      <c r="E330" s="12" t="n">
        <v>7199.4</v>
      </c>
      <c r="F330" s="12" t="n">
        <v>2863</v>
      </c>
      <c r="G330" s="12" t="n">
        <v>4336.4</v>
      </c>
      <c r="H330" s="13" t="n">
        <v>0.9881</v>
      </c>
      <c r="I330" s="13" t="n">
        <v>0.9973</v>
      </c>
    </row>
    <row r="331">
      <c r="A331" s="10" t="inlineStr">
        <is>
          <t>PJ-2019-A</t>
        </is>
      </c>
      <c r="B331" s="10" t="inlineStr">
        <is>
          <t>位置合わせ(MS指定)／単調補間</t>
        </is>
      </c>
      <c r="C331" s="10" t="inlineStr">
        <is>
          <t>2022-03</t>
        </is>
      </c>
      <c r="D331" s="10" t="n">
        <v>36</v>
      </c>
      <c r="E331" s="12" t="n">
        <v>4508.5</v>
      </c>
      <c r="F331" s="12" t="n">
        <v>1019.3</v>
      </c>
      <c r="G331" s="12" t="n">
        <v>3489.2</v>
      </c>
      <c r="H331" s="13" t="n">
        <v>1</v>
      </c>
      <c r="I331" s="13" t="n">
        <v>1</v>
      </c>
    </row>
    <row r="332">
      <c r="A332" s="10" t="inlineStr">
        <is>
          <t>PJ-2020-B</t>
        </is>
      </c>
      <c r="B332" s="10" t="inlineStr">
        <is>
          <t>素朴版／月内均等</t>
        </is>
      </c>
      <c r="C332" s="10" t="inlineStr">
        <is>
          <t>2020-01</t>
        </is>
      </c>
      <c r="D332" s="10" t="n">
        <v>1</v>
      </c>
      <c r="E332" s="12" t="n">
        <v>3552.9</v>
      </c>
      <c r="F332" s="12" t="n">
        <v>320.5</v>
      </c>
      <c r="G332" s="12" t="n">
        <v>3232.4</v>
      </c>
      <c r="H332" s="13" t="n">
        <v>0.0355</v>
      </c>
      <c r="I332" s="13" t="n">
        <v>0.0032</v>
      </c>
    </row>
    <row r="333">
      <c r="A333" s="10" t="inlineStr">
        <is>
          <t>PJ-2020-B</t>
        </is>
      </c>
      <c r="B333" s="10" t="inlineStr">
        <is>
          <t>素朴版／月内均等</t>
        </is>
      </c>
      <c r="C333" s="10" t="inlineStr">
        <is>
          <t>2020-02</t>
        </is>
      </c>
      <c r="D333" s="10" t="n">
        <v>2</v>
      </c>
      <c r="E333" s="12" t="n">
        <v>4365.9</v>
      </c>
      <c r="F333" s="12" t="n">
        <v>930.3</v>
      </c>
      <c r="G333" s="12" t="n">
        <v>3435.6</v>
      </c>
      <c r="H333" s="13" t="n">
        <v>0.07920000000000001</v>
      </c>
      <c r="I333" s="13" t="n">
        <v>0.0125</v>
      </c>
    </row>
    <row r="334">
      <c r="A334" s="10" t="inlineStr">
        <is>
          <t>PJ-2020-B</t>
        </is>
      </c>
      <c r="B334" s="10" t="inlineStr">
        <is>
          <t>素朴版／月内均等</t>
        </is>
      </c>
      <c r="C334" s="10" t="inlineStr">
        <is>
          <t>2020-03</t>
        </is>
      </c>
      <c r="D334" s="10" t="n">
        <v>3</v>
      </c>
      <c r="E334" s="12" t="n">
        <v>5319.9</v>
      </c>
      <c r="F334" s="12" t="n">
        <v>1814.8</v>
      </c>
      <c r="G334" s="12" t="n">
        <v>3505.1</v>
      </c>
      <c r="H334" s="13" t="n">
        <v>0.1324</v>
      </c>
      <c r="I334" s="13" t="n">
        <v>0.0306</v>
      </c>
    </row>
    <row r="335">
      <c r="A335" s="10" t="inlineStr">
        <is>
          <t>PJ-2020-B</t>
        </is>
      </c>
      <c r="B335" s="10" t="inlineStr">
        <is>
          <t>素朴版／月内均等</t>
        </is>
      </c>
      <c r="C335" s="10" t="inlineStr">
        <is>
          <t>2020-04</t>
        </is>
      </c>
      <c r="D335" s="10" t="n">
        <v>4</v>
      </c>
      <c r="E335" s="12" t="n">
        <v>6152.9</v>
      </c>
      <c r="F335" s="12" t="n">
        <v>2405.7</v>
      </c>
      <c r="G335" s="12" t="n">
        <v>3747.2</v>
      </c>
      <c r="H335" s="13" t="n">
        <v>0.1939</v>
      </c>
      <c r="I335" s="13" t="n">
        <v>0.0547</v>
      </c>
    </row>
    <row r="336">
      <c r="A336" s="10" t="inlineStr">
        <is>
          <t>PJ-2020-B</t>
        </is>
      </c>
      <c r="B336" s="10" t="inlineStr">
        <is>
          <t>素朴版／月内均等</t>
        </is>
      </c>
      <c r="C336" s="10" t="inlineStr">
        <is>
          <t>2020-05</t>
        </is>
      </c>
      <c r="D336" s="10" t="n">
        <v>5</v>
      </c>
      <c r="E336" s="12" t="n">
        <v>8301.299999999999</v>
      </c>
      <c r="F336" s="12" t="n">
        <v>3424.8</v>
      </c>
      <c r="G336" s="12" t="n">
        <v>4876.5</v>
      </c>
      <c r="H336" s="13" t="n">
        <v>0.2769</v>
      </c>
      <c r="I336" s="13" t="n">
        <v>0.08890000000000001</v>
      </c>
    </row>
    <row r="337">
      <c r="A337" s="10" t="inlineStr">
        <is>
          <t>PJ-2020-B</t>
        </is>
      </c>
      <c r="B337" s="10" t="inlineStr">
        <is>
          <t>素朴版／月内均等</t>
        </is>
      </c>
      <c r="C337" s="10" t="inlineStr">
        <is>
          <t>2020-06</t>
        </is>
      </c>
      <c r="D337" s="10" t="n">
        <v>6</v>
      </c>
      <c r="E337" s="12" t="n">
        <v>9396.4</v>
      </c>
      <c r="F337" s="12" t="n">
        <v>4082.4</v>
      </c>
      <c r="G337" s="12" t="n">
        <v>5314</v>
      </c>
      <c r="H337" s="13" t="n">
        <v>0.3708</v>
      </c>
      <c r="I337" s="13" t="n">
        <v>0.1298</v>
      </c>
    </row>
    <row r="338">
      <c r="A338" s="10" t="inlineStr">
        <is>
          <t>PJ-2020-B</t>
        </is>
      </c>
      <c r="B338" s="10" t="inlineStr">
        <is>
          <t>素朴版／月内均等</t>
        </is>
      </c>
      <c r="C338" s="10" t="inlineStr">
        <is>
          <t>2020-07</t>
        </is>
      </c>
      <c r="D338" s="10" t="n">
        <v>7</v>
      </c>
      <c r="E338" s="12" t="n">
        <v>9074.200000000001</v>
      </c>
      <c r="F338" s="12" t="n">
        <v>5263.5</v>
      </c>
      <c r="G338" s="12" t="n">
        <v>3810.7</v>
      </c>
      <c r="H338" s="13" t="n">
        <v>0.4615</v>
      </c>
      <c r="I338" s="13" t="n">
        <v>0.1824</v>
      </c>
    </row>
    <row r="339">
      <c r="A339" s="10" t="inlineStr">
        <is>
          <t>PJ-2020-B</t>
        </is>
      </c>
      <c r="B339" s="10" t="inlineStr">
        <is>
          <t>素朴版／月内均等</t>
        </is>
      </c>
      <c r="C339" s="10" t="inlineStr">
        <is>
          <t>2020-08</t>
        </is>
      </c>
      <c r="D339" s="10" t="n">
        <v>8</v>
      </c>
      <c r="E339" s="12" t="n">
        <v>10342</v>
      </c>
      <c r="F339" s="12" t="n">
        <v>6466.9</v>
      </c>
      <c r="G339" s="12" t="n">
        <v>3875.1</v>
      </c>
      <c r="H339" s="13" t="n">
        <v>0.5649</v>
      </c>
      <c r="I339" s="13" t="n">
        <v>0.247</v>
      </c>
    </row>
    <row r="340">
      <c r="A340" s="10" t="inlineStr">
        <is>
          <t>PJ-2020-B</t>
        </is>
      </c>
      <c r="B340" s="10" t="inlineStr">
        <is>
          <t>素朴版／月内均等</t>
        </is>
      </c>
      <c r="C340" s="10" t="inlineStr">
        <is>
          <t>2020-09</t>
        </is>
      </c>
      <c r="D340" s="10" t="n">
        <v>9</v>
      </c>
      <c r="E340" s="12" t="n">
        <v>10101</v>
      </c>
      <c r="F340" s="12" t="n">
        <v>15257.1</v>
      </c>
      <c r="G340" s="12" t="n">
        <v>-5156.1</v>
      </c>
      <c r="H340" s="13" t="n">
        <v>0.6659</v>
      </c>
      <c r="I340" s="13" t="n">
        <v>0.3996</v>
      </c>
    </row>
    <row r="341">
      <c r="A341" s="10" t="inlineStr">
        <is>
          <t>PJ-2020-B</t>
        </is>
      </c>
      <c r="B341" s="10" t="inlineStr">
        <is>
          <t>素朴版／月内均等</t>
        </is>
      </c>
      <c r="C341" s="10" t="inlineStr">
        <is>
          <t>2020-10</t>
        </is>
      </c>
      <c r="D341" s="10" t="n">
        <v>10</v>
      </c>
      <c r="E341" s="12" t="n">
        <v>9046.799999999999</v>
      </c>
      <c r="F341" s="12" t="n">
        <v>20485.7</v>
      </c>
      <c r="G341" s="12" t="n">
        <v>-11438.9</v>
      </c>
      <c r="H341" s="13" t="n">
        <v>0.7564</v>
      </c>
      <c r="I341" s="13" t="n">
        <v>0.6044</v>
      </c>
    </row>
    <row r="342">
      <c r="A342" s="10" t="inlineStr">
        <is>
          <t>PJ-2020-B</t>
        </is>
      </c>
      <c r="B342" s="10" t="inlineStr">
        <is>
          <t>素朴版／月内均等</t>
        </is>
      </c>
      <c r="C342" s="10" t="inlineStr">
        <is>
          <t>2020-11</t>
        </is>
      </c>
      <c r="D342" s="10" t="n">
        <v>11</v>
      </c>
      <c r="E342" s="12" t="n">
        <v>8484.700000000001</v>
      </c>
      <c r="F342" s="12" t="n">
        <v>14239.1</v>
      </c>
      <c r="G342" s="12" t="n">
        <v>-5754.4</v>
      </c>
      <c r="H342" s="13" t="n">
        <v>0.8411999999999999</v>
      </c>
      <c r="I342" s="13" t="n">
        <v>0.7468</v>
      </c>
    </row>
    <row r="343">
      <c r="A343" s="10" t="inlineStr">
        <is>
          <t>PJ-2020-B</t>
        </is>
      </c>
      <c r="B343" s="10" t="inlineStr">
        <is>
          <t>素朴版／月内均等</t>
        </is>
      </c>
      <c r="C343" s="10" t="inlineStr">
        <is>
          <t>2020-12</t>
        </is>
      </c>
      <c r="D343" s="10" t="n">
        <v>12</v>
      </c>
      <c r="E343" s="12" t="n">
        <v>7961.4</v>
      </c>
      <c r="F343" s="12" t="n">
        <v>13215.8</v>
      </c>
      <c r="G343" s="12" t="n">
        <v>-5254.4</v>
      </c>
      <c r="H343" s="13" t="n">
        <v>0.9208</v>
      </c>
      <c r="I343" s="13" t="n">
        <v>0.8789</v>
      </c>
    </row>
    <row r="344">
      <c r="A344" s="10" t="inlineStr">
        <is>
          <t>PJ-2020-B</t>
        </is>
      </c>
      <c r="B344" s="10" t="inlineStr">
        <is>
          <t>素朴版／月内均等</t>
        </is>
      </c>
      <c r="C344" s="10" t="inlineStr">
        <is>
          <t>2021-01</t>
        </is>
      </c>
      <c r="D344" s="10" t="n">
        <v>13</v>
      </c>
      <c r="E344" s="12" t="n">
        <v>5351.7</v>
      </c>
      <c r="F344" s="12" t="n">
        <v>7968.1</v>
      </c>
      <c r="G344" s="12" t="n">
        <v>-2616.4</v>
      </c>
      <c r="H344" s="13" t="n">
        <v>0.9743000000000001</v>
      </c>
      <c r="I344" s="13" t="n">
        <v>0.9586</v>
      </c>
    </row>
    <row r="345">
      <c r="A345" s="10" t="inlineStr">
        <is>
          <t>PJ-2020-B</t>
        </is>
      </c>
      <c r="B345" s="10" t="inlineStr">
        <is>
          <t>素朴版／月内均等</t>
        </is>
      </c>
      <c r="C345" s="10" t="inlineStr">
        <is>
          <t>2021-02</t>
        </is>
      </c>
      <c r="D345" s="10" t="n">
        <v>14</v>
      </c>
      <c r="E345" s="12" t="n">
        <v>2569.2</v>
      </c>
      <c r="F345" s="12" t="n">
        <v>4145.7</v>
      </c>
      <c r="G345" s="12" t="n">
        <v>-1576.5</v>
      </c>
      <c r="H345" s="13" t="n">
        <v>1</v>
      </c>
      <c r="I345" s="13" t="n">
        <v>1</v>
      </c>
    </row>
    <row r="346">
      <c r="A346" s="10" t="inlineStr">
        <is>
          <t>PJ-2020-B</t>
        </is>
      </c>
      <c r="B346" s="10" t="inlineStr">
        <is>
          <t>位置合わせ(MS学習値)／月内均等</t>
        </is>
      </c>
      <c r="C346" s="10" t="inlineStr">
        <is>
          <t>2020-01</t>
        </is>
      </c>
      <c r="D346" s="10" t="n">
        <v>1</v>
      </c>
      <c r="E346" s="12" t="n">
        <v>3608.8</v>
      </c>
      <c r="F346" s="12" t="n">
        <v>320.5</v>
      </c>
      <c r="G346" s="12" t="n">
        <v>3288.3</v>
      </c>
      <c r="H346" s="13" t="n">
        <v>0.0361</v>
      </c>
      <c r="I346" s="13" t="n">
        <v>0.0032</v>
      </c>
    </row>
    <row r="347">
      <c r="A347" s="10" t="inlineStr">
        <is>
          <t>PJ-2020-B</t>
        </is>
      </c>
      <c r="B347" s="10" t="inlineStr">
        <is>
          <t>位置合わせ(MS学習値)／月内均等</t>
        </is>
      </c>
      <c r="C347" s="10" t="inlineStr">
        <is>
          <t>2020-02</t>
        </is>
      </c>
      <c r="D347" s="10" t="n">
        <v>2</v>
      </c>
      <c r="E347" s="12" t="n">
        <v>4396.3</v>
      </c>
      <c r="F347" s="12" t="n">
        <v>930.3</v>
      </c>
      <c r="G347" s="12" t="n">
        <v>3466</v>
      </c>
      <c r="H347" s="13" t="n">
        <v>0.08</v>
      </c>
      <c r="I347" s="13" t="n">
        <v>0.0125</v>
      </c>
    </row>
    <row r="348">
      <c r="A348" s="10" t="inlineStr">
        <is>
          <t>PJ-2020-B</t>
        </is>
      </c>
      <c r="B348" s="10" t="inlineStr">
        <is>
          <t>位置合わせ(MS学習値)／月内均等</t>
        </is>
      </c>
      <c r="C348" s="10" t="inlineStr">
        <is>
          <t>2020-03</t>
        </is>
      </c>
      <c r="D348" s="10" t="n">
        <v>3</v>
      </c>
      <c r="E348" s="12" t="n">
        <v>5278.7</v>
      </c>
      <c r="F348" s="12" t="n">
        <v>1814.8</v>
      </c>
      <c r="G348" s="12" t="n">
        <v>3463.9</v>
      </c>
      <c r="H348" s="13" t="n">
        <v>0.1328</v>
      </c>
      <c r="I348" s="13" t="n">
        <v>0.0306</v>
      </c>
    </row>
    <row r="349">
      <c r="A349" s="10" t="inlineStr">
        <is>
          <t>PJ-2020-B</t>
        </is>
      </c>
      <c r="B349" s="10" t="inlineStr">
        <is>
          <t>位置合わせ(MS学習値)／月内均等</t>
        </is>
      </c>
      <c r="C349" s="10" t="inlineStr">
        <is>
          <t>2020-04</t>
        </is>
      </c>
      <c r="D349" s="10" t="n">
        <v>4</v>
      </c>
      <c r="E349" s="12" t="n">
        <v>5982</v>
      </c>
      <c r="F349" s="12" t="n">
        <v>2405.7</v>
      </c>
      <c r="G349" s="12" t="n">
        <v>3576.3</v>
      </c>
      <c r="H349" s="13" t="n">
        <v>0.1926</v>
      </c>
      <c r="I349" s="13" t="n">
        <v>0.0547</v>
      </c>
    </row>
    <row r="350">
      <c r="A350" s="10" t="inlineStr">
        <is>
          <t>PJ-2020-B</t>
        </is>
      </c>
      <c r="B350" s="10" t="inlineStr">
        <is>
          <t>位置合わせ(MS学習値)／月内均等</t>
        </is>
      </c>
      <c r="C350" s="10" t="inlineStr">
        <is>
          <t>2020-05</t>
        </is>
      </c>
      <c r="D350" s="10" t="n">
        <v>5</v>
      </c>
      <c r="E350" s="12" t="n">
        <v>7874.3</v>
      </c>
      <c r="F350" s="12" t="n">
        <v>3424.8</v>
      </c>
      <c r="G350" s="12" t="n">
        <v>4449.5</v>
      </c>
      <c r="H350" s="13" t="n">
        <v>0.2713</v>
      </c>
      <c r="I350" s="13" t="n">
        <v>0.08890000000000001</v>
      </c>
    </row>
    <row r="351">
      <c r="A351" s="10" t="inlineStr">
        <is>
          <t>PJ-2020-B</t>
        </is>
      </c>
      <c r="B351" s="10" t="inlineStr">
        <is>
          <t>位置合わせ(MS学習値)／月内均等</t>
        </is>
      </c>
      <c r="C351" s="10" t="inlineStr">
        <is>
          <t>2020-06</t>
        </is>
      </c>
      <c r="D351" s="10" t="n">
        <v>6</v>
      </c>
      <c r="E351" s="12" t="n">
        <v>8916.4</v>
      </c>
      <c r="F351" s="12" t="n">
        <v>4082.4</v>
      </c>
      <c r="G351" s="12" t="n">
        <v>4834</v>
      </c>
      <c r="H351" s="13" t="n">
        <v>0.3605</v>
      </c>
      <c r="I351" s="13" t="n">
        <v>0.1298</v>
      </c>
    </row>
    <row r="352">
      <c r="A352" s="10" t="inlineStr">
        <is>
          <t>PJ-2020-B</t>
        </is>
      </c>
      <c r="B352" s="10" t="inlineStr">
        <is>
          <t>位置合わせ(MS学習値)／月内均等</t>
        </is>
      </c>
      <c r="C352" s="10" t="inlineStr">
        <is>
          <t>2020-07</t>
        </is>
      </c>
      <c r="D352" s="10" t="n">
        <v>7</v>
      </c>
      <c r="E352" s="12" t="n">
        <v>10117.7</v>
      </c>
      <c r="F352" s="12" t="n">
        <v>5263.5</v>
      </c>
      <c r="G352" s="12" t="n">
        <v>4854.2</v>
      </c>
      <c r="H352" s="13" t="n">
        <v>0.4616</v>
      </c>
      <c r="I352" s="13" t="n">
        <v>0.1824</v>
      </c>
    </row>
    <row r="353">
      <c r="A353" s="10" t="inlineStr">
        <is>
          <t>PJ-2020-B</t>
        </is>
      </c>
      <c r="B353" s="10" t="inlineStr">
        <is>
          <t>位置合わせ(MS学習値)／月内均等</t>
        </is>
      </c>
      <c r="C353" s="10" t="inlineStr">
        <is>
          <t>2020-08</t>
        </is>
      </c>
      <c r="D353" s="10" t="n">
        <v>8</v>
      </c>
      <c r="E353" s="12" t="n">
        <v>10187.6</v>
      </c>
      <c r="F353" s="12" t="n">
        <v>6466.9</v>
      </c>
      <c r="G353" s="12" t="n">
        <v>3720.7</v>
      </c>
      <c r="H353" s="13" t="n">
        <v>0.5635</v>
      </c>
      <c r="I353" s="13" t="n">
        <v>0.247</v>
      </c>
    </row>
    <row r="354">
      <c r="A354" s="10" t="inlineStr">
        <is>
          <t>PJ-2020-B</t>
        </is>
      </c>
      <c r="B354" s="10" t="inlineStr">
        <is>
          <t>位置合わせ(MS学習値)／月内均等</t>
        </is>
      </c>
      <c r="C354" s="10" t="inlineStr">
        <is>
          <t>2020-09</t>
        </is>
      </c>
      <c r="D354" s="10" t="n">
        <v>9</v>
      </c>
      <c r="E354" s="12" t="n">
        <v>9503.6</v>
      </c>
      <c r="F354" s="12" t="n">
        <v>15257.1</v>
      </c>
      <c r="G354" s="12" t="n">
        <v>-5753.5</v>
      </c>
      <c r="H354" s="13" t="n">
        <v>0.6585</v>
      </c>
      <c r="I354" s="13" t="n">
        <v>0.3996</v>
      </c>
    </row>
    <row r="355">
      <c r="A355" s="10" t="inlineStr">
        <is>
          <t>PJ-2020-B</t>
        </is>
      </c>
      <c r="B355" s="10" t="inlineStr">
        <is>
          <t>位置合わせ(MS学習値)／月内均等</t>
        </is>
      </c>
      <c r="C355" s="10" t="inlineStr">
        <is>
          <t>2020-10</t>
        </is>
      </c>
      <c r="D355" s="10" t="n">
        <v>10</v>
      </c>
      <c r="E355" s="12" t="n">
        <v>10341.6</v>
      </c>
      <c r="F355" s="12" t="n">
        <v>20485.7</v>
      </c>
      <c r="G355" s="12" t="n">
        <v>-10144.1</v>
      </c>
      <c r="H355" s="13" t="n">
        <v>0.7619</v>
      </c>
      <c r="I355" s="13" t="n">
        <v>0.6044</v>
      </c>
    </row>
    <row r="356">
      <c r="A356" s="10" t="inlineStr">
        <is>
          <t>PJ-2020-B</t>
        </is>
      </c>
      <c r="B356" s="10" t="inlineStr">
        <is>
          <t>位置合わせ(MS学習値)／月内均等</t>
        </is>
      </c>
      <c r="C356" s="10" t="inlineStr">
        <is>
          <t>2020-11</t>
        </is>
      </c>
      <c r="D356" s="10" t="n">
        <v>11</v>
      </c>
      <c r="E356" s="12" t="n">
        <v>8877.4</v>
      </c>
      <c r="F356" s="12" t="n">
        <v>14239.1</v>
      </c>
      <c r="G356" s="12" t="n">
        <v>-5361.7</v>
      </c>
      <c r="H356" s="13" t="n">
        <v>0.8507</v>
      </c>
      <c r="I356" s="13" t="n">
        <v>0.7468</v>
      </c>
    </row>
    <row r="357">
      <c r="A357" s="10" t="inlineStr">
        <is>
          <t>PJ-2020-B</t>
        </is>
      </c>
      <c r="B357" s="10" t="inlineStr">
        <is>
          <t>位置合わせ(MS学習値)／月内均等</t>
        </is>
      </c>
      <c r="C357" s="10" t="inlineStr">
        <is>
          <t>2020-12</t>
        </is>
      </c>
      <c r="D357" s="10" t="n">
        <v>12</v>
      </c>
      <c r="E357" s="12" t="n">
        <v>7126.2</v>
      </c>
      <c r="F357" s="12" t="n">
        <v>13215.8</v>
      </c>
      <c r="G357" s="12" t="n">
        <v>-6089.6</v>
      </c>
      <c r="H357" s="13" t="n">
        <v>0.9219000000000001</v>
      </c>
      <c r="I357" s="13" t="n">
        <v>0.8789</v>
      </c>
    </row>
    <row r="358">
      <c r="A358" s="10" t="inlineStr">
        <is>
          <t>PJ-2020-B</t>
        </is>
      </c>
      <c r="B358" s="10" t="inlineStr">
        <is>
          <t>位置合わせ(MS学習値)／月内均等</t>
        </is>
      </c>
      <c r="C358" s="10" t="inlineStr">
        <is>
          <t>2021-01</t>
        </is>
      </c>
      <c r="D358" s="10" t="n">
        <v>13</v>
      </c>
      <c r="E358" s="12" t="n">
        <v>5304</v>
      </c>
      <c r="F358" s="12" t="n">
        <v>7968.1</v>
      </c>
      <c r="G358" s="12" t="n">
        <v>-2664.1</v>
      </c>
      <c r="H358" s="13" t="n">
        <v>0.9749</v>
      </c>
      <c r="I358" s="13" t="n">
        <v>0.9586</v>
      </c>
    </row>
    <row r="359">
      <c r="A359" s="10" t="inlineStr">
        <is>
          <t>PJ-2020-B</t>
        </is>
      </c>
      <c r="B359" s="10" t="inlineStr">
        <is>
          <t>位置合わせ(MS学習値)／月内均等</t>
        </is>
      </c>
      <c r="C359" s="10" t="inlineStr">
        <is>
          <t>2021-02</t>
        </is>
      </c>
      <c r="D359" s="10" t="n">
        <v>14</v>
      </c>
      <c r="E359" s="12" t="n">
        <v>2505.8</v>
      </c>
      <c r="F359" s="12" t="n">
        <v>4145.7</v>
      </c>
      <c r="G359" s="12" t="n">
        <v>-1639.9</v>
      </c>
      <c r="H359" s="13" t="n">
        <v>1</v>
      </c>
      <c r="I359" s="13" t="n">
        <v>1</v>
      </c>
    </row>
    <row r="360">
      <c r="A360" s="10" t="inlineStr">
        <is>
          <t>PJ-2020-B</t>
        </is>
      </c>
      <c r="B360" s="10" t="inlineStr">
        <is>
          <t>位置合わせ(MS指定)／月内均等</t>
        </is>
      </c>
      <c r="C360" s="10" t="inlineStr">
        <is>
          <t>2020-01</t>
        </is>
      </c>
      <c r="D360" s="10" t="n">
        <v>1</v>
      </c>
      <c r="E360" s="12" t="n">
        <v>2730.8</v>
      </c>
      <c r="F360" s="12" t="n">
        <v>320.5</v>
      </c>
      <c r="G360" s="12" t="n">
        <v>2410.3</v>
      </c>
      <c r="H360" s="13" t="n">
        <v>0.0273</v>
      </c>
      <c r="I360" s="13" t="n">
        <v>0.0032</v>
      </c>
    </row>
    <row r="361">
      <c r="A361" s="10" t="inlineStr">
        <is>
          <t>PJ-2020-B</t>
        </is>
      </c>
      <c r="B361" s="10" t="inlineStr">
        <is>
          <t>位置合わせ(MS指定)／月内均等</t>
        </is>
      </c>
      <c r="C361" s="10" t="inlineStr">
        <is>
          <t>2020-02</t>
        </is>
      </c>
      <c r="D361" s="10" t="n">
        <v>2</v>
      </c>
      <c r="E361" s="12" t="n">
        <v>3304.8</v>
      </c>
      <c r="F361" s="12" t="n">
        <v>930.3</v>
      </c>
      <c r="G361" s="12" t="n">
        <v>2374.5</v>
      </c>
      <c r="H361" s="13" t="n">
        <v>0.0603</v>
      </c>
      <c r="I361" s="13" t="n">
        <v>0.0125</v>
      </c>
    </row>
    <row r="362">
      <c r="A362" s="10" t="inlineStr">
        <is>
          <t>PJ-2020-B</t>
        </is>
      </c>
      <c r="B362" s="10" t="inlineStr">
        <is>
          <t>位置合わせ(MS指定)／月内均等</t>
        </is>
      </c>
      <c r="C362" s="10" t="inlineStr">
        <is>
          <t>2020-03</t>
        </is>
      </c>
      <c r="D362" s="10" t="n">
        <v>3</v>
      </c>
      <c r="E362" s="12" t="n">
        <v>4029.3</v>
      </c>
      <c r="F362" s="12" t="n">
        <v>1814.8</v>
      </c>
      <c r="G362" s="12" t="n">
        <v>2214.5</v>
      </c>
      <c r="H362" s="13" t="n">
        <v>0.1006</v>
      </c>
      <c r="I362" s="13" t="n">
        <v>0.0306</v>
      </c>
    </row>
    <row r="363">
      <c r="A363" s="10" t="inlineStr">
        <is>
          <t>PJ-2020-B</t>
        </is>
      </c>
      <c r="B363" s="10" t="inlineStr">
        <is>
          <t>位置合わせ(MS指定)／月内均等</t>
        </is>
      </c>
      <c r="C363" s="10" t="inlineStr">
        <is>
          <t>2020-04</t>
        </is>
      </c>
      <c r="D363" s="10" t="n">
        <v>4</v>
      </c>
      <c r="E363" s="12" t="n">
        <v>4204.8</v>
      </c>
      <c r="F363" s="12" t="n">
        <v>2405.7</v>
      </c>
      <c r="G363" s="12" t="n">
        <v>1799.1</v>
      </c>
      <c r="H363" s="13" t="n">
        <v>0.1427</v>
      </c>
      <c r="I363" s="13" t="n">
        <v>0.0547</v>
      </c>
    </row>
    <row r="364">
      <c r="A364" s="10" t="inlineStr">
        <is>
          <t>PJ-2020-B</t>
        </is>
      </c>
      <c r="B364" s="10" t="inlineStr">
        <is>
          <t>位置合わせ(MS指定)／月内均等</t>
        </is>
      </c>
      <c r="C364" s="10" t="inlineStr">
        <is>
          <t>2020-05</t>
        </is>
      </c>
      <c r="D364" s="10" t="n">
        <v>5</v>
      </c>
      <c r="E364" s="12" t="n">
        <v>4996</v>
      </c>
      <c r="F364" s="12" t="n">
        <v>3424.8</v>
      </c>
      <c r="G364" s="12" t="n">
        <v>1571.2</v>
      </c>
      <c r="H364" s="13" t="n">
        <v>0.1926</v>
      </c>
      <c r="I364" s="13" t="n">
        <v>0.08890000000000001</v>
      </c>
    </row>
    <row r="365">
      <c r="A365" s="10" t="inlineStr">
        <is>
          <t>PJ-2020-B</t>
        </is>
      </c>
      <c r="B365" s="10" t="inlineStr">
        <is>
          <t>位置合わせ(MS指定)／月内均等</t>
        </is>
      </c>
      <c r="C365" s="10" t="inlineStr">
        <is>
          <t>2020-06</t>
        </is>
      </c>
      <c r="D365" s="10" t="n">
        <v>6</v>
      </c>
      <c r="E365" s="12" t="n">
        <v>5919.2</v>
      </c>
      <c r="F365" s="12" t="n">
        <v>4082.4</v>
      </c>
      <c r="G365" s="12" t="n">
        <v>1836.8</v>
      </c>
      <c r="H365" s="13" t="n">
        <v>0.2518</v>
      </c>
      <c r="I365" s="13" t="n">
        <v>0.1298</v>
      </c>
    </row>
    <row r="366">
      <c r="A366" s="10" t="inlineStr">
        <is>
          <t>PJ-2020-B</t>
        </is>
      </c>
      <c r="B366" s="10" t="inlineStr">
        <is>
          <t>位置合わせ(MS指定)／月内均等</t>
        </is>
      </c>
      <c r="C366" s="10" t="inlineStr">
        <is>
          <t>2020-07</t>
        </is>
      </c>
      <c r="D366" s="10" t="n">
        <v>7</v>
      </c>
      <c r="E366" s="12" t="n">
        <v>7005.3</v>
      </c>
      <c r="F366" s="12" t="n">
        <v>5263.5</v>
      </c>
      <c r="G366" s="12" t="n">
        <v>1741.8</v>
      </c>
      <c r="H366" s="13" t="n">
        <v>0.3218</v>
      </c>
      <c r="I366" s="13" t="n">
        <v>0.1824</v>
      </c>
    </row>
    <row r="367">
      <c r="A367" s="10" t="inlineStr">
        <is>
          <t>PJ-2020-B</t>
        </is>
      </c>
      <c r="B367" s="10" t="inlineStr">
        <is>
          <t>位置合わせ(MS指定)／月内均等</t>
        </is>
      </c>
      <c r="C367" s="10" t="inlineStr">
        <is>
          <t>2020-08</t>
        </is>
      </c>
      <c r="D367" s="10" t="n">
        <v>8</v>
      </c>
      <c r="E367" s="12" t="n">
        <v>7831.6</v>
      </c>
      <c r="F367" s="12" t="n">
        <v>6466.9</v>
      </c>
      <c r="G367" s="12" t="n">
        <v>1364.7</v>
      </c>
      <c r="H367" s="13" t="n">
        <v>0.4001</v>
      </c>
      <c r="I367" s="13" t="n">
        <v>0.247</v>
      </c>
    </row>
    <row r="368">
      <c r="A368" s="10" t="inlineStr">
        <is>
          <t>PJ-2020-B</t>
        </is>
      </c>
      <c r="B368" s="10" t="inlineStr">
        <is>
          <t>位置合わせ(MS指定)／月内均等</t>
        </is>
      </c>
      <c r="C368" s="10" t="inlineStr">
        <is>
          <t>2020-09</t>
        </is>
      </c>
      <c r="D368" s="10" t="n">
        <v>9</v>
      </c>
      <c r="E368" s="12" t="n">
        <v>12904.8</v>
      </c>
      <c r="F368" s="12" t="n">
        <v>15257.1</v>
      </c>
      <c r="G368" s="12" t="n">
        <v>-2352.3</v>
      </c>
      <c r="H368" s="13" t="n">
        <v>0.5292</v>
      </c>
      <c r="I368" s="13" t="n">
        <v>0.3996</v>
      </c>
    </row>
    <row r="369">
      <c r="A369" s="10" t="inlineStr">
        <is>
          <t>PJ-2020-B</t>
        </is>
      </c>
      <c r="B369" s="10" t="inlineStr">
        <is>
          <t>位置合わせ(MS指定)／月内均等</t>
        </is>
      </c>
      <c r="C369" s="10" t="inlineStr">
        <is>
          <t>2020-10</t>
        </is>
      </c>
      <c r="D369" s="10" t="n">
        <v>10</v>
      </c>
      <c r="E369" s="12" t="n">
        <v>17463.7</v>
      </c>
      <c r="F369" s="12" t="n">
        <v>20485.7</v>
      </c>
      <c r="G369" s="12" t="n">
        <v>-3022</v>
      </c>
      <c r="H369" s="13" t="n">
        <v>0.7038</v>
      </c>
      <c r="I369" s="13" t="n">
        <v>0.6044</v>
      </c>
    </row>
    <row r="370">
      <c r="A370" s="10" t="inlineStr">
        <is>
          <t>PJ-2020-B</t>
        </is>
      </c>
      <c r="B370" s="10" t="inlineStr">
        <is>
          <t>位置合わせ(MS指定)／月内均等</t>
        </is>
      </c>
      <c r="C370" s="10" t="inlineStr">
        <is>
          <t>2020-11</t>
        </is>
      </c>
      <c r="D370" s="10" t="n">
        <v>11</v>
      </c>
      <c r="E370" s="12" t="n">
        <v>13842.3</v>
      </c>
      <c r="F370" s="12" t="n">
        <v>14239.1</v>
      </c>
      <c r="G370" s="12" t="n">
        <v>-396.8</v>
      </c>
      <c r="H370" s="13" t="n">
        <v>0.8421999999999999</v>
      </c>
      <c r="I370" s="13" t="n">
        <v>0.7468</v>
      </c>
    </row>
    <row r="371">
      <c r="A371" s="10" t="inlineStr">
        <is>
          <t>PJ-2020-B</t>
        </is>
      </c>
      <c r="B371" s="10" t="inlineStr">
        <is>
          <t>位置合わせ(MS指定)／月内均等</t>
        </is>
      </c>
      <c r="C371" s="10" t="inlineStr">
        <is>
          <t>2020-12</t>
        </is>
      </c>
      <c r="D371" s="10" t="n">
        <v>12</v>
      </c>
      <c r="E371" s="12" t="n">
        <v>8706.700000000001</v>
      </c>
      <c r="F371" s="12" t="n">
        <v>13215.8</v>
      </c>
      <c r="G371" s="12" t="n">
        <v>-4509.1</v>
      </c>
      <c r="H371" s="13" t="n">
        <v>0.9292</v>
      </c>
      <c r="I371" s="13" t="n">
        <v>0.8789</v>
      </c>
    </row>
    <row r="372">
      <c r="A372" s="10" t="inlineStr">
        <is>
          <t>PJ-2020-B</t>
        </is>
      </c>
      <c r="B372" s="10" t="inlineStr">
        <is>
          <t>位置合わせ(MS指定)／月内均等</t>
        </is>
      </c>
      <c r="C372" s="10" t="inlineStr">
        <is>
          <t>2021-01</t>
        </is>
      </c>
      <c r="D372" s="10" t="n">
        <v>13</v>
      </c>
      <c r="E372" s="12" t="n">
        <v>5194.5</v>
      </c>
      <c r="F372" s="12" t="n">
        <v>7968.1</v>
      </c>
      <c r="G372" s="12" t="n">
        <v>-2773.6</v>
      </c>
      <c r="H372" s="13" t="n">
        <v>0.9811</v>
      </c>
      <c r="I372" s="13" t="n">
        <v>0.9586</v>
      </c>
    </row>
    <row r="373">
      <c r="A373" s="10" t="inlineStr">
        <is>
          <t>PJ-2020-B</t>
        </is>
      </c>
      <c r="B373" s="10" t="inlineStr">
        <is>
          <t>位置合わせ(MS指定)／月内均等</t>
        </is>
      </c>
      <c r="C373" s="10" t="inlineStr">
        <is>
          <t>2021-02</t>
        </is>
      </c>
      <c r="D373" s="10" t="n">
        <v>14</v>
      </c>
      <c r="E373" s="12" t="n">
        <v>1886.5</v>
      </c>
      <c r="F373" s="12" t="n">
        <v>4145.7</v>
      </c>
      <c r="G373" s="12" t="n">
        <v>-2259.2</v>
      </c>
      <c r="H373" s="13" t="n">
        <v>1</v>
      </c>
      <c r="I373" s="13" t="n">
        <v>1</v>
      </c>
    </row>
    <row r="374">
      <c r="A374" s="10" t="inlineStr">
        <is>
          <t>PJ-2020-B</t>
        </is>
      </c>
      <c r="B374" s="10" t="inlineStr">
        <is>
          <t>素朴版／単調補間</t>
        </is>
      </c>
      <c r="C374" s="10" t="inlineStr">
        <is>
          <t>2020-01</t>
        </is>
      </c>
      <c r="D374" s="10" t="n">
        <v>1</v>
      </c>
      <c r="E374" s="12" t="n">
        <v>3498.3</v>
      </c>
      <c r="F374" s="12" t="n">
        <v>320.5</v>
      </c>
      <c r="G374" s="12" t="n">
        <v>3177.8</v>
      </c>
      <c r="H374" s="13" t="n">
        <v>0.035</v>
      </c>
      <c r="I374" s="13" t="n">
        <v>0.0032</v>
      </c>
    </row>
    <row r="375">
      <c r="A375" s="10" t="inlineStr">
        <is>
          <t>PJ-2020-B</t>
        </is>
      </c>
      <c r="B375" s="10" t="inlineStr">
        <is>
          <t>素朴版／単調補間</t>
        </is>
      </c>
      <c r="C375" s="10" t="inlineStr">
        <is>
          <t>2020-02</t>
        </is>
      </c>
      <c r="D375" s="10" t="n">
        <v>2</v>
      </c>
      <c r="E375" s="12" t="n">
        <v>4383.3</v>
      </c>
      <c r="F375" s="12" t="n">
        <v>930.3</v>
      </c>
      <c r="G375" s="12" t="n">
        <v>3453</v>
      </c>
      <c r="H375" s="13" t="n">
        <v>0.0788</v>
      </c>
      <c r="I375" s="13" t="n">
        <v>0.0125</v>
      </c>
    </row>
    <row r="376">
      <c r="A376" s="10" t="inlineStr">
        <is>
          <t>PJ-2020-B</t>
        </is>
      </c>
      <c r="B376" s="10" t="inlineStr">
        <is>
          <t>素朴版／単調補間</t>
        </is>
      </c>
      <c r="C376" s="10" t="inlineStr">
        <is>
          <t>2020-03</t>
        </is>
      </c>
      <c r="D376" s="10" t="n">
        <v>3</v>
      </c>
      <c r="E376" s="12" t="n">
        <v>5322.1</v>
      </c>
      <c r="F376" s="12" t="n">
        <v>1814.8</v>
      </c>
      <c r="G376" s="12" t="n">
        <v>3507.3</v>
      </c>
      <c r="H376" s="13" t="n">
        <v>0.132</v>
      </c>
      <c r="I376" s="13" t="n">
        <v>0.0306</v>
      </c>
    </row>
    <row r="377">
      <c r="A377" s="10" t="inlineStr">
        <is>
          <t>PJ-2020-B</t>
        </is>
      </c>
      <c r="B377" s="10" t="inlineStr">
        <is>
          <t>素朴版／単調補間</t>
        </is>
      </c>
      <c r="C377" s="10" t="inlineStr">
        <is>
          <t>2020-04</t>
        </is>
      </c>
      <c r="D377" s="10" t="n">
        <v>4</v>
      </c>
      <c r="E377" s="12" t="n">
        <v>6138</v>
      </c>
      <c r="F377" s="12" t="n">
        <v>2405.7</v>
      </c>
      <c r="G377" s="12" t="n">
        <v>3732.3</v>
      </c>
      <c r="H377" s="13" t="n">
        <v>0.1934</v>
      </c>
      <c r="I377" s="13" t="n">
        <v>0.0547</v>
      </c>
    </row>
    <row r="378">
      <c r="A378" s="10" t="inlineStr">
        <is>
          <t>PJ-2020-B</t>
        </is>
      </c>
      <c r="B378" s="10" t="inlineStr">
        <is>
          <t>素朴版／単調補間</t>
        </is>
      </c>
      <c r="C378" s="10" t="inlineStr">
        <is>
          <t>2020-05</t>
        </is>
      </c>
      <c r="D378" s="10" t="n">
        <v>5</v>
      </c>
      <c r="E378" s="12" t="n">
        <v>8303.200000000001</v>
      </c>
      <c r="F378" s="12" t="n">
        <v>3424.8</v>
      </c>
      <c r="G378" s="12" t="n">
        <v>4878.4</v>
      </c>
      <c r="H378" s="13" t="n">
        <v>0.2764</v>
      </c>
      <c r="I378" s="13" t="n">
        <v>0.08890000000000001</v>
      </c>
    </row>
    <row r="379">
      <c r="A379" s="10" t="inlineStr">
        <is>
          <t>PJ-2020-B</t>
        </is>
      </c>
      <c r="B379" s="10" t="inlineStr">
        <is>
          <t>素朴版／単調補間</t>
        </is>
      </c>
      <c r="C379" s="10" t="inlineStr">
        <is>
          <t>2020-06</t>
        </is>
      </c>
      <c r="D379" s="10" t="n">
        <v>6</v>
      </c>
      <c r="E379" s="12" t="n">
        <v>9473.5</v>
      </c>
      <c r="F379" s="12" t="n">
        <v>4082.4</v>
      </c>
      <c r="G379" s="12" t="n">
        <v>5391.1</v>
      </c>
      <c r="H379" s="13" t="n">
        <v>0.3711</v>
      </c>
      <c r="I379" s="13" t="n">
        <v>0.1298</v>
      </c>
    </row>
    <row r="380">
      <c r="A380" s="10" t="inlineStr">
        <is>
          <t>PJ-2020-B</t>
        </is>
      </c>
      <c r="B380" s="10" t="inlineStr">
        <is>
          <t>素朴版／単調補間</t>
        </is>
      </c>
      <c r="C380" s="10" t="inlineStr">
        <is>
          <t>2020-07</t>
        </is>
      </c>
      <c r="D380" s="10" t="n">
        <v>7</v>
      </c>
      <c r="E380" s="12" t="n">
        <v>9033.700000000001</v>
      </c>
      <c r="F380" s="12" t="n">
        <v>5263.5</v>
      </c>
      <c r="G380" s="12" t="n">
        <v>3770.2</v>
      </c>
      <c r="H380" s="13" t="n">
        <v>0.4614</v>
      </c>
      <c r="I380" s="13" t="n">
        <v>0.1824</v>
      </c>
    </row>
    <row r="381">
      <c r="A381" s="10" t="inlineStr">
        <is>
          <t>PJ-2020-B</t>
        </is>
      </c>
      <c r="B381" s="10" t="inlineStr">
        <is>
          <t>素朴版／単調補間</t>
        </is>
      </c>
      <c r="C381" s="10" t="inlineStr">
        <is>
          <t>2020-08</t>
        </is>
      </c>
      <c r="D381" s="10" t="n">
        <v>8</v>
      </c>
      <c r="E381" s="12" t="n">
        <v>10351.3</v>
      </c>
      <c r="F381" s="12" t="n">
        <v>6466.9</v>
      </c>
      <c r="G381" s="12" t="n">
        <v>3884.4</v>
      </c>
      <c r="H381" s="13" t="n">
        <v>0.5649</v>
      </c>
      <c r="I381" s="13" t="n">
        <v>0.247</v>
      </c>
    </row>
    <row r="382">
      <c r="A382" s="10" t="inlineStr">
        <is>
          <t>PJ-2020-B</t>
        </is>
      </c>
      <c r="B382" s="10" t="inlineStr">
        <is>
          <t>素朴版／単調補間</t>
        </is>
      </c>
      <c r="C382" s="10" t="inlineStr">
        <is>
          <t>2020-09</t>
        </is>
      </c>
      <c r="D382" s="10" t="n">
        <v>9</v>
      </c>
      <c r="E382" s="12" t="n">
        <v>10172.6</v>
      </c>
      <c r="F382" s="12" t="n">
        <v>15257.1</v>
      </c>
      <c r="G382" s="12" t="n">
        <v>-5084.5</v>
      </c>
      <c r="H382" s="13" t="n">
        <v>0.6666</v>
      </c>
      <c r="I382" s="13" t="n">
        <v>0.3996</v>
      </c>
    </row>
    <row r="383">
      <c r="A383" s="10" t="inlineStr">
        <is>
          <t>PJ-2020-B</t>
        </is>
      </c>
      <c r="B383" s="10" t="inlineStr">
        <is>
          <t>素朴版／単調補間</t>
        </is>
      </c>
      <c r="C383" s="10" t="inlineStr">
        <is>
          <t>2020-10</t>
        </is>
      </c>
      <c r="D383" s="10" t="n">
        <v>10</v>
      </c>
      <c r="E383" s="12" t="n">
        <v>8993.1</v>
      </c>
      <c r="F383" s="12" t="n">
        <v>20485.7</v>
      </c>
      <c r="G383" s="12" t="n">
        <v>-11492.6</v>
      </c>
      <c r="H383" s="13" t="n">
        <v>0.7565</v>
      </c>
      <c r="I383" s="13" t="n">
        <v>0.6044</v>
      </c>
    </row>
    <row r="384">
      <c r="A384" s="10" t="inlineStr">
        <is>
          <t>PJ-2020-B</t>
        </is>
      </c>
      <c r="B384" s="10" t="inlineStr">
        <is>
          <t>素朴版／単調補間</t>
        </is>
      </c>
      <c r="C384" s="10" t="inlineStr">
        <is>
          <t>2020-11</t>
        </is>
      </c>
      <c r="D384" s="10" t="n">
        <v>11</v>
      </c>
      <c r="E384" s="12" t="n">
        <v>8487.1</v>
      </c>
      <c r="F384" s="12" t="n">
        <v>14239.1</v>
      </c>
      <c r="G384" s="12" t="n">
        <v>-5752</v>
      </c>
      <c r="H384" s="13" t="n">
        <v>0.8414</v>
      </c>
      <c r="I384" s="13" t="n">
        <v>0.7468</v>
      </c>
    </row>
    <row r="385">
      <c r="A385" s="10" t="inlineStr">
        <is>
          <t>PJ-2020-B</t>
        </is>
      </c>
      <c r="B385" s="10" t="inlineStr">
        <is>
          <t>素朴版／単調補間</t>
        </is>
      </c>
      <c r="C385" s="10" t="inlineStr">
        <is>
          <t>2020-12</t>
        </is>
      </c>
      <c r="D385" s="10" t="n">
        <v>12</v>
      </c>
      <c r="E385" s="12" t="n">
        <v>8053.4</v>
      </c>
      <c r="F385" s="12" t="n">
        <v>13215.8</v>
      </c>
      <c r="G385" s="12" t="n">
        <v>-5162.4</v>
      </c>
      <c r="H385" s="13" t="n">
        <v>0.9219000000000001</v>
      </c>
      <c r="I385" s="13" t="n">
        <v>0.8789</v>
      </c>
    </row>
    <row r="386">
      <c r="A386" s="10" t="inlineStr">
        <is>
          <t>PJ-2020-B</t>
        </is>
      </c>
      <c r="B386" s="10" t="inlineStr">
        <is>
          <t>素朴版／単調補間</t>
        </is>
      </c>
      <c r="C386" s="10" t="inlineStr">
        <is>
          <t>2021-01</t>
        </is>
      </c>
      <c r="D386" s="10" t="n">
        <v>13</v>
      </c>
      <c r="E386" s="12" t="n">
        <v>5326.7</v>
      </c>
      <c r="F386" s="12" t="n">
        <v>7968.1</v>
      </c>
      <c r="G386" s="12" t="n">
        <v>-2641.4</v>
      </c>
      <c r="H386" s="13" t="n">
        <v>0.9752</v>
      </c>
      <c r="I386" s="13" t="n">
        <v>0.9586</v>
      </c>
    </row>
    <row r="387">
      <c r="A387" s="10" t="inlineStr">
        <is>
          <t>PJ-2020-B</t>
        </is>
      </c>
      <c r="B387" s="10" t="inlineStr">
        <is>
          <t>素朴版／単調補間</t>
        </is>
      </c>
      <c r="C387" s="10" t="inlineStr">
        <is>
          <t>2021-02</t>
        </is>
      </c>
      <c r="D387" s="10" t="n">
        <v>14</v>
      </c>
      <c r="E387" s="12" t="n">
        <v>2484.2</v>
      </c>
      <c r="F387" s="12" t="n">
        <v>4145.7</v>
      </c>
      <c r="G387" s="12" t="n">
        <v>-1661.5</v>
      </c>
      <c r="H387" s="13" t="n">
        <v>1</v>
      </c>
      <c r="I387" s="13" t="n">
        <v>1</v>
      </c>
    </row>
    <row r="388">
      <c r="A388" s="10" t="inlineStr">
        <is>
          <t>PJ-2020-B</t>
        </is>
      </c>
      <c r="B388" s="10" t="inlineStr">
        <is>
          <t>位置合わせ(MS学習値)／単調補間</t>
        </is>
      </c>
      <c r="C388" s="10" t="inlineStr">
        <is>
          <t>2020-01</t>
        </is>
      </c>
      <c r="D388" s="10" t="n">
        <v>1</v>
      </c>
      <c r="E388" s="12" t="n">
        <v>3549.4</v>
      </c>
      <c r="F388" s="12" t="n">
        <v>320.5</v>
      </c>
      <c r="G388" s="12" t="n">
        <v>3228.9</v>
      </c>
      <c r="H388" s="13" t="n">
        <v>0.0355</v>
      </c>
      <c r="I388" s="13" t="n">
        <v>0.0032</v>
      </c>
    </row>
    <row r="389">
      <c r="A389" s="10" t="inlineStr">
        <is>
          <t>PJ-2020-B</t>
        </is>
      </c>
      <c r="B389" s="10" t="inlineStr">
        <is>
          <t>位置合わせ(MS学習値)／単調補間</t>
        </is>
      </c>
      <c r="C389" s="10" t="inlineStr">
        <is>
          <t>2020-02</t>
        </is>
      </c>
      <c r="D389" s="10" t="n">
        <v>2</v>
      </c>
      <c r="E389" s="12" t="n">
        <v>4408.4</v>
      </c>
      <c r="F389" s="12" t="n">
        <v>930.3</v>
      </c>
      <c r="G389" s="12" t="n">
        <v>3478.1</v>
      </c>
      <c r="H389" s="13" t="n">
        <v>0.0796</v>
      </c>
      <c r="I389" s="13" t="n">
        <v>0.0125</v>
      </c>
    </row>
    <row r="390">
      <c r="A390" s="10" t="inlineStr">
        <is>
          <t>PJ-2020-B</t>
        </is>
      </c>
      <c r="B390" s="10" t="inlineStr">
        <is>
          <t>位置合わせ(MS学習値)／単調補間</t>
        </is>
      </c>
      <c r="C390" s="10" t="inlineStr">
        <is>
          <t>2020-03</t>
        </is>
      </c>
      <c r="D390" s="10" t="n">
        <v>3</v>
      </c>
      <c r="E390" s="12" t="n">
        <v>5295.3</v>
      </c>
      <c r="F390" s="12" t="n">
        <v>1814.8</v>
      </c>
      <c r="G390" s="12" t="n">
        <v>3480.5</v>
      </c>
      <c r="H390" s="13" t="n">
        <v>0.1325</v>
      </c>
      <c r="I390" s="13" t="n">
        <v>0.0306</v>
      </c>
    </row>
    <row r="391">
      <c r="A391" s="10" t="inlineStr">
        <is>
          <t>PJ-2020-B</t>
        </is>
      </c>
      <c r="B391" s="10" t="inlineStr">
        <is>
          <t>位置合わせ(MS学習値)／単調補間</t>
        </is>
      </c>
      <c r="C391" s="10" t="inlineStr">
        <is>
          <t>2020-04</t>
        </is>
      </c>
      <c r="D391" s="10" t="n">
        <v>4</v>
      </c>
      <c r="E391" s="12" t="n">
        <v>5977.8</v>
      </c>
      <c r="F391" s="12" t="n">
        <v>2405.7</v>
      </c>
      <c r="G391" s="12" t="n">
        <v>3572.1</v>
      </c>
      <c r="H391" s="13" t="n">
        <v>0.1923</v>
      </c>
      <c r="I391" s="13" t="n">
        <v>0.0547</v>
      </c>
    </row>
    <row r="392">
      <c r="A392" s="10" t="inlineStr">
        <is>
          <t>PJ-2020-B</t>
        </is>
      </c>
      <c r="B392" s="10" t="inlineStr">
        <is>
          <t>位置合わせ(MS学習値)／単調補間</t>
        </is>
      </c>
      <c r="C392" s="10" t="inlineStr">
        <is>
          <t>2020-05</t>
        </is>
      </c>
      <c r="D392" s="10" t="n">
        <v>5</v>
      </c>
      <c r="E392" s="12" t="n">
        <v>7872.3</v>
      </c>
      <c r="F392" s="12" t="n">
        <v>3424.8</v>
      </c>
      <c r="G392" s="12" t="n">
        <v>4447.5</v>
      </c>
      <c r="H392" s="13" t="n">
        <v>0.271</v>
      </c>
      <c r="I392" s="13" t="n">
        <v>0.08890000000000001</v>
      </c>
    </row>
    <row r="393">
      <c r="A393" s="10" t="inlineStr">
        <is>
          <t>PJ-2020-B</t>
        </is>
      </c>
      <c r="B393" s="10" t="inlineStr">
        <is>
          <t>位置合わせ(MS学習値)／単調補間</t>
        </is>
      </c>
      <c r="C393" s="10" t="inlineStr">
        <is>
          <t>2020-06</t>
        </is>
      </c>
      <c r="D393" s="10" t="n">
        <v>6</v>
      </c>
      <c r="E393" s="12" t="n">
        <v>8902.1</v>
      </c>
      <c r="F393" s="12" t="n">
        <v>4082.4</v>
      </c>
      <c r="G393" s="12" t="n">
        <v>4819.7</v>
      </c>
      <c r="H393" s="13" t="n">
        <v>0.36</v>
      </c>
      <c r="I393" s="13" t="n">
        <v>0.1298</v>
      </c>
    </row>
    <row r="394">
      <c r="A394" s="10" t="inlineStr">
        <is>
          <t>PJ-2020-B</t>
        </is>
      </c>
      <c r="B394" s="10" t="inlineStr">
        <is>
          <t>位置合わせ(MS学習値)／単調補間</t>
        </is>
      </c>
      <c r="C394" s="10" t="inlineStr">
        <is>
          <t>2020-07</t>
        </is>
      </c>
      <c r="D394" s="10" t="n">
        <v>7</v>
      </c>
      <c r="E394" s="12" t="n">
        <v>10136.2</v>
      </c>
      <c r="F394" s="12" t="n">
        <v>5263.5</v>
      </c>
      <c r="G394" s="12" t="n">
        <v>4872.7</v>
      </c>
      <c r="H394" s="13" t="n">
        <v>0.4613</v>
      </c>
      <c r="I394" s="13" t="n">
        <v>0.1824</v>
      </c>
    </row>
    <row r="395">
      <c r="A395" s="10" t="inlineStr">
        <is>
          <t>PJ-2020-B</t>
        </is>
      </c>
      <c r="B395" s="10" t="inlineStr">
        <is>
          <t>位置合わせ(MS学習値)／単調補間</t>
        </is>
      </c>
      <c r="C395" s="10" t="inlineStr">
        <is>
          <t>2020-08</t>
        </is>
      </c>
      <c r="D395" s="10" t="n">
        <v>8</v>
      </c>
      <c r="E395" s="12" t="n">
        <v>10194.3</v>
      </c>
      <c r="F395" s="12" t="n">
        <v>6466.9</v>
      </c>
      <c r="G395" s="12" t="n">
        <v>3727.4</v>
      </c>
      <c r="H395" s="13" t="n">
        <v>0.5632</v>
      </c>
      <c r="I395" s="13" t="n">
        <v>0.247</v>
      </c>
    </row>
    <row r="396">
      <c r="A396" s="10" t="inlineStr">
        <is>
          <t>PJ-2020-B</t>
        </is>
      </c>
      <c r="B396" s="10" t="inlineStr">
        <is>
          <t>位置合わせ(MS学習値)／単調補間</t>
        </is>
      </c>
      <c r="C396" s="10" t="inlineStr">
        <is>
          <t>2020-09</t>
        </is>
      </c>
      <c r="D396" s="10" t="n">
        <v>9</v>
      </c>
      <c r="E396" s="12" t="n">
        <v>9522.799999999999</v>
      </c>
      <c r="F396" s="12" t="n">
        <v>15257.1</v>
      </c>
      <c r="G396" s="12" t="n">
        <v>-5734.3</v>
      </c>
      <c r="H396" s="13" t="n">
        <v>0.6585</v>
      </c>
      <c r="I396" s="13" t="n">
        <v>0.3996</v>
      </c>
    </row>
    <row r="397">
      <c r="A397" s="10" t="inlineStr">
        <is>
          <t>PJ-2020-B</t>
        </is>
      </c>
      <c r="B397" s="10" t="inlineStr">
        <is>
          <t>位置合わせ(MS学習値)／単調補間</t>
        </is>
      </c>
      <c r="C397" s="10" t="inlineStr">
        <is>
          <t>2020-10</t>
        </is>
      </c>
      <c r="D397" s="10" t="n">
        <v>10</v>
      </c>
      <c r="E397" s="12" t="n">
        <v>10405.8</v>
      </c>
      <c r="F397" s="12" t="n">
        <v>20485.7</v>
      </c>
      <c r="G397" s="12" t="n">
        <v>-10079.9</v>
      </c>
      <c r="H397" s="13" t="n">
        <v>0.7625</v>
      </c>
      <c r="I397" s="13" t="n">
        <v>0.6044</v>
      </c>
    </row>
    <row r="398">
      <c r="A398" s="10" t="inlineStr">
        <is>
          <t>PJ-2020-B</t>
        </is>
      </c>
      <c r="B398" s="10" t="inlineStr">
        <is>
          <t>位置合わせ(MS学習値)／単調補間</t>
        </is>
      </c>
      <c r="C398" s="10" t="inlineStr">
        <is>
          <t>2020-11</t>
        </is>
      </c>
      <c r="D398" s="10" t="n">
        <v>11</v>
      </c>
      <c r="E398" s="12" t="n">
        <v>8860.200000000001</v>
      </c>
      <c r="F398" s="12" t="n">
        <v>14239.1</v>
      </c>
      <c r="G398" s="12" t="n">
        <v>-5378.9</v>
      </c>
      <c r="H398" s="13" t="n">
        <v>0.8511</v>
      </c>
      <c r="I398" s="13" t="n">
        <v>0.7468</v>
      </c>
    </row>
    <row r="399">
      <c r="A399" s="10" t="inlineStr">
        <is>
          <t>PJ-2020-B</t>
        </is>
      </c>
      <c r="B399" s="10" t="inlineStr">
        <is>
          <t>位置合わせ(MS学習値)／単調補間</t>
        </is>
      </c>
      <c r="C399" s="10" t="inlineStr">
        <is>
          <t>2020-12</t>
        </is>
      </c>
      <c r="D399" s="10" t="n">
        <v>12</v>
      </c>
      <c r="E399" s="12" t="n">
        <v>7163.8</v>
      </c>
      <c r="F399" s="12" t="n">
        <v>13215.8</v>
      </c>
      <c r="G399" s="12" t="n">
        <v>-6052</v>
      </c>
      <c r="H399" s="13" t="n">
        <v>0.9227</v>
      </c>
      <c r="I399" s="13" t="n">
        <v>0.8789</v>
      </c>
    </row>
    <row r="400">
      <c r="A400" s="10" t="inlineStr">
        <is>
          <t>PJ-2020-B</t>
        </is>
      </c>
      <c r="B400" s="10" t="inlineStr">
        <is>
          <t>位置合わせ(MS学習値)／単調補間</t>
        </is>
      </c>
      <c r="C400" s="10" t="inlineStr">
        <is>
          <t>2021-01</t>
        </is>
      </c>
      <c r="D400" s="10" t="n">
        <v>13</v>
      </c>
      <c r="E400" s="12" t="n">
        <v>5314.4</v>
      </c>
      <c r="F400" s="12" t="n">
        <v>7968.1</v>
      </c>
      <c r="G400" s="12" t="n">
        <v>-2653.7</v>
      </c>
      <c r="H400" s="13" t="n">
        <v>0.9758</v>
      </c>
      <c r="I400" s="13" t="n">
        <v>0.9586</v>
      </c>
    </row>
    <row r="401">
      <c r="A401" s="10" t="inlineStr">
        <is>
          <t>PJ-2020-B</t>
        </is>
      </c>
      <c r="B401" s="10" t="inlineStr">
        <is>
          <t>位置合わせ(MS学習値)／単調補間</t>
        </is>
      </c>
      <c r="C401" s="10" t="inlineStr">
        <is>
          <t>2021-02</t>
        </is>
      </c>
      <c r="D401" s="10" t="n">
        <v>14</v>
      </c>
      <c r="E401" s="12" t="n">
        <v>2417.7</v>
      </c>
      <c r="F401" s="12" t="n">
        <v>4145.7</v>
      </c>
      <c r="G401" s="12" t="n">
        <v>-1728</v>
      </c>
      <c r="H401" s="13" t="n">
        <v>1</v>
      </c>
      <c r="I401" s="13" t="n">
        <v>1</v>
      </c>
    </row>
    <row r="402">
      <c r="A402" s="10" t="inlineStr">
        <is>
          <t>PJ-2020-B</t>
        </is>
      </c>
      <c r="B402" s="10" t="inlineStr">
        <is>
          <t>位置合わせ(MS指定)／単調補間</t>
        </is>
      </c>
      <c r="C402" s="10" t="inlineStr">
        <is>
          <t>2020-01</t>
        </is>
      </c>
      <c r="D402" s="10" t="n">
        <v>1</v>
      </c>
      <c r="E402" s="12" t="n">
        <v>2707.3</v>
      </c>
      <c r="F402" s="12" t="n">
        <v>320.5</v>
      </c>
      <c r="G402" s="12" t="n">
        <v>2386.8</v>
      </c>
      <c r="H402" s="13" t="n">
        <v>0.0271</v>
      </c>
      <c r="I402" s="13" t="n">
        <v>0.0032</v>
      </c>
    </row>
    <row r="403">
      <c r="A403" s="10" t="inlineStr">
        <is>
          <t>PJ-2020-B</t>
        </is>
      </c>
      <c r="B403" s="10" t="inlineStr">
        <is>
          <t>位置合わせ(MS指定)／単調補間</t>
        </is>
      </c>
      <c r="C403" s="10" t="inlineStr">
        <is>
          <t>2020-02</t>
        </is>
      </c>
      <c r="D403" s="10" t="n">
        <v>2</v>
      </c>
      <c r="E403" s="12" t="n">
        <v>3308.7</v>
      </c>
      <c r="F403" s="12" t="n">
        <v>930.3</v>
      </c>
      <c r="G403" s="12" t="n">
        <v>2378.4</v>
      </c>
      <c r="H403" s="13" t="n">
        <v>0.0601</v>
      </c>
      <c r="I403" s="13" t="n">
        <v>0.0125</v>
      </c>
    </row>
    <row r="404">
      <c r="A404" s="10" t="inlineStr">
        <is>
          <t>PJ-2020-B</t>
        </is>
      </c>
      <c r="B404" s="10" t="inlineStr">
        <is>
          <t>位置合わせ(MS指定)／単調補間</t>
        </is>
      </c>
      <c r="C404" s="10" t="inlineStr">
        <is>
          <t>2020-03</t>
        </is>
      </c>
      <c r="D404" s="10" t="n">
        <v>3</v>
      </c>
      <c r="E404" s="12" t="n">
        <v>4038.3</v>
      </c>
      <c r="F404" s="12" t="n">
        <v>1814.8</v>
      </c>
      <c r="G404" s="12" t="n">
        <v>2223.5</v>
      </c>
      <c r="H404" s="13" t="n">
        <v>0.1005</v>
      </c>
      <c r="I404" s="13" t="n">
        <v>0.0306</v>
      </c>
    </row>
    <row r="405">
      <c r="A405" s="10" t="inlineStr">
        <is>
          <t>PJ-2020-B</t>
        </is>
      </c>
      <c r="B405" s="10" t="inlineStr">
        <is>
          <t>位置合わせ(MS指定)／単調補間</t>
        </is>
      </c>
      <c r="C405" s="10" t="inlineStr">
        <is>
          <t>2020-04</t>
        </is>
      </c>
      <c r="D405" s="10" t="n">
        <v>4</v>
      </c>
      <c r="E405" s="12" t="n">
        <v>4191.7</v>
      </c>
      <c r="F405" s="12" t="n">
        <v>2405.7</v>
      </c>
      <c r="G405" s="12" t="n">
        <v>1786</v>
      </c>
      <c r="H405" s="13" t="n">
        <v>0.1424</v>
      </c>
      <c r="I405" s="13" t="n">
        <v>0.0547</v>
      </c>
    </row>
    <row r="406">
      <c r="A406" s="10" t="inlineStr">
        <is>
          <t>PJ-2020-B</t>
        </is>
      </c>
      <c r="B406" s="10" t="inlineStr">
        <is>
          <t>位置合わせ(MS指定)／単調補間</t>
        </is>
      </c>
      <c r="C406" s="10" t="inlineStr">
        <is>
          <t>2020-05</t>
        </is>
      </c>
      <c r="D406" s="10" t="n">
        <v>5</v>
      </c>
      <c r="E406" s="12" t="n">
        <v>4985</v>
      </c>
      <c r="F406" s="12" t="n">
        <v>3424.8</v>
      </c>
      <c r="G406" s="12" t="n">
        <v>1560.2</v>
      </c>
      <c r="H406" s="13" t="n">
        <v>0.1923</v>
      </c>
      <c r="I406" s="13" t="n">
        <v>0.08890000000000001</v>
      </c>
    </row>
    <row r="407">
      <c r="A407" s="10" t="inlineStr">
        <is>
          <t>PJ-2020-B</t>
        </is>
      </c>
      <c r="B407" s="10" t="inlineStr">
        <is>
          <t>位置合わせ(MS指定)／単調補間</t>
        </is>
      </c>
      <c r="C407" s="10" t="inlineStr">
        <is>
          <t>2020-06</t>
        </is>
      </c>
      <c r="D407" s="10" t="n">
        <v>6</v>
      </c>
      <c r="E407" s="12" t="n">
        <v>5944.9</v>
      </c>
      <c r="F407" s="12" t="n">
        <v>4082.4</v>
      </c>
      <c r="G407" s="12" t="n">
        <v>1862.5</v>
      </c>
      <c r="H407" s="13" t="n">
        <v>0.2517</v>
      </c>
      <c r="I407" s="13" t="n">
        <v>0.1298</v>
      </c>
    </row>
    <row r="408">
      <c r="A408" s="10" t="inlineStr">
        <is>
          <t>PJ-2020-B</t>
        </is>
      </c>
      <c r="B408" s="10" t="inlineStr">
        <is>
          <t>位置合わせ(MS指定)／単調補間</t>
        </is>
      </c>
      <c r="C408" s="10" t="inlineStr">
        <is>
          <t>2020-07</t>
        </is>
      </c>
      <c r="D408" s="10" t="n">
        <v>7</v>
      </c>
      <c r="E408" s="12" t="n">
        <v>7008.1</v>
      </c>
      <c r="F408" s="12" t="n">
        <v>5263.5</v>
      </c>
      <c r="G408" s="12" t="n">
        <v>1744.6</v>
      </c>
      <c r="H408" s="13" t="n">
        <v>0.3218</v>
      </c>
      <c r="I408" s="13" t="n">
        <v>0.1824</v>
      </c>
    </row>
    <row r="409">
      <c r="A409" s="10" t="inlineStr">
        <is>
          <t>PJ-2020-B</t>
        </is>
      </c>
      <c r="B409" s="10" t="inlineStr">
        <is>
          <t>位置合わせ(MS指定)／単調補間</t>
        </is>
      </c>
      <c r="C409" s="10" t="inlineStr">
        <is>
          <t>2020-08</t>
        </is>
      </c>
      <c r="D409" s="10" t="n">
        <v>8</v>
      </c>
      <c r="E409" s="12" t="n">
        <v>7847.3</v>
      </c>
      <c r="F409" s="12" t="n">
        <v>6466.9</v>
      </c>
      <c r="G409" s="12" t="n">
        <v>1380.4</v>
      </c>
      <c r="H409" s="13" t="n">
        <v>0.4002</v>
      </c>
      <c r="I409" s="13" t="n">
        <v>0.247</v>
      </c>
    </row>
    <row r="410">
      <c r="A410" s="10" t="inlineStr">
        <is>
          <t>PJ-2020-B</t>
        </is>
      </c>
      <c r="B410" s="10" t="inlineStr">
        <is>
          <t>位置合わせ(MS指定)／単調補間</t>
        </is>
      </c>
      <c r="C410" s="10" t="inlineStr">
        <is>
          <t>2020-09</t>
        </is>
      </c>
      <c r="D410" s="10" t="n">
        <v>9</v>
      </c>
      <c r="E410" s="12" t="n">
        <v>12857.6</v>
      </c>
      <c r="F410" s="12" t="n">
        <v>15257.1</v>
      </c>
      <c r="G410" s="12" t="n">
        <v>-2399.5</v>
      </c>
      <c r="H410" s="13" t="n">
        <v>0.5288</v>
      </c>
      <c r="I410" s="13" t="n">
        <v>0.3996</v>
      </c>
    </row>
    <row r="411">
      <c r="A411" s="10" t="inlineStr">
        <is>
          <t>PJ-2020-B</t>
        </is>
      </c>
      <c r="B411" s="10" t="inlineStr">
        <is>
          <t>位置合わせ(MS指定)／単調補間</t>
        </is>
      </c>
      <c r="C411" s="10" t="inlineStr">
        <is>
          <t>2020-10</t>
        </is>
      </c>
      <c r="D411" s="10" t="n">
        <v>10</v>
      </c>
      <c r="E411" s="12" t="n">
        <v>17572.9</v>
      </c>
      <c r="F411" s="12" t="n">
        <v>20485.7</v>
      </c>
      <c r="G411" s="12" t="n">
        <v>-2912.8</v>
      </c>
      <c r="H411" s="13" t="n">
        <v>0.7045</v>
      </c>
      <c r="I411" s="13" t="n">
        <v>0.6044</v>
      </c>
    </row>
    <row r="412">
      <c r="A412" s="10" t="inlineStr">
        <is>
          <t>PJ-2020-B</t>
        </is>
      </c>
      <c r="B412" s="10" t="inlineStr">
        <is>
          <t>位置合わせ(MS指定)／単調補間</t>
        </is>
      </c>
      <c r="C412" s="10" t="inlineStr">
        <is>
          <t>2020-11</t>
        </is>
      </c>
      <c r="D412" s="10" t="n">
        <v>11</v>
      </c>
      <c r="E412" s="12" t="n">
        <v>13826.8</v>
      </c>
      <c r="F412" s="12" t="n">
        <v>14239.1</v>
      </c>
      <c r="G412" s="12" t="n">
        <v>-412.3</v>
      </c>
      <c r="H412" s="13" t="n">
        <v>0.8427</v>
      </c>
      <c r="I412" s="13" t="n">
        <v>0.7468</v>
      </c>
    </row>
    <row r="413">
      <c r="A413" s="10" t="inlineStr">
        <is>
          <t>PJ-2020-B</t>
        </is>
      </c>
      <c r="B413" s="10" t="inlineStr">
        <is>
          <t>位置合わせ(MS指定)／単調補間</t>
        </is>
      </c>
      <c r="C413" s="10" t="inlineStr">
        <is>
          <t>2020-12</t>
        </is>
      </c>
      <c r="D413" s="10" t="n">
        <v>12</v>
      </c>
      <c r="E413" s="12" t="n">
        <v>8697.6</v>
      </c>
      <c r="F413" s="12" t="n">
        <v>13215.8</v>
      </c>
      <c r="G413" s="12" t="n">
        <v>-4518.2</v>
      </c>
      <c r="H413" s="13" t="n">
        <v>0.9297</v>
      </c>
      <c r="I413" s="13" t="n">
        <v>0.8789</v>
      </c>
    </row>
    <row r="414">
      <c r="A414" s="10" t="inlineStr">
        <is>
          <t>PJ-2020-B</t>
        </is>
      </c>
      <c r="B414" s="10" t="inlineStr">
        <is>
          <t>位置合わせ(MS指定)／単調補間</t>
        </is>
      </c>
      <c r="C414" s="10" t="inlineStr">
        <is>
          <t>2021-01</t>
        </is>
      </c>
      <c r="D414" s="10" t="n">
        <v>13</v>
      </c>
      <c r="E414" s="12" t="n">
        <v>5210</v>
      </c>
      <c r="F414" s="12" t="n">
        <v>7968.1</v>
      </c>
      <c r="G414" s="12" t="n">
        <v>-2758.1</v>
      </c>
      <c r="H414" s="13" t="n">
        <v>0.9818</v>
      </c>
      <c r="I414" s="13" t="n">
        <v>0.9586</v>
      </c>
    </row>
    <row r="415">
      <c r="A415" s="10" t="inlineStr">
        <is>
          <t>PJ-2020-B</t>
        </is>
      </c>
      <c r="B415" s="10" t="inlineStr">
        <is>
          <t>位置合わせ(MS指定)／単調補間</t>
        </is>
      </c>
      <c r="C415" s="10" t="inlineStr">
        <is>
          <t>2021-02</t>
        </is>
      </c>
      <c r="D415" s="10" t="n">
        <v>14</v>
      </c>
      <c r="E415" s="12" t="n">
        <v>1824.2</v>
      </c>
      <c r="F415" s="12" t="n">
        <v>4145.7</v>
      </c>
      <c r="G415" s="12" t="n">
        <v>-2321.5</v>
      </c>
      <c r="H415" s="13" t="n">
        <v>1</v>
      </c>
      <c r="I415" s="13" t="n">
        <v>1</v>
      </c>
    </row>
    <row r="416">
      <c r="A416" s="10" t="inlineStr">
        <is>
          <t>PJ-2020-C</t>
        </is>
      </c>
      <c r="B416" s="10" t="inlineStr">
        <is>
          <t>素朴版／月内均等</t>
        </is>
      </c>
      <c r="C416" s="10" t="inlineStr">
        <is>
          <t>2020-07</t>
        </is>
      </c>
      <c r="D416" s="10" t="n">
        <v>1</v>
      </c>
      <c r="E416" s="12" t="n">
        <v>3236.2</v>
      </c>
      <c r="F416" s="12" t="n">
        <v>9891.799999999999</v>
      </c>
      <c r="G416" s="12" t="n">
        <v>-6655.6</v>
      </c>
      <c r="H416" s="13" t="n">
        <v>0.0112</v>
      </c>
      <c r="I416" s="13" t="n">
        <v>0.0342</v>
      </c>
    </row>
    <row r="417">
      <c r="A417" s="10" t="inlineStr">
        <is>
          <t>PJ-2020-C</t>
        </is>
      </c>
      <c r="B417" s="10" t="inlineStr">
        <is>
          <t>素朴版／月内均等</t>
        </is>
      </c>
      <c r="C417" s="10" t="inlineStr">
        <is>
          <t>2020-08</t>
        </is>
      </c>
      <c r="D417" s="10" t="n">
        <v>2</v>
      </c>
      <c r="E417" s="12" t="n">
        <v>4033.6</v>
      </c>
      <c r="F417" s="12" t="n">
        <v>11800.4</v>
      </c>
      <c r="G417" s="12" t="n">
        <v>-7766.8</v>
      </c>
      <c r="H417" s="13" t="n">
        <v>0.0252</v>
      </c>
      <c r="I417" s="13" t="n">
        <v>0.075</v>
      </c>
    </row>
    <row r="418">
      <c r="A418" s="10" t="inlineStr">
        <is>
          <t>PJ-2020-C</t>
        </is>
      </c>
      <c r="B418" s="10" t="inlineStr">
        <is>
          <t>素朴版／月内均等</t>
        </is>
      </c>
      <c r="C418" s="10" t="inlineStr">
        <is>
          <t>2020-09</t>
        </is>
      </c>
      <c r="D418" s="10" t="n">
        <v>3</v>
      </c>
      <c r="E418" s="12" t="n">
        <v>4728.3</v>
      </c>
      <c r="F418" s="12" t="n">
        <v>9726.200000000001</v>
      </c>
      <c r="G418" s="12" t="n">
        <v>-4997.9</v>
      </c>
      <c r="H418" s="13" t="n">
        <v>0.0415</v>
      </c>
      <c r="I418" s="13" t="n">
        <v>0.1087</v>
      </c>
    </row>
    <row r="419">
      <c r="A419" s="10" t="inlineStr">
        <is>
          <t>PJ-2020-C</t>
        </is>
      </c>
      <c r="B419" s="10" t="inlineStr">
        <is>
          <t>素朴版／月内均等</t>
        </is>
      </c>
      <c r="C419" s="10" t="inlineStr">
        <is>
          <t>2020-10</t>
        </is>
      </c>
      <c r="D419" s="10" t="n">
        <v>4</v>
      </c>
      <c r="E419" s="12" t="n">
        <v>5649.5</v>
      </c>
      <c r="F419" s="12" t="n">
        <v>8645.4</v>
      </c>
      <c r="G419" s="12" t="n">
        <v>-2995.9</v>
      </c>
      <c r="H419" s="13" t="n">
        <v>0.0611</v>
      </c>
      <c r="I419" s="13" t="n">
        <v>0.1386</v>
      </c>
    </row>
    <row r="420">
      <c r="A420" s="10" t="inlineStr">
        <is>
          <t>PJ-2020-C</t>
        </is>
      </c>
      <c r="B420" s="10" t="inlineStr">
        <is>
          <t>素朴版／月内均等</t>
        </is>
      </c>
      <c r="C420" s="10" t="inlineStr">
        <is>
          <t>2020-11</t>
        </is>
      </c>
      <c r="D420" s="10" t="n">
        <v>5</v>
      </c>
      <c r="E420" s="12" t="n">
        <v>6087.6</v>
      </c>
      <c r="F420" s="12" t="n">
        <v>7717.1</v>
      </c>
      <c r="G420" s="12" t="n">
        <v>-1629.5</v>
      </c>
      <c r="H420" s="13" t="n">
        <v>0.08210000000000001</v>
      </c>
      <c r="I420" s="13" t="n">
        <v>0.1653</v>
      </c>
    </row>
    <row r="421">
      <c r="A421" s="10" t="inlineStr">
        <is>
          <t>PJ-2020-C</t>
        </is>
      </c>
      <c r="B421" s="10" t="inlineStr">
        <is>
          <t>素朴版／月内均等</t>
        </is>
      </c>
      <c r="C421" s="10" t="inlineStr">
        <is>
          <t>2020-12</t>
        </is>
      </c>
      <c r="D421" s="10" t="n">
        <v>6</v>
      </c>
      <c r="E421" s="12" t="n">
        <v>6533.2</v>
      </c>
      <c r="F421" s="12" t="n">
        <v>7821.7</v>
      </c>
      <c r="G421" s="12" t="n">
        <v>-1288.5</v>
      </c>
      <c r="H421" s="13" t="n">
        <v>0.1047</v>
      </c>
      <c r="I421" s="13" t="n">
        <v>0.1924</v>
      </c>
    </row>
    <row r="422">
      <c r="A422" s="10" t="inlineStr">
        <is>
          <t>PJ-2020-C</t>
        </is>
      </c>
      <c r="B422" s="10" t="inlineStr">
        <is>
          <t>素朴版／月内均等</t>
        </is>
      </c>
      <c r="C422" s="10" t="inlineStr">
        <is>
          <t>2021-01</t>
        </is>
      </c>
      <c r="D422" s="10" t="n">
        <v>7</v>
      </c>
      <c r="E422" s="12" t="n">
        <v>7153.6</v>
      </c>
      <c r="F422" s="12" t="n">
        <v>7531.5</v>
      </c>
      <c r="G422" s="12" t="n">
        <v>-377.9</v>
      </c>
      <c r="H422" s="13" t="n">
        <v>0.1295</v>
      </c>
      <c r="I422" s="13" t="n">
        <v>0.2184</v>
      </c>
    </row>
    <row r="423">
      <c r="A423" s="10" t="inlineStr">
        <is>
          <t>PJ-2020-C</t>
        </is>
      </c>
      <c r="B423" s="10" t="inlineStr">
        <is>
          <t>素朴版／月内均等</t>
        </is>
      </c>
      <c r="C423" s="10" t="inlineStr">
        <is>
          <t>2021-02</t>
        </is>
      </c>
      <c r="D423" s="10" t="n">
        <v>8</v>
      </c>
      <c r="E423" s="12" t="n">
        <v>7233.8</v>
      </c>
      <c r="F423" s="12" t="n">
        <v>6551.1</v>
      </c>
      <c r="G423" s="12" t="n">
        <v>682.7</v>
      </c>
      <c r="H423" s="13" t="n">
        <v>0.1545</v>
      </c>
      <c r="I423" s="13" t="n">
        <v>0.2411</v>
      </c>
    </row>
    <row r="424">
      <c r="A424" s="10" t="inlineStr">
        <is>
          <t>PJ-2020-C</t>
        </is>
      </c>
      <c r="B424" s="10" t="inlineStr">
        <is>
          <t>素朴版／月内均等</t>
        </is>
      </c>
      <c r="C424" s="10" t="inlineStr">
        <is>
          <t>2021-03</t>
        </is>
      </c>
      <c r="D424" s="10" t="n">
        <v>9</v>
      </c>
      <c r="E424" s="12" t="n">
        <v>9365.799999999999</v>
      </c>
      <c r="F424" s="12" t="n">
        <v>7387.7</v>
      </c>
      <c r="G424" s="12" t="n">
        <v>1978.1</v>
      </c>
      <c r="H424" s="13" t="n">
        <v>0.1869</v>
      </c>
      <c r="I424" s="13" t="n">
        <v>0.2666</v>
      </c>
    </row>
    <row r="425">
      <c r="A425" s="10" t="inlineStr">
        <is>
          <t>PJ-2020-C</t>
        </is>
      </c>
      <c r="B425" s="10" t="inlineStr">
        <is>
          <t>素朴版／月内均等</t>
        </is>
      </c>
      <c r="C425" s="10" t="inlineStr">
        <is>
          <t>2021-04</t>
        </is>
      </c>
      <c r="D425" s="10" t="n">
        <v>10</v>
      </c>
      <c r="E425" s="12" t="n">
        <v>10351.8</v>
      </c>
      <c r="F425" s="12" t="n">
        <v>6822.6</v>
      </c>
      <c r="G425" s="12" t="n">
        <v>3529.2</v>
      </c>
      <c r="H425" s="13" t="n">
        <v>0.2227</v>
      </c>
      <c r="I425" s="13" t="n">
        <v>0.2903</v>
      </c>
    </row>
    <row r="426">
      <c r="A426" s="10" t="inlineStr">
        <is>
          <t>PJ-2020-C</t>
        </is>
      </c>
      <c r="B426" s="10" t="inlineStr">
        <is>
          <t>素朴版／月内均等</t>
        </is>
      </c>
      <c r="C426" s="10" t="inlineStr">
        <is>
          <t>2021-05</t>
        </is>
      </c>
      <c r="D426" s="10" t="n">
        <v>11</v>
      </c>
      <c r="E426" s="12" t="n">
        <v>11734</v>
      </c>
      <c r="F426" s="12" t="n">
        <v>6920.5</v>
      </c>
      <c r="G426" s="12" t="n">
        <v>4813.5</v>
      </c>
      <c r="H426" s="13" t="n">
        <v>0.2633</v>
      </c>
      <c r="I426" s="13" t="n">
        <v>0.3142</v>
      </c>
    </row>
    <row r="427">
      <c r="A427" s="10" t="inlineStr">
        <is>
          <t>PJ-2020-C</t>
        </is>
      </c>
      <c r="B427" s="10" t="inlineStr">
        <is>
          <t>素朴版／月内均等</t>
        </is>
      </c>
      <c r="C427" s="10" t="inlineStr">
        <is>
          <t>2021-06</t>
        </is>
      </c>
      <c r="D427" s="10" t="n">
        <v>12</v>
      </c>
      <c r="E427" s="12" t="n">
        <v>12223.7</v>
      </c>
      <c r="F427" s="12" t="n">
        <v>7298.5</v>
      </c>
      <c r="G427" s="12" t="n">
        <v>4925.2</v>
      </c>
      <c r="H427" s="13" t="n">
        <v>0.3056</v>
      </c>
      <c r="I427" s="13" t="n">
        <v>0.3394</v>
      </c>
    </row>
    <row r="428">
      <c r="A428" s="10" t="inlineStr">
        <is>
          <t>PJ-2020-C</t>
        </is>
      </c>
      <c r="B428" s="10" t="inlineStr">
        <is>
          <t>素朴版／月内均等</t>
        </is>
      </c>
      <c r="C428" s="10" t="inlineStr">
        <is>
          <t>2021-07</t>
        </is>
      </c>
      <c r="D428" s="10" t="n">
        <v>13</v>
      </c>
      <c r="E428" s="12" t="n">
        <v>12943</v>
      </c>
      <c r="F428" s="12" t="n">
        <v>8554.799999999999</v>
      </c>
      <c r="G428" s="12" t="n">
        <v>4388.2</v>
      </c>
      <c r="H428" s="13" t="n">
        <v>0.3504</v>
      </c>
      <c r="I428" s="13" t="n">
        <v>0.369</v>
      </c>
    </row>
    <row r="429">
      <c r="A429" s="10" t="inlineStr">
        <is>
          <t>PJ-2020-C</t>
        </is>
      </c>
      <c r="B429" s="10" t="inlineStr">
        <is>
          <t>素朴版／月内均等</t>
        </is>
      </c>
      <c r="C429" s="10" t="inlineStr">
        <is>
          <t>2021-08</t>
        </is>
      </c>
      <c r="D429" s="10" t="n">
        <v>14</v>
      </c>
      <c r="E429" s="12" t="n">
        <v>12124.9</v>
      </c>
      <c r="F429" s="12" t="n">
        <v>8486.799999999999</v>
      </c>
      <c r="G429" s="12" t="n">
        <v>3638.1</v>
      </c>
      <c r="H429" s="13" t="n">
        <v>0.3923</v>
      </c>
      <c r="I429" s="13" t="n">
        <v>0.3984</v>
      </c>
    </row>
    <row r="430">
      <c r="A430" s="10" t="inlineStr">
        <is>
          <t>PJ-2020-C</t>
        </is>
      </c>
      <c r="B430" s="10" t="inlineStr">
        <is>
          <t>素朴版／月内均等</t>
        </is>
      </c>
      <c r="C430" s="10" t="inlineStr">
        <is>
          <t>2021-09</t>
        </is>
      </c>
      <c r="D430" s="10" t="n">
        <v>15</v>
      </c>
      <c r="E430" s="12" t="n">
        <v>11246.4</v>
      </c>
      <c r="F430" s="12" t="n">
        <v>9279.9</v>
      </c>
      <c r="G430" s="12" t="n">
        <v>1966.5</v>
      </c>
      <c r="H430" s="13" t="n">
        <v>0.4312</v>
      </c>
      <c r="I430" s="13" t="n">
        <v>0.4305</v>
      </c>
    </row>
    <row r="431">
      <c r="A431" s="10" t="inlineStr">
        <is>
          <t>PJ-2020-C</t>
        </is>
      </c>
      <c r="B431" s="10" t="inlineStr">
        <is>
          <t>素朴版／月内均等</t>
        </is>
      </c>
      <c r="C431" s="10" t="inlineStr">
        <is>
          <t>2021-10</t>
        </is>
      </c>
      <c r="D431" s="10" t="n">
        <v>16</v>
      </c>
      <c r="E431" s="12" t="n">
        <v>12812.1</v>
      </c>
      <c r="F431" s="12" t="n">
        <v>16636.5</v>
      </c>
      <c r="G431" s="12" t="n">
        <v>-3824.4</v>
      </c>
      <c r="H431" s="13" t="n">
        <v>0.4756</v>
      </c>
      <c r="I431" s="13" t="n">
        <v>0.4881</v>
      </c>
    </row>
    <row r="432">
      <c r="A432" s="10" t="inlineStr">
        <is>
          <t>PJ-2020-C</t>
        </is>
      </c>
      <c r="B432" s="10" t="inlineStr">
        <is>
          <t>素朴版／月内均等</t>
        </is>
      </c>
      <c r="C432" s="10" t="inlineStr">
        <is>
          <t>2021-11</t>
        </is>
      </c>
      <c r="D432" s="10" t="n">
        <v>17</v>
      </c>
      <c r="E432" s="12" t="n">
        <v>12822.3</v>
      </c>
      <c r="F432" s="12" t="n">
        <v>14453.3</v>
      </c>
      <c r="G432" s="12" t="n">
        <v>-1631</v>
      </c>
      <c r="H432" s="13" t="n">
        <v>0.5199</v>
      </c>
      <c r="I432" s="13" t="n">
        <v>0.5381</v>
      </c>
    </row>
    <row r="433">
      <c r="A433" s="10" t="inlineStr">
        <is>
          <t>PJ-2020-C</t>
        </is>
      </c>
      <c r="B433" s="10" t="inlineStr">
        <is>
          <t>素朴版／月内均等</t>
        </is>
      </c>
      <c r="C433" s="10" t="inlineStr">
        <is>
          <t>2021-12</t>
        </is>
      </c>
      <c r="D433" s="10" t="n">
        <v>18</v>
      </c>
      <c r="E433" s="12" t="n">
        <v>14386.9</v>
      </c>
      <c r="F433" s="12" t="n">
        <v>13884.1</v>
      </c>
      <c r="G433" s="12" t="n">
        <v>502.8</v>
      </c>
      <c r="H433" s="13" t="n">
        <v>0.5697</v>
      </c>
      <c r="I433" s="13" t="n">
        <v>0.5861</v>
      </c>
    </row>
    <row r="434">
      <c r="A434" s="10" t="inlineStr">
        <is>
          <t>PJ-2020-C</t>
        </is>
      </c>
      <c r="B434" s="10" t="inlineStr">
        <is>
          <t>素朴版／月内均等</t>
        </is>
      </c>
      <c r="C434" s="10" t="inlineStr">
        <is>
          <t>2022-01</t>
        </is>
      </c>
      <c r="D434" s="10" t="n">
        <v>19</v>
      </c>
      <c r="E434" s="12" t="n">
        <v>14894.3</v>
      </c>
      <c r="F434" s="12" t="n">
        <v>15419</v>
      </c>
      <c r="G434" s="12" t="n">
        <v>-524.7</v>
      </c>
      <c r="H434" s="13" t="n">
        <v>0.6212</v>
      </c>
      <c r="I434" s="13" t="n">
        <v>0.6395</v>
      </c>
    </row>
    <row r="435">
      <c r="A435" s="10" t="inlineStr">
        <is>
          <t>PJ-2020-C</t>
        </is>
      </c>
      <c r="B435" s="10" t="inlineStr">
        <is>
          <t>素朴版／月内均等</t>
        </is>
      </c>
      <c r="C435" s="10" t="inlineStr">
        <is>
          <t>2022-02</t>
        </is>
      </c>
      <c r="D435" s="10" t="n">
        <v>20</v>
      </c>
      <c r="E435" s="12" t="n">
        <v>13841.2</v>
      </c>
      <c r="F435" s="12" t="n">
        <v>8277.799999999999</v>
      </c>
      <c r="G435" s="12" t="n">
        <v>5563.4</v>
      </c>
      <c r="H435" s="13" t="n">
        <v>0.6691</v>
      </c>
      <c r="I435" s="13" t="n">
        <v>0.6681</v>
      </c>
    </row>
    <row r="436">
      <c r="A436" s="10" t="inlineStr">
        <is>
          <t>PJ-2020-C</t>
        </is>
      </c>
      <c r="B436" s="10" t="inlineStr">
        <is>
          <t>素朴版／月内均等</t>
        </is>
      </c>
      <c r="C436" s="10" t="inlineStr">
        <is>
          <t>2022-03</t>
        </is>
      </c>
      <c r="D436" s="10" t="n">
        <v>21</v>
      </c>
      <c r="E436" s="12" t="n">
        <v>14289.1</v>
      </c>
      <c r="F436" s="12" t="n">
        <v>6160.3</v>
      </c>
      <c r="G436" s="12" t="n">
        <v>8128.8</v>
      </c>
      <c r="H436" s="13" t="n">
        <v>0.7185</v>
      </c>
      <c r="I436" s="13" t="n">
        <v>0.6894</v>
      </c>
    </row>
    <row r="437">
      <c r="A437" s="10" t="inlineStr">
        <is>
          <t>PJ-2020-C</t>
        </is>
      </c>
      <c r="B437" s="10" t="inlineStr">
        <is>
          <t>素朴版／月内均等</t>
        </is>
      </c>
      <c r="C437" s="10" t="inlineStr">
        <is>
          <t>2022-04</t>
        </is>
      </c>
      <c r="D437" s="10" t="n">
        <v>22</v>
      </c>
      <c r="E437" s="12" t="n">
        <v>12949.2</v>
      </c>
      <c r="F437" s="12" t="n">
        <v>7057.5</v>
      </c>
      <c r="G437" s="12" t="n">
        <v>5891.7</v>
      </c>
      <c r="H437" s="13" t="n">
        <v>0.7633</v>
      </c>
      <c r="I437" s="13" t="n">
        <v>0.7138</v>
      </c>
    </row>
    <row r="438">
      <c r="A438" s="10" t="inlineStr">
        <is>
          <t>PJ-2020-C</t>
        </is>
      </c>
      <c r="B438" s="10" t="inlineStr">
        <is>
          <t>素朴版／月内均等</t>
        </is>
      </c>
      <c r="C438" s="10" t="inlineStr">
        <is>
          <t>2022-05</t>
        </is>
      </c>
      <c r="D438" s="10" t="n">
        <v>23</v>
      </c>
      <c r="E438" s="12" t="n">
        <v>12947.5</v>
      </c>
      <c r="F438" s="12" t="n">
        <v>8005.3</v>
      </c>
      <c r="G438" s="12" t="n">
        <v>4942.2</v>
      </c>
      <c r="H438" s="13" t="n">
        <v>0.8081</v>
      </c>
      <c r="I438" s="13" t="n">
        <v>0.7415</v>
      </c>
    </row>
    <row r="439">
      <c r="A439" s="10" t="inlineStr">
        <is>
          <t>PJ-2020-C</t>
        </is>
      </c>
      <c r="B439" s="10" t="inlineStr">
        <is>
          <t>素朴版／月内均等</t>
        </is>
      </c>
      <c r="C439" s="10" t="inlineStr">
        <is>
          <t>2022-06</t>
        </is>
      </c>
      <c r="D439" s="10" t="n">
        <v>24</v>
      </c>
      <c r="E439" s="12" t="n">
        <v>12737.7</v>
      </c>
      <c r="F439" s="12" t="n">
        <v>9533.200000000001</v>
      </c>
      <c r="G439" s="12" t="n">
        <v>3204.5</v>
      </c>
      <c r="H439" s="13" t="n">
        <v>0.8522</v>
      </c>
      <c r="I439" s="13" t="n">
        <v>0.7745</v>
      </c>
    </row>
    <row r="440">
      <c r="A440" s="10" t="inlineStr">
        <is>
          <t>PJ-2020-C</t>
        </is>
      </c>
      <c r="B440" s="10" t="inlineStr">
        <is>
          <t>素朴版／月内均等</t>
        </is>
      </c>
      <c r="C440" s="10" t="inlineStr">
        <is>
          <t>2022-07</t>
        </is>
      </c>
      <c r="D440" s="10" t="n">
        <v>25</v>
      </c>
      <c r="E440" s="12" t="n">
        <v>12041</v>
      </c>
      <c r="F440" s="12" t="n">
        <v>10920.6</v>
      </c>
      <c r="G440" s="12" t="n">
        <v>1120.4</v>
      </c>
      <c r="H440" s="13" t="n">
        <v>0.8939</v>
      </c>
      <c r="I440" s="13" t="n">
        <v>0.8123</v>
      </c>
    </row>
    <row r="441">
      <c r="A441" s="10" t="inlineStr">
        <is>
          <t>PJ-2020-C</t>
        </is>
      </c>
      <c r="B441" s="10" t="inlineStr">
        <is>
          <t>素朴版／月内均等</t>
        </is>
      </c>
      <c r="C441" s="10" t="inlineStr">
        <is>
          <t>2022-08</t>
        </is>
      </c>
      <c r="D441" s="10" t="n">
        <v>26</v>
      </c>
      <c r="E441" s="12" t="n">
        <v>9966.799999999999</v>
      </c>
      <c r="F441" s="12" t="n">
        <v>11191.5</v>
      </c>
      <c r="G441" s="12" t="n">
        <v>-1224.7</v>
      </c>
      <c r="H441" s="13" t="n">
        <v>0.9284</v>
      </c>
      <c r="I441" s="13" t="n">
        <v>0.851</v>
      </c>
    </row>
    <row r="442">
      <c r="A442" s="10" t="inlineStr">
        <is>
          <t>PJ-2020-C</t>
        </is>
      </c>
      <c r="B442" s="10" t="inlineStr">
        <is>
          <t>素朴版／月内均等</t>
        </is>
      </c>
      <c r="C442" s="10" t="inlineStr">
        <is>
          <t>2022-09</t>
        </is>
      </c>
      <c r="D442" s="10" t="n">
        <v>27</v>
      </c>
      <c r="E442" s="12" t="n">
        <v>7474.4</v>
      </c>
      <c r="F442" s="12" t="n">
        <v>10812.6</v>
      </c>
      <c r="G442" s="12" t="n">
        <v>-3338.2</v>
      </c>
      <c r="H442" s="13" t="n">
        <v>0.9542</v>
      </c>
      <c r="I442" s="13" t="n">
        <v>0.8884</v>
      </c>
    </row>
    <row r="443">
      <c r="A443" s="10" t="inlineStr">
        <is>
          <t>PJ-2020-C</t>
        </is>
      </c>
      <c r="B443" s="10" t="inlineStr">
        <is>
          <t>素朴版／月内均等</t>
        </is>
      </c>
      <c r="C443" s="10" t="inlineStr">
        <is>
          <t>2022-10</t>
        </is>
      </c>
      <c r="D443" s="10" t="n">
        <v>28</v>
      </c>
      <c r="E443" s="12" t="n">
        <v>6338.3</v>
      </c>
      <c r="F443" s="12" t="n">
        <v>11977</v>
      </c>
      <c r="G443" s="12" t="n">
        <v>-5638.7</v>
      </c>
      <c r="H443" s="13" t="n">
        <v>0.9761</v>
      </c>
      <c r="I443" s="13" t="n">
        <v>0.9298</v>
      </c>
    </row>
    <row r="444">
      <c r="A444" s="10" t="inlineStr">
        <is>
          <t>PJ-2020-C</t>
        </is>
      </c>
      <c r="B444" s="10" t="inlineStr">
        <is>
          <t>素朴版／月内均等</t>
        </is>
      </c>
      <c r="C444" s="10" t="inlineStr">
        <is>
          <t>2022-11</t>
        </is>
      </c>
      <c r="D444" s="10" t="n">
        <v>29</v>
      </c>
      <c r="E444" s="12" t="n">
        <v>4348.4</v>
      </c>
      <c r="F444" s="12" t="n">
        <v>12035.5</v>
      </c>
      <c r="G444" s="12" t="n">
        <v>-7687.1</v>
      </c>
      <c r="H444" s="13" t="n">
        <v>0.9912</v>
      </c>
      <c r="I444" s="13" t="n">
        <v>0.9715</v>
      </c>
    </row>
    <row r="445">
      <c r="A445" s="10" t="inlineStr">
        <is>
          <t>PJ-2020-C</t>
        </is>
      </c>
      <c r="B445" s="10" t="inlineStr">
        <is>
          <t>素朴版／月内均等</t>
        </is>
      </c>
      <c r="C445" s="10" t="inlineStr">
        <is>
          <t>2022-12</t>
        </is>
      </c>
      <c r="D445" s="10" t="n">
        <v>30</v>
      </c>
      <c r="E445" s="12" t="n">
        <v>2548.1</v>
      </c>
      <c r="F445" s="12" t="n">
        <v>8242.299999999999</v>
      </c>
      <c r="G445" s="12" t="n">
        <v>-5694.2</v>
      </c>
      <c r="H445" s="13" t="n">
        <v>1</v>
      </c>
      <c r="I445" s="13" t="n">
        <v>1</v>
      </c>
    </row>
    <row r="446">
      <c r="A446" s="10" t="inlineStr">
        <is>
          <t>PJ-2020-C</t>
        </is>
      </c>
      <c r="B446" s="10" t="inlineStr">
        <is>
          <t>位置合わせ(MS学習値)／月内均等</t>
        </is>
      </c>
      <c r="C446" s="10" t="inlineStr">
        <is>
          <t>2020-07</t>
        </is>
      </c>
      <c r="D446" s="10" t="n">
        <v>1</v>
      </c>
      <c r="E446" s="12" t="n">
        <v>3246.3</v>
      </c>
      <c r="F446" s="12" t="n">
        <v>9891.799999999999</v>
      </c>
      <c r="G446" s="12" t="n">
        <v>-6645.5</v>
      </c>
      <c r="H446" s="13" t="n">
        <v>0.0112</v>
      </c>
      <c r="I446" s="13" t="n">
        <v>0.0342</v>
      </c>
    </row>
    <row r="447">
      <c r="A447" s="10" t="inlineStr">
        <is>
          <t>PJ-2020-C</t>
        </is>
      </c>
      <c r="B447" s="10" t="inlineStr">
        <is>
          <t>位置合わせ(MS学習値)／月内均等</t>
        </is>
      </c>
      <c r="C447" s="10" t="inlineStr">
        <is>
          <t>2020-08</t>
        </is>
      </c>
      <c r="D447" s="10" t="n">
        <v>2</v>
      </c>
      <c r="E447" s="12" t="n">
        <v>3958.9</v>
      </c>
      <c r="F447" s="12" t="n">
        <v>11800.4</v>
      </c>
      <c r="G447" s="12" t="n">
        <v>-7841.5</v>
      </c>
      <c r="H447" s="13" t="n">
        <v>0.0249</v>
      </c>
      <c r="I447" s="13" t="n">
        <v>0.075</v>
      </c>
    </row>
    <row r="448">
      <c r="A448" s="10" t="inlineStr">
        <is>
          <t>PJ-2020-C</t>
        </is>
      </c>
      <c r="B448" s="10" t="inlineStr">
        <is>
          <t>位置合わせ(MS学習値)／月内均等</t>
        </is>
      </c>
      <c r="C448" s="10" t="inlineStr">
        <is>
          <t>2020-09</t>
        </is>
      </c>
      <c r="D448" s="10" t="n">
        <v>3</v>
      </c>
      <c r="E448" s="12" t="n">
        <v>4680.9</v>
      </c>
      <c r="F448" s="12" t="n">
        <v>9726.200000000001</v>
      </c>
      <c r="G448" s="12" t="n">
        <v>-5045.3</v>
      </c>
      <c r="H448" s="13" t="n">
        <v>0.0411</v>
      </c>
      <c r="I448" s="13" t="n">
        <v>0.1087</v>
      </c>
    </row>
    <row r="449">
      <c r="A449" s="10" t="inlineStr">
        <is>
          <t>PJ-2020-C</t>
        </is>
      </c>
      <c r="B449" s="10" t="inlineStr">
        <is>
          <t>位置合わせ(MS学習値)／月内均等</t>
        </is>
      </c>
      <c r="C449" s="10" t="inlineStr">
        <is>
          <t>2020-10</t>
        </is>
      </c>
      <c r="D449" s="10" t="n">
        <v>4</v>
      </c>
      <c r="E449" s="12" t="n">
        <v>5549.7</v>
      </c>
      <c r="F449" s="12" t="n">
        <v>8645.4</v>
      </c>
      <c r="G449" s="12" t="n">
        <v>-3095.7</v>
      </c>
      <c r="H449" s="13" t="n">
        <v>0.0603</v>
      </c>
      <c r="I449" s="13" t="n">
        <v>0.1386</v>
      </c>
    </row>
    <row r="450">
      <c r="A450" s="10" t="inlineStr">
        <is>
          <t>PJ-2020-C</t>
        </is>
      </c>
      <c r="B450" s="10" t="inlineStr">
        <is>
          <t>位置合わせ(MS学習値)／月内均等</t>
        </is>
      </c>
      <c r="C450" s="10" t="inlineStr">
        <is>
          <t>2020-11</t>
        </is>
      </c>
      <c r="D450" s="10" t="n">
        <v>5</v>
      </c>
      <c r="E450" s="12" t="n">
        <v>5910</v>
      </c>
      <c r="F450" s="12" t="n">
        <v>7717.1</v>
      </c>
      <c r="G450" s="12" t="n">
        <v>-1807.1</v>
      </c>
      <c r="H450" s="13" t="n">
        <v>0.0808</v>
      </c>
      <c r="I450" s="13" t="n">
        <v>0.1653</v>
      </c>
    </row>
    <row r="451">
      <c r="A451" s="10" t="inlineStr">
        <is>
          <t>PJ-2020-C</t>
        </is>
      </c>
      <c r="B451" s="10" t="inlineStr">
        <is>
          <t>位置合わせ(MS学習値)／月内均等</t>
        </is>
      </c>
      <c r="C451" s="10" t="inlineStr">
        <is>
          <t>2020-12</t>
        </is>
      </c>
      <c r="D451" s="10" t="n">
        <v>6</v>
      </c>
      <c r="E451" s="12" t="n">
        <v>6470.5</v>
      </c>
      <c r="F451" s="12" t="n">
        <v>7821.7</v>
      </c>
      <c r="G451" s="12" t="n">
        <v>-1351.2</v>
      </c>
      <c r="H451" s="13" t="n">
        <v>0.1032</v>
      </c>
      <c r="I451" s="13" t="n">
        <v>0.1924</v>
      </c>
    </row>
    <row r="452">
      <c r="A452" s="10" t="inlineStr">
        <is>
          <t>PJ-2020-C</t>
        </is>
      </c>
      <c r="B452" s="10" t="inlineStr">
        <is>
          <t>位置合わせ(MS学習値)／月内均等</t>
        </is>
      </c>
      <c r="C452" s="10" t="inlineStr">
        <is>
          <t>2021-01</t>
        </is>
      </c>
      <c r="D452" s="10" t="n">
        <v>7</v>
      </c>
      <c r="E452" s="12" t="n">
        <v>6906.9</v>
      </c>
      <c r="F452" s="12" t="n">
        <v>7531.5</v>
      </c>
      <c r="G452" s="12" t="n">
        <v>-624.6</v>
      </c>
      <c r="H452" s="13" t="n">
        <v>0.1271</v>
      </c>
      <c r="I452" s="13" t="n">
        <v>0.2184</v>
      </c>
    </row>
    <row r="453">
      <c r="A453" s="10" t="inlineStr">
        <is>
          <t>PJ-2020-C</t>
        </is>
      </c>
      <c r="B453" s="10" t="inlineStr">
        <is>
          <t>位置合わせ(MS学習値)／月内均等</t>
        </is>
      </c>
      <c r="C453" s="10" t="inlineStr">
        <is>
          <t>2021-02</t>
        </is>
      </c>
      <c r="D453" s="10" t="n">
        <v>8</v>
      </c>
      <c r="E453" s="12" t="n">
        <v>7060.4</v>
      </c>
      <c r="F453" s="12" t="n">
        <v>6551.1</v>
      </c>
      <c r="G453" s="12" t="n">
        <v>509.3</v>
      </c>
      <c r="H453" s="13" t="n">
        <v>0.1515</v>
      </c>
      <c r="I453" s="13" t="n">
        <v>0.2411</v>
      </c>
    </row>
    <row r="454">
      <c r="A454" s="10" t="inlineStr">
        <is>
          <t>PJ-2020-C</t>
        </is>
      </c>
      <c r="B454" s="10" t="inlineStr">
        <is>
          <t>位置合わせ(MS学習値)／月内均等</t>
        </is>
      </c>
      <c r="C454" s="10" t="inlineStr">
        <is>
          <t>2021-03</t>
        </is>
      </c>
      <c r="D454" s="10" t="n">
        <v>9</v>
      </c>
      <c r="E454" s="12" t="n">
        <v>8305.5</v>
      </c>
      <c r="F454" s="12" t="n">
        <v>7387.7</v>
      </c>
      <c r="G454" s="12" t="n">
        <v>917.8</v>
      </c>
      <c r="H454" s="13" t="n">
        <v>0.1802</v>
      </c>
      <c r="I454" s="13" t="n">
        <v>0.2666</v>
      </c>
    </row>
    <row r="455">
      <c r="A455" s="10" t="inlineStr">
        <is>
          <t>PJ-2020-C</t>
        </is>
      </c>
      <c r="B455" s="10" t="inlineStr">
        <is>
          <t>位置合わせ(MS学習値)／月内均等</t>
        </is>
      </c>
      <c r="C455" s="10" t="inlineStr">
        <is>
          <t>2021-04</t>
        </is>
      </c>
      <c r="D455" s="10" t="n">
        <v>10</v>
      </c>
      <c r="E455" s="12" t="n">
        <v>9589.299999999999</v>
      </c>
      <c r="F455" s="12" t="n">
        <v>6822.6</v>
      </c>
      <c r="G455" s="12" t="n">
        <v>2766.7</v>
      </c>
      <c r="H455" s="13" t="n">
        <v>0.2134</v>
      </c>
      <c r="I455" s="13" t="n">
        <v>0.2903</v>
      </c>
    </row>
    <row r="456">
      <c r="A456" s="10" t="inlineStr">
        <is>
          <t>PJ-2020-C</t>
        </is>
      </c>
      <c r="B456" s="10" t="inlineStr">
        <is>
          <t>位置合わせ(MS学習値)／月内均等</t>
        </is>
      </c>
      <c r="C456" s="10" t="inlineStr">
        <is>
          <t>2021-05</t>
        </is>
      </c>
      <c r="D456" s="10" t="n">
        <v>11</v>
      </c>
      <c r="E456" s="12" t="n">
        <v>10967.7</v>
      </c>
      <c r="F456" s="12" t="n">
        <v>6920.5</v>
      </c>
      <c r="G456" s="12" t="n">
        <v>4047.2</v>
      </c>
      <c r="H456" s="13" t="n">
        <v>0.2513</v>
      </c>
      <c r="I456" s="13" t="n">
        <v>0.3142</v>
      </c>
    </row>
    <row r="457">
      <c r="A457" s="10" t="inlineStr">
        <is>
          <t>PJ-2020-C</t>
        </is>
      </c>
      <c r="B457" s="10" t="inlineStr">
        <is>
          <t>位置合わせ(MS学習値)／月内均等</t>
        </is>
      </c>
      <c r="C457" s="10" t="inlineStr">
        <is>
          <t>2021-06</t>
        </is>
      </c>
      <c r="D457" s="10" t="n">
        <v>12</v>
      </c>
      <c r="E457" s="12" t="n">
        <v>11203.4</v>
      </c>
      <c r="F457" s="12" t="n">
        <v>7298.5</v>
      </c>
      <c r="G457" s="12" t="n">
        <v>3904.9</v>
      </c>
      <c r="H457" s="13" t="n">
        <v>0.2901</v>
      </c>
      <c r="I457" s="13" t="n">
        <v>0.3394</v>
      </c>
    </row>
    <row r="458">
      <c r="A458" s="10" t="inlineStr">
        <is>
          <t>PJ-2020-C</t>
        </is>
      </c>
      <c r="B458" s="10" t="inlineStr">
        <is>
          <t>位置合わせ(MS学習値)／月内均等</t>
        </is>
      </c>
      <c r="C458" s="10" t="inlineStr">
        <is>
          <t>2021-07</t>
        </is>
      </c>
      <c r="D458" s="10" t="n">
        <v>13</v>
      </c>
      <c r="E458" s="12" t="n">
        <v>12572.3</v>
      </c>
      <c r="F458" s="12" t="n">
        <v>8554.799999999999</v>
      </c>
      <c r="G458" s="12" t="n">
        <v>4017.5</v>
      </c>
      <c r="H458" s="13" t="n">
        <v>0.3336</v>
      </c>
      <c r="I458" s="13" t="n">
        <v>0.369</v>
      </c>
    </row>
    <row r="459">
      <c r="A459" s="10" t="inlineStr">
        <is>
          <t>PJ-2020-C</t>
        </is>
      </c>
      <c r="B459" s="10" t="inlineStr">
        <is>
          <t>位置合わせ(MS学習値)／月内均等</t>
        </is>
      </c>
      <c r="C459" s="10" t="inlineStr">
        <is>
          <t>2021-08</t>
        </is>
      </c>
      <c r="D459" s="10" t="n">
        <v>14</v>
      </c>
      <c r="E459" s="12" t="n">
        <v>13174.8</v>
      </c>
      <c r="F459" s="12" t="n">
        <v>8486.799999999999</v>
      </c>
      <c r="G459" s="12" t="n">
        <v>4688</v>
      </c>
      <c r="H459" s="13" t="n">
        <v>0.3792</v>
      </c>
      <c r="I459" s="13" t="n">
        <v>0.3984</v>
      </c>
    </row>
    <row r="460">
      <c r="A460" s="10" t="inlineStr">
        <is>
          <t>PJ-2020-C</t>
        </is>
      </c>
      <c r="B460" s="10" t="inlineStr">
        <is>
          <t>位置合わせ(MS学習値)／月内均等</t>
        </is>
      </c>
      <c r="C460" s="10" t="inlineStr">
        <is>
          <t>2021-09</t>
        </is>
      </c>
      <c r="D460" s="10" t="n">
        <v>15</v>
      </c>
      <c r="E460" s="12" t="n">
        <v>14490.3</v>
      </c>
      <c r="F460" s="12" t="n">
        <v>9279.9</v>
      </c>
      <c r="G460" s="12" t="n">
        <v>5210.4</v>
      </c>
      <c r="H460" s="13" t="n">
        <v>0.4293</v>
      </c>
      <c r="I460" s="13" t="n">
        <v>0.4305</v>
      </c>
    </row>
    <row r="461">
      <c r="A461" s="10" t="inlineStr">
        <is>
          <t>PJ-2020-C</t>
        </is>
      </c>
      <c r="B461" s="10" t="inlineStr">
        <is>
          <t>位置合わせ(MS学習値)／月内均等</t>
        </is>
      </c>
      <c r="C461" s="10" t="inlineStr">
        <is>
          <t>2021-10</t>
        </is>
      </c>
      <c r="D461" s="10" t="n">
        <v>16</v>
      </c>
      <c r="E461" s="12" t="n">
        <v>14250.6</v>
      </c>
      <c r="F461" s="12" t="n">
        <v>16636.5</v>
      </c>
      <c r="G461" s="12" t="n">
        <v>-2385.9</v>
      </c>
      <c r="H461" s="13" t="n">
        <v>0.4786</v>
      </c>
      <c r="I461" s="13" t="n">
        <v>0.4881</v>
      </c>
    </row>
    <row r="462">
      <c r="A462" s="10" t="inlineStr">
        <is>
          <t>PJ-2020-C</t>
        </is>
      </c>
      <c r="B462" s="10" t="inlineStr">
        <is>
          <t>位置合わせ(MS学習値)／月内均等</t>
        </is>
      </c>
      <c r="C462" s="10" t="inlineStr">
        <is>
          <t>2021-11</t>
        </is>
      </c>
      <c r="D462" s="10" t="n">
        <v>17</v>
      </c>
      <c r="E462" s="12" t="n">
        <v>13634.7</v>
      </c>
      <c r="F462" s="12" t="n">
        <v>14453.3</v>
      </c>
      <c r="G462" s="12" t="n">
        <v>-818.6</v>
      </c>
      <c r="H462" s="13" t="n">
        <v>0.5258</v>
      </c>
      <c r="I462" s="13" t="n">
        <v>0.5381</v>
      </c>
    </row>
    <row r="463">
      <c r="A463" s="10" t="inlineStr">
        <is>
          <t>PJ-2020-C</t>
        </is>
      </c>
      <c r="B463" s="10" t="inlineStr">
        <is>
          <t>位置合わせ(MS学習値)／月内均等</t>
        </is>
      </c>
      <c r="C463" s="10" t="inlineStr">
        <is>
          <t>2021-12</t>
        </is>
      </c>
      <c r="D463" s="10" t="n">
        <v>18</v>
      </c>
      <c r="E463" s="12" t="n">
        <v>14160.7</v>
      </c>
      <c r="F463" s="12" t="n">
        <v>13884.1</v>
      </c>
      <c r="G463" s="12" t="n">
        <v>276.6</v>
      </c>
      <c r="H463" s="13" t="n">
        <v>0.5748</v>
      </c>
      <c r="I463" s="13" t="n">
        <v>0.5861</v>
      </c>
    </row>
    <row r="464">
      <c r="A464" s="10" t="inlineStr">
        <is>
          <t>PJ-2020-C</t>
        </is>
      </c>
      <c r="B464" s="10" t="inlineStr">
        <is>
          <t>位置合わせ(MS学習値)／月内均等</t>
        </is>
      </c>
      <c r="C464" s="10" t="inlineStr">
        <is>
          <t>2022-01</t>
        </is>
      </c>
      <c r="D464" s="10" t="n">
        <v>19</v>
      </c>
      <c r="E464" s="12" t="n">
        <v>14019</v>
      </c>
      <c r="F464" s="12" t="n">
        <v>15419</v>
      </c>
      <c r="G464" s="12" t="n">
        <v>-1400</v>
      </c>
      <c r="H464" s="13" t="n">
        <v>0.6233</v>
      </c>
      <c r="I464" s="13" t="n">
        <v>0.6395</v>
      </c>
    </row>
    <row r="465">
      <c r="A465" s="10" t="inlineStr">
        <is>
          <t>PJ-2020-C</t>
        </is>
      </c>
      <c r="B465" s="10" t="inlineStr">
        <is>
          <t>位置合わせ(MS学習値)／月内均等</t>
        </is>
      </c>
      <c r="C465" s="10" t="inlineStr">
        <is>
          <t>2022-02</t>
        </is>
      </c>
      <c r="D465" s="10" t="n">
        <v>20</v>
      </c>
      <c r="E465" s="12" t="n">
        <v>12837.3</v>
      </c>
      <c r="F465" s="12" t="n">
        <v>8277.799999999999</v>
      </c>
      <c r="G465" s="12" t="n">
        <v>4559.5</v>
      </c>
      <c r="H465" s="13" t="n">
        <v>0.6677</v>
      </c>
      <c r="I465" s="13" t="n">
        <v>0.6681</v>
      </c>
    </row>
    <row r="466">
      <c r="A466" s="10" t="inlineStr">
        <is>
          <t>PJ-2020-C</t>
        </is>
      </c>
      <c r="B466" s="10" t="inlineStr">
        <is>
          <t>位置合わせ(MS学習値)／月内均等</t>
        </is>
      </c>
      <c r="C466" s="10" t="inlineStr">
        <is>
          <t>2022-03</t>
        </is>
      </c>
      <c r="D466" s="10" t="n">
        <v>21</v>
      </c>
      <c r="E466" s="12" t="n">
        <v>14655.4</v>
      </c>
      <c r="F466" s="12" t="n">
        <v>6160.3</v>
      </c>
      <c r="G466" s="12" t="n">
        <v>8495.1</v>
      </c>
      <c r="H466" s="13" t="n">
        <v>0.7184</v>
      </c>
      <c r="I466" s="13" t="n">
        <v>0.6894</v>
      </c>
    </row>
    <row r="467">
      <c r="A467" s="10" t="inlineStr">
        <is>
          <t>PJ-2020-C</t>
        </is>
      </c>
      <c r="B467" s="10" t="inlineStr">
        <is>
          <t>位置合わせ(MS学習値)／月内均等</t>
        </is>
      </c>
      <c r="C467" s="10" t="inlineStr">
        <is>
          <t>2022-04</t>
        </is>
      </c>
      <c r="D467" s="10" t="n">
        <v>22</v>
      </c>
      <c r="E467" s="12" t="n">
        <v>13802.3</v>
      </c>
      <c r="F467" s="12" t="n">
        <v>7057.5</v>
      </c>
      <c r="G467" s="12" t="n">
        <v>6744.8</v>
      </c>
      <c r="H467" s="13" t="n">
        <v>0.7661</v>
      </c>
      <c r="I467" s="13" t="n">
        <v>0.7138</v>
      </c>
    </row>
    <row r="468">
      <c r="A468" s="10" t="inlineStr">
        <is>
          <t>PJ-2020-C</t>
        </is>
      </c>
      <c r="B468" s="10" t="inlineStr">
        <is>
          <t>位置合わせ(MS学習値)／月内均等</t>
        </is>
      </c>
      <c r="C468" s="10" t="inlineStr">
        <is>
          <t>2022-05</t>
        </is>
      </c>
      <c r="D468" s="10" t="n">
        <v>23</v>
      </c>
      <c r="E468" s="12" t="n">
        <v>14533.9</v>
      </c>
      <c r="F468" s="12" t="n">
        <v>8005.3</v>
      </c>
      <c r="G468" s="12" t="n">
        <v>6528.6</v>
      </c>
      <c r="H468" s="13" t="n">
        <v>0.8164</v>
      </c>
      <c r="I468" s="13" t="n">
        <v>0.7415</v>
      </c>
    </row>
    <row r="469">
      <c r="A469" s="10" t="inlineStr">
        <is>
          <t>PJ-2020-C</t>
        </is>
      </c>
      <c r="B469" s="10" t="inlineStr">
        <is>
          <t>位置合わせ(MS学習値)／月内均等</t>
        </is>
      </c>
      <c r="C469" s="10" t="inlineStr">
        <is>
          <t>2022-06</t>
        </is>
      </c>
      <c r="D469" s="10" t="n">
        <v>24</v>
      </c>
      <c r="E469" s="12" t="n">
        <v>12198.7</v>
      </c>
      <c r="F469" s="12" t="n">
        <v>9533.200000000001</v>
      </c>
      <c r="G469" s="12" t="n">
        <v>2665.5</v>
      </c>
      <c r="H469" s="13" t="n">
        <v>0.8586</v>
      </c>
      <c r="I469" s="13" t="n">
        <v>0.7745</v>
      </c>
    </row>
    <row r="470">
      <c r="A470" s="10" t="inlineStr">
        <is>
          <t>PJ-2020-C</t>
        </is>
      </c>
      <c r="B470" s="10" t="inlineStr">
        <is>
          <t>位置合わせ(MS学習値)／月内均等</t>
        </is>
      </c>
      <c r="C470" s="10" t="inlineStr">
        <is>
          <t>2022-07</t>
        </is>
      </c>
      <c r="D470" s="10" t="n">
        <v>25</v>
      </c>
      <c r="E470" s="12" t="n">
        <v>11160.4</v>
      </c>
      <c r="F470" s="12" t="n">
        <v>10920.6</v>
      </c>
      <c r="G470" s="12" t="n">
        <v>239.8</v>
      </c>
      <c r="H470" s="13" t="n">
        <v>0.8972</v>
      </c>
      <c r="I470" s="13" t="n">
        <v>0.8123</v>
      </c>
    </row>
    <row r="471">
      <c r="A471" s="10" t="inlineStr">
        <is>
          <t>PJ-2020-C</t>
        </is>
      </c>
      <c r="B471" s="10" t="inlineStr">
        <is>
          <t>位置合わせ(MS学習値)／月内均等</t>
        </is>
      </c>
      <c r="C471" s="10" t="inlineStr">
        <is>
          <t>2022-08</t>
        </is>
      </c>
      <c r="D471" s="10" t="n">
        <v>26</v>
      </c>
      <c r="E471" s="12" t="n">
        <v>9374.299999999999</v>
      </c>
      <c r="F471" s="12" t="n">
        <v>11191.5</v>
      </c>
      <c r="G471" s="12" t="n">
        <v>-1817.2</v>
      </c>
      <c r="H471" s="13" t="n">
        <v>0.9297</v>
      </c>
      <c r="I471" s="13" t="n">
        <v>0.851</v>
      </c>
    </row>
    <row r="472">
      <c r="A472" s="10" t="inlineStr">
        <is>
          <t>PJ-2020-C</t>
        </is>
      </c>
      <c r="B472" s="10" t="inlineStr">
        <is>
          <t>位置合わせ(MS学習値)／月内均等</t>
        </is>
      </c>
      <c r="C472" s="10" t="inlineStr">
        <is>
          <t>2022-09</t>
        </is>
      </c>
      <c r="D472" s="10" t="n">
        <v>27</v>
      </c>
      <c r="E472" s="12" t="n">
        <v>7000.3</v>
      </c>
      <c r="F472" s="12" t="n">
        <v>10812.6</v>
      </c>
      <c r="G472" s="12" t="n">
        <v>-3812.3</v>
      </c>
      <c r="H472" s="13" t="n">
        <v>0.9539</v>
      </c>
      <c r="I472" s="13" t="n">
        <v>0.8884</v>
      </c>
    </row>
    <row r="473">
      <c r="A473" s="10" t="inlineStr">
        <is>
          <t>PJ-2020-C</t>
        </is>
      </c>
      <c r="B473" s="10" t="inlineStr">
        <is>
          <t>位置合わせ(MS学習値)／月内均等</t>
        </is>
      </c>
      <c r="C473" s="10" t="inlineStr">
        <is>
          <t>2022-10</t>
        </is>
      </c>
      <c r="D473" s="10" t="n">
        <v>28</v>
      </c>
      <c r="E473" s="12" t="n">
        <v>6424.7</v>
      </c>
      <c r="F473" s="12" t="n">
        <v>11977</v>
      </c>
      <c r="G473" s="12" t="n">
        <v>-5552.3</v>
      </c>
      <c r="H473" s="13" t="n">
        <v>0.9761</v>
      </c>
      <c r="I473" s="13" t="n">
        <v>0.9298</v>
      </c>
    </row>
    <row r="474">
      <c r="A474" s="10" t="inlineStr">
        <is>
          <t>PJ-2020-C</t>
        </is>
      </c>
      <c r="B474" s="10" t="inlineStr">
        <is>
          <t>位置合わせ(MS学習値)／月内均等</t>
        </is>
      </c>
      <c r="C474" s="10" t="inlineStr">
        <is>
          <t>2022-11</t>
        </is>
      </c>
      <c r="D474" s="10" t="n">
        <v>29</v>
      </c>
      <c r="E474" s="12" t="n">
        <v>4343</v>
      </c>
      <c r="F474" s="12" t="n">
        <v>12035.5</v>
      </c>
      <c r="G474" s="12" t="n">
        <v>-7692.5</v>
      </c>
      <c r="H474" s="13" t="n">
        <v>0.9911</v>
      </c>
      <c r="I474" s="13" t="n">
        <v>0.9715</v>
      </c>
    </row>
    <row r="475">
      <c r="A475" s="10" t="inlineStr">
        <is>
          <t>PJ-2020-C</t>
        </is>
      </c>
      <c r="B475" s="10" t="inlineStr">
        <is>
          <t>位置合わせ(MS学習値)／月内均等</t>
        </is>
      </c>
      <c r="C475" s="10" t="inlineStr">
        <is>
          <t>2022-12</t>
        </is>
      </c>
      <c r="D475" s="10" t="n">
        <v>30</v>
      </c>
      <c r="E475" s="12" t="n">
        <v>2560.3</v>
      </c>
      <c r="F475" s="12" t="n">
        <v>8242.299999999999</v>
      </c>
      <c r="G475" s="12" t="n">
        <v>-5682</v>
      </c>
      <c r="H475" s="13" t="n">
        <v>1</v>
      </c>
      <c r="I475" s="13" t="n">
        <v>1</v>
      </c>
    </row>
    <row r="476">
      <c r="A476" s="10" t="inlineStr">
        <is>
          <t>PJ-2020-C</t>
        </is>
      </c>
      <c r="B476" s="10" t="inlineStr">
        <is>
          <t>位置合わせ(MS指定)／月内均等</t>
        </is>
      </c>
      <c r="C476" s="10" t="inlineStr">
        <is>
          <t>2020-07</t>
        </is>
      </c>
      <c r="D476" s="10" t="n">
        <v>1</v>
      </c>
      <c r="E476" s="12" t="n">
        <v>3350.1</v>
      </c>
      <c r="F476" s="12" t="n">
        <v>9891.799999999999</v>
      </c>
      <c r="G476" s="12" t="n">
        <v>-6541.7</v>
      </c>
      <c r="H476" s="13" t="n">
        <v>0.0116</v>
      </c>
      <c r="I476" s="13" t="n">
        <v>0.0342</v>
      </c>
    </row>
    <row r="477">
      <c r="A477" s="10" t="inlineStr">
        <is>
          <t>PJ-2020-C</t>
        </is>
      </c>
      <c r="B477" s="10" t="inlineStr">
        <is>
          <t>位置合わせ(MS指定)／月内均等</t>
        </is>
      </c>
      <c r="C477" s="10" t="inlineStr">
        <is>
          <t>2020-08</t>
        </is>
      </c>
      <c r="D477" s="10" t="n">
        <v>2</v>
      </c>
      <c r="E477" s="12" t="n">
        <v>4132.8</v>
      </c>
      <c r="F477" s="12" t="n">
        <v>11800.4</v>
      </c>
      <c r="G477" s="12" t="n">
        <v>-7667.6</v>
      </c>
      <c r="H477" s="13" t="n">
        <v>0.0259</v>
      </c>
      <c r="I477" s="13" t="n">
        <v>0.075</v>
      </c>
    </row>
    <row r="478">
      <c r="A478" s="10" t="inlineStr">
        <is>
          <t>PJ-2020-C</t>
        </is>
      </c>
      <c r="B478" s="10" t="inlineStr">
        <is>
          <t>位置合わせ(MS指定)／月内均等</t>
        </is>
      </c>
      <c r="C478" s="10" t="inlineStr">
        <is>
          <t>2020-09</t>
        </is>
      </c>
      <c r="D478" s="10" t="n">
        <v>3</v>
      </c>
      <c r="E478" s="12" t="n">
        <v>4886</v>
      </c>
      <c r="F478" s="12" t="n">
        <v>9726.200000000001</v>
      </c>
      <c r="G478" s="12" t="n">
        <v>-4840.2</v>
      </c>
      <c r="H478" s="13" t="n">
        <v>0.0428</v>
      </c>
      <c r="I478" s="13" t="n">
        <v>0.1087</v>
      </c>
    </row>
    <row r="479">
      <c r="A479" s="10" t="inlineStr">
        <is>
          <t>PJ-2020-C</t>
        </is>
      </c>
      <c r="B479" s="10" t="inlineStr">
        <is>
          <t>位置合わせ(MS指定)／月内均等</t>
        </is>
      </c>
      <c r="C479" s="10" t="inlineStr">
        <is>
          <t>2020-10</t>
        </is>
      </c>
      <c r="D479" s="10" t="n">
        <v>4</v>
      </c>
      <c r="E479" s="12" t="n">
        <v>5836.6</v>
      </c>
      <c r="F479" s="12" t="n">
        <v>8645.4</v>
      </c>
      <c r="G479" s="12" t="n">
        <v>-2808.8</v>
      </c>
      <c r="H479" s="13" t="n">
        <v>0.063</v>
      </c>
      <c r="I479" s="13" t="n">
        <v>0.1386</v>
      </c>
    </row>
    <row r="480">
      <c r="A480" s="10" t="inlineStr">
        <is>
          <t>PJ-2020-C</t>
        </is>
      </c>
      <c r="B480" s="10" t="inlineStr">
        <is>
          <t>位置合わせ(MS指定)／月内均等</t>
        </is>
      </c>
      <c r="C480" s="10" t="inlineStr">
        <is>
          <t>2020-11</t>
        </is>
      </c>
      <c r="D480" s="10" t="n">
        <v>5</v>
      </c>
      <c r="E480" s="12" t="n">
        <v>6139.4</v>
      </c>
      <c r="F480" s="12" t="n">
        <v>7717.1</v>
      </c>
      <c r="G480" s="12" t="n">
        <v>-1577.7</v>
      </c>
      <c r="H480" s="13" t="n">
        <v>0.0842</v>
      </c>
      <c r="I480" s="13" t="n">
        <v>0.1653</v>
      </c>
    </row>
    <row r="481">
      <c r="A481" s="10" t="inlineStr">
        <is>
          <t>PJ-2020-C</t>
        </is>
      </c>
      <c r="B481" s="10" t="inlineStr">
        <is>
          <t>位置合わせ(MS指定)／月内均等</t>
        </is>
      </c>
      <c r="C481" s="10" t="inlineStr">
        <is>
          <t>2020-12</t>
        </is>
      </c>
      <c r="D481" s="10" t="n">
        <v>6</v>
      </c>
      <c r="E481" s="12" t="n">
        <v>6747.8</v>
      </c>
      <c r="F481" s="12" t="n">
        <v>7821.7</v>
      </c>
      <c r="G481" s="12" t="n">
        <v>-1073.9</v>
      </c>
      <c r="H481" s="13" t="n">
        <v>0.1076</v>
      </c>
      <c r="I481" s="13" t="n">
        <v>0.1924</v>
      </c>
    </row>
    <row r="482">
      <c r="A482" s="10" t="inlineStr">
        <is>
          <t>PJ-2020-C</t>
        </is>
      </c>
      <c r="B482" s="10" t="inlineStr">
        <is>
          <t>位置合わせ(MS指定)／月内均等</t>
        </is>
      </c>
      <c r="C482" s="10" t="inlineStr">
        <is>
          <t>2021-01</t>
        </is>
      </c>
      <c r="D482" s="10" t="n">
        <v>7</v>
      </c>
      <c r="E482" s="12" t="n">
        <v>7292.9</v>
      </c>
      <c r="F482" s="12" t="n">
        <v>7531.5</v>
      </c>
      <c r="G482" s="12" t="n">
        <v>-238.6</v>
      </c>
      <c r="H482" s="13" t="n">
        <v>0.1328</v>
      </c>
      <c r="I482" s="13" t="n">
        <v>0.2184</v>
      </c>
    </row>
    <row r="483">
      <c r="A483" s="10" t="inlineStr">
        <is>
          <t>PJ-2020-C</t>
        </is>
      </c>
      <c r="B483" s="10" t="inlineStr">
        <is>
          <t>位置合わせ(MS指定)／月内均等</t>
        </is>
      </c>
      <c r="C483" s="10" t="inlineStr">
        <is>
          <t>2021-02</t>
        </is>
      </c>
      <c r="D483" s="10" t="n">
        <v>8</v>
      </c>
      <c r="E483" s="12" t="n">
        <v>7422.6</v>
      </c>
      <c r="F483" s="12" t="n">
        <v>6551.1</v>
      </c>
      <c r="G483" s="12" t="n">
        <v>871.5</v>
      </c>
      <c r="H483" s="13" t="n">
        <v>0.1585</v>
      </c>
      <c r="I483" s="13" t="n">
        <v>0.2411</v>
      </c>
    </row>
    <row r="484">
      <c r="A484" s="10" t="inlineStr">
        <is>
          <t>PJ-2020-C</t>
        </is>
      </c>
      <c r="B484" s="10" t="inlineStr">
        <is>
          <t>位置合わせ(MS指定)／月内均等</t>
        </is>
      </c>
      <c r="C484" s="10" t="inlineStr">
        <is>
          <t>2021-03</t>
        </is>
      </c>
      <c r="D484" s="10" t="n">
        <v>9</v>
      </c>
      <c r="E484" s="12" t="n">
        <v>9018.5</v>
      </c>
      <c r="F484" s="12" t="n">
        <v>7387.7</v>
      </c>
      <c r="G484" s="12" t="n">
        <v>1630.8</v>
      </c>
      <c r="H484" s="13" t="n">
        <v>0.1897</v>
      </c>
      <c r="I484" s="13" t="n">
        <v>0.2666</v>
      </c>
    </row>
    <row r="485">
      <c r="A485" s="10" t="inlineStr">
        <is>
          <t>PJ-2020-C</t>
        </is>
      </c>
      <c r="B485" s="10" t="inlineStr">
        <is>
          <t>位置合わせ(MS指定)／月内均等</t>
        </is>
      </c>
      <c r="C485" s="10" t="inlineStr">
        <is>
          <t>2021-04</t>
        </is>
      </c>
      <c r="D485" s="10" t="n">
        <v>10</v>
      </c>
      <c r="E485" s="12" t="n">
        <v>10132.1</v>
      </c>
      <c r="F485" s="12" t="n">
        <v>6822.6</v>
      </c>
      <c r="G485" s="12" t="n">
        <v>3309.5</v>
      </c>
      <c r="H485" s="13" t="n">
        <v>0.2247</v>
      </c>
      <c r="I485" s="13" t="n">
        <v>0.2903</v>
      </c>
    </row>
    <row r="486">
      <c r="A486" s="10" t="inlineStr">
        <is>
          <t>PJ-2020-C</t>
        </is>
      </c>
      <c r="B486" s="10" t="inlineStr">
        <is>
          <t>位置合わせ(MS指定)／月内均等</t>
        </is>
      </c>
      <c r="C486" s="10" t="inlineStr">
        <is>
          <t>2021-05</t>
        </is>
      </c>
      <c r="D486" s="10" t="n">
        <v>11</v>
      </c>
      <c r="E486" s="12" t="n">
        <v>11638.5</v>
      </c>
      <c r="F486" s="12" t="n">
        <v>6920.5</v>
      </c>
      <c r="G486" s="12" t="n">
        <v>4718</v>
      </c>
      <c r="H486" s="13" t="n">
        <v>0.265</v>
      </c>
      <c r="I486" s="13" t="n">
        <v>0.3142</v>
      </c>
    </row>
    <row r="487">
      <c r="A487" s="10" t="inlineStr">
        <is>
          <t>PJ-2020-C</t>
        </is>
      </c>
      <c r="B487" s="10" t="inlineStr">
        <is>
          <t>位置合わせ(MS指定)／月内均等</t>
        </is>
      </c>
      <c r="C487" s="10" t="inlineStr">
        <is>
          <t>2021-06</t>
        </is>
      </c>
      <c r="D487" s="10" t="n">
        <v>12</v>
      </c>
      <c r="E487" s="12" t="n">
        <v>11807.5</v>
      </c>
      <c r="F487" s="12" t="n">
        <v>7298.5</v>
      </c>
      <c r="G487" s="12" t="n">
        <v>4509</v>
      </c>
      <c r="H487" s="13" t="n">
        <v>0.3059</v>
      </c>
      <c r="I487" s="13" t="n">
        <v>0.3394</v>
      </c>
    </row>
    <row r="488">
      <c r="A488" s="10" t="inlineStr">
        <is>
          <t>PJ-2020-C</t>
        </is>
      </c>
      <c r="B488" s="10" t="inlineStr">
        <is>
          <t>位置合わせ(MS指定)／月内均等</t>
        </is>
      </c>
      <c r="C488" s="10" t="inlineStr">
        <is>
          <t>2021-07</t>
        </is>
      </c>
      <c r="D488" s="10" t="n">
        <v>13</v>
      </c>
      <c r="E488" s="12" t="n">
        <v>13197.3</v>
      </c>
      <c r="F488" s="12" t="n">
        <v>8554.799999999999</v>
      </c>
      <c r="G488" s="12" t="n">
        <v>4642.5</v>
      </c>
      <c r="H488" s="13" t="n">
        <v>0.3515</v>
      </c>
      <c r="I488" s="13" t="n">
        <v>0.369</v>
      </c>
    </row>
    <row r="489">
      <c r="A489" s="10" t="inlineStr">
        <is>
          <t>PJ-2020-C</t>
        </is>
      </c>
      <c r="B489" s="10" t="inlineStr">
        <is>
          <t>位置合わせ(MS指定)／月内均等</t>
        </is>
      </c>
      <c r="C489" s="10" t="inlineStr">
        <is>
          <t>2021-08</t>
        </is>
      </c>
      <c r="D489" s="10" t="n">
        <v>14</v>
      </c>
      <c r="E489" s="12" t="n">
        <v>14524</v>
      </c>
      <c r="F489" s="12" t="n">
        <v>8486.799999999999</v>
      </c>
      <c r="G489" s="12" t="n">
        <v>6037.2</v>
      </c>
      <c r="H489" s="13" t="n">
        <v>0.4018</v>
      </c>
      <c r="I489" s="13" t="n">
        <v>0.3984</v>
      </c>
    </row>
    <row r="490">
      <c r="A490" s="10" t="inlineStr">
        <is>
          <t>PJ-2020-C</t>
        </is>
      </c>
      <c r="B490" s="10" t="inlineStr">
        <is>
          <t>位置合わせ(MS指定)／月内均等</t>
        </is>
      </c>
      <c r="C490" s="10" t="inlineStr">
        <is>
          <t>2021-09</t>
        </is>
      </c>
      <c r="D490" s="10" t="n">
        <v>15</v>
      </c>
      <c r="E490" s="12" t="n">
        <v>18207.7</v>
      </c>
      <c r="F490" s="12" t="n">
        <v>9279.9</v>
      </c>
      <c r="G490" s="12" t="n">
        <v>8927.799999999999</v>
      </c>
      <c r="H490" s="13" t="n">
        <v>0.4648</v>
      </c>
      <c r="I490" s="13" t="n">
        <v>0.4305</v>
      </c>
    </row>
    <row r="491">
      <c r="A491" s="10" t="inlineStr">
        <is>
          <t>PJ-2020-C</t>
        </is>
      </c>
      <c r="B491" s="10" t="inlineStr">
        <is>
          <t>位置合わせ(MS指定)／月内均等</t>
        </is>
      </c>
      <c r="C491" s="10" t="inlineStr">
        <is>
          <t>2021-10</t>
        </is>
      </c>
      <c r="D491" s="10" t="n">
        <v>16</v>
      </c>
      <c r="E491" s="12" t="n">
        <v>21083.1</v>
      </c>
      <c r="F491" s="12" t="n">
        <v>16636.5</v>
      </c>
      <c r="G491" s="12" t="n">
        <v>4446.6</v>
      </c>
      <c r="H491" s="13" t="n">
        <v>0.5377</v>
      </c>
      <c r="I491" s="13" t="n">
        <v>0.4881</v>
      </c>
    </row>
    <row r="492">
      <c r="A492" s="10" t="inlineStr">
        <is>
          <t>PJ-2020-C</t>
        </is>
      </c>
      <c r="B492" s="10" t="inlineStr">
        <is>
          <t>位置合わせ(MS指定)／月内均等</t>
        </is>
      </c>
      <c r="C492" s="10" t="inlineStr">
        <is>
          <t>2021-11</t>
        </is>
      </c>
      <c r="D492" s="10" t="n">
        <v>17</v>
      </c>
      <c r="E492" s="12" t="n">
        <v>20434.4</v>
      </c>
      <c r="F492" s="12" t="n">
        <v>14453.3</v>
      </c>
      <c r="G492" s="12" t="n">
        <v>5981.1</v>
      </c>
      <c r="H492" s="13" t="n">
        <v>0.6084000000000001</v>
      </c>
      <c r="I492" s="13" t="n">
        <v>0.5381</v>
      </c>
    </row>
    <row r="493">
      <c r="A493" s="10" t="inlineStr">
        <is>
          <t>PJ-2020-C</t>
        </is>
      </c>
      <c r="B493" s="10" t="inlineStr">
        <is>
          <t>位置合わせ(MS指定)／月内均等</t>
        </is>
      </c>
      <c r="C493" s="10" t="inlineStr">
        <is>
          <t>2021-12</t>
        </is>
      </c>
      <c r="D493" s="10" t="n">
        <v>18</v>
      </c>
      <c r="E493" s="12" t="n">
        <v>21219.7</v>
      </c>
      <c r="F493" s="12" t="n">
        <v>13884.1</v>
      </c>
      <c r="G493" s="12" t="n">
        <v>7335.6</v>
      </c>
      <c r="H493" s="13" t="n">
        <v>0.6818</v>
      </c>
      <c r="I493" s="13" t="n">
        <v>0.5861</v>
      </c>
    </row>
    <row r="494">
      <c r="A494" s="10" t="inlineStr">
        <is>
          <t>PJ-2020-C</t>
        </is>
      </c>
      <c r="B494" s="10" t="inlineStr">
        <is>
          <t>位置合わせ(MS指定)／月内均等</t>
        </is>
      </c>
      <c r="C494" s="10" t="inlineStr">
        <is>
          <t>2022-01</t>
        </is>
      </c>
      <c r="D494" s="10" t="n">
        <v>19</v>
      </c>
      <c r="E494" s="12" t="n">
        <v>21772.2</v>
      </c>
      <c r="F494" s="12" t="n">
        <v>15419</v>
      </c>
      <c r="G494" s="12" t="n">
        <v>6353.2</v>
      </c>
      <c r="H494" s="13" t="n">
        <v>0.7571</v>
      </c>
      <c r="I494" s="13" t="n">
        <v>0.6395</v>
      </c>
    </row>
    <row r="495">
      <c r="A495" s="10" t="inlineStr">
        <is>
          <t>PJ-2020-C</t>
        </is>
      </c>
      <c r="B495" s="10" t="inlineStr">
        <is>
          <t>位置合わせ(MS指定)／月内均等</t>
        </is>
      </c>
      <c r="C495" s="10" t="inlineStr">
        <is>
          <t>2022-02</t>
        </is>
      </c>
      <c r="D495" s="10" t="n">
        <v>20</v>
      </c>
      <c r="E495" s="12" t="n">
        <v>13504.9</v>
      </c>
      <c r="F495" s="12" t="n">
        <v>8277.799999999999</v>
      </c>
      <c r="G495" s="12" t="n">
        <v>5227.1</v>
      </c>
      <c r="H495" s="13" t="n">
        <v>0.8038999999999999</v>
      </c>
      <c r="I495" s="13" t="n">
        <v>0.6681</v>
      </c>
    </row>
    <row r="496">
      <c r="A496" s="10" t="inlineStr">
        <is>
          <t>PJ-2020-C</t>
        </is>
      </c>
      <c r="B496" s="10" t="inlineStr">
        <is>
          <t>位置合わせ(MS指定)／月内均等</t>
        </is>
      </c>
      <c r="C496" s="10" t="inlineStr">
        <is>
          <t>2022-03</t>
        </is>
      </c>
      <c r="D496" s="10" t="n">
        <v>21</v>
      </c>
      <c r="E496" s="12" t="n">
        <v>8283.6</v>
      </c>
      <c r="F496" s="12" t="n">
        <v>6160.3</v>
      </c>
      <c r="G496" s="12" t="n">
        <v>2123.3</v>
      </c>
      <c r="H496" s="13" t="n">
        <v>0.8325</v>
      </c>
      <c r="I496" s="13" t="n">
        <v>0.6894</v>
      </c>
    </row>
    <row r="497">
      <c r="A497" s="10" t="inlineStr">
        <is>
          <t>PJ-2020-C</t>
        </is>
      </c>
      <c r="B497" s="10" t="inlineStr">
        <is>
          <t>位置合わせ(MS指定)／月内均等</t>
        </is>
      </c>
      <c r="C497" s="10" t="inlineStr">
        <is>
          <t>2022-04</t>
        </is>
      </c>
      <c r="D497" s="10" t="n">
        <v>22</v>
      </c>
      <c r="E497" s="12" t="n">
        <v>7459.4</v>
      </c>
      <c r="F497" s="12" t="n">
        <v>7057.5</v>
      </c>
      <c r="G497" s="12" t="n">
        <v>401.9</v>
      </c>
      <c r="H497" s="13" t="n">
        <v>0.8583</v>
      </c>
      <c r="I497" s="13" t="n">
        <v>0.7138</v>
      </c>
    </row>
    <row r="498">
      <c r="A498" s="10" t="inlineStr">
        <is>
          <t>PJ-2020-C</t>
        </is>
      </c>
      <c r="B498" s="10" t="inlineStr">
        <is>
          <t>位置合わせ(MS指定)／月内均等</t>
        </is>
      </c>
      <c r="C498" s="10" t="inlineStr">
        <is>
          <t>2022-05</t>
        </is>
      </c>
      <c r="D498" s="10" t="n">
        <v>23</v>
      </c>
      <c r="E498" s="12" t="n">
        <v>7031</v>
      </c>
      <c r="F498" s="12" t="n">
        <v>8005.3</v>
      </c>
      <c r="G498" s="12" t="n">
        <v>-974.3</v>
      </c>
      <c r="H498" s="13" t="n">
        <v>0.8826000000000001</v>
      </c>
      <c r="I498" s="13" t="n">
        <v>0.7415</v>
      </c>
    </row>
    <row r="499">
      <c r="A499" s="10" t="inlineStr">
        <is>
          <t>PJ-2020-C</t>
        </is>
      </c>
      <c r="B499" s="10" t="inlineStr">
        <is>
          <t>位置合わせ(MS指定)／月内均等</t>
        </is>
      </c>
      <c r="C499" s="10" t="inlineStr">
        <is>
          <t>2022-06</t>
        </is>
      </c>
      <c r="D499" s="10" t="n">
        <v>24</v>
      </c>
      <c r="E499" s="12" t="n">
        <v>6253.2</v>
      </c>
      <c r="F499" s="12" t="n">
        <v>9533.200000000001</v>
      </c>
      <c r="G499" s="12" t="n">
        <v>-3280</v>
      </c>
      <c r="H499" s="13" t="n">
        <v>0.9043</v>
      </c>
      <c r="I499" s="13" t="n">
        <v>0.7745</v>
      </c>
    </row>
    <row r="500">
      <c r="A500" s="10" t="inlineStr">
        <is>
          <t>PJ-2020-C</t>
        </is>
      </c>
      <c r="B500" s="10" t="inlineStr">
        <is>
          <t>位置合わせ(MS指定)／月内均等</t>
        </is>
      </c>
      <c r="C500" s="10" t="inlineStr">
        <is>
          <t>2022-07</t>
        </is>
      </c>
      <c r="D500" s="10" t="n">
        <v>25</v>
      </c>
      <c r="E500" s="12" t="n">
        <v>5844</v>
      </c>
      <c r="F500" s="12" t="n">
        <v>10920.6</v>
      </c>
      <c r="G500" s="12" t="n">
        <v>-5076.6</v>
      </c>
      <c r="H500" s="13" t="n">
        <v>0.9245</v>
      </c>
      <c r="I500" s="13" t="n">
        <v>0.8123</v>
      </c>
    </row>
    <row r="501">
      <c r="A501" s="10" t="inlineStr">
        <is>
          <t>PJ-2020-C</t>
        </is>
      </c>
      <c r="B501" s="10" t="inlineStr">
        <is>
          <t>位置合わせ(MS指定)／月内均等</t>
        </is>
      </c>
      <c r="C501" s="10" t="inlineStr">
        <is>
          <t>2022-08</t>
        </is>
      </c>
      <c r="D501" s="10" t="n">
        <v>26</v>
      </c>
      <c r="E501" s="12" t="n">
        <v>4966</v>
      </c>
      <c r="F501" s="12" t="n">
        <v>11191.5</v>
      </c>
      <c r="G501" s="12" t="n">
        <v>-6225.5</v>
      </c>
      <c r="H501" s="13" t="n">
        <v>0.9417</v>
      </c>
      <c r="I501" s="13" t="n">
        <v>0.851</v>
      </c>
    </row>
    <row r="502">
      <c r="A502" s="10" t="inlineStr">
        <is>
          <t>PJ-2020-C</t>
        </is>
      </c>
      <c r="B502" s="10" t="inlineStr">
        <is>
          <t>位置合わせ(MS指定)／月内均等</t>
        </is>
      </c>
      <c r="C502" s="10" t="inlineStr">
        <is>
          <t>2022-09</t>
        </is>
      </c>
      <c r="D502" s="10" t="n">
        <v>27</v>
      </c>
      <c r="E502" s="12" t="n">
        <v>4040.5</v>
      </c>
      <c r="F502" s="12" t="n">
        <v>10812.6</v>
      </c>
      <c r="G502" s="12" t="n">
        <v>-6772.1</v>
      </c>
      <c r="H502" s="13" t="n">
        <v>0.9557</v>
      </c>
      <c r="I502" s="13" t="n">
        <v>0.8884</v>
      </c>
    </row>
    <row r="503">
      <c r="A503" s="10" t="inlineStr">
        <is>
          <t>PJ-2020-C</t>
        </is>
      </c>
      <c r="B503" s="10" t="inlineStr">
        <is>
          <t>位置合わせ(MS指定)／月内均等</t>
        </is>
      </c>
      <c r="C503" s="10" t="inlineStr">
        <is>
          <t>2022-10</t>
        </is>
      </c>
      <c r="D503" s="10" t="n">
        <v>28</v>
      </c>
      <c r="E503" s="12" t="n">
        <v>5400.6</v>
      </c>
      <c r="F503" s="12" t="n">
        <v>11977</v>
      </c>
      <c r="G503" s="12" t="n">
        <v>-6576.4</v>
      </c>
      <c r="H503" s="13" t="n">
        <v>0.9743000000000001</v>
      </c>
      <c r="I503" s="13" t="n">
        <v>0.9298</v>
      </c>
    </row>
    <row r="504">
      <c r="A504" s="10" t="inlineStr">
        <is>
          <t>PJ-2020-C</t>
        </is>
      </c>
      <c r="B504" s="10" t="inlineStr">
        <is>
          <t>位置合わせ(MS指定)／月内均等</t>
        </is>
      </c>
      <c r="C504" s="10" t="inlineStr">
        <is>
          <t>2022-11</t>
        </is>
      </c>
      <c r="D504" s="10" t="n">
        <v>29</v>
      </c>
      <c r="E504" s="12" t="n">
        <v>4707.8</v>
      </c>
      <c r="F504" s="12" t="n">
        <v>12035.5</v>
      </c>
      <c r="G504" s="12" t="n">
        <v>-7327.7</v>
      </c>
      <c r="H504" s="13" t="n">
        <v>0.9906</v>
      </c>
      <c r="I504" s="13" t="n">
        <v>0.9715</v>
      </c>
    </row>
    <row r="505">
      <c r="A505" s="10" t="inlineStr">
        <is>
          <t>PJ-2020-C</t>
        </is>
      </c>
      <c r="B505" s="10" t="inlineStr">
        <is>
          <t>位置合わせ(MS指定)／月内均等</t>
        </is>
      </c>
      <c r="C505" s="10" t="inlineStr">
        <is>
          <t>2022-12</t>
        </is>
      </c>
      <c r="D505" s="10" t="n">
        <v>30</v>
      </c>
      <c r="E505" s="12" t="n">
        <v>2708.4</v>
      </c>
      <c r="F505" s="12" t="n">
        <v>8242.299999999999</v>
      </c>
      <c r="G505" s="12" t="n">
        <v>-5533.9</v>
      </c>
      <c r="H505" s="13" t="n">
        <v>1</v>
      </c>
      <c r="I505" s="13" t="n">
        <v>1</v>
      </c>
    </row>
    <row r="506">
      <c r="A506" s="10" t="inlineStr">
        <is>
          <t>PJ-2020-C</t>
        </is>
      </c>
      <c r="B506" s="10" t="inlineStr">
        <is>
          <t>素朴版／単調補間</t>
        </is>
      </c>
      <c r="C506" s="10" t="inlineStr">
        <is>
          <t>2020-07</t>
        </is>
      </c>
      <c r="D506" s="10" t="n">
        <v>1</v>
      </c>
      <c r="E506" s="12" t="n">
        <v>3132</v>
      </c>
      <c r="F506" s="12" t="n">
        <v>9891.799999999999</v>
      </c>
      <c r="G506" s="12" t="n">
        <v>-6759.8</v>
      </c>
      <c r="H506" s="13" t="n">
        <v>0.0108</v>
      </c>
      <c r="I506" s="13" t="n">
        <v>0.0342</v>
      </c>
    </row>
    <row r="507">
      <c r="A507" s="10" t="inlineStr">
        <is>
          <t>PJ-2020-C</t>
        </is>
      </c>
      <c r="B507" s="10" t="inlineStr">
        <is>
          <t>素朴版／単調補間</t>
        </is>
      </c>
      <c r="C507" s="10" t="inlineStr">
        <is>
          <t>2020-08</t>
        </is>
      </c>
      <c r="D507" s="10" t="n">
        <v>2</v>
      </c>
      <c r="E507" s="12" t="n">
        <v>3984.2</v>
      </c>
      <c r="F507" s="12" t="n">
        <v>11800.4</v>
      </c>
      <c r="G507" s="12" t="n">
        <v>-7816.2</v>
      </c>
      <c r="H507" s="13" t="n">
        <v>0.0246</v>
      </c>
      <c r="I507" s="13" t="n">
        <v>0.075</v>
      </c>
    </row>
    <row r="508">
      <c r="A508" s="10" t="inlineStr">
        <is>
          <t>PJ-2020-C</t>
        </is>
      </c>
      <c r="B508" s="10" t="inlineStr">
        <is>
          <t>素朴版／単調補間</t>
        </is>
      </c>
      <c r="C508" s="10" t="inlineStr">
        <is>
          <t>2020-09</t>
        </is>
      </c>
      <c r="D508" s="10" t="n">
        <v>3</v>
      </c>
      <c r="E508" s="12" t="n">
        <v>4746.2</v>
      </c>
      <c r="F508" s="12" t="n">
        <v>9726.200000000001</v>
      </c>
      <c r="G508" s="12" t="n">
        <v>-4980</v>
      </c>
      <c r="H508" s="13" t="n">
        <v>0.041</v>
      </c>
      <c r="I508" s="13" t="n">
        <v>0.1087</v>
      </c>
    </row>
    <row r="509">
      <c r="A509" s="10" t="inlineStr">
        <is>
          <t>PJ-2020-C</t>
        </is>
      </c>
      <c r="B509" s="10" t="inlineStr">
        <is>
          <t>素朴版／単調補間</t>
        </is>
      </c>
      <c r="C509" s="10" t="inlineStr">
        <is>
          <t>2020-10</t>
        </is>
      </c>
      <c r="D509" s="10" t="n">
        <v>4</v>
      </c>
      <c r="E509" s="12" t="n">
        <v>5654.9</v>
      </c>
      <c r="F509" s="12" t="n">
        <v>8645.4</v>
      </c>
      <c r="G509" s="12" t="n">
        <v>-2990.5</v>
      </c>
      <c r="H509" s="13" t="n">
        <v>0.0606</v>
      </c>
      <c r="I509" s="13" t="n">
        <v>0.1386</v>
      </c>
    </row>
    <row r="510">
      <c r="A510" s="10" t="inlineStr">
        <is>
          <t>PJ-2020-C</t>
        </is>
      </c>
      <c r="B510" s="10" t="inlineStr">
        <is>
          <t>素朴版／単調補間</t>
        </is>
      </c>
      <c r="C510" s="10" t="inlineStr">
        <is>
          <t>2020-11</t>
        </is>
      </c>
      <c r="D510" s="10" t="n">
        <v>5</v>
      </c>
      <c r="E510" s="12" t="n">
        <v>6117.7</v>
      </c>
      <c r="F510" s="12" t="n">
        <v>7717.1</v>
      </c>
      <c r="G510" s="12" t="n">
        <v>-1599.4</v>
      </c>
      <c r="H510" s="13" t="n">
        <v>0.0818</v>
      </c>
      <c r="I510" s="13" t="n">
        <v>0.1653</v>
      </c>
    </row>
    <row r="511">
      <c r="A511" s="10" t="inlineStr">
        <is>
          <t>PJ-2020-C</t>
        </is>
      </c>
      <c r="B511" s="10" t="inlineStr">
        <is>
          <t>素朴版／単調補間</t>
        </is>
      </c>
      <c r="C511" s="10" t="inlineStr">
        <is>
          <t>2020-12</t>
        </is>
      </c>
      <c r="D511" s="10" t="n">
        <v>6</v>
      </c>
      <c r="E511" s="12" t="n">
        <v>6531.6</v>
      </c>
      <c r="F511" s="12" t="n">
        <v>7821.7</v>
      </c>
      <c r="G511" s="12" t="n">
        <v>-1290.1</v>
      </c>
      <c r="H511" s="13" t="n">
        <v>0.1044</v>
      </c>
      <c r="I511" s="13" t="n">
        <v>0.1924</v>
      </c>
    </row>
    <row r="512">
      <c r="A512" s="10" t="inlineStr">
        <is>
          <t>PJ-2020-C</t>
        </is>
      </c>
      <c r="B512" s="10" t="inlineStr">
        <is>
          <t>素朴版／単調補間</t>
        </is>
      </c>
      <c r="C512" s="10" t="inlineStr">
        <is>
          <t>2021-01</t>
        </is>
      </c>
      <c r="D512" s="10" t="n">
        <v>7</v>
      </c>
      <c r="E512" s="12" t="n">
        <v>7087.2</v>
      </c>
      <c r="F512" s="12" t="n">
        <v>7531.5</v>
      </c>
      <c r="G512" s="12" t="n">
        <v>-444.3</v>
      </c>
      <c r="H512" s="13" t="n">
        <v>0.1289</v>
      </c>
      <c r="I512" s="13" t="n">
        <v>0.2184</v>
      </c>
    </row>
    <row r="513">
      <c r="A513" s="10" t="inlineStr">
        <is>
          <t>PJ-2020-C</t>
        </is>
      </c>
      <c r="B513" s="10" t="inlineStr">
        <is>
          <t>素朴版／単調補間</t>
        </is>
      </c>
      <c r="C513" s="10" t="inlineStr">
        <is>
          <t>2021-02</t>
        </is>
      </c>
      <c r="D513" s="10" t="n">
        <v>8</v>
      </c>
      <c r="E513" s="12" t="n">
        <v>7225.9</v>
      </c>
      <c r="F513" s="12" t="n">
        <v>6551.1</v>
      </c>
      <c r="G513" s="12" t="n">
        <v>674.8</v>
      </c>
      <c r="H513" s="13" t="n">
        <v>0.1539</v>
      </c>
      <c r="I513" s="13" t="n">
        <v>0.2411</v>
      </c>
    </row>
    <row r="514">
      <c r="A514" s="10" t="inlineStr">
        <is>
          <t>PJ-2020-C</t>
        </is>
      </c>
      <c r="B514" s="10" t="inlineStr">
        <is>
          <t>素朴版／単調補間</t>
        </is>
      </c>
      <c r="C514" s="10" t="inlineStr">
        <is>
          <t>2021-03</t>
        </is>
      </c>
      <c r="D514" s="10" t="n">
        <v>9</v>
      </c>
      <c r="E514" s="12" t="n">
        <v>9368.700000000001</v>
      </c>
      <c r="F514" s="12" t="n">
        <v>7387.7</v>
      </c>
      <c r="G514" s="12" t="n">
        <v>1981</v>
      </c>
      <c r="H514" s="13" t="n">
        <v>0.1863</v>
      </c>
      <c r="I514" s="13" t="n">
        <v>0.2666</v>
      </c>
    </row>
    <row r="515">
      <c r="A515" s="10" t="inlineStr">
        <is>
          <t>PJ-2020-C</t>
        </is>
      </c>
      <c r="B515" s="10" t="inlineStr">
        <is>
          <t>素朴版／単調補間</t>
        </is>
      </c>
      <c r="C515" s="10" t="inlineStr">
        <is>
          <t>2021-04</t>
        </is>
      </c>
      <c r="D515" s="10" t="n">
        <v>10</v>
      </c>
      <c r="E515" s="12" t="n">
        <v>10419.6</v>
      </c>
      <c r="F515" s="12" t="n">
        <v>6822.6</v>
      </c>
      <c r="G515" s="12" t="n">
        <v>3597</v>
      </c>
      <c r="H515" s="13" t="n">
        <v>0.2223</v>
      </c>
      <c r="I515" s="13" t="n">
        <v>0.2903</v>
      </c>
    </row>
    <row r="516">
      <c r="A516" s="10" t="inlineStr">
        <is>
          <t>PJ-2020-C</t>
        </is>
      </c>
      <c r="B516" s="10" t="inlineStr">
        <is>
          <t>素朴版／単調補間</t>
        </is>
      </c>
      <c r="C516" s="10" t="inlineStr">
        <is>
          <t>2021-05</t>
        </is>
      </c>
      <c r="D516" s="10" t="n">
        <v>11</v>
      </c>
      <c r="E516" s="12" t="n">
        <v>11662.7</v>
      </c>
      <c r="F516" s="12" t="n">
        <v>6920.5</v>
      </c>
      <c r="G516" s="12" t="n">
        <v>4742.2</v>
      </c>
      <c r="H516" s="13" t="n">
        <v>0.2627</v>
      </c>
      <c r="I516" s="13" t="n">
        <v>0.3142</v>
      </c>
    </row>
    <row r="517">
      <c r="A517" s="10" t="inlineStr">
        <is>
          <t>PJ-2020-C</t>
        </is>
      </c>
      <c r="B517" s="10" t="inlineStr">
        <is>
          <t>素朴版／単調補間</t>
        </is>
      </c>
      <c r="C517" s="10" t="inlineStr">
        <is>
          <t>2021-06</t>
        </is>
      </c>
      <c r="D517" s="10" t="n">
        <v>12</v>
      </c>
      <c r="E517" s="12" t="n">
        <v>12375</v>
      </c>
      <c r="F517" s="12" t="n">
        <v>7298.5</v>
      </c>
      <c r="G517" s="12" t="n">
        <v>5076.5</v>
      </c>
      <c r="H517" s="13" t="n">
        <v>0.3055</v>
      </c>
      <c r="I517" s="13" t="n">
        <v>0.3394</v>
      </c>
    </row>
    <row r="518">
      <c r="A518" s="10" t="inlineStr">
        <is>
          <t>PJ-2020-C</t>
        </is>
      </c>
      <c r="B518" s="10" t="inlineStr">
        <is>
          <t>素朴版／単調補間</t>
        </is>
      </c>
      <c r="C518" s="10" t="inlineStr">
        <is>
          <t>2021-07</t>
        </is>
      </c>
      <c r="D518" s="10" t="n">
        <v>13</v>
      </c>
      <c r="E518" s="12" t="n">
        <v>13050.6</v>
      </c>
      <c r="F518" s="12" t="n">
        <v>8554.799999999999</v>
      </c>
      <c r="G518" s="12" t="n">
        <v>4495.8</v>
      </c>
      <c r="H518" s="13" t="n">
        <v>0.3507</v>
      </c>
      <c r="I518" s="13" t="n">
        <v>0.369</v>
      </c>
    </row>
    <row r="519">
      <c r="A519" s="10" t="inlineStr">
        <is>
          <t>PJ-2020-C</t>
        </is>
      </c>
      <c r="B519" s="10" t="inlineStr">
        <is>
          <t>素朴版／単調補間</t>
        </is>
      </c>
      <c r="C519" s="10" t="inlineStr">
        <is>
          <t>2021-08</t>
        </is>
      </c>
      <c r="D519" s="10" t="n">
        <v>14</v>
      </c>
      <c r="E519" s="12" t="n">
        <v>11997.4</v>
      </c>
      <c r="F519" s="12" t="n">
        <v>8486.799999999999</v>
      </c>
      <c r="G519" s="12" t="n">
        <v>3510.6</v>
      </c>
      <c r="H519" s="13" t="n">
        <v>0.3922</v>
      </c>
      <c r="I519" s="13" t="n">
        <v>0.3984</v>
      </c>
    </row>
    <row r="520">
      <c r="A520" s="10" t="inlineStr">
        <is>
          <t>PJ-2020-C</t>
        </is>
      </c>
      <c r="B520" s="10" t="inlineStr">
        <is>
          <t>素朴版／単調補間</t>
        </is>
      </c>
      <c r="C520" s="10" t="inlineStr">
        <is>
          <t>2021-09</t>
        </is>
      </c>
      <c r="D520" s="10" t="n">
        <v>15</v>
      </c>
      <c r="E520" s="12" t="n">
        <v>11284.5</v>
      </c>
      <c r="F520" s="12" t="n">
        <v>9279.9</v>
      </c>
      <c r="G520" s="12" t="n">
        <v>2004.6</v>
      </c>
      <c r="H520" s="13" t="n">
        <v>0.4312</v>
      </c>
      <c r="I520" s="13" t="n">
        <v>0.4305</v>
      </c>
    </row>
    <row r="521">
      <c r="A521" s="10" t="inlineStr">
        <is>
          <t>PJ-2020-C</t>
        </is>
      </c>
      <c r="B521" s="10" t="inlineStr">
        <is>
          <t>素朴版／単調補間</t>
        </is>
      </c>
      <c r="C521" s="10" t="inlineStr">
        <is>
          <t>2021-10</t>
        </is>
      </c>
      <c r="D521" s="10" t="n">
        <v>16</v>
      </c>
      <c r="E521" s="12" t="n">
        <v>12703.6</v>
      </c>
      <c r="F521" s="12" t="n">
        <v>16636.5</v>
      </c>
      <c r="G521" s="12" t="n">
        <v>-3932.9</v>
      </c>
      <c r="H521" s="13" t="n">
        <v>0.4752</v>
      </c>
      <c r="I521" s="13" t="n">
        <v>0.4881</v>
      </c>
    </row>
    <row r="522">
      <c r="A522" s="10" t="inlineStr">
        <is>
          <t>PJ-2020-C</t>
        </is>
      </c>
      <c r="B522" s="10" t="inlineStr">
        <is>
          <t>素朴版／単調補間</t>
        </is>
      </c>
      <c r="C522" s="10" t="inlineStr">
        <is>
          <t>2021-11</t>
        </is>
      </c>
      <c r="D522" s="10" t="n">
        <v>17</v>
      </c>
      <c r="E522" s="12" t="n">
        <v>12845.6</v>
      </c>
      <c r="F522" s="12" t="n">
        <v>14453.3</v>
      </c>
      <c r="G522" s="12" t="n">
        <v>-1607.7</v>
      </c>
      <c r="H522" s="13" t="n">
        <v>0.5196</v>
      </c>
      <c r="I522" s="13" t="n">
        <v>0.5381</v>
      </c>
    </row>
    <row r="523">
      <c r="A523" s="10" t="inlineStr">
        <is>
          <t>PJ-2020-C</t>
        </is>
      </c>
      <c r="B523" s="10" t="inlineStr">
        <is>
          <t>素朴版／単調補間</t>
        </is>
      </c>
      <c r="C523" s="10" t="inlineStr">
        <is>
          <t>2021-12</t>
        </is>
      </c>
      <c r="D523" s="10" t="n">
        <v>18</v>
      </c>
      <c r="E523" s="12" t="n">
        <v>14109.1</v>
      </c>
      <c r="F523" s="12" t="n">
        <v>13884.1</v>
      </c>
      <c r="G523" s="12" t="n">
        <v>225</v>
      </c>
      <c r="H523" s="13" t="n">
        <v>0.5684</v>
      </c>
      <c r="I523" s="13" t="n">
        <v>0.5861</v>
      </c>
    </row>
    <row r="524">
      <c r="A524" s="10" t="inlineStr">
        <is>
          <t>PJ-2020-C</t>
        </is>
      </c>
      <c r="B524" s="10" t="inlineStr">
        <is>
          <t>素朴版／単調補間</t>
        </is>
      </c>
      <c r="C524" s="10" t="inlineStr">
        <is>
          <t>2022-01</t>
        </is>
      </c>
      <c r="D524" s="10" t="n">
        <v>19</v>
      </c>
      <c r="E524" s="12" t="n">
        <v>15207.4</v>
      </c>
      <c r="F524" s="12" t="n">
        <v>15419</v>
      </c>
      <c r="G524" s="12" t="n">
        <v>-211.6</v>
      </c>
      <c r="H524" s="13" t="n">
        <v>0.621</v>
      </c>
      <c r="I524" s="13" t="n">
        <v>0.6395</v>
      </c>
    </row>
    <row r="525">
      <c r="A525" s="10" t="inlineStr">
        <is>
          <t>PJ-2020-C</t>
        </is>
      </c>
      <c r="B525" s="10" t="inlineStr">
        <is>
          <t>素朴版／単調補間</t>
        </is>
      </c>
      <c r="C525" s="10" t="inlineStr">
        <is>
          <t>2022-02</t>
        </is>
      </c>
      <c r="D525" s="10" t="n">
        <v>20</v>
      </c>
      <c r="E525" s="12" t="n">
        <v>13899.4</v>
      </c>
      <c r="F525" s="12" t="n">
        <v>8277.799999999999</v>
      </c>
      <c r="G525" s="12" t="n">
        <v>5621.6</v>
      </c>
      <c r="H525" s="13" t="n">
        <v>0.6691</v>
      </c>
      <c r="I525" s="13" t="n">
        <v>0.6681</v>
      </c>
    </row>
    <row r="526">
      <c r="A526" s="10" t="inlineStr">
        <is>
          <t>PJ-2020-C</t>
        </is>
      </c>
      <c r="B526" s="10" t="inlineStr">
        <is>
          <t>素朴版／単調補間</t>
        </is>
      </c>
      <c r="C526" s="10" t="inlineStr">
        <is>
          <t>2022-03</t>
        </is>
      </c>
      <c r="D526" s="10" t="n">
        <v>21</v>
      </c>
      <c r="E526" s="12" t="n">
        <v>14529</v>
      </c>
      <c r="F526" s="12" t="n">
        <v>6160.3</v>
      </c>
      <c r="G526" s="12" t="n">
        <v>8368.700000000001</v>
      </c>
      <c r="H526" s="13" t="n">
        <v>0.7194</v>
      </c>
      <c r="I526" s="13" t="n">
        <v>0.6894</v>
      </c>
    </row>
    <row r="527">
      <c r="A527" s="10" t="inlineStr">
        <is>
          <t>PJ-2020-C</t>
        </is>
      </c>
      <c r="B527" s="10" t="inlineStr">
        <is>
          <t>素朴版／単調補間</t>
        </is>
      </c>
      <c r="C527" s="10" t="inlineStr">
        <is>
          <t>2022-04</t>
        </is>
      </c>
      <c r="D527" s="10" t="n">
        <v>22</v>
      </c>
      <c r="E527" s="12" t="n">
        <v>12754.8</v>
      </c>
      <c r="F527" s="12" t="n">
        <v>7057.5</v>
      </c>
      <c r="G527" s="12" t="n">
        <v>5697.3</v>
      </c>
      <c r="H527" s="13" t="n">
        <v>0.7635</v>
      </c>
      <c r="I527" s="13" t="n">
        <v>0.7138</v>
      </c>
    </row>
    <row r="528">
      <c r="A528" s="10" t="inlineStr">
        <is>
          <t>PJ-2020-C</t>
        </is>
      </c>
      <c r="B528" s="10" t="inlineStr">
        <is>
          <t>素朴版／単調補間</t>
        </is>
      </c>
      <c r="C528" s="10" t="inlineStr">
        <is>
          <t>2022-05</t>
        </is>
      </c>
      <c r="D528" s="10" t="n">
        <v>23</v>
      </c>
      <c r="E528" s="12" t="n">
        <v>13053.9</v>
      </c>
      <c r="F528" s="12" t="n">
        <v>8005.3</v>
      </c>
      <c r="G528" s="12" t="n">
        <v>5048.6</v>
      </c>
      <c r="H528" s="13" t="n">
        <v>0.8087</v>
      </c>
      <c r="I528" s="13" t="n">
        <v>0.7415</v>
      </c>
    </row>
    <row r="529">
      <c r="A529" s="10" t="inlineStr">
        <is>
          <t>PJ-2020-C</t>
        </is>
      </c>
      <c r="B529" s="10" t="inlineStr">
        <is>
          <t>素朴版／単調補間</t>
        </is>
      </c>
      <c r="C529" s="10" t="inlineStr">
        <is>
          <t>2022-06</t>
        </is>
      </c>
      <c r="D529" s="10" t="n">
        <v>24</v>
      </c>
      <c r="E529" s="12" t="n">
        <v>12663</v>
      </c>
      <c r="F529" s="12" t="n">
        <v>9533.200000000001</v>
      </c>
      <c r="G529" s="12" t="n">
        <v>3129.8</v>
      </c>
      <c r="H529" s="13" t="n">
        <v>0.8525</v>
      </c>
      <c r="I529" s="13" t="n">
        <v>0.7745</v>
      </c>
    </row>
    <row r="530">
      <c r="A530" s="10" t="inlineStr">
        <is>
          <t>PJ-2020-C</t>
        </is>
      </c>
      <c r="B530" s="10" t="inlineStr">
        <is>
          <t>素朴版／単調補間</t>
        </is>
      </c>
      <c r="C530" s="10" t="inlineStr">
        <is>
          <t>2022-07</t>
        </is>
      </c>
      <c r="D530" s="10" t="n">
        <v>25</v>
      </c>
      <c r="E530" s="12" t="n">
        <v>12393.3</v>
      </c>
      <c r="F530" s="12" t="n">
        <v>10920.6</v>
      </c>
      <c r="G530" s="12" t="n">
        <v>1472.7</v>
      </c>
      <c r="H530" s="13" t="n">
        <v>0.8954</v>
      </c>
      <c r="I530" s="13" t="n">
        <v>0.8123</v>
      </c>
    </row>
    <row r="531">
      <c r="A531" s="10" t="inlineStr">
        <is>
          <t>PJ-2020-C</t>
        </is>
      </c>
      <c r="B531" s="10" t="inlineStr">
        <is>
          <t>素朴版／単調補間</t>
        </is>
      </c>
      <c r="C531" s="10" t="inlineStr">
        <is>
          <t>2022-08</t>
        </is>
      </c>
      <c r="D531" s="10" t="n">
        <v>26</v>
      </c>
      <c r="E531" s="12" t="n">
        <v>9904.1</v>
      </c>
      <c r="F531" s="12" t="n">
        <v>11191.5</v>
      </c>
      <c r="G531" s="12" t="n">
        <v>-1287.4</v>
      </c>
      <c r="H531" s="13" t="n">
        <v>0.9296</v>
      </c>
      <c r="I531" s="13" t="n">
        <v>0.851</v>
      </c>
    </row>
    <row r="532">
      <c r="A532" s="10" t="inlineStr">
        <is>
          <t>PJ-2020-C</t>
        </is>
      </c>
      <c r="B532" s="10" t="inlineStr">
        <is>
          <t>素朴版／単調補間</t>
        </is>
      </c>
      <c r="C532" s="10" t="inlineStr">
        <is>
          <t>2022-09</t>
        </is>
      </c>
      <c r="D532" s="10" t="n">
        <v>27</v>
      </c>
      <c r="E532" s="12" t="n">
        <v>7485.3</v>
      </c>
      <c r="F532" s="12" t="n">
        <v>10812.6</v>
      </c>
      <c r="G532" s="12" t="n">
        <v>-3327.3</v>
      </c>
      <c r="H532" s="13" t="n">
        <v>0.9555</v>
      </c>
      <c r="I532" s="13" t="n">
        <v>0.8884</v>
      </c>
    </row>
    <row r="533">
      <c r="A533" s="10" t="inlineStr">
        <is>
          <t>PJ-2020-C</t>
        </is>
      </c>
      <c r="B533" s="10" t="inlineStr">
        <is>
          <t>素朴版／単調補間</t>
        </is>
      </c>
      <c r="C533" s="10" t="inlineStr">
        <is>
          <t>2022-10</t>
        </is>
      </c>
      <c r="D533" s="10" t="n">
        <v>28</v>
      </c>
      <c r="E533" s="12" t="n">
        <v>6270.1</v>
      </c>
      <c r="F533" s="12" t="n">
        <v>11977</v>
      </c>
      <c r="G533" s="12" t="n">
        <v>-5706.9</v>
      </c>
      <c r="H533" s="13" t="n">
        <v>0.9772</v>
      </c>
      <c r="I533" s="13" t="n">
        <v>0.9298</v>
      </c>
    </row>
    <row r="534">
      <c r="A534" s="10" t="inlineStr">
        <is>
          <t>PJ-2020-C</t>
        </is>
      </c>
      <c r="B534" s="10" t="inlineStr">
        <is>
          <t>素朴版／単調補間</t>
        </is>
      </c>
      <c r="C534" s="10" t="inlineStr">
        <is>
          <t>2022-11</t>
        </is>
      </c>
      <c r="D534" s="10" t="n">
        <v>29</v>
      </c>
      <c r="E534" s="12" t="n">
        <v>4326.5</v>
      </c>
      <c r="F534" s="12" t="n">
        <v>12035.5</v>
      </c>
      <c r="G534" s="12" t="n">
        <v>-7709</v>
      </c>
      <c r="H534" s="13" t="n">
        <v>0.9922</v>
      </c>
      <c r="I534" s="13" t="n">
        <v>0.9715</v>
      </c>
    </row>
    <row r="535">
      <c r="A535" s="10" t="inlineStr">
        <is>
          <t>PJ-2020-C</t>
        </is>
      </c>
      <c r="B535" s="10" t="inlineStr">
        <is>
          <t>素朴版／単調補間</t>
        </is>
      </c>
      <c r="C535" s="10" t="inlineStr">
        <is>
          <t>2022-12</t>
        </is>
      </c>
      <c r="D535" s="10" t="n">
        <v>30</v>
      </c>
      <c r="E535" s="12" t="n">
        <v>2259.2</v>
      </c>
      <c r="F535" s="12" t="n">
        <v>8242.299999999999</v>
      </c>
      <c r="G535" s="12" t="n">
        <v>-5983.1</v>
      </c>
      <c r="H535" s="13" t="n">
        <v>1</v>
      </c>
      <c r="I535" s="13" t="n">
        <v>1</v>
      </c>
    </row>
    <row r="536">
      <c r="A536" s="10" t="inlineStr">
        <is>
          <t>PJ-2020-C</t>
        </is>
      </c>
      <c r="B536" s="10" t="inlineStr">
        <is>
          <t>位置合わせ(MS学習値)／単調補間</t>
        </is>
      </c>
      <c r="C536" s="10" t="inlineStr">
        <is>
          <t>2020-07</t>
        </is>
      </c>
      <c r="D536" s="10" t="n">
        <v>1</v>
      </c>
      <c r="E536" s="12" t="n">
        <v>3140.2</v>
      </c>
      <c r="F536" s="12" t="n">
        <v>9891.799999999999</v>
      </c>
      <c r="G536" s="12" t="n">
        <v>-6751.6</v>
      </c>
      <c r="H536" s="13" t="n">
        <v>0.0109</v>
      </c>
      <c r="I536" s="13" t="n">
        <v>0.0342</v>
      </c>
    </row>
    <row r="537">
      <c r="A537" s="10" t="inlineStr">
        <is>
          <t>PJ-2020-C</t>
        </is>
      </c>
      <c r="B537" s="10" t="inlineStr">
        <is>
          <t>位置合わせ(MS学習値)／単調補間</t>
        </is>
      </c>
      <c r="C537" s="10" t="inlineStr">
        <is>
          <t>2020-08</t>
        </is>
      </c>
      <c r="D537" s="10" t="n">
        <v>2</v>
      </c>
      <c r="E537" s="12" t="n">
        <v>3905.8</v>
      </c>
      <c r="F537" s="12" t="n">
        <v>11800.4</v>
      </c>
      <c r="G537" s="12" t="n">
        <v>-7894.6</v>
      </c>
      <c r="H537" s="13" t="n">
        <v>0.0244</v>
      </c>
      <c r="I537" s="13" t="n">
        <v>0.075</v>
      </c>
    </row>
    <row r="538">
      <c r="A538" s="10" t="inlineStr">
        <is>
          <t>PJ-2020-C</t>
        </is>
      </c>
      <c r="B538" s="10" t="inlineStr">
        <is>
          <t>位置合わせ(MS学習値)／単調補間</t>
        </is>
      </c>
      <c r="C538" s="10" t="inlineStr">
        <is>
          <t>2020-09</t>
        </is>
      </c>
      <c r="D538" s="10" t="n">
        <v>3</v>
      </c>
      <c r="E538" s="12" t="n">
        <v>4705.9</v>
      </c>
      <c r="F538" s="12" t="n">
        <v>9726.200000000001</v>
      </c>
      <c r="G538" s="12" t="n">
        <v>-5020.3</v>
      </c>
      <c r="H538" s="13" t="n">
        <v>0.0407</v>
      </c>
      <c r="I538" s="13" t="n">
        <v>0.1087</v>
      </c>
    </row>
    <row r="539">
      <c r="A539" s="10" t="inlineStr">
        <is>
          <t>PJ-2020-C</t>
        </is>
      </c>
      <c r="B539" s="10" t="inlineStr">
        <is>
          <t>位置合わせ(MS学習値)／単調補間</t>
        </is>
      </c>
      <c r="C539" s="10" t="inlineStr">
        <is>
          <t>2020-10</t>
        </is>
      </c>
      <c r="D539" s="10" t="n">
        <v>4</v>
      </c>
      <c r="E539" s="12" t="n">
        <v>5507.9</v>
      </c>
      <c r="F539" s="12" t="n">
        <v>8645.4</v>
      </c>
      <c r="G539" s="12" t="n">
        <v>-3137.5</v>
      </c>
      <c r="H539" s="13" t="n">
        <v>0.0597</v>
      </c>
      <c r="I539" s="13" t="n">
        <v>0.1386</v>
      </c>
    </row>
    <row r="540">
      <c r="A540" s="10" t="inlineStr">
        <is>
          <t>PJ-2020-C</t>
        </is>
      </c>
      <c r="B540" s="10" t="inlineStr">
        <is>
          <t>位置合わせ(MS学習値)／単調補間</t>
        </is>
      </c>
      <c r="C540" s="10" t="inlineStr">
        <is>
          <t>2020-11</t>
        </is>
      </c>
      <c r="D540" s="10" t="n">
        <v>5</v>
      </c>
      <c r="E540" s="12" t="n">
        <v>6027.1</v>
      </c>
      <c r="F540" s="12" t="n">
        <v>7717.1</v>
      </c>
      <c r="G540" s="12" t="n">
        <v>-1690</v>
      </c>
      <c r="H540" s="13" t="n">
        <v>0.0806</v>
      </c>
      <c r="I540" s="13" t="n">
        <v>0.1653</v>
      </c>
    </row>
    <row r="541">
      <c r="A541" s="10" t="inlineStr">
        <is>
          <t>PJ-2020-C</t>
        </is>
      </c>
      <c r="B541" s="10" t="inlineStr">
        <is>
          <t>位置合わせ(MS学習値)／単調補間</t>
        </is>
      </c>
      <c r="C541" s="10" t="inlineStr">
        <is>
          <t>2020-12</t>
        </is>
      </c>
      <c r="D541" s="10" t="n">
        <v>6</v>
      </c>
      <c r="E541" s="12" t="n">
        <v>6367.3</v>
      </c>
      <c r="F541" s="12" t="n">
        <v>7821.7</v>
      </c>
      <c r="G541" s="12" t="n">
        <v>-1454.4</v>
      </c>
      <c r="H541" s="13" t="n">
        <v>0.1026</v>
      </c>
      <c r="I541" s="13" t="n">
        <v>0.1924</v>
      </c>
    </row>
    <row r="542">
      <c r="A542" s="10" t="inlineStr">
        <is>
          <t>PJ-2020-C</t>
        </is>
      </c>
      <c r="B542" s="10" t="inlineStr">
        <is>
          <t>位置合わせ(MS学習値)／単調補間</t>
        </is>
      </c>
      <c r="C542" s="10" t="inlineStr">
        <is>
          <t>2021-01</t>
        </is>
      </c>
      <c r="D542" s="10" t="n">
        <v>7</v>
      </c>
      <c r="E542" s="12" t="n">
        <v>6974.7</v>
      </c>
      <c r="F542" s="12" t="n">
        <v>7531.5</v>
      </c>
      <c r="G542" s="12" t="n">
        <v>-556.8</v>
      </c>
      <c r="H542" s="13" t="n">
        <v>0.1267</v>
      </c>
      <c r="I542" s="13" t="n">
        <v>0.2184</v>
      </c>
    </row>
    <row r="543">
      <c r="A543" s="10" t="inlineStr">
        <is>
          <t>PJ-2020-C</t>
        </is>
      </c>
      <c r="B543" s="10" t="inlineStr">
        <is>
          <t>位置合わせ(MS学習値)／単調補間</t>
        </is>
      </c>
      <c r="C543" s="10" t="inlineStr">
        <is>
          <t>2021-02</t>
        </is>
      </c>
      <c r="D543" s="10" t="n">
        <v>8</v>
      </c>
      <c r="E543" s="12" t="n">
        <v>6961.8</v>
      </c>
      <c r="F543" s="12" t="n">
        <v>6551.1</v>
      </c>
      <c r="G543" s="12" t="n">
        <v>410.7</v>
      </c>
      <c r="H543" s="13" t="n">
        <v>0.1508</v>
      </c>
      <c r="I543" s="13" t="n">
        <v>0.2411</v>
      </c>
    </row>
    <row r="544">
      <c r="A544" s="10" t="inlineStr">
        <is>
          <t>PJ-2020-C</t>
        </is>
      </c>
      <c r="B544" s="10" t="inlineStr">
        <is>
          <t>位置合わせ(MS学習値)／単調補間</t>
        </is>
      </c>
      <c r="C544" s="10" t="inlineStr">
        <is>
          <t>2021-03</t>
        </is>
      </c>
      <c r="D544" s="10" t="n">
        <v>9</v>
      </c>
      <c r="E544" s="12" t="n">
        <v>8359</v>
      </c>
      <c r="F544" s="12" t="n">
        <v>7387.7</v>
      </c>
      <c r="G544" s="12" t="n">
        <v>971.3</v>
      </c>
      <c r="H544" s="13" t="n">
        <v>0.1797</v>
      </c>
      <c r="I544" s="13" t="n">
        <v>0.2666</v>
      </c>
    </row>
    <row r="545">
      <c r="A545" s="10" t="inlineStr">
        <is>
          <t>PJ-2020-C</t>
        </is>
      </c>
      <c r="B545" s="10" t="inlineStr">
        <is>
          <t>位置合わせ(MS学習値)／単調補間</t>
        </is>
      </c>
      <c r="C545" s="10" t="inlineStr">
        <is>
          <t>2021-04</t>
        </is>
      </c>
      <c r="D545" s="10" t="n">
        <v>10</v>
      </c>
      <c r="E545" s="12" t="n">
        <v>9529.799999999999</v>
      </c>
      <c r="F545" s="12" t="n">
        <v>6822.6</v>
      </c>
      <c r="G545" s="12" t="n">
        <v>2707.2</v>
      </c>
      <c r="H545" s="13" t="n">
        <v>0.2127</v>
      </c>
      <c r="I545" s="13" t="n">
        <v>0.2903</v>
      </c>
    </row>
    <row r="546">
      <c r="A546" s="10" t="inlineStr">
        <is>
          <t>PJ-2020-C</t>
        </is>
      </c>
      <c r="B546" s="10" t="inlineStr">
        <is>
          <t>位置合わせ(MS学習値)／単調補間</t>
        </is>
      </c>
      <c r="C546" s="10" t="inlineStr">
        <is>
          <t>2021-05</t>
        </is>
      </c>
      <c r="D546" s="10" t="n">
        <v>11</v>
      </c>
      <c r="E546" s="12" t="n">
        <v>11027.7</v>
      </c>
      <c r="F546" s="12" t="n">
        <v>6920.5</v>
      </c>
      <c r="G546" s="12" t="n">
        <v>4107.2</v>
      </c>
      <c r="H546" s="13" t="n">
        <v>0.2509</v>
      </c>
      <c r="I546" s="13" t="n">
        <v>0.3142</v>
      </c>
    </row>
    <row r="547">
      <c r="A547" s="10" t="inlineStr">
        <is>
          <t>PJ-2020-C</t>
        </is>
      </c>
      <c r="B547" s="10" t="inlineStr">
        <is>
          <t>位置合わせ(MS学習値)／単調補間</t>
        </is>
      </c>
      <c r="C547" s="10" t="inlineStr">
        <is>
          <t>2021-06</t>
        </is>
      </c>
      <c r="D547" s="10" t="n">
        <v>12</v>
      </c>
      <c r="E547" s="12" t="n">
        <v>11244.1</v>
      </c>
      <c r="F547" s="12" t="n">
        <v>7298.5</v>
      </c>
      <c r="G547" s="12" t="n">
        <v>3945.6</v>
      </c>
      <c r="H547" s="13" t="n">
        <v>0.2898</v>
      </c>
      <c r="I547" s="13" t="n">
        <v>0.3394</v>
      </c>
    </row>
    <row r="548">
      <c r="A548" s="10" t="inlineStr">
        <is>
          <t>PJ-2020-C</t>
        </is>
      </c>
      <c r="B548" s="10" t="inlineStr">
        <is>
          <t>位置合わせ(MS学習値)／単調補間</t>
        </is>
      </c>
      <c r="C548" s="10" t="inlineStr">
        <is>
          <t>2021-07</t>
        </is>
      </c>
      <c r="D548" s="10" t="n">
        <v>13</v>
      </c>
      <c r="E548" s="12" t="n">
        <v>12430.7</v>
      </c>
      <c r="F548" s="12" t="n">
        <v>8554.799999999999</v>
      </c>
      <c r="G548" s="12" t="n">
        <v>3875.9</v>
      </c>
      <c r="H548" s="13" t="n">
        <v>0.3328</v>
      </c>
      <c r="I548" s="13" t="n">
        <v>0.369</v>
      </c>
    </row>
    <row r="549">
      <c r="A549" s="10" t="inlineStr">
        <is>
          <t>PJ-2020-C</t>
        </is>
      </c>
      <c r="B549" s="10" t="inlineStr">
        <is>
          <t>位置合わせ(MS学習値)／単調補間</t>
        </is>
      </c>
      <c r="C549" s="10" t="inlineStr">
        <is>
          <t>2021-08</t>
        </is>
      </c>
      <c r="D549" s="10" t="n">
        <v>14</v>
      </c>
      <c r="E549" s="12" t="n">
        <v>13407.4</v>
      </c>
      <c r="F549" s="12" t="n">
        <v>8486.799999999999</v>
      </c>
      <c r="G549" s="12" t="n">
        <v>4920.6</v>
      </c>
      <c r="H549" s="13" t="n">
        <v>0.3791</v>
      </c>
      <c r="I549" s="13" t="n">
        <v>0.3984</v>
      </c>
    </row>
    <row r="550">
      <c r="A550" s="10" t="inlineStr">
        <is>
          <t>PJ-2020-C</t>
        </is>
      </c>
      <c r="B550" s="10" t="inlineStr">
        <is>
          <t>位置合わせ(MS学習値)／単調補間</t>
        </is>
      </c>
      <c r="C550" s="10" t="inlineStr">
        <is>
          <t>2021-09</t>
        </is>
      </c>
      <c r="D550" s="10" t="n">
        <v>15</v>
      </c>
      <c r="E550" s="12" t="n">
        <v>14107.3</v>
      </c>
      <c r="F550" s="12" t="n">
        <v>9279.9</v>
      </c>
      <c r="G550" s="12" t="n">
        <v>4827.4</v>
      </c>
      <c r="H550" s="13" t="n">
        <v>0.428</v>
      </c>
      <c r="I550" s="13" t="n">
        <v>0.4305</v>
      </c>
    </row>
    <row r="551">
      <c r="A551" s="10" t="inlineStr">
        <is>
          <t>PJ-2020-C</t>
        </is>
      </c>
      <c r="B551" s="10" t="inlineStr">
        <is>
          <t>位置合わせ(MS学習値)／単調補間</t>
        </is>
      </c>
      <c r="C551" s="10" t="inlineStr">
        <is>
          <t>2021-10</t>
        </is>
      </c>
      <c r="D551" s="10" t="n">
        <v>16</v>
      </c>
      <c r="E551" s="12" t="n">
        <v>14489.9</v>
      </c>
      <c r="F551" s="12" t="n">
        <v>16636.5</v>
      </c>
      <c r="G551" s="12" t="n">
        <v>-2146.6</v>
      </c>
      <c r="H551" s="13" t="n">
        <v>0.4781</v>
      </c>
      <c r="I551" s="13" t="n">
        <v>0.4881</v>
      </c>
    </row>
    <row r="552">
      <c r="A552" s="10" t="inlineStr">
        <is>
          <t>PJ-2020-C</t>
        </is>
      </c>
      <c r="B552" s="10" t="inlineStr">
        <is>
          <t>位置合わせ(MS学習値)／単調補間</t>
        </is>
      </c>
      <c r="C552" s="10" t="inlineStr">
        <is>
          <t>2021-11</t>
        </is>
      </c>
      <c r="D552" s="10" t="n">
        <v>17</v>
      </c>
      <c r="E552" s="12" t="n">
        <v>13682</v>
      </c>
      <c r="F552" s="12" t="n">
        <v>14453.3</v>
      </c>
      <c r="G552" s="12" t="n">
        <v>-771.3</v>
      </c>
      <c r="H552" s="13" t="n">
        <v>0.5254</v>
      </c>
      <c r="I552" s="13" t="n">
        <v>0.5381</v>
      </c>
    </row>
    <row r="553">
      <c r="A553" s="10" t="inlineStr">
        <is>
          <t>PJ-2020-C</t>
        </is>
      </c>
      <c r="B553" s="10" t="inlineStr">
        <is>
          <t>位置合わせ(MS学習値)／単調補間</t>
        </is>
      </c>
      <c r="C553" s="10" t="inlineStr">
        <is>
          <t>2021-12</t>
        </is>
      </c>
      <c r="D553" s="10" t="n">
        <v>18</v>
      </c>
      <c r="E553" s="12" t="n">
        <v>14154.8</v>
      </c>
      <c r="F553" s="12" t="n">
        <v>13884.1</v>
      </c>
      <c r="G553" s="12" t="n">
        <v>270.7</v>
      </c>
      <c r="H553" s="13" t="n">
        <v>0.5744</v>
      </c>
      <c r="I553" s="13" t="n">
        <v>0.5861</v>
      </c>
    </row>
    <row r="554">
      <c r="A554" s="10" t="inlineStr">
        <is>
          <t>PJ-2020-C</t>
        </is>
      </c>
      <c r="B554" s="10" t="inlineStr">
        <is>
          <t>位置合わせ(MS学習値)／単調補間</t>
        </is>
      </c>
      <c r="C554" s="10" t="inlineStr">
        <is>
          <t>2022-01</t>
        </is>
      </c>
      <c r="D554" s="10" t="n">
        <v>19</v>
      </c>
      <c r="E554" s="12" t="n">
        <v>14195.2</v>
      </c>
      <c r="F554" s="12" t="n">
        <v>15419</v>
      </c>
      <c r="G554" s="12" t="n">
        <v>-1223.8</v>
      </c>
      <c r="H554" s="13" t="n">
        <v>0.6235000000000001</v>
      </c>
      <c r="I554" s="13" t="n">
        <v>0.6395</v>
      </c>
    </row>
    <row r="555">
      <c r="A555" s="10" t="inlineStr">
        <is>
          <t>PJ-2020-C</t>
        </is>
      </c>
      <c r="B555" s="10" t="inlineStr">
        <is>
          <t>位置合わせ(MS学習値)／単調補間</t>
        </is>
      </c>
      <c r="C555" s="10" t="inlineStr">
        <is>
          <t>2022-02</t>
        </is>
      </c>
      <c r="D555" s="10" t="n">
        <v>20</v>
      </c>
      <c r="E555" s="12" t="n">
        <v>12895.8</v>
      </c>
      <c r="F555" s="12" t="n">
        <v>8277.799999999999</v>
      </c>
      <c r="G555" s="12" t="n">
        <v>4618</v>
      </c>
      <c r="H555" s="13" t="n">
        <v>0.6681</v>
      </c>
      <c r="I555" s="13" t="n">
        <v>0.6681</v>
      </c>
    </row>
    <row r="556">
      <c r="A556" s="10" t="inlineStr">
        <is>
          <t>PJ-2020-C</t>
        </is>
      </c>
      <c r="B556" s="10" t="inlineStr">
        <is>
          <t>位置合わせ(MS学習値)／単調補間</t>
        </is>
      </c>
      <c r="C556" s="10" t="inlineStr">
        <is>
          <t>2022-03</t>
        </is>
      </c>
      <c r="D556" s="10" t="n">
        <v>21</v>
      </c>
      <c r="E556" s="12" t="n">
        <v>14740.4</v>
      </c>
      <c r="F556" s="12" t="n">
        <v>6160.3</v>
      </c>
      <c r="G556" s="12" t="n">
        <v>8580.1</v>
      </c>
      <c r="H556" s="13" t="n">
        <v>0.7191</v>
      </c>
      <c r="I556" s="13" t="n">
        <v>0.6894</v>
      </c>
    </row>
    <row r="557">
      <c r="A557" s="10" t="inlineStr">
        <is>
          <t>PJ-2020-C</t>
        </is>
      </c>
      <c r="B557" s="10" t="inlineStr">
        <is>
          <t>位置合わせ(MS学習値)／単調補間</t>
        </is>
      </c>
      <c r="C557" s="10" t="inlineStr">
        <is>
          <t>2022-04</t>
        </is>
      </c>
      <c r="D557" s="10" t="n">
        <v>22</v>
      </c>
      <c r="E557" s="12" t="n">
        <v>13827</v>
      </c>
      <c r="F557" s="12" t="n">
        <v>7057.5</v>
      </c>
      <c r="G557" s="12" t="n">
        <v>6769.5</v>
      </c>
      <c r="H557" s="13" t="n">
        <v>0.767</v>
      </c>
      <c r="I557" s="13" t="n">
        <v>0.7138</v>
      </c>
    </row>
    <row r="558">
      <c r="A558" s="10" t="inlineStr">
        <is>
          <t>PJ-2020-C</t>
        </is>
      </c>
      <c r="B558" s="10" t="inlineStr">
        <is>
          <t>位置合わせ(MS学習値)／単調補間</t>
        </is>
      </c>
      <c r="C558" s="10" t="inlineStr">
        <is>
          <t>2022-05</t>
        </is>
      </c>
      <c r="D558" s="10" t="n">
        <v>23</v>
      </c>
      <c r="E558" s="12" t="n">
        <v>14603.5</v>
      </c>
      <c r="F558" s="12" t="n">
        <v>8005.3</v>
      </c>
      <c r="G558" s="12" t="n">
        <v>6598.2</v>
      </c>
      <c r="H558" s="13" t="n">
        <v>0.8175</v>
      </c>
      <c r="I558" s="13" t="n">
        <v>0.7415</v>
      </c>
    </row>
    <row r="559">
      <c r="A559" s="10" t="inlineStr">
        <is>
          <t>PJ-2020-C</t>
        </is>
      </c>
      <c r="B559" s="10" t="inlineStr">
        <is>
          <t>位置合わせ(MS学習値)／単調補間</t>
        </is>
      </c>
      <c r="C559" s="10" t="inlineStr">
        <is>
          <t>2022-06</t>
        </is>
      </c>
      <c r="D559" s="10" t="n">
        <v>24</v>
      </c>
      <c r="E559" s="12" t="n">
        <v>12097.7</v>
      </c>
      <c r="F559" s="12" t="n">
        <v>9533.200000000001</v>
      </c>
      <c r="G559" s="12" t="n">
        <v>2564.5</v>
      </c>
      <c r="H559" s="13" t="n">
        <v>0.8593</v>
      </c>
      <c r="I559" s="13" t="n">
        <v>0.7745</v>
      </c>
    </row>
    <row r="560">
      <c r="A560" s="10" t="inlineStr">
        <is>
          <t>PJ-2020-C</t>
        </is>
      </c>
      <c r="B560" s="10" t="inlineStr">
        <is>
          <t>位置合わせ(MS学習値)／単調補間</t>
        </is>
      </c>
      <c r="C560" s="10" t="inlineStr">
        <is>
          <t>2022-07</t>
        </is>
      </c>
      <c r="D560" s="10" t="n">
        <v>25</v>
      </c>
      <c r="E560" s="12" t="n">
        <v>11494</v>
      </c>
      <c r="F560" s="12" t="n">
        <v>10920.6</v>
      </c>
      <c r="G560" s="12" t="n">
        <v>573.4</v>
      </c>
      <c r="H560" s="13" t="n">
        <v>0.8991</v>
      </c>
      <c r="I560" s="13" t="n">
        <v>0.8123</v>
      </c>
    </row>
    <row r="561">
      <c r="A561" s="10" t="inlineStr">
        <is>
          <t>PJ-2020-C</t>
        </is>
      </c>
      <c r="B561" s="10" t="inlineStr">
        <is>
          <t>位置合わせ(MS学習値)／単調補間</t>
        </is>
      </c>
      <c r="C561" s="10" t="inlineStr">
        <is>
          <t>2022-08</t>
        </is>
      </c>
      <c r="D561" s="10" t="n">
        <v>26</v>
      </c>
      <c r="E561" s="12" t="n">
        <v>9094</v>
      </c>
      <c r="F561" s="12" t="n">
        <v>11191.5</v>
      </c>
      <c r="G561" s="12" t="n">
        <v>-2097.5</v>
      </c>
      <c r="H561" s="13" t="n">
        <v>0.9306</v>
      </c>
      <c r="I561" s="13" t="n">
        <v>0.851</v>
      </c>
    </row>
    <row r="562">
      <c r="A562" s="10" t="inlineStr">
        <is>
          <t>PJ-2020-C</t>
        </is>
      </c>
      <c r="B562" s="10" t="inlineStr">
        <is>
          <t>位置合わせ(MS学習値)／単調補間</t>
        </is>
      </c>
      <c r="C562" s="10" t="inlineStr">
        <is>
          <t>2022-09</t>
        </is>
      </c>
      <c r="D562" s="10" t="n">
        <v>27</v>
      </c>
      <c r="E562" s="12" t="n">
        <v>7098.5</v>
      </c>
      <c r="F562" s="12" t="n">
        <v>10812.6</v>
      </c>
      <c r="G562" s="12" t="n">
        <v>-3714.1</v>
      </c>
      <c r="H562" s="13" t="n">
        <v>0.9550999999999999</v>
      </c>
      <c r="I562" s="13" t="n">
        <v>0.8884</v>
      </c>
    </row>
    <row r="563">
      <c r="A563" s="10" t="inlineStr">
        <is>
          <t>PJ-2020-C</t>
        </is>
      </c>
      <c r="B563" s="10" t="inlineStr">
        <is>
          <t>位置合わせ(MS学習値)／単調補間</t>
        </is>
      </c>
      <c r="C563" s="10" t="inlineStr">
        <is>
          <t>2022-10</t>
        </is>
      </c>
      <c r="D563" s="10" t="n">
        <v>28</v>
      </c>
      <c r="E563" s="12" t="n">
        <v>6438.2</v>
      </c>
      <c r="F563" s="12" t="n">
        <v>11977</v>
      </c>
      <c r="G563" s="12" t="n">
        <v>-5538.8</v>
      </c>
      <c r="H563" s="13" t="n">
        <v>0.9774</v>
      </c>
      <c r="I563" s="13" t="n">
        <v>0.9298</v>
      </c>
    </row>
    <row r="564">
      <c r="A564" s="10" t="inlineStr">
        <is>
          <t>PJ-2020-C</t>
        </is>
      </c>
      <c r="B564" s="10" t="inlineStr">
        <is>
          <t>位置合わせ(MS学習値)／単調補間</t>
        </is>
      </c>
      <c r="C564" s="10" t="inlineStr">
        <is>
          <t>2022-11</t>
        </is>
      </c>
      <c r="D564" s="10" t="n">
        <v>29</v>
      </c>
      <c r="E564" s="12" t="n">
        <v>4272.5</v>
      </c>
      <c r="F564" s="12" t="n">
        <v>12035.5</v>
      </c>
      <c r="G564" s="12" t="n">
        <v>-7763</v>
      </c>
      <c r="H564" s="13" t="n">
        <v>0.9922</v>
      </c>
      <c r="I564" s="13" t="n">
        <v>0.9715</v>
      </c>
    </row>
    <row r="565">
      <c r="A565" s="10" t="inlineStr">
        <is>
          <t>PJ-2020-C</t>
        </is>
      </c>
      <c r="B565" s="10" t="inlineStr">
        <is>
          <t>位置合わせ(MS学習値)／単調補間</t>
        </is>
      </c>
      <c r="C565" s="10" t="inlineStr">
        <is>
          <t>2022-12</t>
        </is>
      </c>
      <c r="D565" s="10" t="n">
        <v>30</v>
      </c>
      <c r="E565" s="12" t="n">
        <v>2262.2</v>
      </c>
      <c r="F565" s="12" t="n">
        <v>8242.299999999999</v>
      </c>
      <c r="G565" s="12" t="n">
        <v>-5980.1</v>
      </c>
      <c r="H565" s="13" t="n">
        <v>1</v>
      </c>
      <c r="I565" s="13" t="n">
        <v>1</v>
      </c>
    </row>
    <row r="566">
      <c r="A566" s="10" t="inlineStr">
        <is>
          <t>PJ-2020-C</t>
        </is>
      </c>
      <c r="B566" s="10" t="inlineStr">
        <is>
          <t>位置合わせ(MS指定)／単調補間</t>
        </is>
      </c>
      <c r="C566" s="10" t="inlineStr">
        <is>
          <t>2020-07</t>
        </is>
      </c>
      <c r="D566" s="10" t="n">
        <v>1</v>
      </c>
      <c r="E566" s="12" t="n">
        <v>3244.3</v>
      </c>
      <c r="F566" s="12" t="n">
        <v>9891.799999999999</v>
      </c>
      <c r="G566" s="12" t="n">
        <v>-6647.5</v>
      </c>
      <c r="H566" s="13" t="n">
        <v>0.0112</v>
      </c>
      <c r="I566" s="13" t="n">
        <v>0.0342</v>
      </c>
    </row>
    <row r="567">
      <c r="A567" s="10" t="inlineStr">
        <is>
          <t>PJ-2020-C</t>
        </is>
      </c>
      <c r="B567" s="10" t="inlineStr">
        <is>
          <t>位置合わせ(MS指定)／単調補間</t>
        </is>
      </c>
      <c r="C567" s="10" t="inlineStr">
        <is>
          <t>2020-08</t>
        </is>
      </c>
      <c r="D567" s="10" t="n">
        <v>2</v>
      </c>
      <c r="E567" s="12" t="n">
        <v>4054.8</v>
      </c>
      <c r="F567" s="12" t="n">
        <v>11800.4</v>
      </c>
      <c r="G567" s="12" t="n">
        <v>-7745.6</v>
      </c>
      <c r="H567" s="13" t="n">
        <v>0.0253</v>
      </c>
      <c r="I567" s="13" t="n">
        <v>0.075</v>
      </c>
    </row>
    <row r="568">
      <c r="A568" s="10" t="inlineStr">
        <is>
          <t>PJ-2020-C</t>
        </is>
      </c>
      <c r="B568" s="10" t="inlineStr">
        <is>
          <t>位置合わせ(MS指定)／単調補間</t>
        </is>
      </c>
      <c r="C568" s="10" t="inlineStr">
        <is>
          <t>2020-09</t>
        </is>
      </c>
      <c r="D568" s="10" t="n">
        <v>3</v>
      </c>
      <c r="E568" s="12" t="n">
        <v>4957.8</v>
      </c>
      <c r="F568" s="12" t="n">
        <v>9726.200000000001</v>
      </c>
      <c r="G568" s="12" t="n">
        <v>-4768.4</v>
      </c>
      <c r="H568" s="13" t="n">
        <v>0.0424</v>
      </c>
      <c r="I568" s="13" t="n">
        <v>0.1087</v>
      </c>
    </row>
    <row r="569">
      <c r="A569" s="10" t="inlineStr">
        <is>
          <t>PJ-2020-C</t>
        </is>
      </c>
      <c r="B569" s="10" t="inlineStr">
        <is>
          <t>位置合わせ(MS指定)／単調補間</t>
        </is>
      </c>
      <c r="C569" s="10" t="inlineStr">
        <is>
          <t>2020-10</t>
        </is>
      </c>
      <c r="D569" s="10" t="n">
        <v>4</v>
      </c>
      <c r="E569" s="12" t="n">
        <v>5749.3</v>
      </c>
      <c r="F569" s="12" t="n">
        <v>8645.4</v>
      </c>
      <c r="G569" s="12" t="n">
        <v>-2896.1</v>
      </c>
      <c r="H569" s="13" t="n">
        <v>0.0623</v>
      </c>
      <c r="I569" s="13" t="n">
        <v>0.1386</v>
      </c>
    </row>
    <row r="570">
      <c r="A570" s="10" t="inlineStr">
        <is>
          <t>PJ-2020-C</t>
        </is>
      </c>
      <c r="B570" s="10" t="inlineStr">
        <is>
          <t>位置合わせ(MS指定)／単調補間</t>
        </is>
      </c>
      <c r="C570" s="10" t="inlineStr">
        <is>
          <t>2020-11</t>
        </is>
      </c>
      <c r="D570" s="10" t="n">
        <v>5</v>
      </c>
      <c r="E570" s="12" t="n">
        <v>6285.6</v>
      </c>
      <c r="F570" s="12" t="n">
        <v>7717.1</v>
      </c>
      <c r="G570" s="12" t="n">
        <v>-1431.5</v>
      </c>
      <c r="H570" s="13" t="n">
        <v>0.08400000000000001</v>
      </c>
      <c r="I570" s="13" t="n">
        <v>0.1653</v>
      </c>
    </row>
    <row r="571">
      <c r="A571" s="10" t="inlineStr">
        <is>
          <t>PJ-2020-C</t>
        </is>
      </c>
      <c r="B571" s="10" t="inlineStr">
        <is>
          <t>位置合わせ(MS指定)／単調補間</t>
        </is>
      </c>
      <c r="C571" s="10" t="inlineStr">
        <is>
          <t>2020-12</t>
        </is>
      </c>
      <c r="D571" s="10" t="n">
        <v>6</v>
      </c>
      <c r="E571" s="12" t="n">
        <v>6651.6</v>
      </c>
      <c r="F571" s="12" t="n">
        <v>7821.7</v>
      </c>
      <c r="G571" s="12" t="n">
        <v>-1170.1</v>
      </c>
      <c r="H571" s="13" t="n">
        <v>0.1071</v>
      </c>
      <c r="I571" s="13" t="n">
        <v>0.1924</v>
      </c>
    </row>
    <row r="572">
      <c r="A572" s="10" t="inlineStr">
        <is>
          <t>PJ-2020-C</t>
        </is>
      </c>
      <c r="B572" s="10" t="inlineStr">
        <is>
          <t>位置合わせ(MS指定)／単調補間</t>
        </is>
      </c>
      <c r="C572" s="10" t="inlineStr">
        <is>
          <t>2021-01</t>
        </is>
      </c>
      <c r="D572" s="10" t="n">
        <v>7</v>
      </c>
      <c r="E572" s="12" t="n">
        <v>7314.6</v>
      </c>
      <c r="F572" s="12" t="n">
        <v>7531.5</v>
      </c>
      <c r="G572" s="12" t="n">
        <v>-216.9</v>
      </c>
      <c r="H572" s="13" t="n">
        <v>0.1324</v>
      </c>
      <c r="I572" s="13" t="n">
        <v>0.2184</v>
      </c>
    </row>
    <row r="573">
      <c r="A573" s="10" t="inlineStr">
        <is>
          <t>PJ-2020-C</t>
        </is>
      </c>
      <c r="B573" s="10" t="inlineStr">
        <is>
          <t>位置合わせ(MS指定)／単調補間</t>
        </is>
      </c>
      <c r="C573" s="10" t="inlineStr">
        <is>
          <t>2021-02</t>
        </is>
      </c>
      <c r="D573" s="10" t="n">
        <v>8</v>
      </c>
      <c r="E573" s="12" t="n">
        <v>7366.7</v>
      </c>
      <c r="F573" s="12" t="n">
        <v>6551.1</v>
      </c>
      <c r="G573" s="12" t="n">
        <v>815.6</v>
      </c>
      <c r="H573" s="13" t="n">
        <v>0.1578</v>
      </c>
      <c r="I573" s="13" t="n">
        <v>0.2411</v>
      </c>
    </row>
    <row r="574">
      <c r="A574" s="10" t="inlineStr">
        <is>
          <t>PJ-2020-C</t>
        </is>
      </c>
      <c r="B574" s="10" t="inlineStr">
        <is>
          <t>位置合わせ(MS指定)／単調補間</t>
        </is>
      </c>
      <c r="C574" s="10" t="inlineStr">
        <is>
          <t>2021-03</t>
        </is>
      </c>
      <c r="D574" s="10" t="n">
        <v>9</v>
      </c>
      <c r="E574" s="12" t="n">
        <v>8963</v>
      </c>
      <c r="F574" s="12" t="n">
        <v>7387.7</v>
      </c>
      <c r="G574" s="12" t="n">
        <v>1575.3</v>
      </c>
      <c r="H574" s="13" t="n">
        <v>0.1889</v>
      </c>
      <c r="I574" s="13" t="n">
        <v>0.2666</v>
      </c>
    </row>
    <row r="575">
      <c r="A575" s="10" t="inlineStr">
        <is>
          <t>PJ-2020-C</t>
        </is>
      </c>
      <c r="B575" s="10" t="inlineStr">
        <is>
          <t>位置合わせ(MS指定)／単調補間</t>
        </is>
      </c>
      <c r="C575" s="10" t="inlineStr">
        <is>
          <t>2021-04</t>
        </is>
      </c>
      <c r="D575" s="10" t="n">
        <v>10</v>
      </c>
      <c r="E575" s="12" t="n">
        <v>10264</v>
      </c>
      <c r="F575" s="12" t="n">
        <v>6822.6</v>
      </c>
      <c r="G575" s="12" t="n">
        <v>3441.4</v>
      </c>
      <c r="H575" s="13" t="n">
        <v>0.2244</v>
      </c>
      <c r="I575" s="13" t="n">
        <v>0.2903</v>
      </c>
    </row>
    <row r="576">
      <c r="A576" s="10" t="inlineStr">
        <is>
          <t>PJ-2020-C</t>
        </is>
      </c>
      <c r="B576" s="10" t="inlineStr">
        <is>
          <t>位置合わせ(MS指定)／単調補間</t>
        </is>
      </c>
      <c r="C576" s="10" t="inlineStr">
        <is>
          <t>2021-05</t>
        </is>
      </c>
      <c r="D576" s="10" t="n">
        <v>11</v>
      </c>
      <c r="E576" s="12" t="n">
        <v>11588</v>
      </c>
      <c r="F576" s="12" t="n">
        <v>6920.5</v>
      </c>
      <c r="G576" s="12" t="n">
        <v>4667.5</v>
      </c>
      <c r="H576" s="13" t="n">
        <v>0.2645</v>
      </c>
      <c r="I576" s="13" t="n">
        <v>0.3142</v>
      </c>
    </row>
    <row r="577">
      <c r="A577" s="10" t="inlineStr">
        <is>
          <t>PJ-2020-C</t>
        </is>
      </c>
      <c r="B577" s="10" t="inlineStr">
        <is>
          <t>位置合わせ(MS指定)／単調補間</t>
        </is>
      </c>
      <c r="C577" s="10" t="inlineStr">
        <is>
          <t>2021-06</t>
        </is>
      </c>
      <c r="D577" s="10" t="n">
        <v>12</v>
      </c>
      <c r="E577" s="12" t="n">
        <v>11922.3</v>
      </c>
      <c r="F577" s="12" t="n">
        <v>7298.5</v>
      </c>
      <c r="G577" s="12" t="n">
        <v>4623.8</v>
      </c>
      <c r="H577" s="13" t="n">
        <v>0.3057</v>
      </c>
      <c r="I577" s="13" t="n">
        <v>0.3394</v>
      </c>
    </row>
    <row r="578">
      <c r="A578" s="10" t="inlineStr">
        <is>
          <t>PJ-2020-C</t>
        </is>
      </c>
      <c r="B578" s="10" t="inlineStr">
        <is>
          <t>位置合わせ(MS指定)／単調補間</t>
        </is>
      </c>
      <c r="C578" s="10" t="inlineStr">
        <is>
          <t>2021-07</t>
        </is>
      </c>
      <c r="D578" s="10" t="n">
        <v>13</v>
      </c>
      <c r="E578" s="12" t="n">
        <v>13026.2</v>
      </c>
      <c r="F578" s="12" t="n">
        <v>8554.799999999999</v>
      </c>
      <c r="G578" s="12" t="n">
        <v>4471.4</v>
      </c>
      <c r="H578" s="13" t="n">
        <v>0.3508</v>
      </c>
      <c r="I578" s="13" t="n">
        <v>0.369</v>
      </c>
    </row>
    <row r="579">
      <c r="A579" s="10" t="inlineStr">
        <is>
          <t>PJ-2020-C</t>
        </is>
      </c>
      <c r="B579" s="10" t="inlineStr">
        <is>
          <t>位置合わせ(MS指定)／単調補間</t>
        </is>
      </c>
      <c r="C579" s="10" t="inlineStr">
        <is>
          <t>2021-08</t>
        </is>
      </c>
      <c r="D579" s="10" t="n">
        <v>14</v>
      </c>
      <c r="E579" s="12" t="n">
        <v>14465.7</v>
      </c>
      <c r="F579" s="12" t="n">
        <v>8486.799999999999</v>
      </c>
      <c r="G579" s="12" t="n">
        <v>5978.9</v>
      </c>
      <c r="H579" s="13" t="n">
        <v>0.4008</v>
      </c>
      <c r="I579" s="13" t="n">
        <v>0.3984</v>
      </c>
    </row>
    <row r="580">
      <c r="A580" s="10" t="inlineStr">
        <is>
          <t>PJ-2020-C</t>
        </is>
      </c>
      <c r="B580" s="10" t="inlineStr">
        <is>
          <t>位置合わせ(MS指定)／単調補間</t>
        </is>
      </c>
      <c r="C580" s="10" t="inlineStr">
        <is>
          <t>2021-09</t>
        </is>
      </c>
      <c r="D580" s="10" t="n">
        <v>15</v>
      </c>
      <c r="E580" s="12" t="n">
        <v>18240.5</v>
      </c>
      <c r="F580" s="12" t="n">
        <v>9279.9</v>
      </c>
      <c r="G580" s="12" t="n">
        <v>8960.6</v>
      </c>
      <c r="H580" s="13" t="n">
        <v>0.4639</v>
      </c>
      <c r="I580" s="13" t="n">
        <v>0.4305</v>
      </c>
    </row>
    <row r="581">
      <c r="A581" s="10" t="inlineStr">
        <is>
          <t>PJ-2020-C</t>
        </is>
      </c>
      <c r="B581" s="10" t="inlineStr">
        <is>
          <t>位置合わせ(MS指定)／単調補間</t>
        </is>
      </c>
      <c r="C581" s="10" t="inlineStr">
        <is>
          <t>2021-10</t>
        </is>
      </c>
      <c r="D581" s="10" t="n">
        <v>16</v>
      </c>
      <c r="E581" s="12" t="n">
        <v>21212.7</v>
      </c>
      <c r="F581" s="12" t="n">
        <v>16636.5</v>
      </c>
      <c r="G581" s="12" t="n">
        <v>4576.2</v>
      </c>
      <c r="H581" s="13" t="n">
        <v>0.5373</v>
      </c>
      <c r="I581" s="13" t="n">
        <v>0.4881</v>
      </c>
    </row>
    <row r="582">
      <c r="A582" s="10" t="inlineStr">
        <is>
          <t>PJ-2020-C</t>
        </is>
      </c>
      <c r="B582" s="10" t="inlineStr">
        <is>
          <t>位置合わせ(MS指定)／単調補間</t>
        </is>
      </c>
      <c r="C582" s="10" t="inlineStr">
        <is>
          <t>2021-11</t>
        </is>
      </c>
      <c r="D582" s="10" t="n">
        <v>17</v>
      </c>
      <c r="E582" s="12" t="n">
        <v>20563.8</v>
      </c>
      <c r="F582" s="12" t="n">
        <v>14453.3</v>
      </c>
      <c r="G582" s="12" t="n">
        <v>6110.5</v>
      </c>
      <c r="H582" s="13" t="n">
        <v>0.6085</v>
      </c>
      <c r="I582" s="13" t="n">
        <v>0.5381</v>
      </c>
    </row>
    <row r="583">
      <c r="A583" s="10" t="inlineStr">
        <is>
          <t>PJ-2020-C</t>
        </is>
      </c>
      <c r="B583" s="10" t="inlineStr">
        <is>
          <t>位置合わせ(MS指定)／単調補間</t>
        </is>
      </c>
      <c r="C583" s="10" t="inlineStr">
        <is>
          <t>2021-12</t>
        </is>
      </c>
      <c r="D583" s="10" t="n">
        <v>18</v>
      </c>
      <c r="E583" s="12" t="n">
        <v>21353.2</v>
      </c>
      <c r="F583" s="12" t="n">
        <v>13884.1</v>
      </c>
      <c r="G583" s="12" t="n">
        <v>7469.1</v>
      </c>
      <c r="H583" s="13" t="n">
        <v>0.6823</v>
      </c>
      <c r="I583" s="13" t="n">
        <v>0.5861</v>
      </c>
    </row>
    <row r="584">
      <c r="A584" s="10" t="inlineStr">
        <is>
          <t>PJ-2020-C</t>
        </is>
      </c>
      <c r="B584" s="10" t="inlineStr">
        <is>
          <t>位置合わせ(MS指定)／単調補間</t>
        </is>
      </c>
      <c r="C584" s="10" t="inlineStr">
        <is>
          <t>2022-01</t>
        </is>
      </c>
      <c r="D584" s="10" t="n">
        <v>19</v>
      </c>
      <c r="E584" s="12" t="n">
        <v>21787.6</v>
      </c>
      <c r="F584" s="12" t="n">
        <v>15419</v>
      </c>
      <c r="G584" s="12" t="n">
        <v>6368.6</v>
      </c>
      <c r="H584" s="13" t="n">
        <v>0.7577</v>
      </c>
      <c r="I584" s="13" t="n">
        <v>0.6395</v>
      </c>
    </row>
    <row r="585">
      <c r="A585" s="10" t="inlineStr">
        <is>
          <t>PJ-2020-C</t>
        </is>
      </c>
      <c r="B585" s="10" t="inlineStr">
        <is>
          <t>位置合わせ(MS指定)／単調補間</t>
        </is>
      </c>
      <c r="C585" s="10" t="inlineStr">
        <is>
          <t>2022-02</t>
        </is>
      </c>
      <c r="D585" s="10" t="n">
        <v>20</v>
      </c>
      <c r="E585" s="12" t="n">
        <v>13682.8</v>
      </c>
      <c r="F585" s="12" t="n">
        <v>8277.799999999999</v>
      </c>
      <c r="G585" s="12" t="n">
        <v>5405</v>
      </c>
      <c r="H585" s="13" t="n">
        <v>0.8051</v>
      </c>
      <c r="I585" s="13" t="n">
        <v>0.6681</v>
      </c>
    </row>
    <row r="586">
      <c r="A586" s="10" t="inlineStr">
        <is>
          <t>PJ-2020-C</t>
        </is>
      </c>
      <c r="B586" s="10" t="inlineStr">
        <is>
          <t>位置合わせ(MS指定)／単調補間</t>
        </is>
      </c>
      <c r="C586" s="10" t="inlineStr">
        <is>
          <t>2022-03</t>
        </is>
      </c>
      <c r="D586" s="10" t="n">
        <v>21</v>
      </c>
      <c r="E586" s="12" t="n">
        <v>8211.9</v>
      </c>
      <c r="F586" s="12" t="n">
        <v>6160.3</v>
      </c>
      <c r="G586" s="12" t="n">
        <v>2051.6</v>
      </c>
      <c r="H586" s="13" t="n">
        <v>0.8335</v>
      </c>
      <c r="I586" s="13" t="n">
        <v>0.6894</v>
      </c>
    </row>
    <row r="587">
      <c r="A587" s="10" t="inlineStr">
        <is>
          <t>PJ-2020-C</t>
        </is>
      </c>
      <c r="B587" s="10" t="inlineStr">
        <is>
          <t>位置合わせ(MS指定)／単調補間</t>
        </is>
      </c>
      <c r="C587" s="10" t="inlineStr">
        <is>
          <t>2022-04</t>
        </is>
      </c>
      <c r="D587" s="10" t="n">
        <v>22</v>
      </c>
      <c r="E587" s="12" t="n">
        <v>7386.3</v>
      </c>
      <c r="F587" s="12" t="n">
        <v>7057.5</v>
      </c>
      <c r="G587" s="12" t="n">
        <v>328.8</v>
      </c>
      <c r="H587" s="13" t="n">
        <v>0.859</v>
      </c>
      <c r="I587" s="13" t="n">
        <v>0.7138</v>
      </c>
    </row>
    <row r="588">
      <c r="A588" s="10" t="inlineStr">
        <is>
          <t>PJ-2020-C</t>
        </is>
      </c>
      <c r="B588" s="10" t="inlineStr">
        <is>
          <t>位置合わせ(MS指定)／単調補間</t>
        </is>
      </c>
      <c r="C588" s="10" t="inlineStr">
        <is>
          <t>2022-05</t>
        </is>
      </c>
      <c r="D588" s="10" t="n">
        <v>23</v>
      </c>
      <c r="E588" s="12" t="n">
        <v>7350.2</v>
      </c>
      <c r="F588" s="12" t="n">
        <v>8005.3</v>
      </c>
      <c r="G588" s="12" t="n">
        <v>-655.1</v>
      </c>
      <c r="H588" s="13" t="n">
        <v>0.8844</v>
      </c>
      <c r="I588" s="13" t="n">
        <v>0.7415</v>
      </c>
    </row>
    <row r="589">
      <c r="A589" s="10" t="inlineStr">
        <is>
          <t>PJ-2020-C</t>
        </is>
      </c>
      <c r="B589" s="10" t="inlineStr">
        <is>
          <t>位置合わせ(MS指定)／単調補間</t>
        </is>
      </c>
      <c r="C589" s="10" t="inlineStr">
        <is>
          <t>2022-06</t>
        </is>
      </c>
      <c r="D589" s="10" t="n">
        <v>24</v>
      </c>
      <c r="E589" s="12" t="n">
        <v>6327.5</v>
      </c>
      <c r="F589" s="12" t="n">
        <v>9533.200000000001</v>
      </c>
      <c r="G589" s="12" t="n">
        <v>-3205.7</v>
      </c>
      <c r="H589" s="13" t="n">
        <v>0.9063</v>
      </c>
      <c r="I589" s="13" t="n">
        <v>0.7745</v>
      </c>
    </row>
    <row r="590">
      <c r="A590" s="10" t="inlineStr">
        <is>
          <t>PJ-2020-C</t>
        </is>
      </c>
      <c r="B590" s="10" t="inlineStr">
        <is>
          <t>位置合わせ(MS指定)／単調補間</t>
        </is>
      </c>
      <c r="C590" s="10" t="inlineStr">
        <is>
          <t>2022-07</t>
        </is>
      </c>
      <c r="D590" s="10" t="n">
        <v>25</v>
      </c>
      <c r="E590" s="12" t="n">
        <v>5645.7</v>
      </c>
      <c r="F590" s="12" t="n">
        <v>10920.6</v>
      </c>
      <c r="G590" s="12" t="n">
        <v>-5274.9</v>
      </c>
      <c r="H590" s="13" t="n">
        <v>0.9258999999999999</v>
      </c>
      <c r="I590" s="13" t="n">
        <v>0.8123</v>
      </c>
    </row>
    <row r="591">
      <c r="A591" s="10" t="inlineStr">
        <is>
          <t>PJ-2020-C</t>
        </is>
      </c>
      <c r="B591" s="10" t="inlineStr">
        <is>
          <t>位置合わせ(MS指定)／単調補間</t>
        </is>
      </c>
      <c r="C591" s="10" t="inlineStr">
        <is>
          <t>2022-08</t>
        </is>
      </c>
      <c r="D591" s="10" t="n">
        <v>26</v>
      </c>
      <c r="E591" s="12" t="n">
        <v>4759.2</v>
      </c>
      <c r="F591" s="12" t="n">
        <v>11191.5</v>
      </c>
      <c r="G591" s="12" t="n">
        <v>-6432.3</v>
      </c>
      <c r="H591" s="13" t="n">
        <v>0.9423</v>
      </c>
      <c r="I591" s="13" t="n">
        <v>0.851</v>
      </c>
    </row>
    <row r="592">
      <c r="A592" s="10" t="inlineStr">
        <is>
          <t>PJ-2020-C</t>
        </is>
      </c>
      <c r="B592" s="10" t="inlineStr">
        <is>
          <t>位置合わせ(MS指定)／単調補間</t>
        </is>
      </c>
      <c r="C592" s="10" t="inlineStr">
        <is>
          <t>2022-09</t>
        </is>
      </c>
      <c r="D592" s="10" t="n">
        <v>27</v>
      </c>
      <c r="E592" s="12" t="n">
        <v>4251.5</v>
      </c>
      <c r="F592" s="12" t="n">
        <v>10812.6</v>
      </c>
      <c r="G592" s="12" t="n">
        <v>-6561.1</v>
      </c>
      <c r="H592" s="13" t="n">
        <v>0.957</v>
      </c>
      <c r="I592" s="13" t="n">
        <v>0.8884</v>
      </c>
    </row>
    <row r="593">
      <c r="A593" s="10" t="inlineStr">
        <is>
          <t>PJ-2020-C</t>
        </is>
      </c>
      <c r="B593" s="10" t="inlineStr">
        <is>
          <t>位置合わせ(MS指定)／単調補間</t>
        </is>
      </c>
      <c r="C593" s="10" t="inlineStr">
        <is>
          <t>2022-10</t>
        </is>
      </c>
      <c r="D593" s="10" t="n">
        <v>28</v>
      </c>
      <c r="E593" s="12" t="n">
        <v>5443.2</v>
      </c>
      <c r="F593" s="12" t="n">
        <v>11977</v>
      </c>
      <c r="G593" s="12" t="n">
        <v>-6533.8</v>
      </c>
      <c r="H593" s="13" t="n">
        <v>0.9759</v>
      </c>
      <c r="I593" s="13" t="n">
        <v>0.9298</v>
      </c>
    </row>
    <row r="594">
      <c r="A594" s="10" t="inlineStr">
        <is>
          <t>PJ-2020-C</t>
        </is>
      </c>
      <c r="B594" s="10" t="inlineStr">
        <is>
          <t>位置合わせ(MS指定)／単調補間</t>
        </is>
      </c>
      <c r="C594" s="10" t="inlineStr">
        <is>
          <t>2022-11</t>
        </is>
      </c>
      <c r="D594" s="10" t="n">
        <v>29</v>
      </c>
      <c r="E594" s="12" t="n">
        <v>4561.5</v>
      </c>
      <c r="F594" s="12" t="n">
        <v>12035.5</v>
      </c>
      <c r="G594" s="12" t="n">
        <v>-7474</v>
      </c>
      <c r="H594" s="13" t="n">
        <v>0.9917</v>
      </c>
      <c r="I594" s="13" t="n">
        <v>0.9715</v>
      </c>
    </row>
    <row r="595">
      <c r="A595" s="10" t="inlineStr">
        <is>
          <t>PJ-2020-C</t>
        </is>
      </c>
      <c r="B595" s="10" t="inlineStr">
        <is>
          <t>位置合わせ(MS指定)／単調補間</t>
        </is>
      </c>
      <c r="C595" s="10" t="inlineStr">
        <is>
          <t>2022-12</t>
        </is>
      </c>
      <c r="D595" s="10" t="n">
        <v>30</v>
      </c>
      <c r="E595" s="12" t="n">
        <v>2411</v>
      </c>
      <c r="F595" s="12" t="n">
        <v>8242.299999999999</v>
      </c>
      <c r="G595" s="12" t="n">
        <v>-5831.3</v>
      </c>
      <c r="H595" s="13" t="n">
        <v>1</v>
      </c>
      <c r="I595" s="13" t="n">
        <v>1</v>
      </c>
    </row>
    <row r="596">
      <c r="A596" s="10" t="inlineStr">
        <is>
          <t>PJ-2021-D</t>
        </is>
      </c>
      <c r="B596" s="10" t="inlineStr">
        <is>
          <t>素朴版／月内均等</t>
        </is>
      </c>
      <c r="C596" s="10" t="inlineStr">
        <is>
          <t>2021-04</t>
        </is>
      </c>
      <c r="D596" s="10" t="n">
        <v>1</v>
      </c>
      <c r="E596" s="12" t="n">
        <v>2218.9</v>
      </c>
      <c r="F596" s="12" t="n">
        <v>3064.9</v>
      </c>
      <c r="G596" s="12" t="n">
        <v>-846</v>
      </c>
      <c r="H596" s="13" t="n">
        <v>0.0268</v>
      </c>
      <c r="I596" s="13" t="n">
        <v>0.037</v>
      </c>
    </row>
    <row r="597">
      <c r="A597" s="10" t="inlineStr">
        <is>
          <t>PJ-2021-D</t>
        </is>
      </c>
      <c r="B597" s="10" t="inlineStr">
        <is>
          <t>素朴版／月内均等</t>
        </is>
      </c>
      <c r="C597" s="10" t="inlineStr">
        <is>
          <t>2021-05</t>
        </is>
      </c>
      <c r="D597" s="10" t="n">
        <v>2</v>
      </c>
      <c r="E597" s="12" t="n">
        <v>3158.2</v>
      </c>
      <c r="F597" s="12" t="n">
        <v>3983.2</v>
      </c>
      <c r="G597" s="12" t="n">
        <v>-825</v>
      </c>
      <c r="H597" s="13" t="n">
        <v>0.0648</v>
      </c>
      <c r="I597" s="13" t="n">
        <v>0.08500000000000001</v>
      </c>
    </row>
    <row r="598">
      <c r="A598" s="10" t="inlineStr">
        <is>
          <t>PJ-2021-D</t>
        </is>
      </c>
      <c r="B598" s="10" t="inlineStr">
        <is>
          <t>素朴版／月内均等</t>
        </is>
      </c>
      <c r="C598" s="10" t="inlineStr">
        <is>
          <t>2021-06</t>
        </is>
      </c>
      <c r="D598" s="10" t="n">
        <v>3</v>
      </c>
      <c r="E598" s="12" t="n">
        <v>3583.4</v>
      </c>
      <c r="F598" s="12" t="n">
        <v>4386.1</v>
      </c>
      <c r="G598" s="12" t="n">
        <v>-802.7</v>
      </c>
      <c r="H598" s="13" t="n">
        <v>0.1081</v>
      </c>
      <c r="I598" s="13" t="n">
        <v>0.1379</v>
      </c>
    </row>
    <row r="599">
      <c r="A599" s="10" t="inlineStr">
        <is>
          <t>PJ-2021-D</t>
        </is>
      </c>
      <c r="B599" s="10" t="inlineStr">
        <is>
          <t>素朴版／月内均等</t>
        </is>
      </c>
      <c r="C599" s="10" t="inlineStr">
        <is>
          <t>2021-07</t>
        </is>
      </c>
      <c r="D599" s="10" t="n">
        <v>4</v>
      </c>
      <c r="E599" s="12" t="n">
        <v>4289.7</v>
      </c>
      <c r="F599" s="12" t="n">
        <v>5071.5</v>
      </c>
      <c r="G599" s="12" t="n">
        <v>-781.8</v>
      </c>
      <c r="H599" s="13" t="n">
        <v>0.1598</v>
      </c>
      <c r="I599" s="13" t="n">
        <v>0.1991</v>
      </c>
    </row>
    <row r="600">
      <c r="A600" s="10" t="inlineStr">
        <is>
          <t>PJ-2021-D</t>
        </is>
      </c>
      <c r="B600" s="10" t="inlineStr">
        <is>
          <t>素朴版／月内均等</t>
        </is>
      </c>
      <c r="C600" s="10" t="inlineStr">
        <is>
          <t>2021-08</t>
        </is>
      </c>
      <c r="D600" s="10" t="n">
        <v>5</v>
      </c>
      <c r="E600" s="12" t="n">
        <v>5675.6</v>
      </c>
      <c r="F600" s="12" t="n">
        <v>5696.5</v>
      </c>
      <c r="G600" s="12" t="n">
        <v>-20.9</v>
      </c>
      <c r="H600" s="13" t="n">
        <v>0.2282</v>
      </c>
      <c r="I600" s="13" t="n">
        <v>0.2678</v>
      </c>
    </row>
    <row r="601">
      <c r="A601" s="10" t="inlineStr">
        <is>
          <t>PJ-2021-D</t>
        </is>
      </c>
      <c r="B601" s="10" t="inlineStr">
        <is>
          <t>素朴版／月内均等</t>
        </is>
      </c>
      <c r="C601" s="10" t="inlineStr">
        <is>
          <t>2021-09</t>
        </is>
      </c>
      <c r="D601" s="10" t="n">
        <v>6</v>
      </c>
      <c r="E601" s="12" t="n">
        <v>6603.2</v>
      </c>
      <c r="F601" s="12" t="n">
        <v>6687.9</v>
      </c>
      <c r="G601" s="12" t="n">
        <v>-84.7</v>
      </c>
      <c r="H601" s="13" t="n">
        <v>0.3079</v>
      </c>
      <c r="I601" s="13" t="n">
        <v>0.3484</v>
      </c>
    </row>
    <row r="602">
      <c r="A602" s="10" t="inlineStr">
        <is>
          <t>PJ-2021-D</t>
        </is>
      </c>
      <c r="B602" s="10" t="inlineStr">
        <is>
          <t>素朴版／月内均等</t>
        </is>
      </c>
      <c r="C602" s="10" t="inlineStr">
        <is>
          <t>2021-10</t>
        </is>
      </c>
      <c r="D602" s="10" t="n">
        <v>7</v>
      </c>
      <c r="E602" s="12" t="n">
        <v>6880.4</v>
      </c>
      <c r="F602" s="12" t="n">
        <v>7608.3</v>
      </c>
      <c r="G602" s="12" t="n">
        <v>-727.9</v>
      </c>
      <c r="H602" s="13" t="n">
        <v>0.3909</v>
      </c>
      <c r="I602" s="13" t="n">
        <v>0.4402</v>
      </c>
    </row>
    <row r="603">
      <c r="A603" s="10" t="inlineStr">
        <is>
          <t>PJ-2021-D</t>
        </is>
      </c>
      <c r="B603" s="10" t="inlineStr">
        <is>
          <t>素朴版／月内均等</t>
        </is>
      </c>
      <c r="C603" s="10" t="inlineStr">
        <is>
          <t>2021-11</t>
        </is>
      </c>
      <c r="D603" s="10" t="n">
        <v>8</v>
      </c>
      <c r="E603" s="12" t="n">
        <v>6996.8</v>
      </c>
      <c r="F603" s="12" t="n">
        <v>6170.4</v>
      </c>
      <c r="G603" s="12" t="n">
        <v>826.4</v>
      </c>
      <c r="H603" s="13" t="n">
        <v>0.4752</v>
      </c>
      <c r="I603" s="13" t="n">
        <v>0.5145999999999999</v>
      </c>
    </row>
    <row r="604">
      <c r="A604" s="10" t="inlineStr">
        <is>
          <t>PJ-2021-D</t>
        </is>
      </c>
      <c r="B604" s="10" t="inlineStr">
        <is>
          <t>素朴版／月内均等</t>
        </is>
      </c>
      <c r="C604" s="10" t="inlineStr">
        <is>
          <t>2021-12</t>
        </is>
      </c>
      <c r="D604" s="10" t="n">
        <v>9</v>
      </c>
      <c r="E604" s="12" t="n">
        <v>8227.1</v>
      </c>
      <c r="F604" s="12" t="n">
        <v>6196</v>
      </c>
      <c r="G604" s="12" t="n">
        <v>2031.1</v>
      </c>
      <c r="H604" s="13" t="n">
        <v>0.5744</v>
      </c>
      <c r="I604" s="13" t="n">
        <v>0.5893</v>
      </c>
    </row>
    <row r="605">
      <c r="A605" s="10" t="inlineStr">
        <is>
          <t>PJ-2021-D</t>
        </is>
      </c>
      <c r="B605" s="10" t="inlineStr">
        <is>
          <t>素朴版／月内均等</t>
        </is>
      </c>
      <c r="C605" s="10" t="inlineStr">
        <is>
          <t>2022-01</t>
        </is>
      </c>
      <c r="D605" s="10" t="n">
        <v>10</v>
      </c>
      <c r="E605" s="12" t="n">
        <v>8517.6</v>
      </c>
      <c r="F605" s="12" t="n">
        <v>8019.7</v>
      </c>
      <c r="G605" s="12" t="n">
        <v>497.9</v>
      </c>
      <c r="H605" s="13" t="n">
        <v>0.6772</v>
      </c>
      <c r="I605" s="13" t="n">
        <v>0.6860000000000001</v>
      </c>
    </row>
    <row r="606">
      <c r="A606" s="10" t="inlineStr">
        <is>
          <t>PJ-2021-D</t>
        </is>
      </c>
      <c r="B606" s="10" t="inlineStr">
        <is>
          <t>素朴版／月内均等</t>
        </is>
      </c>
      <c r="C606" s="10" t="inlineStr">
        <is>
          <t>2022-02</t>
        </is>
      </c>
      <c r="D606" s="10" t="n">
        <v>11</v>
      </c>
      <c r="E606" s="12" t="n">
        <v>6601</v>
      </c>
      <c r="F606" s="12" t="n">
        <v>8831.1</v>
      </c>
      <c r="G606" s="12" t="n">
        <v>-2230.1</v>
      </c>
      <c r="H606" s="13" t="n">
        <v>0.7568</v>
      </c>
      <c r="I606" s="13" t="n">
        <v>0.7925</v>
      </c>
    </row>
    <row r="607">
      <c r="A607" s="10" t="inlineStr">
        <is>
          <t>PJ-2021-D</t>
        </is>
      </c>
      <c r="B607" s="10" t="inlineStr">
        <is>
          <t>素朴版／月内均等</t>
        </is>
      </c>
      <c r="C607" s="10" t="inlineStr">
        <is>
          <t>2022-03</t>
        </is>
      </c>
      <c r="D607" s="10" t="n">
        <v>12</v>
      </c>
      <c r="E607" s="12" t="n">
        <v>7253.8</v>
      </c>
      <c r="F607" s="12" t="n">
        <v>7612.4</v>
      </c>
      <c r="G607" s="12" t="n">
        <v>-358.6</v>
      </c>
      <c r="H607" s="13" t="n">
        <v>0.8443000000000001</v>
      </c>
      <c r="I607" s="13" t="n">
        <v>0.8843</v>
      </c>
    </row>
    <row r="608">
      <c r="A608" s="10" t="inlineStr">
        <is>
          <t>PJ-2021-D</t>
        </is>
      </c>
      <c r="B608" s="10" t="inlineStr">
        <is>
          <t>素朴版／月内均等</t>
        </is>
      </c>
      <c r="C608" s="10" t="inlineStr">
        <is>
          <t>2022-04</t>
        </is>
      </c>
      <c r="D608" s="10" t="n">
        <v>13</v>
      </c>
      <c r="E608" s="12" t="n">
        <v>6215.7</v>
      </c>
      <c r="F608" s="12" t="n">
        <v>4770.5</v>
      </c>
      <c r="G608" s="12" t="n">
        <v>1445.2</v>
      </c>
      <c r="H608" s="13" t="n">
        <v>0.9192</v>
      </c>
      <c r="I608" s="13" t="n">
        <v>0.9419</v>
      </c>
    </row>
    <row r="609">
      <c r="A609" s="10" t="inlineStr">
        <is>
          <t>PJ-2021-D</t>
        </is>
      </c>
      <c r="B609" s="10" t="inlineStr">
        <is>
          <t>素朴版／月内均等</t>
        </is>
      </c>
      <c r="C609" s="10" t="inlineStr">
        <is>
          <t>2022-05</t>
        </is>
      </c>
      <c r="D609" s="10" t="n">
        <v>14</v>
      </c>
      <c r="E609" s="12" t="n">
        <v>4328.1</v>
      </c>
      <c r="F609" s="12" t="n">
        <v>3957</v>
      </c>
      <c r="G609" s="12" t="n">
        <v>371.1</v>
      </c>
      <c r="H609" s="13" t="n">
        <v>0.9714</v>
      </c>
      <c r="I609" s="13" t="n">
        <v>0.9896</v>
      </c>
    </row>
    <row r="610">
      <c r="A610" s="10" t="inlineStr">
        <is>
          <t>PJ-2021-D</t>
        </is>
      </c>
      <c r="B610" s="10" t="inlineStr">
        <is>
          <t>素朴版／月内均等</t>
        </is>
      </c>
      <c r="C610" s="10" t="inlineStr">
        <is>
          <t>2022-06</t>
        </is>
      </c>
      <c r="D610" s="10" t="n">
        <v>15</v>
      </c>
      <c r="E610" s="12" t="n">
        <v>2370.6</v>
      </c>
      <c r="F610" s="12" t="n">
        <v>864.5</v>
      </c>
      <c r="G610" s="12" t="n">
        <v>1506.1</v>
      </c>
      <c r="H610" s="13" t="n">
        <v>1</v>
      </c>
      <c r="I610" s="13" t="n">
        <v>1</v>
      </c>
    </row>
    <row r="611">
      <c r="A611" s="10" t="inlineStr">
        <is>
          <t>PJ-2021-D</t>
        </is>
      </c>
      <c r="B611" s="10" t="inlineStr">
        <is>
          <t>位置合わせ(MS学習値)／月内均等</t>
        </is>
      </c>
      <c r="C611" s="10" t="inlineStr">
        <is>
          <t>2021-04</t>
        </is>
      </c>
      <c r="D611" s="10" t="n">
        <v>1</v>
      </c>
      <c r="E611" s="12" t="n">
        <v>2155.1</v>
      </c>
      <c r="F611" s="12" t="n">
        <v>3064.9</v>
      </c>
      <c r="G611" s="12" t="n">
        <v>-909.8</v>
      </c>
      <c r="H611" s="13" t="n">
        <v>0.026</v>
      </c>
      <c r="I611" s="13" t="n">
        <v>0.037</v>
      </c>
    </row>
    <row r="612">
      <c r="A612" s="10" t="inlineStr">
        <is>
          <t>PJ-2021-D</t>
        </is>
      </c>
      <c r="B612" s="10" t="inlineStr">
        <is>
          <t>位置合わせ(MS学習値)／月内均等</t>
        </is>
      </c>
      <c r="C612" s="10" t="inlineStr">
        <is>
          <t>2021-05</t>
        </is>
      </c>
      <c r="D612" s="10" t="n">
        <v>2</v>
      </c>
      <c r="E612" s="12" t="n">
        <v>3094.8</v>
      </c>
      <c r="F612" s="12" t="n">
        <v>3983.2</v>
      </c>
      <c r="G612" s="12" t="n">
        <v>-888.4</v>
      </c>
      <c r="H612" s="13" t="n">
        <v>0.0633</v>
      </c>
      <c r="I612" s="13" t="n">
        <v>0.08500000000000001</v>
      </c>
    </row>
    <row r="613">
      <c r="A613" s="10" t="inlineStr">
        <is>
          <t>PJ-2021-D</t>
        </is>
      </c>
      <c r="B613" s="10" t="inlineStr">
        <is>
          <t>位置合わせ(MS学習値)／月内均等</t>
        </is>
      </c>
      <c r="C613" s="10" t="inlineStr">
        <is>
          <t>2021-06</t>
        </is>
      </c>
      <c r="D613" s="10" t="n">
        <v>3</v>
      </c>
      <c r="E613" s="12" t="n">
        <v>3491.9</v>
      </c>
      <c r="F613" s="12" t="n">
        <v>4386.1</v>
      </c>
      <c r="G613" s="12" t="n">
        <v>-894.2</v>
      </c>
      <c r="H613" s="13" t="n">
        <v>0.1054</v>
      </c>
      <c r="I613" s="13" t="n">
        <v>0.1379</v>
      </c>
    </row>
    <row r="614">
      <c r="A614" s="10" t="inlineStr">
        <is>
          <t>PJ-2021-D</t>
        </is>
      </c>
      <c r="B614" s="10" t="inlineStr">
        <is>
          <t>位置合わせ(MS学習値)／月内均等</t>
        </is>
      </c>
      <c r="C614" s="10" t="inlineStr">
        <is>
          <t>2021-07</t>
        </is>
      </c>
      <c r="D614" s="10" t="n">
        <v>4</v>
      </c>
      <c r="E614" s="12" t="n">
        <v>4163.2</v>
      </c>
      <c r="F614" s="12" t="n">
        <v>5071.5</v>
      </c>
      <c r="G614" s="12" t="n">
        <v>-908.3</v>
      </c>
      <c r="H614" s="13" t="n">
        <v>0.1556</v>
      </c>
      <c r="I614" s="13" t="n">
        <v>0.1991</v>
      </c>
    </row>
    <row r="615">
      <c r="A615" s="10" t="inlineStr">
        <is>
          <t>PJ-2021-D</t>
        </is>
      </c>
      <c r="B615" s="10" t="inlineStr">
        <is>
          <t>位置合わせ(MS学習値)／月内均等</t>
        </is>
      </c>
      <c r="C615" s="10" t="inlineStr">
        <is>
          <t>2021-08</t>
        </is>
      </c>
      <c r="D615" s="10" t="n">
        <v>5</v>
      </c>
      <c r="E615" s="12" t="n">
        <v>5180.5</v>
      </c>
      <c r="F615" s="12" t="n">
        <v>5696.5</v>
      </c>
      <c r="G615" s="12" t="n">
        <v>-516</v>
      </c>
      <c r="H615" s="13" t="n">
        <v>0.2181</v>
      </c>
      <c r="I615" s="13" t="n">
        <v>0.2678</v>
      </c>
    </row>
    <row r="616">
      <c r="A616" s="10" t="inlineStr">
        <is>
          <t>PJ-2021-D</t>
        </is>
      </c>
      <c r="B616" s="10" t="inlineStr">
        <is>
          <t>位置合わせ(MS学習値)／月内均等</t>
        </is>
      </c>
      <c r="C616" s="10" t="inlineStr">
        <is>
          <t>2021-09</t>
        </is>
      </c>
      <c r="D616" s="10" t="n">
        <v>6</v>
      </c>
      <c r="E616" s="12" t="n">
        <v>6101.2</v>
      </c>
      <c r="F616" s="12" t="n">
        <v>6687.9</v>
      </c>
      <c r="G616" s="12" t="n">
        <v>-586.7</v>
      </c>
      <c r="H616" s="13" t="n">
        <v>0.2917</v>
      </c>
      <c r="I616" s="13" t="n">
        <v>0.3484</v>
      </c>
    </row>
    <row r="617">
      <c r="A617" s="10" t="inlineStr">
        <is>
          <t>PJ-2021-D</t>
        </is>
      </c>
      <c r="B617" s="10" t="inlineStr">
        <is>
          <t>位置合わせ(MS学習値)／月内均等</t>
        </is>
      </c>
      <c r="C617" s="10" t="inlineStr">
        <is>
          <t>2021-10</t>
        </is>
      </c>
      <c r="D617" s="10" t="n">
        <v>7</v>
      </c>
      <c r="E617" s="12" t="n">
        <v>7549.4</v>
      </c>
      <c r="F617" s="12" t="n">
        <v>7608.3</v>
      </c>
      <c r="G617" s="12" t="n">
        <v>-58.9</v>
      </c>
      <c r="H617" s="13" t="n">
        <v>0.3827</v>
      </c>
      <c r="I617" s="13" t="n">
        <v>0.4402</v>
      </c>
    </row>
    <row r="618">
      <c r="A618" s="10" t="inlineStr">
        <is>
          <t>PJ-2021-D</t>
        </is>
      </c>
      <c r="B618" s="10" t="inlineStr">
        <is>
          <t>位置合わせ(MS学習値)／月内均等</t>
        </is>
      </c>
      <c r="C618" s="10" t="inlineStr">
        <is>
          <t>2021-11</t>
        </is>
      </c>
      <c r="D618" s="10" t="n">
        <v>8</v>
      </c>
      <c r="E618" s="12" t="n">
        <v>8113.7</v>
      </c>
      <c r="F618" s="12" t="n">
        <v>6170.4</v>
      </c>
      <c r="G618" s="12" t="n">
        <v>1943.3</v>
      </c>
      <c r="H618" s="13" t="n">
        <v>0.4806</v>
      </c>
      <c r="I618" s="13" t="n">
        <v>0.5145999999999999</v>
      </c>
    </row>
    <row r="619">
      <c r="A619" s="10" t="inlineStr">
        <is>
          <t>PJ-2021-D</t>
        </is>
      </c>
      <c r="B619" s="10" t="inlineStr">
        <is>
          <t>位置合わせ(MS学習値)／月内均等</t>
        </is>
      </c>
      <c r="C619" s="10" t="inlineStr">
        <is>
          <t>2021-12</t>
        </is>
      </c>
      <c r="D619" s="10" t="n">
        <v>9</v>
      </c>
      <c r="E619" s="12" t="n">
        <v>8233</v>
      </c>
      <c r="F619" s="12" t="n">
        <v>6196</v>
      </c>
      <c r="G619" s="12" t="n">
        <v>2037</v>
      </c>
      <c r="H619" s="13" t="n">
        <v>0.5799</v>
      </c>
      <c r="I619" s="13" t="n">
        <v>0.5893</v>
      </c>
    </row>
    <row r="620">
      <c r="A620" s="10" t="inlineStr">
        <is>
          <t>PJ-2021-D</t>
        </is>
      </c>
      <c r="B620" s="10" t="inlineStr">
        <is>
          <t>位置合わせ(MS学習値)／月内均等</t>
        </is>
      </c>
      <c r="C620" s="10" t="inlineStr">
        <is>
          <t>2022-01</t>
        </is>
      </c>
      <c r="D620" s="10" t="n">
        <v>10</v>
      </c>
      <c r="E620" s="12" t="n">
        <v>8087.5</v>
      </c>
      <c r="F620" s="12" t="n">
        <v>8019.7</v>
      </c>
      <c r="G620" s="12" t="n">
        <v>67.8</v>
      </c>
      <c r="H620" s="13" t="n">
        <v>0.6774</v>
      </c>
      <c r="I620" s="13" t="n">
        <v>0.6860000000000001</v>
      </c>
    </row>
    <row r="621">
      <c r="A621" s="10" t="inlineStr">
        <is>
          <t>PJ-2021-D</t>
        </is>
      </c>
      <c r="B621" s="10" t="inlineStr">
        <is>
          <t>位置合わせ(MS学習値)／月内均等</t>
        </is>
      </c>
      <c r="C621" s="10" t="inlineStr">
        <is>
          <t>2022-02</t>
        </is>
      </c>
      <c r="D621" s="10" t="n">
        <v>11</v>
      </c>
      <c r="E621" s="12" t="n">
        <v>7477.9</v>
      </c>
      <c r="F621" s="12" t="n">
        <v>8831.1</v>
      </c>
      <c r="G621" s="12" t="n">
        <v>-1353.2</v>
      </c>
      <c r="H621" s="13" t="n">
        <v>0.7675999999999999</v>
      </c>
      <c r="I621" s="13" t="n">
        <v>0.7925</v>
      </c>
    </row>
    <row r="622">
      <c r="A622" s="10" t="inlineStr">
        <is>
          <t>PJ-2021-D</t>
        </is>
      </c>
      <c r="B622" s="10" t="inlineStr">
        <is>
          <t>位置合わせ(MS学習値)／月内均等</t>
        </is>
      </c>
      <c r="C622" s="10" t="inlineStr">
        <is>
          <t>2022-03</t>
        </is>
      </c>
      <c r="D622" s="10" t="n">
        <v>12</v>
      </c>
      <c r="E622" s="12" t="n">
        <v>6991.7</v>
      </c>
      <c r="F622" s="12" t="n">
        <v>7612.4</v>
      </c>
      <c r="G622" s="12" t="n">
        <v>-620.7</v>
      </c>
      <c r="H622" s="13" t="n">
        <v>0.8519</v>
      </c>
      <c r="I622" s="13" t="n">
        <v>0.8843</v>
      </c>
    </row>
    <row r="623">
      <c r="A623" s="10" t="inlineStr">
        <is>
          <t>PJ-2021-D</t>
        </is>
      </c>
      <c r="B623" s="10" t="inlineStr">
        <is>
          <t>位置合わせ(MS学習値)／月内均等</t>
        </is>
      </c>
      <c r="C623" s="10" t="inlineStr">
        <is>
          <t>2022-04</t>
        </is>
      </c>
      <c r="D623" s="10" t="n">
        <v>13</v>
      </c>
      <c r="E623" s="12" t="n">
        <v>5632.7</v>
      </c>
      <c r="F623" s="12" t="n">
        <v>4770.5</v>
      </c>
      <c r="G623" s="12" t="n">
        <v>862.2</v>
      </c>
      <c r="H623" s="13" t="n">
        <v>0.9198</v>
      </c>
      <c r="I623" s="13" t="n">
        <v>0.9419</v>
      </c>
    </row>
    <row r="624">
      <c r="A624" s="10" t="inlineStr">
        <is>
          <t>PJ-2021-D</t>
        </is>
      </c>
      <c r="B624" s="10" t="inlineStr">
        <is>
          <t>位置合わせ(MS学習値)／月内均等</t>
        </is>
      </c>
      <c r="C624" s="10" t="inlineStr">
        <is>
          <t>2022-05</t>
        </is>
      </c>
      <c r="D624" s="10" t="n">
        <v>14</v>
      </c>
      <c r="E624" s="12" t="n">
        <v>4273.1</v>
      </c>
      <c r="F624" s="12" t="n">
        <v>3957</v>
      </c>
      <c r="G624" s="12" t="n">
        <v>316.1</v>
      </c>
      <c r="H624" s="13" t="n">
        <v>0.9714</v>
      </c>
      <c r="I624" s="13" t="n">
        <v>0.9896</v>
      </c>
    </row>
    <row r="625">
      <c r="A625" s="10" t="inlineStr">
        <is>
          <t>PJ-2021-D</t>
        </is>
      </c>
      <c r="B625" s="10" t="inlineStr">
        <is>
          <t>位置合わせ(MS学習値)／月内均等</t>
        </is>
      </c>
      <c r="C625" s="10" t="inlineStr">
        <is>
          <t>2022-06</t>
        </is>
      </c>
      <c r="D625" s="10" t="n">
        <v>15</v>
      </c>
      <c r="E625" s="12" t="n">
        <v>2374.1</v>
      </c>
      <c r="F625" s="12" t="n">
        <v>864.5</v>
      </c>
      <c r="G625" s="12" t="n">
        <v>1509.6</v>
      </c>
      <c r="H625" s="13" t="n">
        <v>1</v>
      </c>
      <c r="I625" s="13" t="n">
        <v>1</v>
      </c>
    </row>
    <row r="626">
      <c r="A626" s="10" t="inlineStr">
        <is>
          <t>PJ-2021-D</t>
        </is>
      </c>
      <c r="B626" s="10" t="inlineStr">
        <is>
          <t>位置合わせ(MS指定)／月内均等</t>
        </is>
      </c>
      <c r="C626" s="10" t="inlineStr">
        <is>
          <t>2021-04</t>
        </is>
      </c>
      <c r="D626" s="10" t="n">
        <v>1</v>
      </c>
      <c r="E626" s="12" t="n">
        <v>1766.8</v>
      </c>
      <c r="F626" s="12" t="n">
        <v>3064.9</v>
      </c>
      <c r="G626" s="12" t="n">
        <v>-1298.1</v>
      </c>
      <c r="H626" s="13" t="n">
        <v>0.0213</v>
      </c>
      <c r="I626" s="13" t="n">
        <v>0.037</v>
      </c>
    </row>
    <row r="627">
      <c r="A627" s="10" t="inlineStr">
        <is>
          <t>PJ-2021-D</t>
        </is>
      </c>
      <c r="B627" s="10" t="inlineStr">
        <is>
          <t>位置合わせ(MS指定)／月内均等</t>
        </is>
      </c>
      <c r="C627" s="10" t="inlineStr">
        <is>
          <t>2021-05</t>
        </is>
      </c>
      <c r="D627" s="10" t="n">
        <v>2</v>
      </c>
      <c r="E627" s="12" t="n">
        <v>2543.8</v>
      </c>
      <c r="F627" s="12" t="n">
        <v>3983.2</v>
      </c>
      <c r="G627" s="12" t="n">
        <v>-1439.4</v>
      </c>
      <c r="H627" s="13" t="n">
        <v>0.052</v>
      </c>
      <c r="I627" s="13" t="n">
        <v>0.08500000000000001</v>
      </c>
    </row>
    <row r="628">
      <c r="A628" s="10" t="inlineStr">
        <is>
          <t>PJ-2021-D</t>
        </is>
      </c>
      <c r="B628" s="10" t="inlineStr">
        <is>
          <t>位置合わせ(MS指定)／月内均等</t>
        </is>
      </c>
      <c r="C628" s="10" t="inlineStr">
        <is>
          <t>2021-06</t>
        </is>
      </c>
      <c r="D628" s="10" t="n">
        <v>3</v>
      </c>
      <c r="E628" s="12" t="n">
        <v>2887.8</v>
      </c>
      <c r="F628" s="12" t="n">
        <v>4386.1</v>
      </c>
      <c r="G628" s="12" t="n">
        <v>-1498.3</v>
      </c>
      <c r="H628" s="13" t="n">
        <v>0.0868</v>
      </c>
      <c r="I628" s="13" t="n">
        <v>0.1379</v>
      </c>
    </row>
    <row r="629">
      <c r="A629" s="10" t="inlineStr">
        <is>
          <t>PJ-2021-D</t>
        </is>
      </c>
      <c r="B629" s="10" t="inlineStr">
        <is>
          <t>位置合わせ(MS指定)／月内均等</t>
        </is>
      </c>
      <c r="C629" s="10" t="inlineStr">
        <is>
          <t>2021-07</t>
        </is>
      </c>
      <c r="D629" s="10" t="n">
        <v>4</v>
      </c>
      <c r="E629" s="12" t="n">
        <v>3259.5</v>
      </c>
      <c r="F629" s="12" t="n">
        <v>5071.5</v>
      </c>
      <c r="G629" s="12" t="n">
        <v>-1812</v>
      </c>
      <c r="H629" s="13" t="n">
        <v>0.1261</v>
      </c>
      <c r="I629" s="13" t="n">
        <v>0.1991</v>
      </c>
    </row>
    <row r="630">
      <c r="A630" s="10" t="inlineStr">
        <is>
          <t>PJ-2021-D</t>
        </is>
      </c>
      <c r="B630" s="10" t="inlineStr">
        <is>
          <t>位置合わせ(MS指定)／月内均等</t>
        </is>
      </c>
      <c r="C630" s="10" t="inlineStr">
        <is>
          <t>2021-08</t>
        </is>
      </c>
      <c r="D630" s="10" t="n">
        <v>5</v>
      </c>
      <c r="E630" s="12" t="n">
        <v>3829.3</v>
      </c>
      <c r="F630" s="12" t="n">
        <v>5696.5</v>
      </c>
      <c r="G630" s="12" t="n">
        <v>-1867.2</v>
      </c>
      <c r="H630" s="13" t="n">
        <v>0.1723</v>
      </c>
      <c r="I630" s="13" t="n">
        <v>0.2678</v>
      </c>
    </row>
    <row r="631">
      <c r="A631" s="10" t="inlineStr">
        <is>
          <t>PJ-2021-D</t>
        </is>
      </c>
      <c r="B631" s="10" t="inlineStr">
        <is>
          <t>位置合わせ(MS指定)／月内均等</t>
        </is>
      </c>
      <c r="C631" s="10" t="inlineStr">
        <is>
          <t>2021-09</t>
        </is>
      </c>
      <c r="D631" s="10" t="n">
        <v>6</v>
      </c>
      <c r="E631" s="12" t="n">
        <v>4599.5</v>
      </c>
      <c r="F631" s="12" t="n">
        <v>6687.9</v>
      </c>
      <c r="G631" s="12" t="n">
        <v>-2088.4</v>
      </c>
      <c r="H631" s="13" t="n">
        <v>0.2278</v>
      </c>
      <c r="I631" s="13" t="n">
        <v>0.3484</v>
      </c>
    </row>
    <row r="632">
      <c r="A632" s="10" t="inlineStr">
        <is>
          <t>PJ-2021-D</t>
        </is>
      </c>
      <c r="B632" s="10" t="inlineStr">
        <is>
          <t>位置合わせ(MS指定)／月内均等</t>
        </is>
      </c>
      <c r="C632" s="10" t="inlineStr">
        <is>
          <t>2021-10</t>
        </is>
      </c>
      <c r="D632" s="10" t="n">
        <v>7</v>
      </c>
      <c r="E632" s="12" t="n">
        <v>5478.6</v>
      </c>
      <c r="F632" s="12" t="n">
        <v>7608.3</v>
      </c>
      <c r="G632" s="12" t="n">
        <v>-2129.7</v>
      </c>
      <c r="H632" s="13" t="n">
        <v>0.2938</v>
      </c>
      <c r="I632" s="13" t="n">
        <v>0.4402</v>
      </c>
    </row>
    <row r="633">
      <c r="A633" s="10" t="inlineStr">
        <is>
          <t>PJ-2021-D</t>
        </is>
      </c>
      <c r="B633" s="10" t="inlineStr">
        <is>
          <t>位置合わせ(MS指定)／月内均等</t>
        </is>
      </c>
      <c r="C633" s="10" t="inlineStr">
        <is>
          <t>2021-11</t>
        </is>
      </c>
      <c r="D633" s="10" t="n">
        <v>8</v>
      </c>
      <c r="E633" s="12" t="n">
        <v>6133</v>
      </c>
      <c r="F633" s="12" t="n">
        <v>6170.4</v>
      </c>
      <c r="G633" s="12" t="n">
        <v>-37.4</v>
      </c>
      <c r="H633" s="13" t="n">
        <v>0.3678</v>
      </c>
      <c r="I633" s="13" t="n">
        <v>0.5145999999999999</v>
      </c>
    </row>
    <row r="634">
      <c r="A634" s="10" t="inlineStr">
        <is>
          <t>PJ-2021-D</t>
        </is>
      </c>
      <c r="B634" s="10" t="inlineStr">
        <is>
          <t>位置合わせ(MS指定)／月内均等</t>
        </is>
      </c>
      <c r="C634" s="10" t="inlineStr">
        <is>
          <t>2021-12</t>
        </is>
      </c>
      <c r="D634" s="10" t="n">
        <v>9</v>
      </c>
      <c r="E634" s="12" t="n">
        <v>8893.5</v>
      </c>
      <c r="F634" s="12" t="n">
        <v>6196</v>
      </c>
      <c r="G634" s="12" t="n">
        <v>2697.5</v>
      </c>
      <c r="H634" s="13" t="n">
        <v>0.4751</v>
      </c>
      <c r="I634" s="13" t="n">
        <v>0.5893</v>
      </c>
    </row>
    <row r="635">
      <c r="A635" s="10" t="inlineStr">
        <is>
          <t>PJ-2021-D</t>
        </is>
      </c>
      <c r="B635" s="10" t="inlineStr">
        <is>
          <t>位置合わせ(MS指定)／月内均等</t>
        </is>
      </c>
      <c r="C635" s="10" t="inlineStr">
        <is>
          <t>2022-01</t>
        </is>
      </c>
      <c r="D635" s="10" t="n">
        <v>10</v>
      </c>
      <c r="E635" s="12" t="n">
        <v>10198.1</v>
      </c>
      <c r="F635" s="12" t="n">
        <v>8019.7</v>
      </c>
      <c r="G635" s="12" t="n">
        <v>2178.4</v>
      </c>
      <c r="H635" s="13" t="n">
        <v>0.598</v>
      </c>
      <c r="I635" s="13" t="n">
        <v>0.6860000000000001</v>
      </c>
    </row>
    <row r="636">
      <c r="A636" s="10" t="inlineStr">
        <is>
          <t>PJ-2021-D</t>
        </is>
      </c>
      <c r="B636" s="10" t="inlineStr">
        <is>
          <t>位置合わせ(MS指定)／月内均等</t>
        </is>
      </c>
      <c r="C636" s="10" t="inlineStr">
        <is>
          <t>2022-02</t>
        </is>
      </c>
      <c r="D636" s="10" t="n">
        <v>11</v>
      </c>
      <c r="E636" s="12" t="n">
        <v>9201.299999999999</v>
      </c>
      <c r="F636" s="12" t="n">
        <v>8831.1</v>
      </c>
      <c r="G636" s="12" t="n">
        <v>370.2</v>
      </c>
      <c r="H636" s="13" t="n">
        <v>0.709</v>
      </c>
      <c r="I636" s="13" t="n">
        <v>0.7925</v>
      </c>
    </row>
    <row r="637">
      <c r="A637" s="10" t="inlineStr">
        <is>
          <t>PJ-2021-D</t>
        </is>
      </c>
      <c r="B637" s="10" t="inlineStr">
        <is>
          <t>位置合わせ(MS指定)／月内均等</t>
        </is>
      </c>
      <c r="C637" s="10" t="inlineStr">
        <is>
          <t>2022-03</t>
        </is>
      </c>
      <c r="D637" s="10" t="n">
        <v>12</v>
      </c>
      <c r="E637" s="12" t="n">
        <v>9923.4</v>
      </c>
      <c r="F637" s="12" t="n">
        <v>7612.4</v>
      </c>
      <c r="G637" s="12" t="n">
        <v>2311</v>
      </c>
      <c r="H637" s="13" t="n">
        <v>0.8287</v>
      </c>
      <c r="I637" s="13" t="n">
        <v>0.8843</v>
      </c>
    </row>
    <row r="638">
      <c r="A638" s="10" t="inlineStr">
        <is>
          <t>PJ-2021-D</t>
        </is>
      </c>
      <c r="B638" s="10" t="inlineStr">
        <is>
          <t>位置合わせ(MS指定)／月内均等</t>
        </is>
      </c>
      <c r="C638" s="10" t="inlineStr">
        <is>
          <t>2022-04</t>
        </is>
      </c>
      <c r="D638" s="10" t="n">
        <v>13</v>
      </c>
      <c r="E638" s="12" t="n">
        <v>7727.6</v>
      </c>
      <c r="F638" s="12" t="n">
        <v>4770.5</v>
      </c>
      <c r="G638" s="12" t="n">
        <v>2957.1</v>
      </c>
      <c r="H638" s="13" t="n">
        <v>0.9219000000000001</v>
      </c>
      <c r="I638" s="13" t="n">
        <v>0.9419</v>
      </c>
    </row>
    <row r="639">
      <c r="A639" s="10" t="inlineStr">
        <is>
          <t>PJ-2021-D</t>
        </is>
      </c>
      <c r="B639" s="10" t="inlineStr">
        <is>
          <t>位置合わせ(MS指定)／月内均等</t>
        </is>
      </c>
      <c r="C639" s="10" t="inlineStr">
        <is>
          <t>2022-05</t>
        </is>
      </c>
      <c r="D639" s="10" t="n">
        <v>14</v>
      </c>
      <c r="E639" s="12" t="n">
        <v>4590.2</v>
      </c>
      <c r="F639" s="12" t="n">
        <v>3957</v>
      </c>
      <c r="G639" s="12" t="n">
        <v>633.2</v>
      </c>
      <c r="H639" s="13" t="n">
        <v>0.9772</v>
      </c>
      <c r="I639" s="13" t="n">
        <v>0.9896</v>
      </c>
    </row>
    <row r="640">
      <c r="A640" s="10" t="inlineStr">
        <is>
          <t>PJ-2021-D</t>
        </is>
      </c>
      <c r="B640" s="10" t="inlineStr">
        <is>
          <t>位置合わせ(MS指定)／月内均等</t>
        </is>
      </c>
      <c r="C640" s="10" t="inlineStr">
        <is>
          <t>2022-06</t>
        </is>
      </c>
      <c r="D640" s="10" t="n">
        <v>15</v>
      </c>
      <c r="E640" s="12" t="n">
        <v>1887.8</v>
      </c>
      <c r="F640" s="12" t="n">
        <v>864.5</v>
      </c>
      <c r="G640" s="12" t="n">
        <v>1023.3</v>
      </c>
      <c r="H640" s="13" t="n">
        <v>1</v>
      </c>
      <c r="I640" s="13" t="n">
        <v>1</v>
      </c>
    </row>
    <row r="641">
      <c r="A641" s="10" t="inlineStr">
        <is>
          <t>PJ-2021-D</t>
        </is>
      </c>
      <c r="B641" s="10" t="inlineStr">
        <is>
          <t>素朴版／単調補間</t>
        </is>
      </c>
      <c r="C641" s="10" t="inlineStr">
        <is>
          <t>2021-04</t>
        </is>
      </c>
      <c r="D641" s="10" t="n">
        <v>1</v>
      </c>
      <c r="E641" s="12" t="n">
        <v>2181.2</v>
      </c>
      <c r="F641" s="12" t="n">
        <v>3064.9</v>
      </c>
      <c r="G641" s="12" t="n">
        <v>-883.7</v>
      </c>
      <c r="H641" s="13" t="n">
        <v>0.0263</v>
      </c>
      <c r="I641" s="13" t="n">
        <v>0.037</v>
      </c>
    </row>
    <row r="642">
      <c r="A642" s="10" t="inlineStr">
        <is>
          <t>PJ-2021-D</t>
        </is>
      </c>
      <c r="B642" s="10" t="inlineStr">
        <is>
          <t>素朴版／単調補間</t>
        </is>
      </c>
      <c r="C642" s="10" t="inlineStr">
        <is>
          <t>2021-05</t>
        </is>
      </c>
      <c r="D642" s="10" t="n">
        <v>2</v>
      </c>
      <c r="E642" s="12" t="n">
        <v>3161.3</v>
      </c>
      <c r="F642" s="12" t="n">
        <v>3983.2</v>
      </c>
      <c r="G642" s="12" t="n">
        <v>-821.9</v>
      </c>
      <c r="H642" s="13" t="n">
        <v>0.0644</v>
      </c>
      <c r="I642" s="13" t="n">
        <v>0.08500000000000001</v>
      </c>
    </row>
    <row r="643">
      <c r="A643" s="10" t="inlineStr">
        <is>
          <t>PJ-2021-D</t>
        </is>
      </c>
      <c r="B643" s="10" t="inlineStr">
        <is>
          <t>素朴版／単調補間</t>
        </is>
      </c>
      <c r="C643" s="10" t="inlineStr">
        <is>
          <t>2021-06</t>
        </is>
      </c>
      <c r="D643" s="10" t="n">
        <v>3</v>
      </c>
      <c r="E643" s="12" t="n">
        <v>3589.5</v>
      </c>
      <c r="F643" s="12" t="n">
        <v>4386.1</v>
      </c>
      <c r="G643" s="12" t="n">
        <v>-796.6</v>
      </c>
      <c r="H643" s="13" t="n">
        <v>0.1077</v>
      </c>
      <c r="I643" s="13" t="n">
        <v>0.1379</v>
      </c>
    </row>
    <row r="644">
      <c r="A644" s="10" t="inlineStr">
        <is>
          <t>PJ-2021-D</t>
        </is>
      </c>
      <c r="B644" s="10" t="inlineStr">
        <is>
          <t>素朴版／単調補間</t>
        </is>
      </c>
      <c r="C644" s="10" t="inlineStr">
        <is>
          <t>2021-07</t>
        </is>
      </c>
      <c r="D644" s="10" t="n">
        <v>4</v>
      </c>
      <c r="E644" s="12" t="n">
        <v>4270.4</v>
      </c>
      <c r="F644" s="12" t="n">
        <v>5071.5</v>
      </c>
      <c r="G644" s="12" t="n">
        <v>-801.1</v>
      </c>
      <c r="H644" s="13" t="n">
        <v>0.1592</v>
      </c>
      <c r="I644" s="13" t="n">
        <v>0.1991</v>
      </c>
    </row>
    <row r="645">
      <c r="A645" s="10" t="inlineStr">
        <is>
          <t>PJ-2021-D</t>
        </is>
      </c>
      <c r="B645" s="10" t="inlineStr">
        <is>
          <t>素朴版／単調補間</t>
        </is>
      </c>
      <c r="C645" s="10" t="inlineStr">
        <is>
          <t>2021-08</t>
        </is>
      </c>
      <c r="D645" s="10" t="n">
        <v>5</v>
      </c>
      <c r="E645" s="12" t="n">
        <v>5697.5</v>
      </c>
      <c r="F645" s="12" t="n">
        <v>5696.5</v>
      </c>
      <c r="G645" s="12" t="n">
        <v>1</v>
      </c>
      <c r="H645" s="13" t="n">
        <v>0.2279</v>
      </c>
      <c r="I645" s="13" t="n">
        <v>0.2678</v>
      </c>
    </row>
    <row r="646">
      <c r="A646" s="10" t="inlineStr">
        <is>
          <t>PJ-2021-D</t>
        </is>
      </c>
      <c r="B646" s="10" t="inlineStr">
        <is>
          <t>素朴版／単調補間</t>
        </is>
      </c>
      <c r="C646" s="10" t="inlineStr">
        <is>
          <t>2021-09</t>
        </is>
      </c>
      <c r="D646" s="10" t="n">
        <v>6</v>
      </c>
      <c r="E646" s="12" t="n">
        <v>6623.8</v>
      </c>
      <c r="F646" s="12" t="n">
        <v>6687.9</v>
      </c>
      <c r="G646" s="12" t="n">
        <v>-64.09999999999999</v>
      </c>
      <c r="H646" s="13" t="n">
        <v>0.3078</v>
      </c>
      <c r="I646" s="13" t="n">
        <v>0.3484</v>
      </c>
    </row>
    <row r="647">
      <c r="A647" s="10" t="inlineStr">
        <is>
          <t>PJ-2021-D</t>
        </is>
      </c>
      <c r="B647" s="10" t="inlineStr">
        <is>
          <t>素朴版／単調補間</t>
        </is>
      </c>
      <c r="C647" s="10" t="inlineStr">
        <is>
          <t>2021-10</t>
        </is>
      </c>
      <c r="D647" s="10" t="n">
        <v>7</v>
      </c>
      <c r="E647" s="12" t="n">
        <v>6870.9</v>
      </c>
      <c r="F647" s="12" t="n">
        <v>7608.3</v>
      </c>
      <c r="G647" s="12" t="n">
        <v>-737.4</v>
      </c>
      <c r="H647" s="13" t="n">
        <v>0.3907</v>
      </c>
      <c r="I647" s="13" t="n">
        <v>0.4402</v>
      </c>
    </row>
    <row r="648">
      <c r="A648" s="10" t="inlineStr">
        <is>
          <t>PJ-2021-D</t>
        </is>
      </c>
      <c r="B648" s="10" t="inlineStr">
        <is>
          <t>素朴版／単調補間</t>
        </is>
      </c>
      <c r="C648" s="10" t="inlineStr">
        <is>
          <t>2021-11</t>
        </is>
      </c>
      <c r="D648" s="10" t="n">
        <v>8</v>
      </c>
      <c r="E648" s="12" t="n">
        <v>6977.9</v>
      </c>
      <c r="F648" s="12" t="n">
        <v>6170.4</v>
      </c>
      <c r="G648" s="12" t="n">
        <v>807.5</v>
      </c>
      <c r="H648" s="13" t="n">
        <v>0.4748</v>
      </c>
      <c r="I648" s="13" t="n">
        <v>0.5145999999999999</v>
      </c>
    </row>
    <row r="649">
      <c r="A649" s="10" t="inlineStr">
        <is>
          <t>PJ-2021-D</t>
        </is>
      </c>
      <c r="B649" s="10" t="inlineStr">
        <is>
          <t>素朴版／単調補間</t>
        </is>
      </c>
      <c r="C649" s="10" t="inlineStr">
        <is>
          <t>2021-12</t>
        </is>
      </c>
      <c r="D649" s="10" t="n">
        <v>9</v>
      </c>
      <c r="E649" s="12" t="n">
        <v>8162.3</v>
      </c>
      <c r="F649" s="12" t="n">
        <v>6196</v>
      </c>
      <c r="G649" s="12" t="n">
        <v>1966.3</v>
      </c>
      <c r="H649" s="13" t="n">
        <v>0.5733</v>
      </c>
      <c r="I649" s="13" t="n">
        <v>0.5893</v>
      </c>
    </row>
    <row r="650">
      <c r="A650" s="10" t="inlineStr">
        <is>
          <t>PJ-2021-D</t>
        </is>
      </c>
      <c r="B650" s="10" t="inlineStr">
        <is>
          <t>素朴版／単調補間</t>
        </is>
      </c>
      <c r="C650" s="10" t="inlineStr">
        <is>
          <t>2022-01</t>
        </is>
      </c>
      <c r="D650" s="10" t="n">
        <v>10</v>
      </c>
      <c r="E650" s="12" t="n">
        <v>8627.200000000001</v>
      </c>
      <c r="F650" s="12" t="n">
        <v>8019.7</v>
      </c>
      <c r="G650" s="12" t="n">
        <v>607.5</v>
      </c>
      <c r="H650" s="13" t="n">
        <v>0.6773</v>
      </c>
      <c r="I650" s="13" t="n">
        <v>0.6860000000000001</v>
      </c>
    </row>
    <row r="651">
      <c r="A651" s="10" t="inlineStr">
        <is>
          <t>PJ-2021-D</t>
        </is>
      </c>
      <c r="B651" s="10" t="inlineStr">
        <is>
          <t>素朴版／単調補間</t>
        </is>
      </c>
      <c r="C651" s="10" t="inlineStr">
        <is>
          <t>2022-02</t>
        </is>
      </c>
      <c r="D651" s="10" t="n">
        <v>11</v>
      </c>
      <c r="E651" s="12" t="n">
        <v>6597.4</v>
      </c>
      <c r="F651" s="12" t="n">
        <v>8831.1</v>
      </c>
      <c r="G651" s="12" t="n">
        <v>-2233.7</v>
      </c>
      <c r="H651" s="13" t="n">
        <v>0.7569</v>
      </c>
      <c r="I651" s="13" t="n">
        <v>0.7925</v>
      </c>
    </row>
    <row r="652">
      <c r="A652" s="10" t="inlineStr">
        <is>
          <t>PJ-2021-D</t>
        </is>
      </c>
      <c r="B652" s="10" t="inlineStr">
        <is>
          <t>素朴版／単調補間</t>
        </is>
      </c>
      <c r="C652" s="10" t="inlineStr">
        <is>
          <t>2022-03</t>
        </is>
      </c>
      <c r="D652" s="10" t="n">
        <v>12</v>
      </c>
      <c r="E652" s="12" t="n">
        <v>7269.4</v>
      </c>
      <c r="F652" s="12" t="n">
        <v>7612.4</v>
      </c>
      <c r="G652" s="12" t="n">
        <v>-343</v>
      </c>
      <c r="H652" s="13" t="n">
        <v>0.8445</v>
      </c>
      <c r="I652" s="13" t="n">
        <v>0.8843</v>
      </c>
    </row>
    <row r="653">
      <c r="A653" s="10" t="inlineStr">
        <is>
          <t>PJ-2021-D</t>
        </is>
      </c>
      <c r="B653" s="10" t="inlineStr">
        <is>
          <t>素朴版／単調補間</t>
        </is>
      </c>
      <c r="C653" s="10" t="inlineStr">
        <is>
          <t>2022-04</t>
        </is>
      </c>
      <c r="D653" s="10" t="n">
        <v>13</v>
      </c>
      <c r="E653" s="12" t="n">
        <v>6294.6</v>
      </c>
      <c r="F653" s="12" t="n">
        <v>4770.5</v>
      </c>
      <c r="G653" s="12" t="n">
        <v>1524.1</v>
      </c>
      <c r="H653" s="13" t="n">
        <v>0.9204</v>
      </c>
      <c r="I653" s="13" t="n">
        <v>0.9419</v>
      </c>
    </row>
    <row r="654">
      <c r="A654" s="10" t="inlineStr">
        <is>
          <t>PJ-2021-D</t>
        </is>
      </c>
      <c r="B654" s="10" t="inlineStr">
        <is>
          <t>素朴版／単調補間</t>
        </is>
      </c>
      <c r="C654" s="10" t="inlineStr">
        <is>
          <t>2022-05</t>
        </is>
      </c>
      <c r="D654" s="10" t="n">
        <v>14</v>
      </c>
      <c r="E654" s="12" t="n">
        <v>4295.8</v>
      </c>
      <c r="F654" s="12" t="n">
        <v>3957</v>
      </c>
      <c r="G654" s="12" t="n">
        <v>338.8</v>
      </c>
      <c r="H654" s="13" t="n">
        <v>0.9723000000000001</v>
      </c>
      <c r="I654" s="13" t="n">
        <v>0.9896</v>
      </c>
    </row>
    <row r="655">
      <c r="A655" s="10" t="inlineStr">
        <is>
          <t>PJ-2021-D</t>
        </is>
      </c>
      <c r="B655" s="10" t="inlineStr">
        <is>
          <t>素朴版／単調補間</t>
        </is>
      </c>
      <c r="C655" s="10" t="inlineStr">
        <is>
          <t>2022-06</t>
        </is>
      </c>
      <c r="D655" s="10" t="n">
        <v>15</v>
      </c>
      <c r="E655" s="12" t="n">
        <v>2300.6</v>
      </c>
      <c r="F655" s="12" t="n">
        <v>864.5</v>
      </c>
      <c r="G655" s="12" t="n">
        <v>1436.1</v>
      </c>
      <c r="H655" s="13" t="n">
        <v>1</v>
      </c>
      <c r="I655" s="13" t="n">
        <v>1</v>
      </c>
    </row>
    <row r="656">
      <c r="A656" s="10" t="inlineStr">
        <is>
          <t>PJ-2021-D</t>
        </is>
      </c>
      <c r="B656" s="10" t="inlineStr">
        <is>
          <t>位置合わせ(MS学習値)／単調補間</t>
        </is>
      </c>
      <c r="C656" s="10" t="inlineStr">
        <is>
          <t>2021-04</t>
        </is>
      </c>
      <c r="D656" s="10" t="n">
        <v>1</v>
      </c>
      <c r="E656" s="12" t="n">
        <v>2121.5</v>
      </c>
      <c r="F656" s="12" t="n">
        <v>3064.9</v>
      </c>
      <c r="G656" s="12" t="n">
        <v>-943.4</v>
      </c>
      <c r="H656" s="13" t="n">
        <v>0.0256</v>
      </c>
      <c r="I656" s="13" t="n">
        <v>0.037</v>
      </c>
    </row>
    <row r="657">
      <c r="A657" s="10" t="inlineStr">
        <is>
          <t>PJ-2021-D</t>
        </is>
      </c>
      <c r="B657" s="10" t="inlineStr">
        <is>
          <t>位置合わせ(MS学習値)／単調補間</t>
        </is>
      </c>
      <c r="C657" s="10" t="inlineStr">
        <is>
          <t>2021-05</t>
        </is>
      </c>
      <c r="D657" s="10" t="n">
        <v>2</v>
      </c>
      <c r="E657" s="12" t="n">
        <v>3084.1</v>
      </c>
      <c r="F657" s="12" t="n">
        <v>3983.2</v>
      </c>
      <c r="G657" s="12" t="n">
        <v>-899.1</v>
      </c>
      <c r="H657" s="13" t="n">
        <v>0.06279999999999999</v>
      </c>
      <c r="I657" s="13" t="n">
        <v>0.08500000000000001</v>
      </c>
    </row>
    <row r="658">
      <c r="A658" s="10" t="inlineStr">
        <is>
          <t>PJ-2021-D</t>
        </is>
      </c>
      <c r="B658" s="10" t="inlineStr">
        <is>
          <t>位置合わせ(MS学習値)／単調補間</t>
        </is>
      </c>
      <c r="C658" s="10" t="inlineStr">
        <is>
          <t>2021-06</t>
        </is>
      </c>
      <c r="D658" s="10" t="n">
        <v>3</v>
      </c>
      <c r="E658" s="12" t="n">
        <v>3494.6</v>
      </c>
      <c r="F658" s="12" t="n">
        <v>4386.1</v>
      </c>
      <c r="G658" s="12" t="n">
        <v>-891.5</v>
      </c>
      <c r="H658" s="13" t="n">
        <v>0.1049</v>
      </c>
      <c r="I658" s="13" t="n">
        <v>0.1379</v>
      </c>
    </row>
    <row r="659">
      <c r="A659" s="10" t="inlineStr">
        <is>
          <t>PJ-2021-D</t>
        </is>
      </c>
      <c r="B659" s="10" t="inlineStr">
        <is>
          <t>位置合わせ(MS学習値)／単調補間</t>
        </is>
      </c>
      <c r="C659" s="10" t="inlineStr">
        <is>
          <t>2021-07</t>
        </is>
      </c>
      <c r="D659" s="10" t="n">
        <v>4</v>
      </c>
      <c r="E659" s="12" t="n">
        <v>4158.2</v>
      </c>
      <c r="F659" s="12" t="n">
        <v>5071.5</v>
      </c>
      <c r="G659" s="12" t="n">
        <v>-913.3</v>
      </c>
      <c r="H659" s="13" t="n">
        <v>0.1551</v>
      </c>
      <c r="I659" s="13" t="n">
        <v>0.1991</v>
      </c>
    </row>
    <row r="660">
      <c r="A660" s="10" t="inlineStr">
        <is>
          <t>PJ-2021-D</t>
        </is>
      </c>
      <c r="B660" s="10" t="inlineStr">
        <is>
          <t>位置合わせ(MS学習値)／単調補間</t>
        </is>
      </c>
      <c r="C660" s="10" t="inlineStr">
        <is>
          <t>2021-08</t>
        </is>
      </c>
      <c r="D660" s="10" t="n">
        <v>5</v>
      </c>
      <c r="E660" s="12" t="n">
        <v>5194.2</v>
      </c>
      <c r="F660" s="12" t="n">
        <v>5696.5</v>
      </c>
      <c r="G660" s="12" t="n">
        <v>-502.3</v>
      </c>
      <c r="H660" s="13" t="n">
        <v>0.2177</v>
      </c>
      <c r="I660" s="13" t="n">
        <v>0.2678</v>
      </c>
    </row>
    <row r="661">
      <c r="A661" s="10" t="inlineStr">
        <is>
          <t>PJ-2021-D</t>
        </is>
      </c>
      <c r="B661" s="10" t="inlineStr">
        <is>
          <t>位置合わせ(MS学習値)／単調補間</t>
        </is>
      </c>
      <c r="C661" s="10" t="inlineStr">
        <is>
          <t>2021-09</t>
        </is>
      </c>
      <c r="D661" s="10" t="n">
        <v>6</v>
      </c>
      <c r="E661" s="12" t="n">
        <v>6116.6</v>
      </c>
      <c r="F661" s="12" t="n">
        <v>6687.9</v>
      </c>
      <c r="G661" s="12" t="n">
        <v>-571.3</v>
      </c>
      <c r="H661" s="13" t="n">
        <v>0.2915</v>
      </c>
      <c r="I661" s="13" t="n">
        <v>0.3484</v>
      </c>
    </row>
    <row r="662">
      <c r="A662" s="10" t="inlineStr">
        <is>
          <t>PJ-2021-D</t>
        </is>
      </c>
      <c r="B662" s="10" t="inlineStr">
        <is>
          <t>位置合わせ(MS学習値)／単調補間</t>
        </is>
      </c>
      <c r="C662" s="10" t="inlineStr">
        <is>
          <t>2021-10</t>
        </is>
      </c>
      <c r="D662" s="10" t="n">
        <v>7</v>
      </c>
      <c r="E662" s="12" t="n">
        <v>7499.2</v>
      </c>
      <c r="F662" s="12" t="n">
        <v>7608.3</v>
      </c>
      <c r="G662" s="12" t="n">
        <v>-109.1</v>
      </c>
      <c r="H662" s="13" t="n">
        <v>0.3819</v>
      </c>
      <c r="I662" s="13" t="n">
        <v>0.4402</v>
      </c>
    </row>
    <row r="663">
      <c r="A663" s="10" t="inlineStr">
        <is>
          <t>PJ-2021-D</t>
        </is>
      </c>
      <c r="B663" s="10" t="inlineStr">
        <is>
          <t>位置合わせ(MS学習値)／単調補間</t>
        </is>
      </c>
      <c r="C663" s="10" t="inlineStr">
        <is>
          <t>2021-11</t>
        </is>
      </c>
      <c r="D663" s="10" t="n">
        <v>8</v>
      </c>
      <c r="E663" s="12" t="n">
        <v>8127.1</v>
      </c>
      <c r="F663" s="12" t="n">
        <v>6170.4</v>
      </c>
      <c r="G663" s="12" t="n">
        <v>1956.7</v>
      </c>
      <c r="H663" s="13" t="n">
        <v>0.4799</v>
      </c>
      <c r="I663" s="13" t="n">
        <v>0.5145999999999999</v>
      </c>
    </row>
    <row r="664">
      <c r="A664" s="10" t="inlineStr">
        <is>
          <t>PJ-2021-D</t>
        </is>
      </c>
      <c r="B664" s="10" t="inlineStr">
        <is>
          <t>位置合わせ(MS学習値)／単調補間</t>
        </is>
      </c>
      <c r="C664" s="10" t="inlineStr">
        <is>
          <t>2021-12</t>
        </is>
      </c>
      <c r="D664" s="10" t="n">
        <v>9</v>
      </c>
      <c r="E664" s="12" t="n">
        <v>8291.5</v>
      </c>
      <c r="F664" s="12" t="n">
        <v>6196</v>
      </c>
      <c r="G664" s="12" t="n">
        <v>2095.5</v>
      </c>
      <c r="H664" s="13" t="n">
        <v>0.5799</v>
      </c>
      <c r="I664" s="13" t="n">
        <v>0.5893</v>
      </c>
    </row>
    <row r="665">
      <c r="A665" s="10" t="inlineStr">
        <is>
          <t>PJ-2021-D</t>
        </is>
      </c>
      <c r="B665" s="10" t="inlineStr">
        <is>
          <t>位置合わせ(MS学習値)／単調補間</t>
        </is>
      </c>
      <c r="C665" s="10" t="inlineStr">
        <is>
          <t>2022-01</t>
        </is>
      </c>
      <c r="D665" s="10" t="n">
        <v>10</v>
      </c>
      <c r="E665" s="12" t="n">
        <v>8126.4</v>
      </c>
      <c r="F665" s="12" t="n">
        <v>8019.7</v>
      </c>
      <c r="G665" s="12" t="n">
        <v>106.7</v>
      </c>
      <c r="H665" s="13" t="n">
        <v>0.6778999999999999</v>
      </c>
      <c r="I665" s="13" t="n">
        <v>0.6860000000000001</v>
      </c>
    </row>
    <row r="666">
      <c r="A666" s="10" t="inlineStr">
        <is>
          <t>PJ-2021-D</t>
        </is>
      </c>
      <c r="B666" s="10" t="inlineStr">
        <is>
          <t>位置合わせ(MS学習値)／単調補間</t>
        </is>
      </c>
      <c r="C666" s="10" t="inlineStr">
        <is>
          <t>2022-02</t>
        </is>
      </c>
      <c r="D666" s="10" t="n">
        <v>11</v>
      </c>
      <c r="E666" s="12" t="n">
        <v>7514.1</v>
      </c>
      <c r="F666" s="12" t="n">
        <v>8831.1</v>
      </c>
      <c r="G666" s="12" t="n">
        <v>-1317</v>
      </c>
      <c r="H666" s="13" t="n">
        <v>0.7685</v>
      </c>
      <c r="I666" s="13" t="n">
        <v>0.7925</v>
      </c>
    </row>
    <row r="667">
      <c r="A667" s="10" t="inlineStr">
        <is>
          <t>PJ-2021-D</t>
        </is>
      </c>
      <c r="B667" s="10" t="inlineStr">
        <is>
          <t>位置合わせ(MS学習値)／単調補間</t>
        </is>
      </c>
      <c r="C667" s="10" t="inlineStr">
        <is>
          <t>2022-03</t>
        </is>
      </c>
      <c r="D667" s="10" t="n">
        <v>12</v>
      </c>
      <c r="E667" s="12" t="n">
        <v>6999.6</v>
      </c>
      <c r="F667" s="12" t="n">
        <v>7612.4</v>
      </c>
      <c r="G667" s="12" t="n">
        <v>-612.8</v>
      </c>
      <c r="H667" s="13" t="n">
        <v>0.853</v>
      </c>
      <c r="I667" s="13" t="n">
        <v>0.8843</v>
      </c>
    </row>
    <row r="668">
      <c r="A668" s="10" t="inlineStr">
        <is>
          <t>PJ-2021-D</t>
        </is>
      </c>
      <c r="B668" s="10" t="inlineStr">
        <is>
          <t>位置合わせ(MS学習値)／単調補間</t>
        </is>
      </c>
      <c r="C668" s="10" t="inlineStr">
        <is>
          <t>2022-04</t>
        </is>
      </c>
      <c r="D668" s="10" t="n">
        <v>13</v>
      </c>
      <c r="E668" s="12" t="n">
        <v>5592</v>
      </c>
      <c r="F668" s="12" t="n">
        <v>4770.5</v>
      </c>
      <c r="G668" s="12" t="n">
        <v>821.5</v>
      </c>
      <c r="H668" s="13" t="n">
        <v>0.9204</v>
      </c>
      <c r="I668" s="13" t="n">
        <v>0.9419</v>
      </c>
    </row>
    <row r="669">
      <c r="A669" s="10" t="inlineStr">
        <is>
          <t>PJ-2021-D</t>
        </is>
      </c>
      <c r="B669" s="10" t="inlineStr">
        <is>
          <t>位置合わせ(MS学習値)／単調補間</t>
        </is>
      </c>
      <c r="C669" s="10" t="inlineStr">
        <is>
          <t>2022-05</t>
        </is>
      </c>
      <c r="D669" s="10" t="n">
        <v>14</v>
      </c>
      <c r="E669" s="12" t="n">
        <v>4304.2</v>
      </c>
      <c r="F669" s="12" t="n">
        <v>3957</v>
      </c>
      <c r="G669" s="12" t="n">
        <v>347.2</v>
      </c>
      <c r="H669" s="13" t="n">
        <v>0.9723000000000001</v>
      </c>
      <c r="I669" s="13" t="n">
        <v>0.9896</v>
      </c>
    </row>
    <row r="670">
      <c r="A670" s="10" t="inlineStr">
        <is>
          <t>PJ-2021-D</t>
        </is>
      </c>
      <c r="B670" s="10" t="inlineStr">
        <is>
          <t>位置合わせ(MS学習値)／単調補間</t>
        </is>
      </c>
      <c r="C670" s="10" t="inlineStr">
        <is>
          <t>2022-06</t>
        </is>
      </c>
      <c r="D670" s="10" t="n">
        <v>15</v>
      </c>
      <c r="E670" s="12" t="n">
        <v>2296.9</v>
      </c>
      <c r="F670" s="12" t="n">
        <v>864.5</v>
      </c>
      <c r="G670" s="12" t="n">
        <v>1432.4</v>
      </c>
      <c r="H670" s="13" t="n">
        <v>1</v>
      </c>
      <c r="I670" s="13" t="n">
        <v>1</v>
      </c>
    </row>
    <row r="671">
      <c r="A671" s="10" t="inlineStr">
        <is>
          <t>PJ-2021-D</t>
        </is>
      </c>
      <c r="B671" s="10" t="inlineStr">
        <is>
          <t>位置合わせ(MS指定)／単調補間</t>
        </is>
      </c>
      <c r="C671" s="10" t="inlineStr">
        <is>
          <t>2021-04</t>
        </is>
      </c>
      <c r="D671" s="10" t="n">
        <v>1</v>
      </c>
      <c r="E671" s="12" t="n">
        <v>1745.9</v>
      </c>
      <c r="F671" s="12" t="n">
        <v>3064.9</v>
      </c>
      <c r="G671" s="12" t="n">
        <v>-1319</v>
      </c>
      <c r="H671" s="13" t="n">
        <v>0.0211</v>
      </c>
      <c r="I671" s="13" t="n">
        <v>0.037</v>
      </c>
    </row>
    <row r="672">
      <c r="A672" s="10" t="inlineStr">
        <is>
          <t>PJ-2021-D</t>
        </is>
      </c>
      <c r="B672" s="10" t="inlineStr">
        <is>
          <t>位置合わせ(MS指定)／単調補間</t>
        </is>
      </c>
      <c r="C672" s="10" t="inlineStr">
        <is>
          <t>2021-05</t>
        </is>
      </c>
      <c r="D672" s="10" t="n">
        <v>2</v>
      </c>
      <c r="E672" s="12" t="n">
        <v>2545.6</v>
      </c>
      <c r="F672" s="12" t="n">
        <v>3983.2</v>
      </c>
      <c r="G672" s="12" t="n">
        <v>-1437.6</v>
      </c>
      <c r="H672" s="13" t="n">
        <v>0.0518</v>
      </c>
      <c r="I672" s="13" t="n">
        <v>0.08500000000000001</v>
      </c>
    </row>
    <row r="673">
      <c r="A673" s="10" t="inlineStr">
        <is>
          <t>PJ-2021-D</t>
        </is>
      </c>
      <c r="B673" s="10" t="inlineStr">
        <is>
          <t>位置合わせ(MS指定)／単調補間</t>
        </is>
      </c>
      <c r="C673" s="10" t="inlineStr">
        <is>
          <t>2021-06</t>
        </is>
      </c>
      <c r="D673" s="10" t="n">
        <v>3</v>
      </c>
      <c r="E673" s="12" t="n">
        <v>2896.2</v>
      </c>
      <c r="F673" s="12" t="n">
        <v>4386.1</v>
      </c>
      <c r="G673" s="12" t="n">
        <v>-1489.9</v>
      </c>
      <c r="H673" s="13" t="n">
        <v>0.0867</v>
      </c>
      <c r="I673" s="13" t="n">
        <v>0.1379</v>
      </c>
    </row>
    <row r="674">
      <c r="A674" s="10" t="inlineStr">
        <is>
          <t>PJ-2021-D</t>
        </is>
      </c>
      <c r="B674" s="10" t="inlineStr">
        <is>
          <t>位置合わせ(MS指定)／単調補間</t>
        </is>
      </c>
      <c r="C674" s="10" t="inlineStr">
        <is>
          <t>2021-07</t>
        </is>
      </c>
      <c r="D674" s="10" t="n">
        <v>4</v>
      </c>
      <c r="E674" s="12" t="n">
        <v>3255.7</v>
      </c>
      <c r="F674" s="12" t="n">
        <v>5071.5</v>
      </c>
      <c r="G674" s="12" t="n">
        <v>-1815.8</v>
      </c>
      <c r="H674" s="13" t="n">
        <v>0.1259</v>
      </c>
      <c r="I674" s="13" t="n">
        <v>0.1991</v>
      </c>
    </row>
    <row r="675">
      <c r="A675" s="10" t="inlineStr">
        <is>
          <t>PJ-2021-D</t>
        </is>
      </c>
      <c r="B675" s="10" t="inlineStr">
        <is>
          <t>位置合わせ(MS指定)／単調補間</t>
        </is>
      </c>
      <c r="C675" s="10" t="inlineStr">
        <is>
          <t>2021-08</t>
        </is>
      </c>
      <c r="D675" s="10" t="n">
        <v>5</v>
      </c>
      <c r="E675" s="12" t="n">
        <v>3821.4</v>
      </c>
      <c r="F675" s="12" t="n">
        <v>5696.5</v>
      </c>
      <c r="G675" s="12" t="n">
        <v>-1875.1</v>
      </c>
      <c r="H675" s="13" t="n">
        <v>0.172</v>
      </c>
      <c r="I675" s="13" t="n">
        <v>0.2678</v>
      </c>
    </row>
    <row r="676">
      <c r="A676" s="10" t="inlineStr">
        <is>
          <t>PJ-2021-D</t>
        </is>
      </c>
      <c r="B676" s="10" t="inlineStr">
        <is>
          <t>位置合わせ(MS指定)／単調補間</t>
        </is>
      </c>
      <c r="C676" s="10" t="inlineStr">
        <is>
          <t>2021-09</t>
        </is>
      </c>
      <c r="D676" s="10" t="n">
        <v>6</v>
      </c>
      <c r="E676" s="12" t="n">
        <v>4604.6</v>
      </c>
      <c r="F676" s="12" t="n">
        <v>6687.9</v>
      </c>
      <c r="G676" s="12" t="n">
        <v>-2083.3</v>
      </c>
      <c r="H676" s="13" t="n">
        <v>0.2276</v>
      </c>
      <c r="I676" s="13" t="n">
        <v>0.3484</v>
      </c>
    </row>
    <row r="677">
      <c r="A677" s="10" t="inlineStr">
        <is>
          <t>PJ-2021-D</t>
        </is>
      </c>
      <c r="B677" s="10" t="inlineStr">
        <is>
          <t>位置合わせ(MS指定)／単調補間</t>
        </is>
      </c>
      <c r="C677" s="10" t="inlineStr">
        <is>
          <t>2021-10</t>
        </is>
      </c>
      <c r="D677" s="10" t="n">
        <v>7</v>
      </c>
      <c r="E677" s="12" t="n">
        <v>5477.6</v>
      </c>
      <c r="F677" s="12" t="n">
        <v>7608.3</v>
      </c>
      <c r="G677" s="12" t="n">
        <v>-2130.7</v>
      </c>
      <c r="H677" s="13" t="n">
        <v>0.2936</v>
      </c>
      <c r="I677" s="13" t="n">
        <v>0.4402</v>
      </c>
    </row>
    <row r="678">
      <c r="A678" s="10" t="inlineStr">
        <is>
          <t>PJ-2021-D</t>
        </is>
      </c>
      <c r="B678" s="10" t="inlineStr">
        <is>
          <t>位置合わせ(MS指定)／単調補間</t>
        </is>
      </c>
      <c r="C678" s="10" t="inlineStr">
        <is>
          <t>2021-11</t>
        </is>
      </c>
      <c r="D678" s="10" t="n">
        <v>8</v>
      </c>
      <c r="E678" s="12" t="n">
        <v>6145.8</v>
      </c>
      <c r="F678" s="12" t="n">
        <v>6170.4</v>
      </c>
      <c r="G678" s="12" t="n">
        <v>-24.6</v>
      </c>
      <c r="H678" s="13" t="n">
        <v>0.3677</v>
      </c>
      <c r="I678" s="13" t="n">
        <v>0.5145999999999999</v>
      </c>
    </row>
    <row r="679">
      <c r="A679" s="10" t="inlineStr">
        <is>
          <t>PJ-2021-D</t>
        </is>
      </c>
      <c r="B679" s="10" t="inlineStr">
        <is>
          <t>位置合わせ(MS指定)／単調補間</t>
        </is>
      </c>
      <c r="C679" s="10" t="inlineStr">
        <is>
          <t>2021-12</t>
        </is>
      </c>
      <c r="D679" s="10" t="n">
        <v>9</v>
      </c>
      <c r="E679" s="12" t="n">
        <v>8841.299999999999</v>
      </c>
      <c r="F679" s="12" t="n">
        <v>6196</v>
      </c>
      <c r="G679" s="12" t="n">
        <v>2645.3</v>
      </c>
      <c r="H679" s="13" t="n">
        <v>0.4744</v>
      </c>
      <c r="I679" s="13" t="n">
        <v>0.5893</v>
      </c>
    </row>
    <row r="680">
      <c r="A680" s="10" t="inlineStr">
        <is>
          <t>PJ-2021-D</t>
        </is>
      </c>
      <c r="B680" s="10" t="inlineStr">
        <is>
          <t>位置合わせ(MS指定)／単調補間</t>
        </is>
      </c>
      <c r="C680" s="10" t="inlineStr">
        <is>
          <t>2022-01</t>
        </is>
      </c>
      <c r="D680" s="10" t="n">
        <v>10</v>
      </c>
      <c r="E680" s="12" t="n">
        <v>10272.8</v>
      </c>
      <c r="F680" s="12" t="n">
        <v>8019.7</v>
      </c>
      <c r="G680" s="12" t="n">
        <v>2253.1</v>
      </c>
      <c r="H680" s="13" t="n">
        <v>0.5983000000000001</v>
      </c>
      <c r="I680" s="13" t="n">
        <v>0.6860000000000001</v>
      </c>
    </row>
    <row r="681">
      <c r="A681" s="10" t="inlineStr">
        <is>
          <t>PJ-2021-D</t>
        </is>
      </c>
      <c r="B681" s="10" t="inlineStr">
        <is>
          <t>位置合わせ(MS指定)／単調補間</t>
        </is>
      </c>
      <c r="C681" s="10" t="inlineStr">
        <is>
          <t>2022-02</t>
        </is>
      </c>
      <c r="D681" s="10" t="n">
        <v>11</v>
      </c>
      <c r="E681" s="12" t="n">
        <v>9237.9</v>
      </c>
      <c r="F681" s="12" t="n">
        <v>8831.1</v>
      </c>
      <c r="G681" s="12" t="n">
        <v>406.8</v>
      </c>
      <c r="H681" s="13" t="n">
        <v>0.7097</v>
      </c>
      <c r="I681" s="13" t="n">
        <v>0.7925</v>
      </c>
    </row>
    <row r="682">
      <c r="A682" s="10" t="inlineStr">
        <is>
          <t>PJ-2021-D</t>
        </is>
      </c>
      <c r="B682" s="10" t="inlineStr">
        <is>
          <t>位置合わせ(MS指定)／単調補間</t>
        </is>
      </c>
      <c r="C682" s="10" t="inlineStr">
        <is>
          <t>2022-03</t>
        </is>
      </c>
      <c r="D682" s="10" t="n">
        <v>12</v>
      </c>
      <c r="E682" s="12" t="n">
        <v>9904.1</v>
      </c>
      <c r="F682" s="12" t="n">
        <v>7612.4</v>
      </c>
      <c r="G682" s="12" t="n">
        <v>2291.7</v>
      </c>
      <c r="H682" s="13" t="n">
        <v>0.8290999999999999</v>
      </c>
      <c r="I682" s="13" t="n">
        <v>0.8843</v>
      </c>
    </row>
    <row r="683">
      <c r="A683" s="10" t="inlineStr">
        <is>
          <t>PJ-2021-D</t>
        </is>
      </c>
      <c r="B683" s="10" t="inlineStr">
        <is>
          <t>位置合わせ(MS指定)／単調補間</t>
        </is>
      </c>
      <c r="C683" s="10" t="inlineStr">
        <is>
          <t>2022-04</t>
        </is>
      </c>
      <c r="D683" s="10" t="n">
        <v>13</v>
      </c>
      <c r="E683" s="12" t="n">
        <v>7729.2</v>
      </c>
      <c r="F683" s="12" t="n">
        <v>4770.5</v>
      </c>
      <c r="G683" s="12" t="n">
        <v>2958.7</v>
      </c>
      <c r="H683" s="13" t="n">
        <v>0.9223</v>
      </c>
      <c r="I683" s="13" t="n">
        <v>0.9419</v>
      </c>
    </row>
    <row r="684">
      <c r="A684" s="10" t="inlineStr">
        <is>
          <t>PJ-2021-D</t>
        </is>
      </c>
      <c r="B684" s="10" t="inlineStr">
        <is>
          <t>位置合わせ(MS指定)／単調補間</t>
        </is>
      </c>
      <c r="C684" s="10" t="inlineStr">
        <is>
          <t>2022-05</t>
        </is>
      </c>
      <c r="D684" s="10" t="n">
        <v>14</v>
      </c>
      <c r="E684" s="12" t="n">
        <v>4607.3</v>
      </c>
      <c r="F684" s="12" t="n">
        <v>3957</v>
      </c>
      <c r="G684" s="12" t="n">
        <v>650.3</v>
      </c>
      <c r="H684" s="13" t="n">
        <v>0.9779</v>
      </c>
      <c r="I684" s="13" t="n">
        <v>0.9896</v>
      </c>
    </row>
    <row r="685">
      <c r="A685" s="10" t="inlineStr">
        <is>
          <t>PJ-2021-D</t>
        </is>
      </c>
      <c r="B685" s="10" t="inlineStr">
        <is>
          <t>位置合わせ(MS指定)／単調補間</t>
        </is>
      </c>
      <c r="C685" s="10" t="inlineStr">
        <is>
          <t>2022-06</t>
        </is>
      </c>
      <c r="D685" s="10" t="n">
        <v>15</v>
      </c>
      <c r="E685" s="12" t="n">
        <v>1834.5</v>
      </c>
      <c r="F685" s="12" t="n">
        <v>864.5</v>
      </c>
      <c r="G685" s="12" t="n">
        <v>970</v>
      </c>
      <c r="H685" s="13" t="n">
        <v>1</v>
      </c>
      <c r="I685" s="13" t="n">
        <v>1</v>
      </c>
    </row>
    <row r="686">
      <c r="A686" s="10" t="inlineStr">
        <is>
          <t>PJ-2021-E</t>
        </is>
      </c>
      <c r="B686" s="10" t="inlineStr">
        <is>
          <t>素朴版／月内均等</t>
        </is>
      </c>
      <c r="C686" s="10" t="inlineStr">
        <is>
          <t>2021-01</t>
        </is>
      </c>
      <c r="D686" s="10" t="n">
        <v>1</v>
      </c>
      <c r="E686" s="12" t="n">
        <v>5511.4</v>
      </c>
      <c r="F686" s="12" t="n">
        <v>2212.8</v>
      </c>
      <c r="G686" s="12" t="n">
        <v>3298.6</v>
      </c>
      <c r="H686" s="13" t="n">
        <v>0.0114</v>
      </c>
      <c r="I686" s="13" t="n">
        <v>0.0046</v>
      </c>
    </row>
    <row r="687">
      <c r="A687" s="10" t="inlineStr">
        <is>
          <t>PJ-2021-E</t>
        </is>
      </c>
      <c r="B687" s="10" t="inlineStr">
        <is>
          <t>素朴版／月内均等</t>
        </is>
      </c>
      <c r="C687" s="10" t="inlineStr">
        <is>
          <t>2021-02</t>
        </is>
      </c>
      <c r="D687" s="10" t="n">
        <v>2</v>
      </c>
      <c r="E687" s="12" t="n">
        <v>5762.7</v>
      </c>
      <c r="F687" s="12" t="n">
        <v>3289.4</v>
      </c>
      <c r="G687" s="12" t="n">
        <v>2473.3</v>
      </c>
      <c r="H687" s="13" t="n">
        <v>0.0234</v>
      </c>
      <c r="I687" s="13" t="n">
        <v>0.0114</v>
      </c>
    </row>
    <row r="688">
      <c r="A688" s="10" t="inlineStr">
        <is>
          <t>PJ-2021-E</t>
        </is>
      </c>
      <c r="B688" s="10" t="inlineStr">
        <is>
          <t>素朴版／月内均等</t>
        </is>
      </c>
      <c r="C688" s="10" t="inlineStr">
        <is>
          <t>2021-03</t>
        </is>
      </c>
      <c r="D688" s="10" t="n">
        <v>3</v>
      </c>
      <c r="E688" s="12" t="n">
        <v>7497.3</v>
      </c>
      <c r="F688" s="12" t="n">
        <v>4610.7</v>
      </c>
      <c r="G688" s="12" t="n">
        <v>2886.6</v>
      </c>
      <c r="H688" s="13" t="n">
        <v>0.0389</v>
      </c>
      <c r="I688" s="13" t="n">
        <v>0.021</v>
      </c>
    </row>
    <row r="689">
      <c r="A689" s="10" t="inlineStr">
        <is>
          <t>PJ-2021-E</t>
        </is>
      </c>
      <c r="B689" s="10" t="inlineStr">
        <is>
          <t>素朴版／月内均等</t>
        </is>
      </c>
      <c r="C689" s="10" t="inlineStr">
        <is>
          <t>2021-04</t>
        </is>
      </c>
      <c r="D689" s="10" t="n">
        <v>4</v>
      </c>
      <c r="E689" s="12" t="n">
        <v>7705.2</v>
      </c>
      <c r="F689" s="12" t="n">
        <v>5392.8</v>
      </c>
      <c r="G689" s="12" t="n">
        <v>2312.4</v>
      </c>
      <c r="H689" s="13" t="n">
        <v>0.0549</v>
      </c>
      <c r="I689" s="13" t="n">
        <v>0.0322</v>
      </c>
    </row>
    <row r="690">
      <c r="A690" s="10" t="inlineStr">
        <is>
          <t>PJ-2021-E</t>
        </is>
      </c>
      <c r="B690" s="10" t="inlineStr">
        <is>
          <t>素朴版／月内均等</t>
        </is>
      </c>
      <c r="C690" s="10" t="inlineStr">
        <is>
          <t>2021-05</t>
        </is>
      </c>
      <c r="D690" s="10" t="n">
        <v>5</v>
      </c>
      <c r="E690" s="12" t="n">
        <v>8723</v>
      </c>
      <c r="F690" s="12" t="n">
        <v>5875.1</v>
      </c>
      <c r="G690" s="12" t="n">
        <v>2847.9</v>
      </c>
      <c r="H690" s="13" t="n">
        <v>0.073</v>
      </c>
      <c r="I690" s="13" t="n">
        <v>0.0443</v>
      </c>
    </row>
    <row r="691">
      <c r="A691" s="10" t="inlineStr">
        <is>
          <t>PJ-2021-E</t>
        </is>
      </c>
      <c r="B691" s="10" t="inlineStr">
        <is>
          <t>素朴版／月内均等</t>
        </is>
      </c>
      <c r="C691" s="10" t="inlineStr">
        <is>
          <t>2021-06</t>
        </is>
      </c>
      <c r="D691" s="10" t="n">
        <v>6</v>
      </c>
      <c r="E691" s="12" t="n">
        <v>9062.799999999999</v>
      </c>
      <c r="F691" s="12" t="n">
        <v>6664.2</v>
      </c>
      <c r="G691" s="12" t="n">
        <v>2398.6</v>
      </c>
      <c r="H691" s="13" t="n">
        <v>0.09180000000000001</v>
      </c>
      <c r="I691" s="13" t="n">
        <v>0.0582</v>
      </c>
    </row>
    <row r="692">
      <c r="A692" s="10" t="inlineStr">
        <is>
          <t>PJ-2021-E</t>
        </is>
      </c>
      <c r="B692" s="10" t="inlineStr">
        <is>
          <t>素朴版／月内均等</t>
        </is>
      </c>
      <c r="C692" s="10" t="inlineStr">
        <is>
          <t>2021-07</t>
        </is>
      </c>
      <c r="D692" s="10" t="n">
        <v>7</v>
      </c>
      <c r="E692" s="12" t="n">
        <v>9471.6</v>
      </c>
      <c r="F692" s="12" t="n">
        <v>7114.2</v>
      </c>
      <c r="G692" s="12" t="n">
        <v>2357.4</v>
      </c>
      <c r="H692" s="13" t="n">
        <v>0.1114</v>
      </c>
      <c r="I692" s="13" t="n">
        <v>0.07290000000000001</v>
      </c>
    </row>
    <row r="693">
      <c r="A693" s="10" t="inlineStr">
        <is>
          <t>PJ-2021-E</t>
        </is>
      </c>
      <c r="B693" s="10" t="inlineStr">
        <is>
          <t>素朴版／月内均等</t>
        </is>
      </c>
      <c r="C693" s="10" t="inlineStr">
        <is>
          <t>2021-08</t>
        </is>
      </c>
      <c r="D693" s="10" t="n">
        <v>8</v>
      </c>
      <c r="E693" s="12" t="n">
        <v>9937.5</v>
      </c>
      <c r="F693" s="12" t="n">
        <v>7159.8</v>
      </c>
      <c r="G693" s="12" t="n">
        <v>2777.7</v>
      </c>
      <c r="H693" s="13" t="n">
        <v>0.1321</v>
      </c>
      <c r="I693" s="13" t="n">
        <v>0.0878</v>
      </c>
    </row>
    <row r="694">
      <c r="A694" s="10" t="inlineStr">
        <is>
          <t>PJ-2021-E</t>
        </is>
      </c>
      <c r="B694" s="10" t="inlineStr">
        <is>
          <t>素朴版／月内均等</t>
        </is>
      </c>
      <c r="C694" s="10" t="inlineStr">
        <is>
          <t>2021-09</t>
        </is>
      </c>
      <c r="D694" s="10" t="n">
        <v>9</v>
      </c>
      <c r="E694" s="12" t="n">
        <v>10455.2</v>
      </c>
      <c r="F694" s="12" t="n">
        <v>7725.3</v>
      </c>
      <c r="G694" s="12" t="n">
        <v>2729.9</v>
      </c>
      <c r="H694" s="13" t="n">
        <v>0.1537</v>
      </c>
      <c r="I694" s="13" t="n">
        <v>0.1038</v>
      </c>
    </row>
    <row r="695">
      <c r="A695" s="10" t="inlineStr">
        <is>
          <t>PJ-2021-E</t>
        </is>
      </c>
      <c r="B695" s="10" t="inlineStr">
        <is>
          <t>素朴版／月内均等</t>
        </is>
      </c>
      <c r="C695" s="10" t="inlineStr">
        <is>
          <t>2021-10</t>
        </is>
      </c>
      <c r="D695" s="10" t="n">
        <v>10</v>
      </c>
      <c r="E695" s="12" t="n">
        <v>11623.3</v>
      </c>
      <c r="F695" s="12" t="n">
        <v>11396.5</v>
      </c>
      <c r="G695" s="12" t="n">
        <v>226.8</v>
      </c>
      <c r="H695" s="13" t="n">
        <v>0.1778</v>
      </c>
      <c r="I695" s="13" t="n">
        <v>0.1274</v>
      </c>
    </row>
    <row r="696">
      <c r="A696" s="10" t="inlineStr">
        <is>
          <t>PJ-2021-E</t>
        </is>
      </c>
      <c r="B696" s="10" t="inlineStr">
        <is>
          <t>素朴版／月内均等</t>
        </is>
      </c>
      <c r="C696" s="10" t="inlineStr">
        <is>
          <t>2021-11</t>
        </is>
      </c>
      <c r="D696" s="10" t="n">
        <v>11</v>
      </c>
      <c r="E696" s="12" t="n">
        <v>12119.4</v>
      </c>
      <c r="F696" s="12" t="n">
        <v>22707.4</v>
      </c>
      <c r="G696" s="12" t="n">
        <v>-10588</v>
      </c>
      <c r="H696" s="13" t="n">
        <v>0.203</v>
      </c>
      <c r="I696" s="13" t="n">
        <v>0.1745</v>
      </c>
    </row>
    <row r="697">
      <c r="A697" s="10" t="inlineStr">
        <is>
          <t>PJ-2021-E</t>
        </is>
      </c>
      <c r="B697" s="10" t="inlineStr">
        <is>
          <t>素朴版／月内均等</t>
        </is>
      </c>
      <c r="C697" s="10" t="inlineStr">
        <is>
          <t>2021-12</t>
        </is>
      </c>
      <c r="D697" s="10" t="n">
        <v>12</v>
      </c>
      <c r="E697" s="12" t="n">
        <v>13370.5</v>
      </c>
      <c r="F697" s="12" t="n">
        <v>24332.8</v>
      </c>
      <c r="G697" s="12" t="n">
        <v>-10962.3</v>
      </c>
      <c r="H697" s="13" t="n">
        <v>0.2307</v>
      </c>
      <c r="I697" s="13" t="n">
        <v>0.225</v>
      </c>
    </row>
    <row r="698">
      <c r="A698" s="10" t="inlineStr">
        <is>
          <t>PJ-2021-E</t>
        </is>
      </c>
      <c r="B698" s="10" t="inlineStr">
        <is>
          <t>素朴版／月内均等</t>
        </is>
      </c>
      <c r="C698" s="10" t="inlineStr">
        <is>
          <t>2022-01</t>
        </is>
      </c>
      <c r="D698" s="10" t="n">
        <v>13</v>
      </c>
      <c r="E698" s="12" t="n">
        <v>14081.6</v>
      </c>
      <c r="F698" s="12" t="n">
        <v>28940.1</v>
      </c>
      <c r="G698" s="12" t="n">
        <v>-14858.5</v>
      </c>
      <c r="H698" s="13" t="n">
        <v>0.2599</v>
      </c>
      <c r="I698" s="13" t="n">
        <v>0.285</v>
      </c>
    </row>
    <row r="699">
      <c r="A699" s="10" t="inlineStr">
        <is>
          <t>PJ-2021-E</t>
        </is>
      </c>
      <c r="B699" s="10" t="inlineStr">
        <is>
          <t>素朴版／月内均等</t>
        </is>
      </c>
      <c r="C699" s="10" t="inlineStr">
        <is>
          <t>2022-02</t>
        </is>
      </c>
      <c r="D699" s="10" t="n">
        <v>14</v>
      </c>
      <c r="E699" s="12" t="n">
        <v>13251.3</v>
      </c>
      <c r="F699" s="12" t="n">
        <v>28533.6</v>
      </c>
      <c r="G699" s="12" t="n">
        <v>-15282.3</v>
      </c>
      <c r="H699" s="13" t="n">
        <v>0.2874</v>
      </c>
      <c r="I699" s="13" t="n">
        <v>0.3442</v>
      </c>
    </row>
    <row r="700">
      <c r="A700" s="10" t="inlineStr">
        <is>
          <t>PJ-2021-E</t>
        </is>
      </c>
      <c r="B700" s="10" t="inlineStr">
        <is>
          <t>素朴版／月内均等</t>
        </is>
      </c>
      <c r="C700" s="10" t="inlineStr">
        <is>
          <t>2022-03</t>
        </is>
      </c>
      <c r="D700" s="10" t="n">
        <v>15</v>
      </c>
      <c r="E700" s="12" t="n">
        <v>15847.8</v>
      </c>
      <c r="F700" s="12" t="n">
        <v>39513.1</v>
      </c>
      <c r="G700" s="12" t="n">
        <v>-23665.3</v>
      </c>
      <c r="H700" s="13" t="n">
        <v>0.3203</v>
      </c>
      <c r="I700" s="13" t="n">
        <v>0.4261</v>
      </c>
    </row>
    <row r="701">
      <c r="A701" s="10" t="inlineStr">
        <is>
          <t>PJ-2021-E</t>
        </is>
      </c>
      <c r="B701" s="10" t="inlineStr">
        <is>
          <t>素朴版／月内均等</t>
        </is>
      </c>
      <c r="C701" s="10" t="inlineStr">
        <is>
          <t>2022-04</t>
        </is>
      </c>
      <c r="D701" s="10" t="n">
        <v>16</v>
      </c>
      <c r="E701" s="12" t="n">
        <v>15327.2</v>
      </c>
      <c r="F701" s="12" t="n">
        <v>20968.4</v>
      </c>
      <c r="G701" s="12" t="n">
        <v>-5641.2</v>
      </c>
      <c r="H701" s="13" t="n">
        <v>0.3521</v>
      </c>
      <c r="I701" s="13" t="n">
        <v>0.4696</v>
      </c>
    </row>
    <row r="702">
      <c r="A702" s="10" t="inlineStr">
        <is>
          <t>PJ-2021-E</t>
        </is>
      </c>
      <c r="B702" s="10" t="inlineStr">
        <is>
          <t>素朴版／月内均等</t>
        </is>
      </c>
      <c r="C702" s="10" t="inlineStr">
        <is>
          <t>2022-05</t>
        </is>
      </c>
      <c r="D702" s="10" t="n">
        <v>17</v>
      </c>
      <c r="E702" s="12" t="n">
        <v>16076.4</v>
      </c>
      <c r="F702" s="12" t="n">
        <v>18133.4</v>
      </c>
      <c r="G702" s="12" t="n">
        <v>-2057</v>
      </c>
      <c r="H702" s="13" t="n">
        <v>0.3854</v>
      </c>
      <c r="I702" s="13" t="n">
        <v>0.5072</v>
      </c>
    </row>
    <row r="703">
      <c r="A703" s="10" t="inlineStr">
        <is>
          <t>PJ-2021-E</t>
        </is>
      </c>
      <c r="B703" s="10" t="inlineStr">
        <is>
          <t>素朴版／月内均等</t>
        </is>
      </c>
      <c r="C703" s="10" t="inlineStr">
        <is>
          <t>2022-06</t>
        </is>
      </c>
      <c r="D703" s="10" t="n">
        <v>18</v>
      </c>
      <c r="E703" s="12" t="n">
        <v>15281.9</v>
      </c>
      <c r="F703" s="12" t="n">
        <v>15271.7</v>
      </c>
      <c r="G703" s="12" t="n">
        <v>10.2</v>
      </c>
      <c r="H703" s="13" t="n">
        <v>0.4171</v>
      </c>
      <c r="I703" s="13" t="n">
        <v>0.5389</v>
      </c>
    </row>
    <row r="704">
      <c r="A704" s="10" t="inlineStr">
        <is>
          <t>PJ-2021-E</t>
        </is>
      </c>
      <c r="B704" s="10" t="inlineStr">
        <is>
          <t>素朴版／月内均等</t>
        </is>
      </c>
      <c r="C704" s="10" t="inlineStr">
        <is>
          <t>2022-07</t>
        </is>
      </c>
      <c r="D704" s="10" t="n">
        <v>19</v>
      </c>
      <c r="E704" s="12" t="n">
        <v>18444.5</v>
      </c>
      <c r="F704" s="12" t="n">
        <v>16417.5</v>
      </c>
      <c r="G704" s="12" t="n">
        <v>2027</v>
      </c>
      <c r="H704" s="13" t="n">
        <v>0.4554</v>
      </c>
      <c r="I704" s="13" t="n">
        <v>0.573</v>
      </c>
    </row>
    <row r="705">
      <c r="A705" s="10" t="inlineStr">
        <is>
          <t>PJ-2021-E</t>
        </is>
      </c>
      <c r="B705" s="10" t="inlineStr">
        <is>
          <t>素朴版／月内均等</t>
        </is>
      </c>
      <c r="C705" s="10" t="inlineStr">
        <is>
          <t>2022-08</t>
        </is>
      </c>
      <c r="D705" s="10" t="n">
        <v>20</v>
      </c>
      <c r="E705" s="12" t="n">
        <v>19282.7</v>
      </c>
      <c r="F705" s="12" t="n">
        <v>14656</v>
      </c>
      <c r="G705" s="12" t="n">
        <v>4626.7</v>
      </c>
      <c r="H705" s="13" t="n">
        <v>0.4954</v>
      </c>
      <c r="I705" s="13" t="n">
        <v>0.6034</v>
      </c>
    </row>
    <row r="706">
      <c r="A706" s="10" t="inlineStr">
        <is>
          <t>PJ-2021-E</t>
        </is>
      </c>
      <c r="B706" s="10" t="inlineStr">
        <is>
          <t>素朴版／月内均等</t>
        </is>
      </c>
      <c r="C706" s="10" t="inlineStr">
        <is>
          <t>2022-09</t>
        </is>
      </c>
      <c r="D706" s="10" t="n">
        <v>21</v>
      </c>
      <c r="E706" s="12" t="n">
        <v>18940.5</v>
      </c>
      <c r="F706" s="12" t="n">
        <v>13886.2</v>
      </c>
      <c r="G706" s="12" t="n">
        <v>5054.3</v>
      </c>
      <c r="H706" s="13" t="n">
        <v>0.5346</v>
      </c>
      <c r="I706" s="13" t="n">
        <v>0.6322</v>
      </c>
    </row>
    <row r="707">
      <c r="A707" s="10" t="inlineStr">
        <is>
          <t>PJ-2021-E</t>
        </is>
      </c>
      <c r="B707" s="10" t="inlineStr">
        <is>
          <t>素朴版／月内均等</t>
        </is>
      </c>
      <c r="C707" s="10" t="inlineStr">
        <is>
          <t>2022-10</t>
        </is>
      </c>
      <c r="D707" s="10" t="n">
        <v>22</v>
      </c>
      <c r="E707" s="12" t="n">
        <v>21068.6</v>
      </c>
      <c r="F707" s="12" t="n">
        <v>13614.7</v>
      </c>
      <c r="G707" s="12" t="n">
        <v>7453.9</v>
      </c>
      <c r="H707" s="13" t="n">
        <v>0.5783</v>
      </c>
      <c r="I707" s="13" t="n">
        <v>0.6604</v>
      </c>
    </row>
    <row r="708">
      <c r="A708" s="10" t="inlineStr">
        <is>
          <t>PJ-2021-E</t>
        </is>
      </c>
      <c r="B708" s="10" t="inlineStr">
        <is>
          <t>素朴版／月内均等</t>
        </is>
      </c>
      <c r="C708" s="10" t="inlineStr">
        <is>
          <t>2022-11</t>
        </is>
      </c>
      <c r="D708" s="10" t="n">
        <v>23</v>
      </c>
      <c r="E708" s="12" t="n">
        <v>20818.4</v>
      </c>
      <c r="F708" s="12" t="n">
        <v>14580.3</v>
      </c>
      <c r="G708" s="12" t="n">
        <v>6238.1</v>
      </c>
      <c r="H708" s="13" t="n">
        <v>0.6215000000000001</v>
      </c>
      <c r="I708" s="13" t="n">
        <v>0.6906</v>
      </c>
    </row>
    <row r="709">
      <c r="A709" s="10" t="inlineStr">
        <is>
          <t>PJ-2021-E</t>
        </is>
      </c>
      <c r="B709" s="10" t="inlineStr">
        <is>
          <t>素朴版／月内均等</t>
        </is>
      </c>
      <c r="C709" s="10" t="inlineStr">
        <is>
          <t>2022-12</t>
        </is>
      </c>
      <c r="D709" s="10" t="n">
        <v>24</v>
      </c>
      <c r="E709" s="12" t="n">
        <v>20842.1</v>
      </c>
      <c r="F709" s="12" t="n">
        <v>15865.3</v>
      </c>
      <c r="G709" s="12" t="n">
        <v>4976.8</v>
      </c>
      <c r="H709" s="13" t="n">
        <v>0.6647</v>
      </c>
      <c r="I709" s="13" t="n">
        <v>0.7236</v>
      </c>
    </row>
    <row r="710">
      <c r="A710" s="10" t="inlineStr">
        <is>
          <t>PJ-2021-E</t>
        </is>
      </c>
      <c r="B710" s="10" t="inlineStr">
        <is>
          <t>素朴版／月内均等</t>
        </is>
      </c>
      <c r="C710" s="10" t="inlineStr">
        <is>
          <t>2023-01</t>
        </is>
      </c>
      <c r="D710" s="10" t="n">
        <v>25</v>
      </c>
      <c r="E710" s="12" t="n">
        <v>18668.5</v>
      </c>
      <c r="F710" s="12" t="n">
        <v>18226.2</v>
      </c>
      <c r="G710" s="12" t="n">
        <v>442.3</v>
      </c>
      <c r="H710" s="13" t="n">
        <v>0.7035</v>
      </c>
      <c r="I710" s="13" t="n">
        <v>0.7614</v>
      </c>
    </row>
    <row r="711">
      <c r="A711" s="10" t="inlineStr">
        <is>
          <t>PJ-2021-E</t>
        </is>
      </c>
      <c r="B711" s="10" t="inlineStr">
        <is>
          <t>素朴版／月内均等</t>
        </is>
      </c>
      <c r="C711" s="10" t="inlineStr">
        <is>
          <t>2023-02</t>
        </is>
      </c>
      <c r="D711" s="10" t="n">
        <v>26</v>
      </c>
      <c r="E711" s="12" t="n">
        <v>16354.3</v>
      </c>
      <c r="F711" s="12" t="n">
        <v>17827.1</v>
      </c>
      <c r="G711" s="12" t="n">
        <v>-1472.8</v>
      </c>
      <c r="H711" s="13" t="n">
        <v>0.7374000000000001</v>
      </c>
      <c r="I711" s="13" t="n">
        <v>0.7983</v>
      </c>
    </row>
    <row r="712">
      <c r="A712" s="10" t="inlineStr">
        <is>
          <t>PJ-2021-E</t>
        </is>
      </c>
      <c r="B712" s="10" t="inlineStr">
        <is>
          <t>素朴版／月内均等</t>
        </is>
      </c>
      <c r="C712" s="10" t="inlineStr">
        <is>
          <t>2023-03</t>
        </is>
      </c>
      <c r="D712" s="10" t="n">
        <v>27</v>
      </c>
      <c r="E712" s="12" t="n">
        <v>16733.7</v>
      </c>
      <c r="F712" s="12" t="n">
        <v>22013.8</v>
      </c>
      <c r="G712" s="12" t="n">
        <v>-5280.1</v>
      </c>
      <c r="H712" s="13" t="n">
        <v>0.7721</v>
      </c>
      <c r="I712" s="13" t="n">
        <v>0.844</v>
      </c>
    </row>
    <row r="713">
      <c r="A713" s="10" t="inlineStr">
        <is>
          <t>PJ-2021-E</t>
        </is>
      </c>
      <c r="B713" s="10" t="inlineStr">
        <is>
          <t>素朴版／月内均等</t>
        </is>
      </c>
      <c r="C713" s="10" t="inlineStr">
        <is>
          <t>2023-04</t>
        </is>
      </c>
      <c r="D713" s="10" t="n">
        <v>28</v>
      </c>
      <c r="E713" s="12" t="n">
        <v>16776</v>
      </c>
      <c r="F713" s="12" t="n">
        <v>17769.7</v>
      </c>
      <c r="G713" s="12" t="n">
        <v>-993.7</v>
      </c>
      <c r="H713" s="13" t="n">
        <v>0.8069</v>
      </c>
      <c r="I713" s="13" t="n">
        <v>0.8808</v>
      </c>
    </row>
    <row r="714">
      <c r="A714" s="10" t="inlineStr">
        <is>
          <t>PJ-2021-E</t>
        </is>
      </c>
      <c r="B714" s="10" t="inlineStr">
        <is>
          <t>素朴版／月内均等</t>
        </is>
      </c>
      <c r="C714" s="10" t="inlineStr">
        <is>
          <t>2023-05</t>
        </is>
      </c>
      <c r="D714" s="10" t="n">
        <v>29</v>
      </c>
      <c r="E714" s="12" t="n">
        <v>18079.6</v>
      </c>
      <c r="F714" s="12" t="n">
        <v>15747.8</v>
      </c>
      <c r="G714" s="12" t="n">
        <v>2331.8</v>
      </c>
      <c r="H714" s="13" t="n">
        <v>0.8444</v>
      </c>
      <c r="I714" s="13" t="n">
        <v>0.9135</v>
      </c>
    </row>
    <row r="715">
      <c r="A715" s="10" t="inlineStr">
        <is>
          <t>PJ-2021-E</t>
        </is>
      </c>
      <c r="B715" s="10" t="inlineStr">
        <is>
          <t>素朴版／月内均等</t>
        </is>
      </c>
      <c r="C715" s="10" t="inlineStr">
        <is>
          <t>2023-06</t>
        </is>
      </c>
      <c r="D715" s="10" t="n">
        <v>30</v>
      </c>
      <c r="E715" s="12" t="n">
        <v>16527.1</v>
      </c>
      <c r="F715" s="12" t="n">
        <v>11049.5</v>
      </c>
      <c r="G715" s="12" t="n">
        <v>5477.6</v>
      </c>
      <c r="H715" s="13" t="n">
        <v>0.8787</v>
      </c>
      <c r="I715" s="13" t="n">
        <v>0.9364</v>
      </c>
    </row>
    <row r="716">
      <c r="A716" s="10" t="inlineStr">
        <is>
          <t>PJ-2021-E</t>
        </is>
      </c>
      <c r="B716" s="10" t="inlineStr">
        <is>
          <t>素朴版／月内均等</t>
        </is>
      </c>
      <c r="C716" s="10" t="inlineStr">
        <is>
          <t>2023-07</t>
        </is>
      </c>
      <c r="D716" s="10" t="n">
        <v>31</v>
      </c>
      <c r="E716" s="12" t="n">
        <v>14834.9</v>
      </c>
      <c r="F716" s="12" t="n">
        <v>10147.8</v>
      </c>
      <c r="G716" s="12" t="n">
        <v>4687.1</v>
      </c>
      <c r="H716" s="13" t="n">
        <v>0.9094</v>
      </c>
      <c r="I716" s="13" t="n">
        <v>0.9575</v>
      </c>
    </row>
    <row r="717">
      <c r="A717" s="10" t="inlineStr">
        <is>
          <t>PJ-2021-E</t>
        </is>
      </c>
      <c r="B717" s="10" t="inlineStr">
        <is>
          <t>素朴版／月内均等</t>
        </is>
      </c>
      <c r="C717" s="10" t="inlineStr">
        <is>
          <t>2023-08</t>
        </is>
      </c>
      <c r="D717" s="10" t="n">
        <v>32</v>
      </c>
      <c r="E717" s="12" t="n">
        <v>12351.3</v>
      </c>
      <c r="F717" s="12" t="n">
        <v>8637.799999999999</v>
      </c>
      <c r="G717" s="12" t="n">
        <v>3713.5</v>
      </c>
      <c r="H717" s="13" t="n">
        <v>0.9350000000000001</v>
      </c>
      <c r="I717" s="13" t="n">
        <v>0.9754</v>
      </c>
    </row>
    <row r="718">
      <c r="A718" s="10" t="inlineStr">
        <is>
          <t>PJ-2021-E</t>
        </is>
      </c>
      <c r="B718" s="10" t="inlineStr">
        <is>
          <t>素朴版／月内均等</t>
        </is>
      </c>
      <c r="C718" s="10" t="inlineStr">
        <is>
          <t>2023-09</t>
        </is>
      </c>
      <c r="D718" s="10" t="n">
        <v>33</v>
      </c>
      <c r="E718" s="12" t="n">
        <v>10186.5</v>
      </c>
      <c r="F718" s="12" t="n">
        <v>5590.1</v>
      </c>
      <c r="G718" s="12" t="n">
        <v>4596.4</v>
      </c>
      <c r="H718" s="13" t="n">
        <v>0.9562</v>
      </c>
      <c r="I718" s="13" t="n">
        <v>0.987</v>
      </c>
    </row>
    <row r="719">
      <c r="A719" s="10" t="inlineStr">
        <is>
          <t>PJ-2021-E</t>
        </is>
      </c>
      <c r="B719" s="10" t="inlineStr">
        <is>
          <t>素朴版／月内均等</t>
        </is>
      </c>
      <c r="C719" s="10" t="inlineStr">
        <is>
          <t>2023-10</t>
        </is>
      </c>
      <c r="D719" s="10" t="n">
        <v>34</v>
      </c>
      <c r="E719" s="12" t="n">
        <v>9682.700000000001</v>
      </c>
      <c r="F719" s="12" t="n">
        <v>3746.3</v>
      </c>
      <c r="G719" s="12" t="n">
        <v>5936.4</v>
      </c>
      <c r="H719" s="13" t="n">
        <v>0.9762</v>
      </c>
      <c r="I719" s="13" t="n">
        <v>0.9947</v>
      </c>
    </row>
    <row r="720">
      <c r="A720" s="10" t="inlineStr">
        <is>
          <t>PJ-2021-E</t>
        </is>
      </c>
      <c r="B720" s="10" t="inlineStr">
        <is>
          <t>素朴版／月内均等</t>
        </is>
      </c>
      <c r="C720" s="10" t="inlineStr">
        <is>
          <t>2023-11</t>
        </is>
      </c>
      <c r="D720" s="10" t="n">
        <v>35</v>
      </c>
      <c r="E720" s="12" t="n">
        <v>6715.7</v>
      </c>
      <c r="F720" s="12" t="n">
        <v>1912.1</v>
      </c>
      <c r="G720" s="12" t="n">
        <v>4803.6</v>
      </c>
      <c r="H720" s="13" t="n">
        <v>0.9902</v>
      </c>
      <c r="I720" s="13" t="n">
        <v>0.9987</v>
      </c>
    </row>
    <row r="721">
      <c r="A721" s="10" t="inlineStr">
        <is>
          <t>PJ-2021-E</t>
        </is>
      </c>
      <c r="B721" s="10" t="inlineStr">
        <is>
          <t>素朴版／月内均等</t>
        </is>
      </c>
      <c r="C721" s="10" t="inlineStr">
        <is>
          <t>2023-12</t>
        </is>
      </c>
      <c r="D721" s="10" t="n">
        <v>36</v>
      </c>
      <c r="E721" s="12" t="n">
        <v>4737.2</v>
      </c>
      <c r="F721" s="12" t="n">
        <v>620.9</v>
      </c>
      <c r="G721" s="12" t="n">
        <v>4116.3</v>
      </c>
      <c r="H721" s="13" t="n">
        <v>1</v>
      </c>
      <c r="I721" s="13" t="n">
        <v>1</v>
      </c>
    </row>
    <row r="722">
      <c r="A722" s="10" t="inlineStr">
        <is>
          <t>PJ-2021-E</t>
        </is>
      </c>
      <c r="B722" s="10" t="inlineStr">
        <is>
          <t>位置合わせ(MS学習値)／月内均等</t>
        </is>
      </c>
      <c r="C722" s="10" t="inlineStr">
        <is>
          <t>2021-01</t>
        </is>
      </c>
      <c r="D722" s="10" t="n">
        <v>1</v>
      </c>
      <c r="E722" s="12" t="n">
        <v>5461.1</v>
      </c>
      <c r="F722" s="12" t="n">
        <v>2212.8</v>
      </c>
      <c r="G722" s="12" t="n">
        <v>3248.3</v>
      </c>
      <c r="H722" s="13" t="n">
        <v>0.0113</v>
      </c>
      <c r="I722" s="13" t="n">
        <v>0.0046</v>
      </c>
    </row>
    <row r="723">
      <c r="A723" s="10" t="inlineStr">
        <is>
          <t>PJ-2021-E</t>
        </is>
      </c>
      <c r="B723" s="10" t="inlineStr">
        <is>
          <t>位置合わせ(MS学習値)／月内均等</t>
        </is>
      </c>
      <c r="C723" s="10" t="inlineStr">
        <is>
          <t>2021-02</t>
        </is>
      </c>
      <c r="D723" s="10" t="n">
        <v>2</v>
      </c>
      <c r="E723" s="12" t="n">
        <v>5603.4</v>
      </c>
      <c r="F723" s="12" t="n">
        <v>3289.4</v>
      </c>
      <c r="G723" s="12" t="n">
        <v>2314</v>
      </c>
      <c r="H723" s="13" t="n">
        <v>0.0229</v>
      </c>
      <c r="I723" s="13" t="n">
        <v>0.0114</v>
      </c>
    </row>
    <row r="724">
      <c r="A724" s="10" t="inlineStr">
        <is>
          <t>PJ-2021-E</t>
        </is>
      </c>
      <c r="B724" s="10" t="inlineStr">
        <is>
          <t>位置合わせ(MS学習値)／月内均等</t>
        </is>
      </c>
      <c r="C724" s="10" t="inlineStr">
        <is>
          <t>2021-03</t>
        </is>
      </c>
      <c r="D724" s="10" t="n">
        <v>3</v>
      </c>
      <c r="E724" s="12" t="n">
        <v>7385.6</v>
      </c>
      <c r="F724" s="12" t="n">
        <v>4610.7</v>
      </c>
      <c r="G724" s="12" t="n">
        <v>2774.9</v>
      </c>
      <c r="H724" s="13" t="n">
        <v>0.0383</v>
      </c>
      <c r="I724" s="13" t="n">
        <v>0.021</v>
      </c>
    </row>
    <row r="725">
      <c r="A725" s="10" t="inlineStr">
        <is>
          <t>PJ-2021-E</t>
        </is>
      </c>
      <c r="B725" s="10" t="inlineStr">
        <is>
          <t>位置合わせ(MS学習値)／月内均等</t>
        </is>
      </c>
      <c r="C725" s="10" t="inlineStr">
        <is>
          <t>2021-04</t>
        </is>
      </c>
      <c r="D725" s="10" t="n">
        <v>4</v>
      </c>
      <c r="E725" s="12" t="n">
        <v>7510.2</v>
      </c>
      <c r="F725" s="12" t="n">
        <v>5392.8</v>
      </c>
      <c r="G725" s="12" t="n">
        <v>2117.4</v>
      </c>
      <c r="H725" s="13" t="n">
        <v>0.0538</v>
      </c>
      <c r="I725" s="13" t="n">
        <v>0.0322</v>
      </c>
    </row>
    <row r="726">
      <c r="A726" s="10" t="inlineStr">
        <is>
          <t>PJ-2021-E</t>
        </is>
      </c>
      <c r="B726" s="10" t="inlineStr">
        <is>
          <t>位置合わせ(MS学習値)／月内均等</t>
        </is>
      </c>
      <c r="C726" s="10" t="inlineStr">
        <is>
          <t>2021-05</t>
        </is>
      </c>
      <c r="D726" s="10" t="n">
        <v>5</v>
      </c>
      <c r="E726" s="12" t="n">
        <v>8578.1</v>
      </c>
      <c r="F726" s="12" t="n">
        <v>5875.1</v>
      </c>
      <c r="G726" s="12" t="n">
        <v>2703</v>
      </c>
      <c r="H726" s="13" t="n">
        <v>0.0716</v>
      </c>
      <c r="I726" s="13" t="n">
        <v>0.0443</v>
      </c>
    </row>
    <row r="727">
      <c r="A727" s="10" t="inlineStr">
        <is>
          <t>PJ-2021-E</t>
        </is>
      </c>
      <c r="B727" s="10" t="inlineStr">
        <is>
          <t>位置合わせ(MS学習値)／月内均等</t>
        </is>
      </c>
      <c r="C727" s="10" t="inlineStr">
        <is>
          <t>2021-06</t>
        </is>
      </c>
      <c r="D727" s="10" t="n">
        <v>6</v>
      </c>
      <c r="E727" s="12" t="n">
        <v>8798.700000000001</v>
      </c>
      <c r="F727" s="12" t="n">
        <v>6664.2</v>
      </c>
      <c r="G727" s="12" t="n">
        <v>2134.5</v>
      </c>
      <c r="H727" s="13" t="n">
        <v>0.08989999999999999</v>
      </c>
      <c r="I727" s="13" t="n">
        <v>0.0582</v>
      </c>
    </row>
    <row r="728">
      <c r="A728" s="10" t="inlineStr">
        <is>
          <t>PJ-2021-E</t>
        </is>
      </c>
      <c r="B728" s="10" t="inlineStr">
        <is>
          <t>位置合わせ(MS学習値)／月内均等</t>
        </is>
      </c>
      <c r="C728" s="10" t="inlineStr">
        <is>
          <t>2021-07</t>
        </is>
      </c>
      <c r="D728" s="10" t="n">
        <v>7</v>
      </c>
      <c r="E728" s="12" t="n">
        <v>9257.700000000001</v>
      </c>
      <c r="F728" s="12" t="n">
        <v>7114.2</v>
      </c>
      <c r="G728" s="12" t="n">
        <v>2143.5</v>
      </c>
      <c r="H728" s="13" t="n">
        <v>0.1091</v>
      </c>
      <c r="I728" s="13" t="n">
        <v>0.07290000000000001</v>
      </c>
    </row>
    <row r="729">
      <c r="A729" s="10" t="inlineStr">
        <is>
          <t>PJ-2021-E</t>
        </is>
      </c>
      <c r="B729" s="10" t="inlineStr">
        <is>
          <t>位置合わせ(MS学習値)／月内均等</t>
        </is>
      </c>
      <c r="C729" s="10" t="inlineStr">
        <is>
          <t>2021-08</t>
        </is>
      </c>
      <c r="D729" s="10" t="n">
        <v>8</v>
      </c>
      <c r="E729" s="12" t="n">
        <v>9690.1</v>
      </c>
      <c r="F729" s="12" t="n">
        <v>7159.8</v>
      </c>
      <c r="G729" s="12" t="n">
        <v>2530.3</v>
      </c>
      <c r="H729" s="13" t="n">
        <v>0.1292</v>
      </c>
      <c r="I729" s="13" t="n">
        <v>0.0878</v>
      </c>
    </row>
    <row r="730">
      <c r="A730" s="10" t="inlineStr">
        <is>
          <t>PJ-2021-E</t>
        </is>
      </c>
      <c r="B730" s="10" t="inlineStr">
        <is>
          <t>位置合わせ(MS学習値)／月内均等</t>
        </is>
      </c>
      <c r="C730" s="10" t="inlineStr">
        <is>
          <t>2021-09</t>
        </is>
      </c>
      <c r="D730" s="10" t="n">
        <v>9</v>
      </c>
      <c r="E730" s="12" t="n">
        <v>10182.2</v>
      </c>
      <c r="F730" s="12" t="n">
        <v>7725.3</v>
      </c>
      <c r="G730" s="12" t="n">
        <v>2456.9</v>
      </c>
      <c r="H730" s="13" t="n">
        <v>0.1503</v>
      </c>
      <c r="I730" s="13" t="n">
        <v>0.1038</v>
      </c>
    </row>
    <row r="731">
      <c r="A731" s="10" t="inlineStr">
        <is>
          <t>PJ-2021-E</t>
        </is>
      </c>
      <c r="B731" s="10" t="inlineStr">
        <is>
          <t>位置合わせ(MS学習値)／月内均等</t>
        </is>
      </c>
      <c r="C731" s="10" t="inlineStr">
        <is>
          <t>2021-10</t>
        </is>
      </c>
      <c r="D731" s="10" t="n">
        <v>10</v>
      </c>
      <c r="E731" s="12" t="n">
        <v>11397.4</v>
      </c>
      <c r="F731" s="12" t="n">
        <v>11396.5</v>
      </c>
      <c r="G731" s="12" t="n">
        <v>0.9</v>
      </c>
      <c r="H731" s="13" t="n">
        <v>0.1739</v>
      </c>
      <c r="I731" s="13" t="n">
        <v>0.1274</v>
      </c>
    </row>
    <row r="732">
      <c r="A732" s="10" t="inlineStr">
        <is>
          <t>PJ-2021-E</t>
        </is>
      </c>
      <c r="B732" s="10" t="inlineStr">
        <is>
          <t>位置合わせ(MS学習値)／月内均等</t>
        </is>
      </c>
      <c r="C732" s="10" t="inlineStr">
        <is>
          <t>2021-11</t>
        </is>
      </c>
      <c r="D732" s="10" t="n">
        <v>11</v>
      </c>
      <c r="E732" s="12" t="n">
        <v>11497.8</v>
      </c>
      <c r="F732" s="12" t="n">
        <v>22707.4</v>
      </c>
      <c r="G732" s="12" t="n">
        <v>-11209.6</v>
      </c>
      <c r="H732" s="13" t="n">
        <v>0.1978</v>
      </c>
      <c r="I732" s="13" t="n">
        <v>0.1745</v>
      </c>
    </row>
    <row r="733">
      <c r="A733" s="10" t="inlineStr">
        <is>
          <t>PJ-2021-E</t>
        </is>
      </c>
      <c r="B733" s="10" t="inlineStr">
        <is>
          <t>位置合わせ(MS学習値)／月内均等</t>
        </is>
      </c>
      <c r="C733" s="10" t="inlineStr">
        <is>
          <t>2021-12</t>
        </is>
      </c>
      <c r="D733" s="10" t="n">
        <v>12</v>
      </c>
      <c r="E733" s="12" t="n">
        <v>13362.9</v>
      </c>
      <c r="F733" s="12" t="n">
        <v>24332.8</v>
      </c>
      <c r="G733" s="12" t="n">
        <v>-10969.9</v>
      </c>
      <c r="H733" s="13" t="n">
        <v>0.2255</v>
      </c>
      <c r="I733" s="13" t="n">
        <v>0.225</v>
      </c>
    </row>
    <row r="734">
      <c r="A734" s="10" t="inlineStr">
        <is>
          <t>PJ-2021-E</t>
        </is>
      </c>
      <c r="B734" s="10" t="inlineStr">
        <is>
          <t>位置合わせ(MS学習値)／月内均等</t>
        </is>
      </c>
      <c r="C734" s="10" t="inlineStr">
        <is>
          <t>2022-01</t>
        </is>
      </c>
      <c r="D734" s="10" t="n">
        <v>13</v>
      </c>
      <c r="E734" s="12" t="n">
        <v>13617.9</v>
      </c>
      <c r="F734" s="12" t="n">
        <v>28940.1</v>
      </c>
      <c r="G734" s="12" t="n">
        <v>-15322.2</v>
      </c>
      <c r="H734" s="13" t="n">
        <v>0.2537</v>
      </c>
      <c r="I734" s="13" t="n">
        <v>0.285</v>
      </c>
    </row>
    <row r="735">
      <c r="A735" s="10" t="inlineStr">
        <is>
          <t>PJ-2021-E</t>
        </is>
      </c>
      <c r="B735" s="10" t="inlineStr">
        <is>
          <t>位置合わせ(MS学習値)／月内均等</t>
        </is>
      </c>
      <c r="C735" s="10" t="inlineStr">
        <is>
          <t>2022-02</t>
        </is>
      </c>
      <c r="D735" s="10" t="n">
        <v>14</v>
      </c>
      <c r="E735" s="12" t="n">
        <v>13048.6</v>
      </c>
      <c r="F735" s="12" t="n">
        <v>28533.6</v>
      </c>
      <c r="G735" s="12" t="n">
        <v>-15485</v>
      </c>
      <c r="H735" s="13" t="n">
        <v>0.2808</v>
      </c>
      <c r="I735" s="13" t="n">
        <v>0.3442</v>
      </c>
    </row>
    <row r="736">
      <c r="A736" s="10" t="inlineStr">
        <is>
          <t>PJ-2021-E</t>
        </is>
      </c>
      <c r="B736" s="10" t="inlineStr">
        <is>
          <t>位置合わせ(MS学習値)／月内均等</t>
        </is>
      </c>
      <c r="C736" s="10" t="inlineStr">
        <is>
          <t>2022-03</t>
        </is>
      </c>
      <c r="D736" s="10" t="n">
        <v>15</v>
      </c>
      <c r="E736" s="12" t="n">
        <v>14990.7</v>
      </c>
      <c r="F736" s="12" t="n">
        <v>39513.1</v>
      </c>
      <c r="G736" s="12" t="n">
        <v>-24522.4</v>
      </c>
      <c r="H736" s="13" t="n">
        <v>0.3119</v>
      </c>
      <c r="I736" s="13" t="n">
        <v>0.4261</v>
      </c>
    </row>
    <row r="737">
      <c r="A737" s="10" t="inlineStr">
        <is>
          <t>PJ-2021-E</t>
        </is>
      </c>
      <c r="B737" s="10" t="inlineStr">
        <is>
          <t>位置合わせ(MS学習値)／月内均等</t>
        </is>
      </c>
      <c r="C737" s="10" t="inlineStr">
        <is>
          <t>2022-04</t>
        </is>
      </c>
      <c r="D737" s="10" t="n">
        <v>16</v>
      </c>
      <c r="E737" s="12" t="n">
        <v>15367.8</v>
      </c>
      <c r="F737" s="12" t="n">
        <v>20968.4</v>
      </c>
      <c r="G737" s="12" t="n">
        <v>-5600.6</v>
      </c>
      <c r="H737" s="13" t="n">
        <v>0.3438</v>
      </c>
      <c r="I737" s="13" t="n">
        <v>0.4696</v>
      </c>
    </row>
    <row r="738">
      <c r="A738" s="10" t="inlineStr">
        <is>
          <t>PJ-2021-E</t>
        </is>
      </c>
      <c r="B738" s="10" t="inlineStr">
        <is>
          <t>位置合わせ(MS学習値)／月内均等</t>
        </is>
      </c>
      <c r="C738" s="10" t="inlineStr">
        <is>
          <t>2022-05</t>
        </is>
      </c>
      <c r="D738" s="10" t="n">
        <v>17</v>
      </c>
      <c r="E738" s="12" t="n">
        <v>16138.4</v>
      </c>
      <c r="F738" s="12" t="n">
        <v>18133.4</v>
      </c>
      <c r="G738" s="12" t="n">
        <v>-1995</v>
      </c>
      <c r="H738" s="13" t="n">
        <v>0.3772</v>
      </c>
      <c r="I738" s="13" t="n">
        <v>0.5072</v>
      </c>
    </row>
    <row r="739">
      <c r="A739" s="10" t="inlineStr">
        <is>
          <t>PJ-2021-E</t>
        </is>
      </c>
      <c r="B739" s="10" t="inlineStr">
        <is>
          <t>位置合わせ(MS学習値)／月内均等</t>
        </is>
      </c>
      <c r="C739" s="10" t="inlineStr">
        <is>
          <t>2022-06</t>
        </is>
      </c>
      <c r="D739" s="10" t="n">
        <v>18</v>
      </c>
      <c r="E739" s="12" t="n">
        <v>17986.8</v>
      </c>
      <c r="F739" s="12" t="n">
        <v>15271.7</v>
      </c>
      <c r="G739" s="12" t="n">
        <v>2715.1</v>
      </c>
      <c r="H739" s="13" t="n">
        <v>0.4145</v>
      </c>
      <c r="I739" s="13" t="n">
        <v>0.5389</v>
      </c>
    </row>
    <row r="740">
      <c r="A740" s="10" t="inlineStr">
        <is>
          <t>PJ-2021-E</t>
        </is>
      </c>
      <c r="B740" s="10" t="inlineStr">
        <is>
          <t>位置合わせ(MS学習値)／月内均等</t>
        </is>
      </c>
      <c r="C740" s="10" t="inlineStr">
        <is>
          <t>2022-07</t>
        </is>
      </c>
      <c r="D740" s="10" t="n">
        <v>19</v>
      </c>
      <c r="E740" s="12" t="n">
        <v>19703.2</v>
      </c>
      <c r="F740" s="12" t="n">
        <v>16417.5</v>
      </c>
      <c r="G740" s="12" t="n">
        <v>3285.7</v>
      </c>
      <c r="H740" s="13" t="n">
        <v>0.4554</v>
      </c>
      <c r="I740" s="13" t="n">
        <v>0.573</v>
      </c>
    </row>
    <row r="741">
      <c r="A741" s="10" t="inlineStr">
        <is>
          <t>PJ-2021-E</t>
        </is>
      </c>
      <c r="B741" s="10" t="inlineStr">
        <is>
          <t>位置合わせ(MS学習値)／月内均等</t>
        </is>
      </c>
      <c r="C741" s="10" t="inlineStr">
        <is>
          <t>2022-08</t>
        </is>
      </c>
      <c r="D741" s="10" t="n">
        <v>20</v>
      </c>
      <c r="E741" s="12" t="n">
        <v>20214.6</v>
      </c>
      <c r="F741" s="12" t="n">
        <v>14656</v>
      </c>
      <c r="G741" s="12" t="n">
        <v>5558.6</v>
      </c>
      <c r="H741" s="13" t="n">
        <v>0.4973</v>
      </c>
      <c r="I741" s="13" t="n">
        <v>0.6034</v>
      </c>
    </row>
    <row r="742">
      <c r="A742" s="10" t="inlineStr">
        <is>
          <t>PJ-2021-E</t>
        </is>
      </c>
      <c r="B742" s="10" t="inlineStr">
        <is>
          <t>位置合わせ(MS学習値)／月内均等</t>
        </is>
      </c>
      <c r="C742" s="10" t="inlineStr">
        <is>
          <t>2022-09</t>
        </is>
      </c>
      <c r="D742" s="10" t="n">
        <v>21</v>
      </c>
      <c r="E742" s="12" t="n">
        <v>19880.1</v>
      </c>
      <c r="F742" s="12" t="n">
        <v>13886.2</v>
      </c>
      <c r="G742" s="12" t="n">
        <v>5993.9</v>
      </c>
      <c r="H742" s="13" t="n">
        <v>0.5386</v>
      </c>
      <c r="I742" s="13" t="n">
        <v>0.6322</v>
      </c>
    </row>
    <row r="743">
      <c r="A743" s="10" t="inlineStr">
        <is>
          <t>PJ-2021-E</t>
        </is>
      </c>
      <c r="B743" s="10" t="inlineStr">
        <is>
          <t>位置合わせ(MS学習値)／月内均等</t>
        </is>
      </c>
      <c r="C743" s="10" t="inlineStr">
        <is>
          <t>2022-10</t>
        </is>
      </c>
      <c r="D743" s="10" t="n">
        <v>22</v>
      </c>
      <c r="E743" s="12" t="n">
        <v>20347.9</v>
      </c>
      <c r="F743" s="12" t="n">
        <v>13614.7</v>
      </c>
      <c r="G743" s="12" t="n">
        <v>6733.2</v>
      </c>
      <c r="H743" s="13" t="n">
        <v>0.5808</v>
      </c>
      <c r="I743" s="13" t="n">
        <v>0.6604</v>
      </c>
    </row>
    <row r="744">
      <c r="A744" s="10" t="inlineStr">
        <is>
          <t>PJ-2021-E</t>
        </is>
      </c>
      <c r="B744" s="10" t="inlineStr">
        <is>
          <t>位置合わせ(MS学習値)／月内均等</t>
        </is>
      </c>
      <c r="C744" s="10" t="inlineStr">
        <is>
          <t>2022-11</t>
        </is>
      </c>
      <c r="D744" s="10" t="n">
        <v>23</v>
      </c>
      <c r="E744" s="12" t="n">
        <v>19645.6</v>
      </c>
      <c r="F744" s="12" t="n">
        <v>14580.3</v>
      </c>
      <c r="G744" s="12" t="n">
        <v>5065.3</v>
      </c>
      <c r="H744" s="13" t="n">
        <v>0.6215000000000001</v>
      </c>
      <c r="I744" s="13" t="n">
        <v>0.6906</v>
      </c>
    </row>
    <row r="745">
      <c r="A745" s="10" t="inlineStr">
        <is>
          <t>PJ-2021-E</t>
        </is>
      </c>
      <c r="B745" s="10" t="inlineStr">
        <is>
          <t>位置合わせ(MS学習値)／月内均等</t>
        </is>
      </c>
      <c r="C745" s="10" t="inlineStr">
        <is>
          <t>2022-12</t>
        </is>
      </c>
      <c r="D745" s="10" t="n">
        <v>24</v>
      </c>
      <c r="E745" s="12" t="n">
        <v>20531.8</v>
      </c>
      <c r="F745" s="12" t="n">
        <v>15865.3</v>
      </c>
      <c r="G745" s="12" t="n">
        <v>4666.5</v>
      </c>
      <c r="H745" s="13" t="n">
        <v>0.6641</v>
      </c>
      <c r="I745" s="13" t="n">
        <v>0.7236</v>
      </c>
    </row>
    <row r="746">
      <c r="A746" s="10" t="inlineStr">
        <is>
          <t>PJ-2021-E</t>
        </is>
      </c>
      <c r="B746" s="10" t="inlineStr">
        <is>
          <t>位置合わせ(MS学習値)／月内均等</t>
        </is>
      </c>
      <c r="C746" s="10" t="inlineStr">
        <is>
          <t>2023-01</t>
        </is>
      </c>
      <c r="D746" s="10" t="n">
        <v>25</v>
      </c>
      <c r="E746" s="12" t="n">
        <v>20921.9</v>
      </c>
      <c r="F746" s="12" t="n">
        <v>18226.2</v>
      </c>
      <c r="G746" s="12" t="n">
        <v>2695.7</v>
      </c>
      <c r="H746" s="13" t="n">
        <v>0.7075</v>
      </c>
      <c r="I746" s="13" t="n">
        <v>0.7614</v>
      </c>
    </row>
    <row r="747">
      <c r="A747" s="10" t="inlineStr">
        <is>
          <t>PJ-2021-E</t>
        </is>
      </c>
      <c r="B747" s="10" t="inlineStr">
        <is>
          <t>位置合わせ(MS学習値)／月内均等</t>
        </is>
      </c>
      <c r="C747" s="10" t="inlineStr">
        <is>
          <t>2023-02</t>
        </is>
      </c>
      <c r="D747" s="10" t="n">
        <v>26</v>
      </c>
      <c r="E747" s="12" t="n">
        <v>18060.9</v>
      </c>
      <c r="F747" s="12" t="n">
        <v>17827.1</v>
      </c>
      <c r="G747" s="12" t="n">
        <v>233.8</v>
      </c>
      <c r="H747" s="13" t="n">
        <v>0.745</v>
      </c>
      <c r="I747" s="13" t="n">
        <v>0.7983</v>
      </c>
    </row>
    <row r="748">
      <c r="A748" s="10" t="inlineStr">
        <is>
          <t>PJ-2021-E</t>
        </is>
      </c>
      <c r="B748" s="10" t="inlineStr">
        <is>
          <t>位置合わせ(MS学習値)／月内均等</t>
        </is>
      </c>
      <c r="C748" s="10" t="inlineStr">
        <is>
          <t>2023-03</t>
        </is>
      </c>
      <c r="D748" s="10" t="n">
        <v>27</v>
      </c>
      <c r="E748" s="12" t="n">
        <v>19460.4</v>
      </c>
      <c r="F748" s="12" t="n">
        <v>22013.8</v>
      </c>
      <c r="G748" s="12" t="n">
        <v>-2553.4</v>
      </c>
      <c r="H748" s="13" t="n">
        <v>0.7853</v>
      </c>
      <c r="I748" s="13" t="n">
        <v>0.844</v>
      </c>
    </row>
    <row r="749">
      <c r="A749" s="10" t="inlineStr">
        <is>
          <t>PJ-2021-E</t>
        </is>
      </c>
      <c r="B749" s="10" t="inlineStr">
        <is>
          <t>位置合わせ(MS学習値)／月内均等</t>
        </is>
      </c>
      <c r="C749" s="10" t="inlineStr">
        <is>
          <t>2023-04</t>
        </is>
      </c>
      <c r="D749" s="10" t="n">
        <v>28</v>
      </c>
      <c r="E749" s="12" t="n">
        <v>16174.3</v>
      </c>
      <c r="F749" s="12" t="n">
        <v>17769.7</v>
      </c>
      <c r="G749" s="12" t="n">
        <v>-1595.4</v>
      </c>
      <c r="H749" s="13" t="n">
        <v>0.8189</v>
      </c>
      <c r="I749" s="13" t="n">
        <v>0.8808</v>
      </c>
    </row>
    <row r="750">
      <c r="A750" s="10" t="inlineStr">
        <is>
          <t>PJ-2021-E</t>
        </is>
      </c>
      <c r="B750" s="10" t="inlineStr">
        <is>
          <t>位置合わせ(MS学習値)／月内均等</t>
        </is>
      </c>
      <c r="C750" s="10" t="inlineStr">
        <is>
          <t>2023-05</t>
        </is>
      </c>
      <c r="D750" s="10" t="n">
        <v>29</v>
      </c>
      <c r="E750" s="12" t="n">
        <v>15649.7</v>
      </c>
      <c r="F750" s="12" t="n">
        <v>15747.8</v>
      </c>
      <c r="G750" s="12" t="n">
        <v>-98.09999999999999</v>
      </c>
      <c r="H750" s="13" t="n">
        <v>0.8512999999999999</v>
      </c>
      <c r="I750" s="13" t="n">
        <v>0.9135</v>
      </c>
    </row>
    <row r="751">
      <c r="A751" s="10" t="inlineStr">
        <is>
          <t>PJ-2021-E</t>
        </is>
      </c>
      <c r="B751" s="10" t="inlineStr">
        <is>
          <t>位置合わせ(MS学習値)／月内均等</t>
        </is>
      </c>
      <c r="C751" s="10" t="inlineStr">
        <is>
          <t>2023-06</t>
        </is>
      </c>
      <c r="D751" s="10" t="n">
        <v>30</v>
      </c>
      <c r="E751" s="12" t="n">
        <v>14448.5</v>
      </c>
      <c r="F751" s="12" t="n">
        <v>11049.5</v>
      </c>
      <c r="G751" s="12" t="n">
        <v>3399</v>
      </c>
      <c r="H751" s="13" t="n">
        <v>0.8813</v>
      </c>
      <c r="I751" s="13" t="n">
        <v>0.9364</v>
      </c>
    </row>
    <row r="752">
      <c r="A752" s="10" t="inlineStr">
        <is>
          <t>PJ-2021-E</t>
        </is>
      </c>
      <c r="B752" s="10" t="inlineStr">
        <is>
          <t>位置合わせ(MS学習値)／月内均等</t>
        </is>
      </c>
      <c r="C752" s="10" t="inlineStr">
        <is>
          <t>2023-07</t>
        </is>
      </c>
      <c r="D752" s="10" t="n">
        <v>31</v>
      </c>
      <c r="E752" s="12" t="n">
        <v>13617.6</v>
      </c>
      <c r="F752" s="12" t="n">
        <v>10147.8</v>
      </c>
      <c r="G752" s="12" t="n">
        <v>3469.8</v>
      </c>
      <c r="H752" s="13" t="n">
        <v>0.9095</v>
      </c>
      <c r="I752" s="13" t="n">
        <v>0.9575</v>
      </c>
    </row>
    <row r="753">
      <c r="A753" s="10" t="inlineStr">
        <is>
          <t>PJ-2021-E</t>
        </is>
      </c>
      <c r="B753" s="10" t="inlineStr">
        <is>
          <t>位置合わせ(MS学習値)／月内均等</t>
        </is>
      </c>
      <c r="C753" s="10" t="inlineStr">
        <is>
          <t>2023-08</t>
        </is>
      </c>
      <c r="D753" s="10" t="n">
        <v>32</v>
      </c>
      <c r="E753" s="12" t="n">
        <v>11892.8</v>
      </c>
      <c r="F753" s="12" t="n">
        <v>8637.799999999999</v>
      </c>
      <c r="G753" s="12" t="n">
        <v>3255</v>
      </c>
      <c r="H753" s="13" t="n">
        <v>0.9342</v>
      </c>
      <c r="I753" s="13" t="n">
        <v>0.9754</v>
      </c>
    </row>
    <row r="754">
      <c r="A754" s="10" t="inlineStr">
        <is>
          <t>PJ-2021-E</t>
        </is>
      </c>
      <c r="B754" s="10" t="inlineStr">
        <is>
          <t>位置合わせ(MS学習値)／月内均等</t>
        </is>
      </c>
      <c r="C754" s="10" t="inlineStr">
        <is>
          <t>2023-09</t>
        </is>
      </c>
      <c r="D754" s="10" t="n">
        <v>33</v>
      </c>
      <c r="E754" s="12" t="n">
        <v>9931.299999999999</v>
      </c>
      <c r="F754" s="12" t="n">
        <v>5590.1</v>
      </c>
      <c r="G754" s="12" t="n">
        <v>4341.2</v>
      </c>
      <c r="H754" s="13" t="n">
        <v>0.9548</v>
      </c>
      <c r="I754" s="13" t="n">
        <v>0.987</v>
      </c>
    </row>
    <row r="755">
      <c r="A755" s="10" t="inlineStr">
        <is>
          <t>PJ-2021-E</t>
        </is>
      </c>
      <c r="B755" s="10" t="inlineStr">
        <is>
          <t>位置合わせ(MS学習値)／月内均等</t>
        </is>
      </c>
      <c r="C755" s="10" t="inlineStr">
        <is>
          <t>2023-10</t>
        </is>
      </c>
      <c r="D755" s="10" t="n">
        <v>34</v>
      </c>
      <c r="E755" s="12" t="n">
        <v>10079.1</v>
      </c>
      <c r="F755" s="12" t="n">
        <v>3746.3</v>
      </c>
      <c r="G755" s="12" t="n">
        <v>6332.8</v>
      </c>
      <c r="H755" s="13" t="n">
        <v>0.9757</v>
      </c>
      <c r="I755" s="13" t="n">
        <v>0.9947</v>
      </c>
    </row>
    <row r="756">
      <c r="A756" s="10" t="inlineStr">
        <is>
          <t>PJ-2021-E</t>
        </is>
      </c>
      <c r="B756" s="10" t="inlineStr">
        <is>
          <t>位置合わせ(MS学習値)／月内均等</t>
        </is>
      </c>
      <c r="C756" s="10" t="inlineStr">
        <is>
          <t>2023-11</t>
        </is>
      </c>
      <c r="D756" s="10" t="n">
        <v>35</v>
      </c>
      <c r="E756" s="12" t="n">
        <v>6828.4</v>
      </c>
      <c r="F756" s="12" t="n">
        <v>1912.1</v>
      </c>
      <c r="G756" s="12" t="n">
        <v>4916.3</v>
      </c>
      <c r="H756" s="13" t="n">
        <v>0.9899</v>
      </c>
      <c r="I756" s="13" t="n">
        <v>0.9987</v>
      </c>
    </row>
    <row r="757">
      <c r="A757" s="10" t="inlineStr">
        <is>
          <t>PJ-2021-E</t>
        </is>
      </c>
      <c r="B757" s="10" t="inlineStr">
        <is>
          <t>位置合わせ(MS学習値)／月内均等</t>
        </is>
      </c>
      <c r="C757" s="10" t="inlineStr">
        <is>
          <t>2023-12</t>
        </is>
      </c>
      <c r="D757" s="10" t="n">
        <v>36</v>
      </c>
      <c r="E757" s="12" t="n">
        <v>4887</v>
      </c>
      <c r="F757" s="12" t="n">
        <v>620.9</v>
      </c>
      <c r="G757" s="12" t="n">
        <v>4266.1</v>
      </c>
      <c r="H757" s="13" t="n">
        <v>1</v>
      </c>
      <c r="I757" s="13" t="n">
        <v>1</v>
      </c>
    </row>
    <row r="758">
      <c r="A758" s="10" t="inlineStr">
        <is>
          <t>PJ-2021-E</t>
        </is>
      </c>
      <c r="B758" s="10" t="inlineStr">
        <is>
          <t>位置合わせ(MS指定)／月内均等</t>
        </is>
      </c>
      <c r="C758" s="10" t="inlineStr">
        <is>
          <t>2021-01</t>
        </is>
      </c>
      <c r="D758" s="10" t="n">
        <v>1</v>
      </c>
      <c r="E758" s="12" t="n">
        <v>6484.8</v>
      </c>
      <c r="F758" s="12" t="n">
        <v>2212.8</v>
      </c>
      <c r="G758" s="12" t="n">
        <v>4272</v>
      </c>
      <c r="H758" s="13" t="n">
        <v>0.0134</v>
      </c>
      <c r="I758" s="13" t="n">
        <v>0.0046</v>
      </c>
    </row>
    <row r="759">
      <c r="A759" s="10" t="inlineStr">
        <is>
          <t>PJ-2021-E</t>
        </is>
      </c>
      <c r="B759" s="10" t="inlineStr">
        <is>
          <t>位置合わせ(MS指定)／月内均等</t>
        </is>
      </c>
      <c r="C759" s="10" t="inlineStr">
        <is>
          <t>2021-02</t>
        </is>
      </c>
      <c r="D759" s="10" t="n">
        <v>2</v>
      </c>
      <c r="E759" s="12" t="n">
        <v>6919</v>
      </c>
      <c r="F759" s="12" t="n">
        <v>3289.4</v>
      </c>
      <c r="G759" s="12" t="n">
        <v>3629.6</v>
      </c>
      <c r="H759" s="13" t="n">
        <v>0.0278</v>
      </c>
      <c r="I759" s="13" t="n">
        <v>0.0114</v>
      </c>
    </row>
    <row r="760">
      <c r="A760" s="10" t="inlineStr">
        <is>
          <t>PJ-2021-E</t>
        </is>
      </c>
      <c r="B760" s="10" t="inlineStr">
        <is>
          <t>位置合わせ(MS指定)／月内均等</t>
        </is>
      </c>
      <c r="C760" s="10" t="inlineStr">
        <is>
          <t>2021-03</t>
        </is>
      </c>
      <c r="D760" s="10" t="n">
        <v>3</v>
      </c>
      <c r="E760" s="12" t="n">
        <v>9003</v>
      </c>
      <c r="F760" s="12" t="n">
        <v>4610.7</v>
      </c>
      <c r="G760" s="12" t="n">
        <v>4392.3</v>
      </c>
      <c r="H760" s="13" t="n">
        <v>0.0465</v>
      </c>
      <c r="I760" s="13" t="n">
        <v>0.021</v>
      </c>
    </row>
    <row r="761">
      <c r="A761" s="10" t="inlineStr">
        <is>
          <t>PJ-2021-E</t>
        </is>
      </c>
      <c r="B761" s="10" t="inlineStr">
        <is>
          <t>位置合わせ(MS指定)／月内均等</t>
        </is>
      </c>
      <c r="C761" s="10" t="inlineStr">
        <is>
          <t>2021-04</t>
        </is>
      </c>
      <c r="D761" s="10" t="n">
        <v>4</v>
      </c>
      <c r="E761" s="12" t="n">
        <v>9259.5</v>
      </c>
      <c r="F761" s="12" t="n">
        <v>5392.8</v>
      </c>
      <c r="G761" s="12" t="n">
        <v>3866.7</v>
      </c>
      <c r="H761" s="13" t="n">
        <v>0.06569999999999999</v>
      </c>
      <c r="I761" s="13" t="n">
        <v>0.0322</v>
      </c>
    </row>
    <row r="762">
      <c r="A762" s="10" t="inlineStr">
        <is>
          <t>PJ-2021-E</t>
        </is>
      </c>
      <c r="B762" s="10" t="inlineStr">
        <is>
          <t>位置合わせ(MS指定)／月内均等</t>
        </is>
      </c>
      <c r="C762" s="10" t="inlineStr">
        <is>
          <t>2021-05</t>
        </is>
      </c>
      <c r="D762" s="10" t="n">
        <v>5</v>
      </c>
      <c r="E762" s="12" t="n">
        <v>10728</v>
      </c>
      <c r="F762" s="12" t="n">
        <v>5875.1</v>
      </c>
      <c r="G762" s="12" t="n">
        <v>4852.9</v>
      </c>
      <c r="H762" s="13" t="n">
        <v>0.08790000000000001</v>
      </c>
      <c r="I762" s="13" t="n">
        <v>0.0443</v>
      </c>
    </row>
    <row r="763">
      <c r="A763" s="10" t="inlineStr">
        <is>
          <t>PJ-2021-E</t>
        </is>
      </c>
      <c r="B763" s="10" t="inlineStr">
        <is>
          <t>位置合わせ(MS指定)／月内均等</t>
        </is>
      </c>
      <c r="C763" s="10" t="inlineStr">
        <is>
          <t>2021-06</t>
        </is>
      </c>
      <c r="D763" s="10" t="n">
        <v>6</v>
      </c>
      <c r="E763" s="12" t="n">
        <v>10541.1</v>
      </c>
      <c r="F763" s="12" t="n">
        <v>6664.2</v>
      </c>
      <c r="G763" s="12" t="n">
        <v>3876.9</v>
      </c>
      <c r="H763" s="13" t="n">
        <v>0.1098</v>
      </c>
      <c r="I763" s="13" t="n">
        <v>0.0582</v>
      </c>
    </row>
    <row r="764">
      <c r="A764" s="10" t="inlineStr">
        <is>
          <t>PJ-2021-E</t>
        </is>
      </c>
      <c r="B764" s="10" t="inlineStr">
        <is>
          <t>位置合わせ(MS指定)／月内均等</t>
        </is>
      </c>
      <c r="C764" s="10" t="inlineStr">
        <is>
          <t>2021-07</t>
        </is>
      </c>
      <c r="D764" s="10" t="n">
        <v>7</v>
      </c>
      <c r="E764" s="12" t="n">
        <v>11459</v>
      </c>
      <c r="F764" s="12" t="n">
        <v>7114.2</v>
      </c>
      <c r="G764" s="12" t="n">
        <v>4344.8</v>
      </c>
      <c r="H764" s="13" t="n">
        <v>0.1336</v>
      </c>
      <c r="I764" s="13" t="n">
        <v>0.07290000000000001</v>
      </c>
    </row>
    <row r="765">
      <c r="A765" s="10" t="inlineStr">
        <is>
          <t>PJ-2021-E</t>
        </is>
      </c>
      <c r="B765" s="10" t="inlineStr">
        <is>
          <t>位置合わせ(MS指定)／月内均等</t>
        </is>
      </c>
      <c r="C765" s="10" t="inlineStr">
        <is>
          <t>2021-08</t>
        </is>
      </c>
      <c r="D765" s="10" t="n">
        <v>8</v>
      </c>
      <c r="E765" s="12" t="n">
        <v>12808.4</v>
      </c>
      <c r="F765" s="12" t="n">
        <v>7159.8</v>
      </c>
      <c r="G765" s="12" t="n">
        <v>5648.6</v>
      </c>
      <c r="H765" s="13" t="n">
        <v>0.1601</v>
      </c>
      <c r="I765" s="13" t="n">
        <v>0.0878</v>
      </c>
    </row>
    <row r="766">
      <c r="A766" s="10" t="inlineStr">
        <is>
          <t>PJ-2021-E</t>
        </is>
      </c>
      <c r="B766" s="10" t="inlineStr">
        <is>
          <t>位置合わせ(MS指定)／月内均等</t>
        </is>
      </c>
      <c r="C766" s="10" t="inlineStr">
        <is>
          <t>2021-09</t>
        </is>
      </c>
      <c r="D766" s="10" t="n">
        <v>9</v>
      </c>
      <c r="E766" s="12" t="n">
        <v>13118.9</v>
      </c>
      <c r="F766" s="12" t="n">
        <v>7725.3</v>
      </c>
      <c r="G766" s="12" t="n">
        <v>5393.6</v>
      </c>
      <c r="H766" s="13" t="n">
        <v>0.1873</v>
      </c>
      <c r="I766" s="13" t="n">
        <v>0.1038</v>
      </c>
    </row>
    <row r="767">
      <c r="A767" s="10" t="inlineStr">
        <is>
          <t>PJ-2021-E</t>
        </is>
      </c>
      <c r="B767" s="10" t="inlineStr">
        <is>
          <t>位置合わせ(MS指定)／月内均等</t>
        </is>
      </c>
      <c r="C767" s="10" t="inlineStr">
        <is>
          <t>2021-10</t>
        </is>
      </c>
      <c r="D767" s="10" t="n">
        <v>10</v>
      </c>
      <c r="E767" s="12" t="n">
        <v>15210.9</v>
      </c>
      <c r="F767" s="12" t="n">
        <v>11396.5</v>
      </c>
      <c r="G767" s="12" t="n">
        <v>3814.4</v>
      </c>
      <c r="H767" s="13" t="n">
        <v>0.2189</v>
      </c>
      <c r="I767" s="13" t="n">
        <v>0.1274</v>
      </c>
    </row>
    <row r="768">
      <c r="A768" s="10" t="inlineStr">
        <is>
          <t>PJ-2021-E</t>
        </is>
      </c>
      <c r="B768" s="10" t="inlineStr">
        <is>
          <t>位置合わせ(MS指定)／月内均等</t>
        </is>
      </c>
      <c r="C768" s="10" t="inlineStr">
        <is>
          <t>2021-11</t>
        </is>
      </c>
      <c r="D768" s="10" t="n">
        <v>11</v>
      </c>
      <c r="E768" s="12" t="n">
        <v>15426.5</v>
      </c>
      <c r="F768" s="12" t="n">
        <v>22707.4</v>
      </c>
      <c r="G768" s="12" t="n">
        <v>-7280.9</v>
      </c>
      <c r="H768" s="13" t="n">
        <v>0.2509</v>
      </c>
      <c r="I768" s="13" t="n">
        <v>0.1745</v>
      </c>
    </row>
    <row r="769">
      <c r="A769" s="10" t="inlineStr">
        <is>
          <t>PJ-2021-E</t>
        </is>
      </c>
      <c r="B769" s="10" t="inlineStr">
        <is>
          <t>位置合わせ(MS指定)／月内均等</t>
        </is>
      </c>
      <c r="C769" s="10" t="inlineStr">
        <is>
          <t>2021-12</t>
        </is>
      </c>
      <c r="D769" s="10" t="n">
        <v>12</v>
      </c>
      <c r="E769" s="12" t="n">
        <v>17035.1</v>
      </c>
      <c r="F769" s="12" t="n">
        <v>24332.8</v>
      </c>
      <c r="G769" s="12" t="n">
        <v>-7297.7</v>
      </c>
      <c r="H769" s="13" t="n">
        <v>0.2862</v>
      </c>
      <c r="I769" s="13" t="n">
        <v>0.225</v>
      </c>
    </row>
    <row r="770">
      <c r="A770" s="10" t="inlineStr">
        <is>
          <t>PJ-2021-E</t>
        </is>
      </c>
      <c r="B770" s="10" t="inlineStr">
        <is>
          <t>位置合わせ(MS指定)／月内均等</t>
        </is>
      </c>
      <c r="C770" s="10" t="inlineStr">
        <is>
          <t>2022-01</t>
        </is>
      </c>
      <c r="D770" s="10" t="n">
        <v>13</v>
      </c>
      <c r="E770" s="12" t="n">
        <v>17960.8</v>
      </c>
      <c r="F770" s="12" t="n">
        <v>28940.1</v>
      </c>
      <c r="G770" s="12" t="n">
        <v>-10979.3</v>
      </c>
      <c r="H770" s="13" t="n">
        <v>0.3235</v>
      </c>
      <c r="I770" s="13" t="n">
        <v>0.285</v>
      </c>
    </row>
    <row r="771">
      <c r="A771" s="10" t="inlineStr">
        <is>
          <t>PJ-2021-E</t>
        </is>
      </c>
      <c r="B771" s="10" t="inlineStr">
        <is>
          <t>位置合わせ(MS指定)／月内均等</t>
        </is>
      </c>
      <c r="C771" s="10" t="inlineStr">
        <is>
          <t>2022-02</t>
        </is>
      </c>
      <c r="D771" s="10" t="n">
        <v>14</v>
      </c>
      <c r="E771" s="12" t="n">
        <v>16941.4</v>
      </c>
      <c r="F771" s="12" t="n">
        <v>28533.6</v>
      </c>
      <c r="G771" s="12" t="n">
        <v>-11592.2</v>
      </c>
      <c r="H771" s="13" t="n">
        <v>0.3586</v>
      </c>
      <c r="I771" s="13" t="n">
        <v>0.3442</v>
      </c>
    </row>
    <row r="772">
      <c r="A772" s="10" t="inlineStr">
        <is>
          <t>PJ-2021-E</t>
        </is>
      </c>
      <c r="B772" s="10" t="inlineStr">
        <is>
          <t>位置合わせ(MS指定)／月内均等</t>
        </is>
      </c>
      <c r="C772" s="10" t="inlineStr">
        <is>
          <t>2022-03</t>
        </is>
      </c>
      <c r="D772" s="10" t="n">
        <v>15</v>
      </c>
      <c r="E772" s="12" t="n">
        <v>20323.5</v>
      </c>
      <c r="F772" s="12" t="n">
        <v>39513.1</v>
      </c>
      <c r="G772" s="12" t="n">
        <v>-19189.6</v>
      </c>
      <c r="H772" s="13" t="n">
        <v>0.4007</v>
      </c>
      <c r="I772" s="13" t="n">
        <v>0.4261</v>
      </c>
    </row>
    <row r="773">
      <c r="A773" s="10" t="inlineStr">
        <is>
          <t>PJ-2021-E</t>
        </is>
      </c>
      <c r="B773" s="10" t="inlineStr">
        <is>
          <t>位置合わせ(MS指定)／月内均等</t>
        </is>
      </c>
      <c r="C773" s="10" t="inlineStr">
        <is>
          <t>2022-04</t>
        </is>
      </c>
      <c r="D773" s="10" t="n">
        <v>16</v>
      </c>
      <c r="E773" s="12" t="n">
        <v>18323.5</v>
      </c>
      <c r="F773" s="12" t="n">
        <v>20968.4</v>
      </c>
      <c r="G773" s="12" t="n">
        <v>-2644.9</v>
      </c>
      <c r="H773" s="13" t="n">
        <v>0.4387</v>
      </c>
      <c r="I773" s="13" t="n">
        <v>0.4696</v>
      </c>
    </row>
    <row r="774">
      <c r="A774" s="10" t="inlineStr">
        <is>
          <t>PJ-2021-E</t>
        </is>
      </c>
      <c r="B774" s="10" t="inlineStr">
        <is>
          <t>位置合わせ(MS指定)／月内均等</t>
        </is>
      </c>
      <c r="C774" s="10" t="inlineStr">
        <is>
          <t>2022-05</t>
        </is>
      </c>
      <c r="D774" s="10" t="n">
        <v>17</v>
      </c>
      <c r="E774" s="12" t="n">
        <v>14873.6</v>
      </c>
      <c r="F774" s="12" t="n">
        <v>18133.4</v>
      </c>
      <c r="G774" s="12" t="n">
        <v>-3259.8</v>
      </c>
      <c r="H774" s="13" t="n">
        <v>0.4696</v>
      </c>
      <c r="I774" s="13" t="n">
        <v>0.5072</v>
      </c>
    </row>
    <row r="775">
      <c r="A775" s="10" t="inlineStr">
        <is>
          <t>PJ-2021-E</t>
        </is>
      </c>
      <c r="B775" s="10" t="inlineStr">
        <is>
          <t>位置合わせ(MS指定)／月内均等</t>
        </is>
      </c>
      <c r="C775" s="10" t="inlineStr">
        <is>
          <t>2022-06</t>
        </is>
      </c>
      <c r="D775" s="10" t="n">
        <v>18</v>
      </c>
      <c r="E775" s="12" t="n">
        <v>15187.8</v>
      </c>
      <c r="F775" s="12" t="n">
        <v>15271.7</v>
      </c>
      <c r="G775" s="12" t="n">
        <v>-83.90000000000001</v>
      </c>
      <c r="H775" s="13" t="n">
        <v>0.5011</v>
      </c>
      <c r="I775" s="13" t="n">
        <v>0.5389</v>
      </c>
    </row>
    <row r="776">
      <c r="A776" s="10" t="inlineStr">
        <is>
          <t>PJ-2021-E</t>
        </is>
      </c>
      <c r="B776" s="10" t="inlineStr">
        <is>
          <t>位置合わせ(MS指定)／月内均等</t>
        </is>
      </c>
      <c r="C776" s="10" t="inlineStr">
        <is>
          <t>2022-07</t>
        </is>
      </c>
      <c r="D776" s="10" t="n">
        <v>19</v>
      </c>
      <c r="E776" s="12" t="n">
        <v>15520.6</v>
      </c>
      <c r="F776" s="12" t="n">
        <v>16417.5</v>
      </c>
      <c r="G776" s="12" t="n">
        <v>-896.9</v>
      </c>
      <c r="H776" s="13" t="n">
        <v>0.5333</v>
      </c>
      <c r="I776" s="13" t="n">
        <v>0.573</v>
      </c>
    </row>
    <row r="777">
      <c r="A777" s="10" t="inlineStr">
        <is>
          <t>PJ-2021-E</t>
        </is>
      </c>
      <c r="B777" s="10" t="inlineStr">
        <is>
          <t>位置合わせ(MS指定)／月内均等</t>
        </is>
      </c>
      <c r="C777" s="10" t="inlineStr">
        <is>
          <t>2022-08</t>
        </is>
      </c>
      <c r="D777" s="10" t="n">
        <v>20</v>
      </c>
      <c r="E777" s="12" t="n">
        <v>15669.7</v>
      </c>
      <c r="F777" s="12" t="n">
        <v>14656</v>
      </c>
      <c r="G777" s="12" t="n">
        <v>1013.7</v>
      </c>
      <c r="H777" s="13" t="n">
        <v>0.5658</v>
      </c>
      <c r="I777" s="13" t="n">
        <v>0.6034</v>
      </c>
    </row>
    <row r="778">
      <c r="A778" s="10" t="inlineStr">
        <is>
          <t>PJ-2021-E</t>
        </is>
      </c>
      <c r="B778" s="10" t="inlineStr">
        <is>
          <t>位置合わせ(MS指定)／月内均等</t>
        </is>
      </c>
      <c r="C778" s="10" t="inlineStr">
        <is>
          <t>2022-09</t>
        </is>
      </c>
      <c r="D778" s="10" t="n">
        <v>21</v>
      </c>
      <c r="E778" s="12" t="n">
        <v>15114.3</v>
      </c>
      <c r="F778" s="12" t="n">
        <v>13886.2</v>
      </c>
      <c r="G778" s="12" t="n">
        <v>1228.1</v>
      </c>
      <c r="H778" s="13" t="n">
        <v>0.5971</v>
      </c>
      <c r="I778" s="13" t="n">
        <v>0.6322</v>
      </c>
    </row>
    <row r="779">
      <c r="A779" s="10" t="inlineStr">
        <is>
          <t>PJ-2021-E</t>
        </is>
      </c>
      <c r="B779" s="10" t="inlineStr">
        <is>
          <t>位置合わせ(MS指定)／月内均等</t>
        </is>
      </c>
      <c r="C779" s="10" t="inlineStr">
        <is>
          <t>2022-10</t>
        </is>
      </c>
      <c r="D779" s="10" t="n">
        <v>22</v>
      </c>
      <c r="E779" s="12" t="n">
        <v>15321</v>
      </c>
      <c r="F779" s="12" t="n">
        <v>13614.7</v>
      </c>
      <c r="G779" s="12" t="n">
        <v>1706.3</v>
      </c>
      <c r="H779" s="13" t="n">
        <v>0.6289</v>
      </c>
      <c r="I779" s="13" t="n">
        <v>0.6604</v>
      </c>
    </row>
    <row r="780">
      <c r="A780" s="10" t="inlineStr">
        <is>
          <t>PJ-2021-E</t>
        </is>
      </c>
      <c r="B780" s="10" t="inlineStr">
        <is>
          <t>位置合わせ(MS指定)／月内均等</t>
        </is>
      </c>
      <c r="C780" s="10" t="inlineStr">
        <is>
          <t>2022-11</t>
        </is>
      </c>
      <c r="D780" s="10" t="n">
        <v>23</v>
      </c>
      <c r="E780" s="12" t="n">
        <v>15300.9</v>
      </c>
      <c r="F780" s="12" t="n">
        <v>14580.3</v>
      </c>
      <c r="G780" s="12" t="n">
        <v>720.6</v>
      </c>
      <c r="H780" s="13" t="n">
        <v>0.6606</v>
      </c>
      <c r="I780" s="13" t="n">
        <v>0.6906</v>
      </c>
    </row>
    <row r="781">
      <c r="A781" s="10" t="inlineStr">
        <is>
          <t>PJ-2021-E</t>
        </is>
      </c>
      <c r="B781" s="10" t="inlineStr">
        <is>
          <t>位置合わせ(MS指定)／月内均等</t>
        </is>
      </c>
      <c r="C781" s="10" t="inlineStr">
        <is>
          <t>2022-12</t>
        </is>
      </c>
      <c r="D781" s="10" t="n">
        <v>24</v>
      </c>
      <c r="E781" s="12" t="n">
        <v>15918.6</v>
      </c>
      <c r="F781" s="12" t="n">
        <v>15865.3</v>
      </c>
      <c r="G781" s="12" t="n">
        <v>53.3</v>
      </c>
      <c r="H781" s="13" t="n">
        <v>0.6937</v>
      </c>
      <c r="I781" s="13" t="n">
        <v>0.7236</v>
      </c>
    </row>
    <row r="782">
      <c r="A782" s="10" t="inlineStr">
        <is>
          <t>PJ-2021-E</t>
        </is>
      </c>
      <c r="B782" s="10" t="inlineStr">
        <is>
          <t>位置合わせ(MS指定)／月内均等</t>
        </is>
      </c>
      <c r="C782" s="10" t="inlineStr">
        <is>
          <t>2023-01</t>
        </is>
      </c>
      <c r="D782" s="10" t="n">
        <v>25</v>
      </c>
      <c r="E782" s="12" t="n">
        <v>16009.1</v>
      </c>
      <c r="F782" s="12" t="n">
        <v>18226.2</v>
      </c>
      <c r="G782" s="12" t="n">
        <v>-2217.1</v>
      </c>
      <c r="H782" s="13" t="n">
        <v>0.7269</v>
      </c>
      <c r="I782" s="13" t="n">
        <v>0.7614</v>
      </c>
    </row>
    <row r="783">
      <c r="A783" s="10" t="inlineStr">
        <is>
          <t>PJ-2021-E</t>
        </is>
      </c>
      <c r="B783" s="10" t="inlineStr">
        <is>
          <t>位置合わせ(MS指定)／月内均等</t>
        </is>
      </c>
      <c r="C783" s="10" t="inlineStr">
        <is>
          <t>2023-02</t>
        </is>
      </c>
      <c r="D783" s="10" t="n">
        <v>26</v>
      </c>
      <c r="E783" s="12" t="n">
        <v>13239.7</v>
      </c>
      <c r="F783" s="12" t="n">
        <v>17827.1</v>
      </c>
      <c r="G783" s="12" t="n">
        <v>-4587.4</v>
      </c>
      <c r="H783" s="13" t="n">
        <v>0.7543</v>
      </c>
      <c r="I783" s="13" t="n">
        <v>0.7983</v>
      </c>
    </row>
    <row r="784">
      <c r="A784" s="10" t="inlineStr">
        <is>
          <t>PJ-2021-E</t>
        </is>
      </c>
      <c r="B784" s="10" t="inlineStr">
        <is>
          <t>位置合わせ(MS指定)／月内均等</t>
        </is>
      </c>
      <c r="C784" s="10" t="inlineStr">
        <is>
          <t>2023-03</t>
        </is>
      </c>
      <c r="D784" s="10" t="n">
        <v>27</v>
      </c>
      <c r="E784" s="12" t="n">
        <v>19531</v>
      </c>
      <c r="F784" s="12" t="n">
        <v>22013.8</v>
      </c>
      <c r="G784" s="12" t="n">
        <v>-2482.8</v>
      </c>
      <c r="H784" s="13" t="n">
        <v>0.7948</v>
      </c>
      <c r="I784" s="13" t="n">
        <v>0.844</v>
      </c>
    </row>
    <row r="785">
      <c r="A785" s="10" t="inlineStr">
        <is>
          <t>PJ-2021-E</t>
        </is>
      </c>
      <c r="B785" s="10" t="inlineStr">
        <is>
          <t>位置合わせ(MS指定)／月内均等</t>
        </is>
      </c>
      <c r="C785" s="10" t="inlineStr">
        <is>
          <t>2023-04</t>
        </is>
      </c>
      <c r="D785" s="10" t="n">
        <v>28</v>
      </c>
      <c r="E785" s="12" t="n">
        <v>20278.7</v>
      </c>
      <c r="F785" s="12" t="n">
        <v>17769.7</v>
      </c>
      <c r="G785" s="12" t="n">
        <v>2509</v>
      </c>
      <c r="H785" s="13" t="n">
        <v>0.8369</v>
      </c>
      <c r="I785" s="13" t="n">
        <v>0.8808</v>
      </c>
    </row>
    <row r="786">
      <c r="A786" s="10" t="inlineStr">
        <is>
          <t>PJ-2021-E</t>
        </is>
      </c>
      <c r="B786" s="10" t="inlineStr">
        <is>
          <t>位置合わせ(MS指定)／月内均等</t>
        </is>
      </c>
      <c r="C786" s="10" t="inlineStr">
        <is>
          <t>2023-05</t>
        </is>
      </c>
      <c r="D786" s="10" t="n">
        <v>29</v>
      </c>
      <c r="E786" s="12" t="n">
        <v>19275.2</v>
      </c>
      <c r="F786" s="12" t="n">
        <v>15747.8</v>
      </c>
      <c r="G786" s="12" t="n">
        <v>3527.4</v>
      </c>
      <c r="H786" s="13" t="n">
        <v>0.8769</v>
      </c>
      <c r="I786" s="13" t="n">
        <v>0.9135</v>
      </c>
    </row>
    <row r="787">
      <c r="A787" s="10" t="inlineStr">
        <is>
          <t>PJ-2021-E</t>
        </is>
      </c>
      <c r="B787" s="10" t="inlineStr">
        <is>
          <t>位置合わせ(MS指定)／月内均等</t>
        </is>
      </c>
      <c r="C787" s="10" t="inlineStr">
        <is>
          <t>2023-06</t>
        </is>
      </c>
      <c r="D787" s="10" t="n">
        <v>30</v>
      </c>
      <c r="E787" s="12" t="n">
        <v>17004.5</v>
      </c>
      <c r="F787" s="12" t="n">
        <v>11049.5</v>
      </c>
      <c r="G787" s="12" t="n">
        <v>5955</v>
      </c>
      <c r="H787" s="13" t="n">
        <v>0.9121</v>
      </c>
      <c r="I787" s="13" t="n">
        <v>0.9364</v>
      </c>
    </row>
    <row r="788">
      <c r="A788" s="10" t="inlineStr">
        <is>
          <t>PJ-2021-E</t>
        </is>
      </c>
      <c r="B788" s="10" t="inlineStr">
        <is>
          <t>位置合わせ(MS指定)／月内均等</t>
        </is>
      </c>
      <c r="C788" s="10" t="inlineStr">
        <is>
          <t>2023-07</t>
        </is>
      </c>
      <c r="D788" s="10" t="n">
        <v>31</v>
      </c>
      <c r="E788" s="12" t="n">
        <v>14645.4</v>
      </c>
      <c r="F788" s="12" t="n">
        <v>10147.8</v>
      </c>
      <c r="G788" s="12" t="n">
        <v>4497.6</v>
      </c>
      <c r="H788" s="13" t="n">
        <v>0.9425</v>
      </c>
      <c r="I788" s="13" t="n">
        <v>0.9575</v>
      </c>
    </row>
    <row r="789">
      <c r="A789" s="10" t="inlineStr">
        <is>
          <t>PJ-2021-E</t>
        </is>
      </c>
      <c r="B789" s="10" t="inlineStr">
        <is>
          <t>位置合わせ(MS指定)／月内均等</t>
        </is>
      </c>
      <c r="C789" s="10" t="inlineStr">
        <is>
          <t>2023-08</t>
        </is>
      </c>
      <c r="D789" s="10" t="n">
        <v>32</v>
      </c>
      <c r="E789" s="12" t="n">
        <v>9766.200000000001</v>
      </c>
      <c r="F789" s="12" t="n">
        <v>8637.799999999999</v>
      </c>
      <c r="G789" s="12" t="n">
        <v>1128.4</v>
      </c>
      <c r="H789" s="13" t="n">
        <v>0.9628</v>
      </c>
      <c r="I789" s="13" t="n">
        <v>0.9754</v>
      </c>
    </row>
    <row r="790">
      <c r="A790" s="10" t="inlineStr">
        <is>
          <t>PJ-2021-E</t>
        </is>
      </c>
      <c r="B790" s="10" t="inlineStr">
        <is>
          <t>位置合わせ(MS指定)／月内均等</t>
        </is>
      </c>
      <c r="C790" s="10" t="inlineStr">
        <is>
          <t>2023-09</t>
        </is>
      </c>
      <c r="D790" s="10" t="n">
        <v>33</v>
      </c>
      <c r="E790" s="12" t="n">
        <v>6317.6</v>
      </c>
      <c r="F790" s="12" t="n">
        <v>5590.1</v>
      </c>
      <c r="G790" s="12" t="n">
        <v>727.5</v>
      </c>
      <c r="H790" s="13" t="n">
        <v>0.9759</v>
      </c>
      <c r="I790" s="13" t="n">
        <v>0.987</v>
      </c>
    </row>
    <row r="791">
      <c r="A791" s="10" t="inlineStr">
        <is>
          <t>PJ-2021-E</t>
        </is>
      </c>
      <c r="B791" s="10" t="inlineStr">
        <is>
          <t>位置合わせ(MS指定)／月内均等</t>
        </is>
      </c>
      <c r="C791" s="10" t="inlineStr">
        <is>
          <t>2023-10</t>
        </is>
      </c>
      <c r="D791" s="10" t="n">
        <v>34</v>
      </c>
      <c r="E791" s="12" t="n">
        <v>4901.9</v>
      </c>
      <c r="F791" s="12" t="n">
        <v>3746.3</v>
      </c>
      <c r="G791" s="12" t="n">
        <v>1155.6</v>
      </c>
      <c r="H791" s="13" t="n">
        <v>0.986</v>
      </c>
      <c r="I791" s="13" t="n">
        <v>0.9947</v>
      </c>
    </row>
    <row r="792">
      <c r="A792" s="10" t="inlineStr">
        <is>
          <t>PJ-2021-E</t>
        </is>
      </c>
      <c r="B792" s="10" t="inlineStr">
        <is>
          <t>位置合わせ(MS指定)／月内均等</t>
        </is>
      </c>
      <c r="C792" s="10" t="inlineStr">
        <is>
          <t>2023-11</t>
        </is>
      </c>
      <c r="D792" s="10" t="n">
        <v>35</v>
      </c>
      <c r="E792" s="12" t="n">
        <v>3531.7</v>
      </c>
      <c r="F792" s="12" t="n">
        <v>1912.1</v>
      </c>
      <c r="G792" s="12" t="n">
        <v>1619.6</v>
      </c>
      <c r="H792" s="13" t="n">
        <v>0.9933999999999999</v>
      </c>
      <c r="I792" s="13" t="n">
        <v>0.9987</v>
      </c>
    </row>
    <row r="793">
      <c r="A793" s="10" t="inlineStr">
        <is>
          <t>PJ-2021-E</t>
        </is>
      </c>
      <c r="B793" s="10" t="inlineStr">
        <is>
          <t>位置合わせ(MS指定)／月内均等</t>
        </is>
      </c>
      <c r="C793" s="10" t="inlineStr">
        <is>
          <t>2023-12</t>
        </is>
      </c>
      <c r="D793" s="10" t="n">
        <v>36</v>
      </c>
      <c r="E793" s="12" t="n">
        <v>3199.6</v>
      </c>
      <c r="F793" s="12" t="n">
        <v>620.9</v>
      </c>
      <c r="G793" s="12" t="n">
        <v>2578.7</v>
      </c>
      <c r="H793" s="13" t="n">
        <v>1</v>
      </c>
      <c r="I793" s="13" t="n">
        <v>1</v>
      </c>
    </row>
    <row r="794">
      <c r="A794" s="10" t="inlineStr">
        <is>
          <t>PJ-2021-E</t>
        </is>
      </c>
      <c r="B794" s="10" t="inlineStr">
        <is>
          <t>素朴版／単調補間</t>
        </is>
      </c>
      <c r="C794" s="10" t="inlineStr">
        <is>
          <t>2021-01</t>
        </is>
      </c>
      <c r="D794" s="10" t="n">
        <v>1</v>
      </c>
      <c r="E794" s="12" t="n">
        <v>5325.8</v>
      </c>
      <c r="F794" s="12" t="n">
        <v>2212.8</v>
      </c>
      <c r="G794" s="12" t="n">
        <v>3113</v>
      </c>
      <c r="H794" s="13" t="n">
        <v>0.011</v>
      </c>
      <c r="I794" s="13" t="n">
        <v>0.0046</v>
      </c>
    </row>
    <row r="795">
      <c r="A795" s="10" t="inlineStr">
        <is>
          <t>PJ-2021-E</t>
        </is>
      </c>
      <c r="B795" s="10" t="inlineStr">
        <is>
          <t>素朴版／単調補間</t>
        </is>
      </c>
      <c r="C795" s="10" t="inlineStr">
        <is>
          <t>2021-02</t>
        </is>
      </c>
      <c r="D795" s="10" t="n">
        <v>2</v>
      </c>
      <c r="E795" s="12" t="n">
        <v>5823</v>
      </c>
      <c r="F795" s="12" t="n">
        <v>3289.4</v>
      </c>
      <c r="G795" s="12" t="n">
        <v>2533.6</v>
      </c>
      <c r="H795" s="13" t="n">
        <v>0.0231</v>
      </c>
      <c r="I795" s="13" t="n">
        <v>0.0114</v>
      </c>
    </row>
    <row r="796">
      <c r="A796" s="10" t="inlineStr">
        <is>
          <t>PJ-2021-E</t>
        </is>
      </c>
      <c r="B796" s="10" t="inlineStr">
        <is>
          <t>素朴版／単調補間</t>
        </is>
      </c>
      <c r="C796" s="10" t="inlineStr">
        <is>
          <t>2021-03</t>
        </is>
      </c>
      <c r="D796" s="10" t="n">
        <v>3</v>
      </c>
      <c r="E796" s="12" t="n">
        <v>7347.4</v>
      </c>
      <c r="F796" s="12" t="n">
        <v>4610.7</v>
      </c>
      <c r="G796" s="12" t="n">
        <v>2736.7</v>
      </c>
      <c r="H796" s="13" t="n">
        <v>0.0384</v>
      </c>
      <c r="I796" s="13" t="n">
        <v>0.021</v>
      </c>
    </row>
    <row r="797">
      <c r="A797" s="10" t="inlineStr">
        <is>
          <t>PJ-2021-E</t>
        </is>
      </c>
      <c r="B797" s="10" t="inlineStr">
        <is>
          <t>素朴版／単調補間</t>
        </is>
      </c>
      <c r="C797" s="10" t="inlineStr">
        <is>
          <t>2021-04</t>
        </is>
      </c>
      <c r="D797" s="10" t="n">
        <v>4</v>
      </c>
      <c r="E797" s="12" t="n">
        <v>7816.3</v>
      </c>
      <c r="F797" s="12" t="n">
        <v>5392.8</v>
      </c>
      <c r="G797" s="12" t="n">
        <v>2423.5</v>
      </c>
      <c r="H797" s="13" t="n">
        <v>0.0546</v>
      </c>
      <c r="I797" s="13" t="n">
        <v>0.0322</v>
      </c>
    </row>
    <row r="798">
      <c r="A798" s="10" t="inlineStr">
        <is>
          <t>PJ-2021-E</t>
        </is>
      </c>
      <c r="B798" s="10" t="inlineStr">
        <is>
          <t>素朴版／単調補間</t>
        </is>
      </c>
      <c r="C798" s="10" t="inlineStr">
        <is>
          <t>2021-05</t>
        </is>
      </c>
      <c r="D798" s="10" t="n">
        <v>5</v>
      </c>
      <c r="E798" s="12" t="n">
        <v>8695.299999999999</v>
      </c>
      <c r="F798" s="12" t="n">
        <v>5875.1</v>
      </c>
      <c r="G798" s="12" t="n">
        <v>2820.2</v>
      </c>
      <c r="H798" s="13" t="n">
        <v>0.0726</v>
      </c>
      <c r="I798" s="13" t="n">
        <v>0.0443</v>
      </c>
    </row>
    <row r="799">
      <c r="A799" s="10" t="inlineStr">
        <is>
          <t>PJ-2021-E</t>
        </is>
      </c>
      <c r="B799" s="10" t="inlineStr">
        <is>
          <t>素朴版／単調補間</t>
        </is>
      </c>
      <c r="C799" s="10" t="inlineStr">
        <is>
          <t>2021-06</t>
        </is>
      </c>
      <c r="D799" s="10" t="n">
        <v>6</v>
      </c>
      <c r="E799" s="12" t="n">
        <v>9091.1</v>
      </c>
      <c r="F799" s="12" t="n">
        <v>6664.2</v>
      </c>
      <c r="G799" s="12" t="n">
        <v>2426.9</v>
      </c>
      <c r="H799" s="13" t="n">
        <v>0.0915</v>
      </c>
      <c r="I799" s="13" t="n">
        <v>0.0582</v>
      </c>
    </row>
    <row r="800">
      <c r="A800" s="10" t="inlineStr">
        <is>
          <t>PJ-2021-E</t>
        </is>
      </c>
      <c r="B800" s="10" t="inlineStr">
        <is>
          <t>素朴版／単調補間</t>
        </is>
      </c>
      <c r="C800" s="10" t="inlineStr">
        <is>
          <t>2021-07</t>
        </is>
      </c>
      <c r="D800" s="10" t="n">
        <v>7</v>
      </c>
      <c r="E800" s="12" t="n">
        <v>9443.5</v>
      </c>
      <c r="F800" s="12" t="n">
        <v>7114.2</v>
      </c>
      <c r="G800" s="12" t="n">
        <v>2329.3</v>
      </c>
      <c r="H800" s="13" t="n">
        <v>0.111</v>
      </c>
      <c r="I800" s="13" t="n">
        <v>0.07290000000000001</v>
      </c>
    </row>
    <row r="801">
      <c r="A801" s="10" t="inlineStr">
        <is>
          <t>PJ-2021-E</t>
        </is>
      </c>
      <c r="B801" s="10" t="inlineStr">
        <is>
          <t>素朴版／単調補間</t>
        </is>
      </c>
      <c r="C801" s="10" t="inlineStr">
        <is>
          <t>2021-08</t>
        </is>
      </c>
      <c r="D801" s="10" t="n">
        <v>8</v>
      </c>
      <c r="E801" s="12" t="n">
        <v>9940.799999999999</v>
      </c>
      <c r="F801" s="12" t="n">
        <v>7159.8</v>
      </c>
      <c r="G801" s="12" t="n">
        <v>2781</v>
      </c>
      <c r="H801" s="13" t="n">
        <v>0.1317</v>
      </c>
      <c r="I801" s="13" t="n">
        <v>0.0878</v>
      </c>
    </row>
    <row r="802">
      <c r="A802" s="10" t="inlineStr">
        <is>
          <t>PJ-2021-E</t>
        </is>
      </c>
      <c r="B802" s="10" t="inlineStr">
        <is>
          <t>素朴版／単調補間</t>
        </is>
      </c>
      <c r="C802" s="10" t="inlineStr">
        <is>
          <t>2021-09</t>
        </is>
      </c>
      <c r="D802" s="10" t="n">
        <v>9</v>
      </c>
      <c r="E802" s="12" t="n">
        <v>10404.5</v>
      </c>
      <c r="F802" s="12" t="n">
        <v>7725.3</v>
      </c>
      <c r="G802" s="12" t="n">
        <v>2679.2</v>
      </c>
      <c r="H802" s="13" t="n">
        <v>0.1532</v>
      </c>
      <c r="I802" s="13" t="n">
        <v>0.1038</v>
      </c>
    </row>
    <row r="803">
      <c r="A803" s="10" t="inlineStr">
        <is>
          <t>PJ-2021-E</t>
        </is>
      </c>
      <c r="B803" s="10" t="inlineStr">
        <is>
          <t>素朴版／単調補間</t>
        </is>
      </c>
      <c r="C803" s="10" t="inlineStr">
        <is>
          <t>2021-10</t>
        </is>
      </c>
      <c r="D803" s="10" t="n">
        <v>10</v>
      </c>
      <c r="E803" s="12" t="n">
        <v>11696.1</v>
      </c>
      <c r="F803" s="12" t="n">
        <v>11396.5</v>
      </c>
      <c r="G803" s="12" t="n">
        <v>299.6</v>
      </c>
      <c r="H803" s="13" t="n">
        <v>0.1775</v>
      </c>
      <c r="I803" s="13" t="n">
        <v>0.1274</v>
      </c>
    </row>
    <row r="804">
      <c r="A804" s="10" t="inlineStr">
        <is>
          <t>PJ-2021-E</t>
        </is>
      </c>
      <c r="B804" s="10" t="inlineStr">
        <is>
          <t>素朴版／単調補間</t>
        </is>
      </c>
      <c r="C804" s="10" t="inlineStr">
        <is>
          <t>2021-11</t>
        </is>
      </c>
      <c r="D804" s="10" t="n">
        <v>11</v>
      </c>
      <c r="E804" s="12" t="n">
        <v>11995.5</v>
      </c>
      <c r="F804" s="12" t="n">
        <v>22707.4</v>
      </c>
      <c r="G804" s="12" t="n">
        <v>-10711.9</v>
      </c>
      <c r="H804" s="13" t="n">
        <v>0.2024</v>
      </c>
      <c r="I804" s="13" t="n">
        <v>0.1745</v>
      </c>
    </row>
    <row r="805">
      <c r="A805" s="10" t="inlineStr">
        <is>
          <t>PJ-2021-E</t>
        </is>
      </c>
      <c r="B805" s="10" t="inlineStr">
        <is>
          <t>素朴版／単調補間</t>
        </is>
      </c>
      <c r="C805" s="10" t="inlineStr">
        <is>
          <t>2021-12</t>
        </is>
      </c>
      <c r="D805" s="10" t="n">
        <v>12</v>
      </c>
      <c r="E805" s="12" t="n">
        <v>13510.1</v>
      </c>
      <c r="F805" s="12" t="n">
        <v>24332.8</v>
      </c>
      <c r="G805" s="12" t="n">
        <v>-10822.7</v>
      </c>
      <c r="H805" s="13" t="n">
        <v>0.2304</v>
      </c>
      <c r="I805" s="13" t="n">
        <v>0.225</v>
      </c>
    </row>
    <row r="806">
      <c r="A806" s="10" t="inlineStr">
        <is>
          <t>PJ-2021-E</t>
        </is>
      </c>
      <c r="B806" s="10" t="inlineStr">
        <is>
          <t>素朴版／単調補間</t>
        </is>
      </c>
      <c r="C806" s="10" t="inlineStr">
        <is>
          <t>2022-01</t>
        </is>
      </c>
      <c r="D806" s="10" t="n">
        <v>13</v>
      </c>
      <c r="E806" s="12" t="n">
        <v>13987.5</v>
      </c>
      <c r="F806" s="12" t="n">
        <v>28940.1</v>
      </c>
      <c r="G806" s="12" t="n">
        <v>-14952.6</v>
      </c>
      <c r="H806" s="13" t="n">
        <v>0.2594</v>
      </c>
      <c r="I806" s="13" t="n">
        <v>0.285</v>
      </c>
    </row>
    <row r="807">
      <c r="A807" s="10" t="inlineStr">
        <is>
          <t>PJ-2021-E</t>
        </is>
      </c>
      <c r="B807" s="10" t="inlineStr">
        <is>
          <t>素朴版／単調補間</t>
        </is>
      </c>
      <c r="C807" s="10" t="inlineStr">
        <is>
          <t>2022-02</t>
        </is>
      </c>
      <c r="D807" s="10" t="n">
        <v>14</v>
      </c>
      <c r="E807" s="12" t="n">
        <v>13368.7</v>
      </c>
      <c r="F807" s="12" t="n">
        <v>28533.6</v>
      </c>
      <c r="G807" s="12" t="n">
        <v>-15164.9</v>
      </c>
      <c r="H807" s="13" t="n">
        <v>0.2871</v>
      </c>
      <c r="I807" s="13" t="n">
        <v>0.3442</v>
      </c>
    </row>
    <row r="808">
      <c r="A808" s="10" t="inlineStr">
        <is>
          <t>PJ-2021-E</t>
        </is>
      </c>
      <c r="B808" s="10" t="inlineStr">
        <is>
          <t>素朴版／単調補間</t>
        </is>
      </c>
      <c r="C808" s="10" t="inlineStr">
        <is>
          <t>2022-03</t>
        </is>
      </c>
      <c r="D808" s="10" t="n">
        <v>15</v>
      </c>
      <c r="E808" s="12" t="n">
        <v>15817</v>
      </c>
      <c r="F808" s="12" t="n">
        <v>39513.1</v>
      </c>
      <c r="G808" s="12" t="n">
        <v>-23696.1</v>
      </c>
      <c r="H808" s="13" t="n">
        <v>0.3199</v>
      </c>
      <c r="I808" s="13" t="n">
        <v>0.4261</v>
      </c>
    </row>
    <row r="809">
      <c r="A809" s="10" t="inlineStr">
        <is>
          <t>PJ-2021-E</t>
        </is>
      </c>
      <c r="B809" s="10" t="inlineStr">
        <is>
          <t>素朴版／単調補間</t>
        </is>
      </c>
      <c r="C809" s="10" t="inlineStr">
        <is>
          <t>2022-04</t>
        </is>
      </c>
      <c r="D809" s="10" t="n">
        <v>16</v>
      </c>
      <c r="E809" s="12" t="n">
        <v>15531.9</v>
      </c>
      <c r="F809" s="12" t="n">
        <v>20968.4</v>
      </c>
      <c r="G809" s="12" t="n">
        <v>-5436.5</v>
      </c>
      <c r="H809" s="13" t="n">
        <v>0.3522</v>
      </c>
      <c r="I809" s="13" t="n">
        <v>0.4696</v>
      </c>
    </row>
    <row r="810">
      <c r="A810" s="10" t="inlineStr">
        <is>
          <t>PJ-2021-E</t>
        </is>
      </c>
      <c r="B810" s="10" t="inlineStr">
        <is>
          <t>素朴版／単調補間</t>
        </is>
      </c>
      <c r="C810" s="10" t="inlineStr">
        <is>
          <t>2022-05</t>
        </is>
      </c>
      <c r="D810" s="10" t="n">
        <v>17</v>
      </c>
      <c r="E810" s="12" t="n">
        <v>15915.3</v>
      </c>
      <c r="F810" s="12" t="n">
        <v>18133.4</v>
      </c>
      <c r="G810" s="12" t="n">
        <v>-2218.1</v>
      </c>
      <c r="H810" s="13" t="n">
        <v>0.3852</v>
      </c>
      <c r="I810" s="13" t="n">
        <v>0.5072</v>
      </c>
    </row>
    <row r="811">
      <c r="A811" s="10" t="inlineStr">
        <is>
          <t>PJ-2021-E</t>
        </is>
      </c>
      <c r="B811" s="10" t="inlineStr">
        <is>
          <t>素朴版／単調補間</t>
        </is>
      </c>
      <c r="C811" s="10" t="inlineStr">
        <is>
          <t>2022-06</t>
        </is>
      </c>
      <c r="D811" s="10" t="n">
        <v>18</v>
      </c>
      <c r="E811" s="12" t="n">
        <v>15373.6</v>
      </c>
      <c r="F811" s="12" t="n">
        <v>15271.7</v>
      </c>
      <c r="G811" s="12" t="n">
        <v>101.9</v>
      </c>
      <c r="H811" s="13" t="n">
        <v>0.4171</v>
      </c>
      <c r="I811" s="13" t="n">
        <v>0.5389</v>
      </c>
    </row>
    <row r="812">
      <c r="A812" s="10" t="inlineStr">
        <is>
          <t>PJ-2021-E</t>
        </is>
      </c>
      <c r="B812" s="10" t="inlineStr">
        <is>
          <t>素朴版／単調補間</t>
        </is>
      </c>
      <c r="C812" s="10" t="inlineStr">
        <is>
          <t>2022-07</t>
        </is>
      </c>
      <c r="D812" s="10" t="n">
        <v>19</v>
      </c>
      <c r="E812" s="12" t="n">
        <v>18264</v>
      </c>
      <c r="F812" s="12" t="n">
        <v>16417.5</v>
      </c>
      <c r="G812" s="12" t="n">
        <v>1846.5</v>
      </c>
      <c r="H812" s="13" t="n">
        <v>0.4549</v>
      </c>
      <c r="I812" s="13" t="n">
        <v>0.573</v>
      </c>
    </row>
    <row r="813">
      <c r="A813" s="10" t="inlineStr">
        <is>
          <t>PJ-2021-E</t>
        </is>
      </c>
      <c r="B813" s="10" t="inlineStr">
        <is>
          <t>素朴版／単調補間</t>
        </is>
      </c>
      <c r="C813" s="10" t="inlineStr">
        <is>
          <t>2022-08</t>
        </is>
      </c>
      <c r="D813" s="10" t="n">
        <v>20</v>
      </c>
      <c r="E813" s="12" t="n">
        <v>19187.8</v>
      </c>
      <c r="F813" s="12" t="n">
        <v>14656</v>
      </c>
      <c r="G813" s="12" t="n">
        <v>4531.8</v>
      </c>
      <c r="H813" s="13" t="n">
        <v>0.4947</v>
      </c>
      <c r="I813" s="13" t="n">
        <v>0.6034</v>
      </c>
    </row>
    <row r="814">
      <c r="A814" s="10" t="inlineStr">
        <is>
          <t>PJ-2021-E</t>
        </is>
      </c>
      <c r="B814" s="10" t="inlineStr">
        <is>
          <t>素朴版／単調補間</t>
        </is>
      </c>
      <c r="C814" s="10" t="inlineStr">
        <is>
          <t>2022-09</t>
        </is>
      </c>
      <c r="D814" s="10" t="n">
        <v>21</v>
      </c>
      <c r="E814" s="12" t="n">
        <v>18921.7</v>
      </c>
      <c r="F814" s="12" t="n">
        <v>13886.2</v>
      </c>
      <c r="G814" s="12" t="n">
        <v>5035.5</v>
      </c>
      <c r="H814" s="13" t="n">
        <v>0.534</v>
      </c>
      <c r="I814" s="13" t="n">
        <v>0.6322</v>
      </c>
    </row>
    <row r="815">
      <c r="A815" s="10" t="inlineStr">
        <is>
          <t>PJ-2021-E</t>
        </is>
      </c>
      <c r="B815" s="10" t="inlineStr">
        <is>
          <t>素朴版／単調補間</t>
        </is>
      </c>
      <c r="C815" s="10" t="inlineStr">
        <is>
          <t>2022-10</t>
        </is>
      </c>
      <c r="D815" s="10" t="n">
        <v>22</v>
      </c>
      <c r="E815" s="12" t="n">
        <v>20846.9</v>
      </c>
      <c r="F815" s="12" t="n">
        <v>13614.7</v>
      </c>
      <c r="G815" s="12" t="n">
        <v>7232.2</v>
      </c>
      <c r="H815" s="13" t="n">
        <v>0.5772</v>
      </c>
      <c r="I815" s="13" t="n">
        <v>0.6604</v>
      </c>
    </row>
    <row r="816">
      <c r="A816" s="10" t="inlineStr">
        <is>
          <t>PJ-2021-E</t>
        </is>
      </c>
      <c r="B816" s="10" t="inlineStr">
        <is>
          <t>素朴版／単調補間</t>
        </is>
      </c>
      <c r="C816" s="10" t="inlineStr">
        <is>
          <t>2022-11</t>
        </is>
      </c>
      <c r="D816" s="10" t="n">
        <v>23</v>
      </c>
      <c r="E816" s="12" t="n">
        <v>21445.1</v>
      </c>
      <c r="F816" s="12" t="n">
        <v>14580.3</v>
      </c>
      <c r="G816" s="12" t="n">
        <v>6864.8</v>
      </c>
      <c r="H816" s="13" t="n">
        <v>0.6217</v>
      </c>
      <c r="I816" s="13" t="n">
        <v>0.6906</v>
      </c>
    </row>
    <row r="817">
      <c r="A817" s="10" t="inlineStr">
        <is>
          <t>PJ-2021-E</t>
        </is>
      </c>
      <c r="B817" s="10" t="inlineStr">
        <is>
          <t>素朴版／単調補間</t>
        </is>
      </c>
      <c r="C817" s="10" t="inlineStr">
        <is>
          <t>2022-12</t>
        </is>
      </c>
      <c r="D817" s="10" t="n">
        <v>24</v>
      </c>
      <c r="E817" s="12" t="n">
        <v>20785.3</v>
      </c>
      <c r="F817" s="12" t="n">
        <v>15865.3</v>
      </c>
      <c r="G817" s="12" t="n">
        <v>4920</v>
      </c>
      <c r="H817" s="13" t="n">
        <v>0.6647999999999999</v>
      </c>
      <c r="I817" s="13" t="n">
        <v>0.7236</v>
      </c>
    </row>
    <row r="818">
      <c r="A818" s="10" t="inlineStr">
        <is>
          <t>PJ-2021-E</t>
        </is>
      </c>
      <c r="B818" s="10" t="inlineStr">
        <is>
          <t>素朴版／単調補間</t>
        </is>
      </c>
      <c r="C818" s="10" t="inlineStr">
        <is>
          <t>2023-01</t>
        </is>
      </c>
      <c r="D818" s="10" t="n">
        <v>25</v>
      </c>
      <c r="E818" s="12" t="n">
        <v>19081.1</v>
      </c>
      <c r="F818" s="12" t="n">
        <v>18226.2</v>
      </c>
      <c r="G818" s="12" t="n">
        <v>854.9</v>
      </c>
      <c r="H818" s="13" t="n">
        <v>0.7044</v>
      </c>
      <c r="I818" s="13" t="n">
        <v>0.7614</v>
      </c>
    </row>
    <row r="819">
      <c r="A819" s="10" t="inlineStr">
        <is>
          <t>PJ-2021-E</t>
        </is>
      </c>
      <c r="B819" s="10" t="inlineStr">
        <is>
          <t>素朴版／単調補間</t>
        </is>
      </c>
      <c r="C819" s="10" t="inlineStr">
        <is>
          <t>2023-02</t>
        </is>
      </c>
      <c r="D819" s="10" t="n">
        <v>26</v>
      </c>
      <c r="E819" s="12" t="n">
        <v>15983.2</v>
      </c>
      <c r="F819" s="12" t="n">
        <v>17827.1</v>
      </c>
      <c r="G819" s="12" t="n">
        <v>-1843.9</v>
      </c>
      <c r="H819" s="13" t="n">
        <v>0.7375</v>
      </c>
      <c r="I819" s="13" t="n">
        <v>0.7983</v>
      </c>
    </row>
    <row r="820">
      <c r="A820" s="10" t="inlineStr">
        <is>
          <t>PJ-2021-E</t>
        </is>
      </c>
      <c r="B820" s="10" t="inlineStr">
        <is>
          <t>素朴版／単調補間</t>
        </is>
      </c>
      <c r="C820" s="10" t="inlineStr">
        <is>
          <t>2023-03</t>
        </is>
      </c>
      <c r="D820" s="10" t="n">
        <v>27</v>
      </c>
      <c r="E820" s="12" t="n">
        <v>16816.5</v>
      </c>
      <c r="F820" s="12" t="n">
        <v>22013.8</v>
      </c>
      <c r="G820" s="12" t="n">
        <v>-5197.3</v>
      </c>
      <c r="H820" s="13" t="n">
        <v>0.7724</v>
      </c>
      <c r="I820" s="13" t="n">
        <v>0.844</v>
      </c>
    </row>
    <row r="821">
      <c r="A821" s="10" t="inlineStr">
        <is>
          <t>PJ-2021-E</t>
        </is>
      </c>
      <c r="B821" s="10" t="inlineStr">
        <is>
          <t>素朴版／単調補間</t>
        </is>
      </c>
      <c r="C821" s="10" t="inlineStr">
        <is>
          <t>2023-04</t>
        </is>
      </c>
      <c r="D821" s="10" t="n">
        <v>28</v>
      </c>
      <c r="E821" s="12" t="n">
        <v>16819.9</v>
      </c>
      <c r="F821" s="12" t="n">
        <v>17769.7</v>
      </c>
      <c r="G821" s="12" t="n">
        <v>-949.8</v>
      </c>
      <c r="H821" s="13" t="n">
        <v>0.8073</v>
      </c>
      <c r="I821" s="13" t="n">
        <v>0.8808</v>
      </c>
    </row>
    <row r="822">
      <c r="A822" s="10" t="inlineStr">
        <is>
          <t>PJ-2021-E</t>
        </is>
      </c>
      <c r="B822" s="10" t="inlineStr">
        <is>
          <t>素朴版／単調補間</t>
        </is>
      </c>
      <c r="C822" s="10" t="inlineStr">
        <is>
          <t>2023-05</t>
        </is>
      </c>
      <c r="D822" s="10" t="n">
        <v>29</v>
      </c>
      <c r="E822" s="12" t="n">
        <v>18089.7</v>
      </c>
      <c r="F822" s="12" t="n">
        <v>15747.8</v>
      </c>
      <c r="G822" s="12" t="n">
        <v>2341.9</v>
      </c>
      <c r="H822" s="13" t="n">
        <v>0.8448</v>
      </c>
      <c r="I822" s="13" t="n">
        <v>0.9135</v>
      </c>
    </row>
    <row r="823">
      <c r="A823" s="10" t="inlineStr">
        <is>
          <t>PJ-2021-E</t>
        </is>
      </c>
      <c r="B823" s="10" t="inlineStr">
        <is>
          <t>素朴版／単調補間</t>
        </is>
      </c>
      <c r="C823" s="10" t="inlineStr">
        <is>
          <t>2023-06</t>
        </is>
      </c>
      <c r="D823" s="10" t="n">
        <v>30</v>
      </c>
      <c r="E823" s="12" t="n">
        <v>17020.9</v>
      </c>
      <c r="F823" s="12" t="n">
        <v>11049.5</v>
      </c>
      <c r="G823" s="12" t="n">
        <v>5971.4</v>
      </c>
      <c r="H823" s="13" t="n">
        <v>0.8801</v>
      </c>
      <c r="I823" s="13" t="n">
        <v>0.9364</v>
      </c>
    </row>
    <row r="824">
      <c r="A824" s="10" t="inlineStr">
        <is>
          <t>PJ-2021-E</t>
        </is>
      </c>
      <c r="B824" s="10" t="inlineStr">
        <is>
          <t>素朴版／単調補間</t>
        </is>
      </c>
      <c r="C824" s="10" t="inlineStr">
        <is>
          <t>2023-07</t>
        </is>
      </c>
      <c r="D824" s="10" t="n">
        <v>31</v>
      </c>
      <c r="E824" s="12" t="n">
        <v>14739</v>
      </c>
      <c r="F824" s="12" t="n">
        <v>10147.8</v>
      </c>
      <c r="G824" s="12" t="n">
        <v>4591.2</v>
      </c>
      <c r="H824" s="13" t="n">
        <v>0.9107</v>
      </c>
      <c r="I824" s="13" t="n">
        <v>0.9575</v>
      </c>
    </row>
    <row r="825">
      <c r="A825" s="10" t="inlineStr">
        <is>
          <t>PJ-2021-E</t>
        </is>
      </c>
      <c r="B825" s="10" t="inlineStr">
        <is>
          <t>素朴版／単調補間</t>
        </is>
      </c>
      <c r="C825" s="10" t="inlineStr">
        <is>
          <t>2023-08</t>
        </is>
      </c>
      <c r="D825" s="10" t="n">
        <v>32</v>
      </c>
      <c r="E825" s="12" t="n">
        <v>12232.3</v>
      </c>
      <c r="F825" s="12" t="n">
        <v>8637.799999999999</v>
      </c>
      <c r="G825" s="12" t="n">
        <v>3594.5</v>
      </c>
      <c r="H825" s="13" t="n">
        <v>0.9360000000000001</v>
      </c>
      <c r="I825" s="13" t="n">
        <v>0.9754</v>
      </c>
    </row>
    <row r="826">
      <c r="A826" s="10" t="inlineStr">
        <is>
          <t>PJ-2021-E</t>
        </is>
      </c>
      <c r="B826" s="10" t="inlineStr">
        <is>
          <t>素朴版／単調補間</t>
        </is>
      </c>
      <c r="C826" s="10" t="inlineStr">
        <is>
          <t>2023-09</t>
        </is>
      </c>
      <c r="D826" s="10" t="n">
        <v>33</v>
      </c>
      <c r="E826" s="12" t="n">
        <v>10423.6</v>
      </c>
      <c r="F826" s="12" t="n">
        <v>5590.1</v>
      </c>
      <c r="G826" s="12" t="n">
        <v>4833.5</v>
      </c>
      <c r="H826" s="13" t="n">
        <v>0.9577</v>
      </c>
      <c r="I826" s="13" t="n">
        <v>0.987</v>
      </c>
    </row>
    <row r="827">
      <c r="A827" s="10" t="inlineStr">
        <is>
          <t>PJ-2021-E</t>
        </is>
      </c>
      <c r="B827" s="10" t="inlineStr">
        <is>
          <t>素朴版／単調補間</t>
        </is>
      </c>
      <c r="C827" s="10" t="inlineStr">
        <is>
          <t>2023-10</t>
        </is>
      </c>
      <c r="D827" s="10" t="n">
        <v>34</v>
      </c>
      <c r="E827" s="12" t="n">
        <v>9294.9</v>
      </c>
      <c r="F827" s="12" t="n">
        <v>3746.3</v>
      </c>
      <c r="G827" s="12" t="n">
        <v>5548.6</v>
      </c>
      <c r="H827" s="13" t="n">
        <v>0.9769</v>
      </c>
      <c r="I827" s="13" t="n">
        <v>0.9947</v>
      </c>
    </row>
    <row r="828">
      <c r="A828" s="10" t="inlineStr">
        <is>
          <t>PJ-2021-E</t>
        </is>
      </c>
      <c r="B828" s="10" t="inlineStr">
        <is>
          <t>素朴版／単調補間</t>
        </is>
      </c>
      <c r="C828" s="10" t="inlineStr">
        <is>
          <t>2023-11</t>
        </is>
      </c>
      <c r="D828" s="10" t="n">
        <v>35</v>
      </c>
      <c r="E828" s="12" t="n">
        <v>6893.5</v>
      </c>
      <c r="F828" s="12" t="n">
        <v>1912.1</v>
      </c>
      <c r="G828" s="12" t="n">
        <v>4981.4</v>
      </c>
      <c r="H828" s="13" t="n">
        <v>0.9912</v>
      </c>
      <c r="I828" s="13" t="n">
        <v>0.9987</v>
      </c>
    </row>
    <row r="829">
      <c r="A829" s="10" t="inlineStr">
        <is>
          <t>PJ-2021-E</t>
        </is>
      </c>
      <c r="B829" s="10" t="inlineStr">
        <is>
          <t>素朴版／単調補間</t>
        </is>
      </c>
      <c r="C829" s="10" t="inlineStr">
        <is>
          <t>2023-12</t>
        </is>
      </c>
      <c r="D829" s="10" t="n">
        <v>36</v>
      </c>
      <c r="E829" s="12" t="n">
        <v>4221.5</v>
      </c>
      <c r="F829" s="12" t="n">
        <v>620.9</v>
      </c>
      <c r="G829" s="12" t="n">
        <v>3600.6</v>
      </c>
      <c r="H829" s="13" t="n">
        <v>1</v>
      </c>
      <c r="I829" s="13" t="n">
        <v>1</v>
      </c>
    </row>
    <row r="830">
      <c r="A830" s="10" t="inlineStr">
        <is>
          <t>PJ-2021-E</t>
        </is>
      </c>
      <c r="B830" s="10" t="inlineStr">
        <is>
          <t>位置合わせ(MS学習値)／単調補間</t>
        </is>
      </c>
      <c r="C830" s="10" t="inlineStr">
        <is>
          <t>2021-01</t>
        </is>
      </c>
      <c r="D830" s="10" t="n">
        <v>1</v>
      </c>
      <c r="E830" s="12" t="n">
        <v>5265.1</v>
      </c>
      <c r="F830" s="12" t="n">
        <v>2212.8</v>
      </c>
      <c r="G830" s="12" t="n">
        <v>3052.3</v>
      </c>
      <c r="H830" s="13" t="n">
        <v>0.0109</v>
      </c>
      <c r="I830" s="13" t="n">
        <v>0.0046</v>
      </c>
    </row>
    <row r="831">
      <c r="A831" s="10" t="inlineStr">
        <is>
          <t>PJ-2021-E</t>
        </is>
      </c>
      <c r="B831" s="10" t="inlineStr">
        <is>
          <t>位置合わせ(MS学習値)／単調補間</t>
        </is>
      </c>
      <c r="C831" s="10" t="inlineStr">
        <is>
          <t>2021-02</t>
        </is>
      </c>
      <c r="D831" s="10" t="n">
        <v>2</v>
      </c>
      <c r="E831" s="12" t="n">
        <v>5677.5</v>
      </c>
      <c r="F831" s="12" t="n">
        <v>3289.4</v>
      </c>
      <c r="G831" s="12" t="n">
        <v>2388.1</v>
      </c>
      <c r="H831" s="13" t="n">
        <v>0.0227</v>
      </c>
      <c r="I831" s="13" t="n">
        <v>0.0114</v>
      </c>
    </row>
    <row r="832">
      <c r="A832" s="10" t="inlineStr">
        <is>
          <t>PJ-2021-E</t>
        </is>
      </c>
      <c r="B832" s="10" t="inlineStr">
        <is>
          <t>位置合わせ(MS学習値)／単調補間</t>
        </is>
      </c>
      <c r="C832" s="10" t="inlineStr">
        <is>
          <t>2021-03</t>
        </is>
      </c>
      <c r="D832" s="10" t="n">
        <v>3</v>
      </c>
      <c r="E832" s="12" t="n">
        <v>7190.2</v>
      </c>
      <c r="F832" s="12" t="n">
        <v>4610.7</v>
      </c>
      <c r="G832" s="12" t="n">
        <v>2579.5</v>
      </c>
      <c r="H832" s="13" t="n">
        <v>0.0376</v>
      </c>
      <c r="I832" s="13" t="n">
        <v>0.021</v>
      </c>
    </row>
    <row r="833">
      <c r="A833" s="10" t="inlineStr">
        <is>
          <t>PJ-2021-E</t>
        </is>
      </c>
      <c r="B833" s="10" t="inlineStr">
        <is>
          <t>位置合わせ(MS学習値)／単調補間</t>
        </is>
      </c>
      <c r="C833" s="10" t="inlineStr">
        <is>
          <t>2021-04</t>
        </is>
      </c>
      <c r="D833" s="10" t="n">
        <v>4</v>
      </c>
      <c r="E833" s="12" t="n">
        <v>7710.6</v>
      </c>
      <c r="F833" s="12" t="n">
        <v>5392.8</v>
      </c>
      <c r="G833" s="12" t="n">
        <v>2317.8</v>
      </c>
      <c r="H833" s="13" t="n">
        <v>0.0536</v>
      </c>
      <c r="I833" s="13" t="n">
        <v>0.0322</v>
      </c>
    </row>
    <row r="834">
      <c r="A834" s="10" t="inlineStr">
        <is>
          <t>PJ-2021-E</t>
        </is>
      </c>
      <c r="B834" s="10" t="inlineStr">
        <is>
          <t>位置合わせ(MS学習値)／単調補間</t>
        </is>
      </c>
      <c r="C834" s="10" t="inlineStr">
        <is>
          <t>2021-05</t>
        </is>
      </c>
      <c r="D834" s="10" t="n">
        <v>5</v>
      </c>
      <c r="E834" s="12" t="n">
        <v>8400.299999999999</v>
      </c>
      <c r="F834" s="12" t="n">
        <v>5875.1</v>
      </c>
      <c r="G834" s="12" t="n">
        <v>2525.2</v>
      </c>
      <c r="H834" s="13" t="n">
        <v>0.07099999999999999</v>
      </c>
      <c r="I834" s="13" t="n">
        <v>0.0443</v>
      </c>
    </row>
    <row r="835">
      <c r="A835" s="10" t="inlineStr">
        <is>
          <t>PJ-2021-E</t>
        </is>
      </c>
      <c r="B835" s="10" t="inlineStr">
        <is>
          <t>位置合わせ(MS学習値)／単調補間</t>
        </is>
      </c>
      <c r="C835" s="10" t="inlineStr">
        <is>
          <t>2021-06</t>
        </is>
      </c>
      <c r="D835" s="10" t="n">
        <v>6</v>
      </c>
      <c r="E835" s="12" t="n">
        <v>8986.799999999999</v>
      </c>
      <c r="F835" s="12" t="n">
        <v>6664.2</v>
      </c>
      <c r="G835" s="12" t="n">
        <v>2322.6</v>
      </c>
      <c r="H835" s="13" t="n">
        <v>0.0897</v>
      </c>
      <c r="I835" s="13" t="n">
        <v>0.0582</v>
      </c>
    </row>
    <row r="836">
      <c r="A836" s="10" t="inlineStr">
        <is>
          <t>PJ-2021-E</t>
        </is>
      </c>
      <c r="B836" s="10" t="inlineStr">
        <is>
          <t>位置合わせ(MS学習値)／単調補間</t>
        </is>
      </c>
      <c r="C836" s="10" t="inlineStr">
        <is>
          <t>2021-07</t>
        </is>
      </c>
      <c r="D836" s="10" t="n">
        <v>7</v>
      </c>
      <c r="E836" s="12" t="n">
        <v>9136.6</v>
      </c>
      <c r="F836" s="12" t="n">
        <v>7114.2</v>
      </c>
      <c r="G836" s="12" t="n">
        <v>2022.4</v>
      </c>
      <c r="H836" s="13" t="n">
        <v>0.1086</v>
      </c>
      <c r="I836" s="13" t="n">
        <v>0.07290000000000001</v>
      </c>
    </row>
    <row r="837">
      <c r="A837" s="10" t="inlineStr">
        <is>
          <t>PJ-2021-E</t>
        </is>
      </c>
      <c r="B837" s="10" t="inlineStr">
        <is>
          <t>位置合わせ(MS学習値)／単調補間</t>
        </is>
      </c>
      <c r="C837" s="10" t="inlineStr">
        <is>
          <t>2021-08</t>
        </is>
      </c>
      <c r="D837" s="10" t="n">
        <v>8</v>
      </c>
      <c r="E837" s="12" t="n">
        <v>9733.700000000001</v>
      </c>
      <c r="F837" s="12" t="n">
        <v>7159.8</v>
      </c>
      <c r="G837" s="12" t="n">
        <v>2573.9</v>
      </c>
      <c r="H837" s="13" t="n">
        <v>0.1288</v>
      </c>
      <c r="I837" s="13" t="n">
        <v>0.0878</v>
      </c>
    </row>
    <row r="838">
      <c r="A838" s="10" t="inlineStr">
        <is>
          <t>PJ-2021-E</t>
        </is>
      </c>
      <c r="B838" s="10" t="inlineStr">
        <is>
          <t>位置合わせ(MS学習値)／単調補間</t>
        </is>
      </c>
      <c r="C838" s="10" t="inlineStr">
        <is>
          <t>2021-09</t>
        </is>
      </c>
      <c r="D838" s="10" t="n">
        <v>9</v>
      </c>
      <c r="E838" s="12" t="n">
        <v>10110.7</v>
      </c>
      <c r="F838" s="12" t="n">
        <v>7725.3</v>
      </c>
      <c r="G838" s="12" t="n">
        <v>2385.4</v>
      </c>
      <c r="H838" s="13" t="n">
        <v>0.1498</v>
      </c>
      <c r="I838" s="13" t="n">
        <v>0.1038</v>
      </c>
    </row>
    <row r="839">
      <c r="A839" s="10" t="inlineStr">
        <is>
          <t>PJ-2021-E</t>
        </is>
      </c>
      <c r="B839" s="10" t="inlineStr">
        <is>
          <t>位置合わせ(MS学習値)／単調補間</t>
        </is>
      </c>
      <c r="C839" s="10" t="inlineStr">
        <is>
          <t>2021-10</t>
        </is>
      </c>
      <c r="D839" s="10" t="n">
        <v>10</v>
      </c>
      <c r="E839" s="12" t="n">
        <v>11361</v>
      </c>
      <c r="F839" s="12" t="n">
        <v>11396.5</v>
      </c>
      <c r="G839" s="12" t="n">
        <v>-35.5</v>
      </c>
      <c r="H839" s="13" t="n">
        <v>0.1733</v>
      </c>
      <c r="I839" s="13" t="n">
        <v>0.1274</v>
      </c>
    </row>
    <row r="840">
      <c r="A840" s="10" t="inlineStr">
        <is>
          <t>PJ-2021-E</t>
        </is>
      </c>
      <c r="B840" s="10" t="inlineStr">
        <is>
          <t>位置合わせ(MS学習値)／単調補間</t>
        </is>
      </c>
      <c r="C840" s="10" t="inlineStr">
        <is>
          <t>2021-11</t>
        </is>
      </c>
      <c r="D840" s="10" t="n">
        <v>11</v>
      </c>
      <c r="E840" s="12" t="n">
        <v>11594.1</v>
      </c>
      <c r="F840" s="12" t="n">
        <v>22707.4</v>
      </c>
      <c r="G840" s="12" t="n">
        <v>-11113.3</v>
      </c>
      <c r="H840" s="13" t="n">
        <v>0.1974</v>
      </c>
      <c r="I840" s="13" t="n">
        <v>0.1745</v>
      </c>
    </row>
    <row r="841">
      <c r="A841" s="10" t="inlineStr">
        <is>
          <t>PJ-2021-E</t>
        </is>
      </c>
      <c r="B841" s="10" t="inlineStr">
        <is>
          <t>位置合わせ(MS学習値)／単調補間</t>
        </is>
      </c>
      <c r="C841" s="10" t="inlineStr">
        <is>
          <t>2021-12</t>
        </is>
      </c>
      <c r="D841" s="10" t="n">
        <v>12</v>
      </c>
      <c r="E841" s="12" t="n">
        <v>13281.2</v>
      </c>
      <c r="F841" s="12" t="n">
        <v>24332.8</v>
      </c>
      <c r="G841" s="12" t="n">
        <v>-11051.6</v>
      </c>
      <c r="H841" s="13" t="n">
        <v>0.2249</v>
      </c>
      <c r="I841" s="13" t="n">
        <v>0.225</v>
      </c>
    </row>
    <row r="842">
      <c r="A842" s="10" t="inlineStr">
        <is>
          <t>PJ-2021-E</t>
        </is>
      </c>
      <c r="B842" s="10" t="inlineStr">
        <is>
          <t>位置合わせ(MS学習値)／単調補間</t>
        </is>
      </c>
      <c r="C842" s="10" t="inlineStr">
        <is>
          <t>2022-01</t>
        </is>
      </c>
      <c r="D842" s="10" t="n">
        <v>13</v>
      </c>
      <c r="E842" s="12" t="n">
        <v>13784</v>
      </c>
      <c r="F842" s="12" t="n">
        <v>28940.1</v>
      </c>
      <c r="G842" s="12" t="n">
        <v>-15156.1</v>
      </c>
      <c r="H842" s="13" t="n">
        <v>0.2535</v>
      </c>
      <c r="I842" s="13" t="n">
        <v>0.285</v>
      </c>
    </row>
    <row r="843">
      <c r="A843" s="10" t="inlineStr">
        <is>
          <t>PJ-2021-E</t>
        </is>
      </c>
      <c r="B843" s="10" t="inlineStr">
        <is>
          <t>位置合わせ(MS学習値)／単調補間</t>
        </is>
      </c>
      <c r="C843" s="10" t="inlineStr">
        <is>
          <t>2022-02</t>
        </is>
      </c>
      <c r="D843" s="10" t="n">
        <v>14</v>
      </c>
      <c r="E843" s="12" t="n">
        <v>12937.3</v>
      </c>
      <c r="F843" s="12" t="n">
        <v>28533.6</v>
      </c>
      <c r="G843" s="12" t="n">
        <v>-15596.3</v>
      </c>
      <c r="H843" s="13" t="n">
        <v>0.2803</v>
      </c>
      <c r="I843" s="13" t="n">
        <v>0.3442</v>
      </c>
    </row>
    <row r="844">
      <c r="A844" s="10" t="inlineStr">
        <is>
          <t>PJ-2021-E</t>
        </is>
      </c>
      <c r="B844" s="10" t="inlineStr">
        <is>
          <t>位置合わせ(MS学習値)／単調補間</t>
        </is>
      </c>
      <c r="C844" s="10" t="inlineStr">
        <is>
          <t>2022-03</t>
        </is>
      </c>
      <c r="D844" s="10" t="n">
        <v>15</v>
      </c>
      <c r="E844" s="12" t="n">
        <v>15158.4</v>
      </c>
      <c r="F844" s="12" t="n">
        <v>39513.1</v>
      </c>
      <c r="G844" s="12" t="n">
        <v>-24354.7</v>
      </c>
      <c r="H844" s="13" t="n">
        <v>0.3118</v>
      </c>
      <c r="I844" s="13" t="n">
        <v>0.4261</v>
      </c>
    </row>
    <row r="845">
      <c r="A845" s="10" t="inlineStr">
        <is>
          <t>PJ-2021-E</t>
        </is>
      </c>
      <c r="B845" s="10" t="inlineStr">
        <is>
          <t>位置合わせ(MS学習値)／単調補間</t>
        </is>
      </c>
      <c r="C845" s="10" t="inlineStr">
        <is>
          <t>2022-04</t>
        </is>
      </c>
      <c r="D845" s="10" t="n">
        <v>16</v>
      </c>
      <c r="E845" s="12" t="n">
        <v>15036</v>
      </c>
      <c r="F845" s="12" t="n">
        <v>20968.4</v>
      </c>
      <c r="G845" s="12" t="n">
        <v>-5932.4</v>
      </c>
      <c r="H845" s="13" t="n">
        <v>0.343</v>
      </c>
      <c r="I845" s="13" t="n">
        <v>0.4696</v>
      </c>
    </row>
    <row r="846">
      <c r="A846" s="10" t="inlineStr">
        <is>
          <t>PJ-2021-E</t>
        </is>
      </c>
      <c r="B846" s="10" t="inlineStr">
        <is>
          <t>位置合わせ(MS学習値)／単調補間</t>
        </is>
      </c>
      <c r="C846" s="10" t="inlineStr">
        <is>
          <t>2022-05</t>
        </is>
      </c>
      <c r="D846" s="10" t="n">
        <v>17</v>
      </c>
      <c r="E846" s="12" t="n">
        <v>16322.5</v>
      </c>
      <c r="F846" s="12" t="n">
        <v>18133.4</v>
      </c>
      <c r="G846" s="12" t="n">
        <v>-1810.9</v>
      </c>
      <c r="H846" s="13" t="n">
        <v>0.3768</v>
      </c>
      <c r="I846" s="13" t="n">
        <v>0.5072</v>
      </c>
    </row>
    <row r="847">
      <c r="A847" s="10" t="inlineStr">
        <is>
          <t>PJ-2021-E</t>
        </is>
      </c>
      <c r="B847" s="10" t="inlineStr">
        <is>
          <t>位置合わせ(MS学習値)／単調補間</t>
        </is>
      </c>
      <c r="C847" s="10" t="inlineStr">
        <is>
          <t>2022-06</t>
        </is>
      </c>
      <c r="D847" s="10" t="n">
        <v>18</v>
      </c>
      <c r="E847" s="12" t="n">
        <v>17371.6</v>
      </c>
      <c r="F847" s="12" t="n">
        <v>15271.7</v>
      </c>
      <c r="G847" s="12" t="n">
        <v>2099.9</v>
      </c>
      <c r="H847" s="13" t="n">
        <v>0.4129</v>
      </c>
      <c r="I847" s="13" t="n">
        <v>0.5389</v>
      </c>
    </row>
    <row r="848">
      <c r="A848" s="10" t="inlineStr">
        <is>
          <t>PJ-2021-E</t>
        </is>
      </c>
      <c r="B848" s="10" t="inlineStr">
        <is>
          <t>位置合わせ(MS学習値)／単調補間</t>
        </is>
      </c>
      <c r="C848" s="10" t="inlineStr">
        <is>
          <t>2022-07</t>
        </is>
      </c>
      <c r="D848" s="10" t="n">
        <v>19</v>
      </c>
      <c r="E848" s="12" t="n">
        <v>20057.7</v>
      </c>
      <c r="F848" s="12" t="n">
        <v>16417.5</v>
      </c>
      <c r="G848" s="12" t="n">
        <v>3640.2</v>
      </c>
      <c r="H848" s="13" t="n">
        <v>0.4545</v>
      </c>
      <c r="I848" s="13" t="n">
        <v>0.573</v>
      </c>
    </row>
    <row r="849">
      <c r="A849" s="10" t="inlineStr">
        <is>
          <t>PJ-2021-E</t>
        </is>
      </c>
      <c r="B849" s="10" t="inlineStr">
        <is>
          <t>位置合わせ(MS学習値)／単調補間</t>
        </is>
      </c>
      <c r="C849" s="10" t="inlineStr">
        <is>
          <t>2022-08</t>
        </is>
      </c>
      <c r="D849" s="10" t="n">
        <v>20</v>
      </c>
      <c r="E849" s="12" t="n">
        <v>20356</v>
      </c>
      <c r="F849" s="12" t="n">
        <v>14656</v>
      </c>
      <c r="G849" s="12" t="n">
        <v>5700</v>
      </c>
      <c r="H849" s="13" t="n">
        <v>0.4967</v>
      </c>
      <c r="I849" s="13" t="n">
        <v>0.6034</v>
      </c>
    </row>
    <row r="850">
      <c r="A850" s="10" t="inlineStr">
        <is>
          <t>PJ-2021-E</t>
        </is>
      </c>
      <c r="B850" s="10" t="inlineStr">
        <is>
          <t>位置合わせ(MS学習値)／単調補間</t>
        </is>
      </c>
      <c r="C850" s="10" t="inlineStr">
        <is>
          <t>2022-09</t>
        </is>
      </c>
      <c r="D850" s="10" t="n">
        <v>21</v>
      </c>
      <c r="E850" s="12" t="n">
        <v>19942.6</v>
      </c>
      <c r="F850" s="12" t="n">
        <v>13886.2</v>
      </c>
      <c r="G850" s="12" t="n">
        <v>6056.4</v>
      </c>
      <c r="H850" s="13" t="n">
        <v>0.538</v>
      </c>
      <c r="I850" s="13" t="n">
        <v>0.6322</v>
      </c>
    </row>
    <row r="851">
      <c r="A851" s="10" t="inlineStr">
        <is>
          <t>PJ-2021-E</t>
        </is>
      </c>
      <c r="B851" s="10" t="inlineStr">
        <is>
          <t>位置合わせ(MS学習値)／単調補間</t>
        </is>
      </c>
      <c r="C851" s="10" t="inlineStr">
        <is>
          <t>2022-10</t>
        </is>
      </c>
      <c r="D851" s="10" t="n">
        <v>22</v>
      </c>
      <c r="E851" s="12" t="n">
        <v>20525.5</v>
      </c>
      <c r="F851" s="12" t="n">
        <v>13614.7</v>
      </c>
      <c r="G851" s="12" t="n">
        <v>6910.8</v>
      </c>
      <c r="H851" s="13" t="n">
        <v>0.5806</v>
      </c>
      <c r="I851" s="13" t="n">
        <v>0.6604</v>
      </c>
    </row>
    <row r="852">
      <c r="A852" s="10" t="inlineStr">
        <is>
          <t>PJ-2021-E</t>
        </is>
      </c>
      <c r="B852" s="10" t="inlineStr">
        <is>
          <t>位置合わせ(MS学習値)／単調補間</t>
        </is>
      </c>
      <c r="C852" s="10" t="inlineStr">
        <is>
          <t>2022-11</t>
        </is>
      </c>
      <c r="D852" s="10" t="n">
        <v>23</v>
      </c>
      <c r="E852" s="12" t="n">
        <v>19871.7</v>
      </c>
      <c r="F852" s="12" t="n">
        <v>14580.3</v>
      </c>
      <c r="G852" s="12" t="n">
        <v>5291.4</v>
      </c>
      <c r="H852" s="13" t="n">
        <v>0.6218</v>
      </c>
      <c r="I852" s="13" t="n">
        <v>0.6906</v>
      </c>
    </row>
    <row r="853">
      <c r="A853" s="10" t="inlineStr">
        <is>
          <t>PJ-2021-E</t>
        </is>
      </c>
      <c r="B853" s="10" t="inlineStr">
        <is>
          <t>位置合わせ(MS学習値)／単調補間</t>
        </is>
      </c>
      <c r="C853" s="10" t="inlineStr">
        <is>
          <t>2022-12</t>
        </is>
      </c>
      <c r="D853" s="10" t="n">
        <v>24</v>
      </c>
      <c r="E853" s="12" t="n">
        <v>20597.6</v>
      </c>
      <c r="F853" s="12" t="n">
        <v>15865.3</v>
      </c>
      <c r="G853" s="12" t="n">
        <v>4732.3</v>
      </c>
      <c r="H853" s="13" t="n">
        <v>0.6645</v>
      </c>
      <c r="I853" s="13" t="n">
        <v>0.7236</v>
      </c>
    </row>
    <row r="854">
      <c r="A854" s="10" t="inlineStr">
        <is>
          <t>PJ-2021-E</t>
        </is>
      </c>
      <c r="B854" s="10" t="inlineStr">
        <is>
          <t>位置合わせ(MS学習値)／単調補間</t>
        </is>
      </c>
      <c r="C854" s="10" t="inlineStr">
        <is>
          <t>2023-01</t>
        </is>
      </c>
      <c r="D854" s="10" t="n">
        <v>25</v>
      </c>
      <c r="E854" s="12" t="n">
        <v>21090.8</v>
      </c>
      <c r="F854" s="12" t="n">
        <v>18226.2</v>
      </c>
      <c r="G854" s="12" t="n">
        <v>2864.6</v>
      </c>
      <c r="H854" s="13" t="n">
        <v>0.7083</v>
      </c>
      <c r="I854" s="13" t="n">
        <v>0.7614</v>
      </c>
    </row>
    <row r="855">
      <c r="A855" s="10" t="inlineStr">
        <is>
          <t>PJ-2021-E</t>
        </is>
      </c>
      <c r="B855" s="10" t="inlineStr">
        <is>
          <t>位置合わせ(MS学習値)／単調補間</t>
        </is>
      </c>
      <c r="C855" s="10" t="inlineStr">
        <is>
          <t>2023-02</t>
        </is>
      </c>
      <c r="D855" s="10" t="n">
        <v>26</v>
      </c>
      <c r="E855" s="12" t="n">
        <v>18133.2</v>
      </c>
      <c r="F855" s="12" t="n">
        <v>17827.1</v>
      </c>
      <c r="G855" s="12" t="n">
        <v>306.1</v>
      </c>
      <c r="H855" s="13" t="n">
        <v>0.7459</v>
      </c>
      <c r="I855" s="13" t="n">
        <v>0.7983</v>
      </c>
    </row>
    <row r="856">
      <c r="A856" s="10" t="inlineStr">
        <is>
          <t>PJ-2021-E</t>
        </is>
      </c>
      <c r="B856" s="10" t="inlineStr">
        <is>
          <t>位置合わせ(MS学習値)／単調補間</t>
        </is>
      </c>
      <c r="C856" s="10" t="inlineStr">
        <is>
          <t>2023-03</t>
        </is>
      </c>
      <c r="D856" s="10" t="n">
        <v>27</v>
      </c>
      <c r="E856" s="12" t="n">
        <v>19609.3</v>
      </c>
      <c r="F856" s="12" t="n">
        <v>22013.8</v>
      </c>
      <c r="G856" s="12" t="n">
        <v>-2404.5</v>
      </c>
      <c r="H856" s="13" t="n">
        <v>0.7866</v>
      </c>
      <c r="I856" s="13" t="n">
        <v>0.844</v>
      </c>
    </row>
    <row r="857">
      <c r="A857" s="10" t="inlineStr">
        <is>
          <t>PJ-2021-E</t>
        </is>
      </c>
      <c r="B857" s="10" t="inlineStr">
        <is>
          <t>位置合わせ(MS学習値)／単調補間</t>
        </is>
      </c>
      <c r="C857" s="10" t="inlineStr">
        <is>
          <t>2023-04</t>
        </is>
      </c>
      <c r="D857" s="10" t="n">
        <v>28</v>
      </c>
      <c r="E857" s="12" t="n">
        <v>15896</v>
      </c>
      <c r="F857" s="12" t="n">
        <v>17769.7</v>
      </c>
      <c r="G857" s="12" t="n">
        <v>-1873.7</v>
      </c>
      <c r="H857" s="13" t="n">
        <v>0.8195</v>
      </c>
      <c r="I857" s="13" t="n">
        <v>0.8808</v>
      </c>
    </row>
    <row r="858">
      <c r="A858" s="10" t="inlineStr">
        <is>
          <t>PJ-2021-E</t>
        </is>
      </c>
      <c r="B858" s="10" t="inlineStr">
        <is>
          <t>位置合わせ(MS学習値)／単調補間</t>
        </is>
      </c>
      <c r="C858" s="10" t="inlineStr">
        <is>
          <t>2023-05</t>
        </is>
      </c>
      <c r="D858" s="10" t="n">
        <v>29</v>
      </c>
      <c r="E858" s="12" t="n">
        <v>15872.4</v>
      </c>
      <c r="F858" s="12" t="n">
        <v>15747.8</v>
      </c>
      <c r="G858" s="12" t="n">
        <v>124.6</v>
      </c>
      <c r="H858" s="13" t="n">
        <v>0.8525</v>
      </c>
      <c r="I858" s="13" t="n">
        <v>0.9135</v>
      </c>
    </row>
    <row r="859">
      <c r="A859" s="10" t="inlineStr">
        <is>
          <t>PJ-2021-E</t>
        </is>
      </c>
      <c r="B859" s="10" t="inlineStr">
        <is>
          <t>位置合わせ(MS学習値)／単調補間</t>
        </is>
      </c>
      <c r="C859" s="10" t="inlineStr">
        <is>
          <t>2023-06</t>
        </is>
      </c>
      <c r="D859" s="10" t="n">
        <v>30</v>
      </c>
      <c r="E859" s="12" t="n">
        <v>14753.5</v>
      </c>
      <c r="F859" s="12" t="n">
        <v>11049.5</v>
      </c>
      <c r="G859" s="12" t="n">
        <v>3704</v>
      </c>
      <c r="H859" s="13" t="n">
        <v>0.8831</v>
      </c>
      <c r="I859" s="13" t="n">
        <v>0.9364</v>
      </c>
    </row>
    <row r="860">
      <c r="A860" s="10" t="inlineStr">
        <is>
          <t>PJ-2021-E</t>
        </is>
      </c>
      <c r="B860" s="10" t="inlineStr">
        <is>
          <t>位置合わせ(MS学習値)／単調補間</t>
        </is>
      </c>
      <c r="C860" s="10" t="inlineStr">
        <is>
          <t>2023-07</t>
        </is>
      </c>
      <c r="D860" s="10" t="n">
        <v>31</v>
      </c>
      <c r="E860" s="12" t="n">
        <v>13425.7</v>
      </c>
      <c r="F860" s="12" t="n">
        <v>10147.8</v>
      </c>
      <c r="G860" s="12" t="n">
        <v>3277.9</v>
      </c>
      <c r="H860" s="13" t="n">
        <v>0.9109</v>
      </c>
      <c r="I860" s="13" t="n">
        <v>0.9575</v>
      </c>
    </row>
    <row r="861">
      <c r="A861" s="10" t="inlineStr">
        <is>
          <t>PJ-2021-E</t>
        </is>
      </c>
      <c r="B861" s="10" t="inlineStr">
        <is>
          <t>位置合わせ(MS学習値)／単調補間</t>
        </is>
      </c>
      <c r="C861" s="10" t="inlineStr">
        <is>
          <t>2023-08</t>
        </is>
      </c>
      <c r="D861" s="10" t="n">
        <v>32</v>
      </c>
      <c r="E861" s="12" t="n">
        <v>11608.4</v>
      </c>
      <c r="F861" s="12" t="n">
        <v>8637.799999999999</v>
      </c>
      <c r="G861" s="12" t="n">
        <v>2970.6</v>
      </c>
      <c r="H861" s="13" t="n">
        <v>0.9350000000000001</v>
      </c>
      <c r="I861" s="13" t="n">
        <v>0.9754</v>
      </c>
    </row>
    <row r="862">
      <c r="A862" s="10" t="inlineStr">
        <is>
          <t>PJ-2021-E</t>
        </is>
      </c>
      <c r="B862" s="10" t="inlineStr">
        <is>
          <t>位置合わせ(MS学習値)／単調補間</t>
        </is>
      </c>
      <c r="C862" s="10" t="inlineStr">
        <is>
          <t>2023-09</t>
        </is>
      </c>
      <c r="D862" s="10" t="n">
        <v>33</v>
      </c>
      <c r="E862" s="12" t="n">
        <v>10397.4</v>
      </c>
      <c r="F862" s="12" t="n">
        <v>5590.1</v>
      </c>
      <c r="G862" s="12" t="n">
        <v>4807.3</v>
      </c>
      <c r="H862" s="13" t="n">
        <v>0.9565</v>
      </c>
      <c r="I862" s="13" t="n">
        <v>0.987</v>
      </c>
    </row>
    <row r="863">
      <c r="A863" s="10" t="inlineStr">
        <is>
          <t>PJ-2021-E</t>
        </is>
      </c>
      <c r="B863" s="10" t="inlineStr">
        <is>
          <t>位置合わせ(MS学習値)／単調補間</t>
        </is>
      </c>
      <c r="C863" s="10" t="inlineStr">
        <is>
          <t>2023-10</t>
        </is>
      </c>
      <c r="D863" s="10" t="n">
        <v>34</v>
      </c>
      <c r="E863" s="12" t="n">
        <v>9603.200000000001</v>
      </c>
      <c r="F863" s="12" t="n">
        <v>3746.3</v>
      </c>
      <c r="G863" s="12" t="n">
        <v>5856.9</v>
      </c>
      <c r="H863" s="13" t="n">
        <v>0.9765</v>
      </c>
      <c r="I863" s="13" t="n">
        <v>0.9947</v>
      </c>
    </row>
    <row r="864">
      <c r="A864" s="10" t="inlineStr">
        <is>
          <t>PJ-2021-E</t>
        </is>
      </c>
      <c r="B864" s="10" t="inlineStr">
        <is>
          <t>位置合わせ(MS学習値)／単調補間</t>
        </is>
      </c>
      <c r="C864" s="10" t="inlineStr">
        <is>
          <t>2023-11</t>
        </is>
      </c>
      <c r="D864" s="10" t="n">
        <v>35</v>
      </c>
      <c r="E864" s="12" t="n">
        <v>6975.5</v>
      </c>
      <c r="F864" s="12" t="n">
        <v>1912.1</v>
      </c>
      <c r="G864" s="12" t="n">
        <v>5063.4</v>
      </c>
      <c r="H864" s="13" t="n">
        <v>0.9909</v>
      </c>
      <c r="I864" s="13" t="n">
        <v>0.9987</v>
      </c>
    </row>
    <row r="865">
      <c r="A865" s="10" t="inlineStr">
        <is>
          <t>PJ-2021-E</t>
        </is>
      </c>
      <c r="B865" s="10" t="inlineStr">
        <is>
          <t>位置合わせ(MS学習値)／単調補間</t>
        </is>
      </c>
      <c r="C865" s="10" t="inlineStr">
        <is>
          <t>2023-12</t>
        </is>
      </c>
      <c r="D865" s="10" t="n">
        <v>36</v>
      </c>
      <c r="E865" s="12" t="n">
        <v>4376.3</v>
      </c>
      <c r="F865" s="12" t="n">
        <v>620.9</v>
      </c>
      <c r="G865" s="12" t="n">
        <v>3755.4</v>
      </c>
      <c r="H865" s="13" t="n">
        <v>1</v>
      </c>
      <c r="I865" s="13" t="n">
        <v>1</v>
      </c>
    </row>
    <row r="866">
      <c r="A866" s="10" t="inlineStr">
        <is>
          <t>PJ-2021-E</t>
        </is>
      </c>
      <c r="B866" s="10" t="inlineStr">
        <is>
          <t>位置合わせ(MS指定)／単調補間</t>
        </is>
      </c>
      <c r="C866" s="10" t="inlineStr">
        <is>
          <t>2021-01</t>
        </is>
      </c>
      <c r="D866" s="10" t="n">
        <v>1</v>
      </c>
      <c r="E866" s="12" t="n">
        <v>6295.4</v>
      </c>
      <c r="F866" s="12" t="n">
        <v>2212.8</v>
      </c>
      <c r="G866" s="12" t="n">
        <v>4082.6</v>
      </c>
      <c r="H866" s="13" t="n">
        <v>0.0131</v>
      </c>
      <c r="I866" s="13" t="n">
        <v>0.0046</v>
      </c>
    </row>
    <row r="867">
      <c r="A867" s="10" t="inlineStr">
        <is>
          <t>PJ-2021-E</t>
        </is>
      </c>
      <c r="B867" s="10" t="inlineStr">
        <is>
          <t>位置合わせ(MS指定)／単調補間</t>
        </is>
      </c>
      <c r="C867" s="10" t="inlineStr">
        <is>
          <t>2021-02</t>
        </is>
      </c>
      <c r="D867" s="10" t="n">
        <v>2</v>
      </c>
      <c r="E867" s="12" t="n">
        <v>6955.7</v>
      </c>
      <c r="F867" s="12" t="n">
        <v>3289.4</v>
      </c>
      <c r="G867" s="12" t="n">
        <v>3666.3</v>
      </c>
      <c r="H867" s="13" t="n">
        <v>0.0275</v>
      </c>
      <c r="I867" s="13" t="n">
        <v>0.0114</v>
      </c>
    </row>
    <row r="868">
      <c r="A868" s="10" t="inlineStr">
        <is>
          <t>PJ-2021-E</t>
        </is>
      </c>
      <c r="B868" s="10" t="inlineStr">
        <is>
          <t>位置合わせ(MS指定)／単調補間</t>
        </is>
      </c>
      <c r="C868" s="10" t="inlineStr">
        <is>
          <t>2021-03</t>
        </is>
      </c>
      <c r="D868" s="10" t="n">
        <v>3</v>
      </c>
      <c r="E868" s="12" t="n">
        <v>8899.5</v>
      </c>
      <c r="F868" s="12" t="n">
        <v>4610.7</v>
      </c>
      <c r="G868" s="12" t="n">
        <v>4288.8</v>
      </c>
      <c r="H868" s="13" t="n">
        <v>0.0459</v>
      </c>
      <c r="I868" s="13" t="n">
        <v>0.021</v>
      </c>
    </row>
    <row r="869">
      <c r="A869" s="10" t="inlineStr">
        <is>
          <t>PJ-2021-E</t>
        </is>
      </c>
      <c r="B869" s="10" t="inlineStr">
        <is>
          <t>位置合わせ(MS指定)／単調補間</t>
        </is>
      </c>
      <c r="C869" s="10" t="inlineStr">
        <is>
          <t>2021-04</t>
        </is>
      </c>
      <c r="D869" s="10" t="n">
        <v>4</v>
      </c>
      <c r="E869" s="12" t="n">
        <v>9303.5</v>
      </c>
      <c r="F869" s="12" t="n">
        <v>5392.8</v>
      </c>
      <c r="G869" s="12" t="n">
        <v>3910.7</v>
      </c>
      <c r="H869" s="13" t="n">
        <v>0.06519999999999999</v>
      </c>
      <c r="I869" s="13" t="n">
        <v>0.0322</v>
      </c>
    </row>
    <row r="870">
      <c r="A870" s="10" t="inlineStr">
        <is>
          <t>PJ-2021-E</t>
        </is>
      </c>
      <c r="B870" s="10" t="inlineStr">
        <is>
          <t>位置合わせ(MS指定)／単調補間</t>
        </is>
      </c>
      <c r="C870" s="10" t="inlineStr">
        <is>
          <t>2021-05</t>
        </is>
      </c>
      <c r="D870" s="10" t="n">
        <v>5</v>
      </c>
      <c r="E870" s="12" t="n">
        <v>10803</v>
      </c>
      <c r="F870" s="12" t="n">
        <v>5875.1</v>
      </c>
      <c r="G870" s="12" t="n">
        <v>4927.9</v>
      </c>
      <c r="H870" s="13" t="n">
        <v>0.0876</v>
      </c>
      <c r="I870" s="13" t="n">
        <v>0.0443</v>
      </c>
    </row>
    <row r="871">
      <c r="A871" s="10" t="inlineStr">
        <is>
          <t>PJ-2021-E</t>
        </is>
      </c>
      <c r="B871" s="10" t="inlineStr">
        <is>
          <t>位置合わせ(MS指定)／単調補間</t>
        </is>
      </c>
      <c r="C871" s="10" t="inlineStr">
        <is>
          <t>2021-06</t>
        </is>
      </c>
      <c r="D871" s="10" t="n">
        <v>6</v>
      </c>
      <c r="E871" s="12" t="n">
        <v>10444.3</v>
      </c>
      <c r="F871" s="12" t="n">
        <v>6664.2</v>
      </c>
      <c r="G871" s="12" t="n">
        <v>3780.1</v>
      </c>
      <c r="H871" s="13" t="n">
        <v>0.1093</v>
      </c>
      <c r="I871" s="13" t="n">
        <v>0.0582</v>
      </c>
    </row>
    <row r="872">
      <c r="A872" s="10" t="inlineStr">
        <is>
          <t>PJ-2021-E</t>
        </is>
      </c>
      <c r="B872" s="10" t="inlineStr">
        <is>
          <t>位置合わせ(MS指定)／単調補間</t>
        </is>
      </c>
      <c r="C872" s="10" t="inlineStr">
        <is>
          <t>2021-07</t>
        </is>
      </c>
      <c r="D872" s="10" t="n">
        <v>7</v>
      </c>
      <c r="E872" s="12" t="n">
        <v>11545.2</v>
      </c>
      <c r="F872" s="12" t="n">
        <v>7114.2</v>
      </c>
      <c r="G872" s="12" t="n">
        <v>4431</v>
      </c>
      <c r="H872" s="13" t="n">
        <v>0.1333</v>
      </c>
      <c r="I872" s="13" t="n">
        <v>0.07290000000000001</v>
      </c>
    </row>
    <row r="873">
      <c r="A873" s="10" t="inlineStr">
        <is>
          <t>PJ-2021-E</t>
        </is>
      </c>
      <c r="B873" s="10" t="inlineStr">
        <is>
          <t>位置合わせ(MS指定)／単調補間</t>
        </is>
      </c>
      <c r="C873" s="10" t="inlineStr">
        <is>
          <t>2021-08</t>
        </is>
      </c>
      <c r="D873" s="10" t="n">
        <v>8</v>
      </c>
      <c r="E873" s="12" t="n">
        <v>12656.5</v>
      </c>
      <c r="F873" s="12" t="n">
        <v>7159.8</v>
      </c>
      <c r="G873" s="12" t="n">
        <v>5496.7</v>
      </c>
      <c r="H873" s="13" t="n">
        <v>0.1595</v>
      </c>
      <c r="I873" s="13" t="n">
        <v>0.0878</v>
      </c>
    </row>
    <row r="874">
      <c r="A874" s="10" t="inlineStr">
        <is>
          <t>PJ-2021-E</t>
        </is>
      </c>
      <c r="B874" s="10" t="inlineStr">
        <is>
          <t>位置合わせ(MS指定)／単調補間</t>
        </is>
      </c>
      <c r="C874" s="10" t="inlineStr">
        <is>
          <t>2021-09</t>
        </is>
      </c>
      <c r="D874" s="10" t="n">
        <v>9</v>
      </c>
      <c r="E874" s="12" t="n">
        <v>13268.6</v>
      </c>
      <c r="F874" s="12" t="n">
        <v>7725.3</v>
      </c>
      <c r="G874" s="12" t="n">
        <v>5543.3</v>
      </c>
      <c r="H874" s="13" t="n">
        <v>0.187</v>
      </c>
      <c r="I874" s="13" t="n">
        <v>0.1038</v>
      </c>
    </row>
    <row r="875">
      <c r="A875" s="10" t="inlineStr">
        <is>
          <t>PJ-2021-E</t>
        </is>
      </c>
      <c r="B875" s="10" t="inlineStr">
        <is>
          <t>位置合わせ(MS指定)／単調補間</t>
        </is>
      </c>
      <c r="C875" s="10" t="inlineStr">
        <is>
          <t>2021-10</t>
        </is>
      </c>
      <c r="D875" s="10" t="n">
        <v>10</v>
      </c>
      <c r="E875" s="12" t="n">
        <v>15037.2</v>
      </c>
      <c r="F875" s="12" t="n">
        <v>11396.5</v>
      </c>
      <c r="G875" s="12" t="n">
        <v>3640.7</v>
      </c>
      <c r="H875" s="13" t="n">
        <v>0.2182</v>
      </c>
      <c r="I875" s="13" t="n">
        <v>0.1274</v>
      </c>
    </row>
    <row r="876">
      <c r="A876" s="10" t="inlineStr">
        <is>
          <t>PJ-2021-E</t>
        </is>
      </c>
      <c r="B876" s="10" t="inlineStr">
        <is>
          <t>位置合わせ(MS指定)／単調補間</t>
        </is>
      </c>
      <c r="C876" s="10" t="inlineStr">
        <is>
          <t>2021-11</t>
        </is>
      </c>
      <c r="D876" s="10" t="n">
        <v>11</v>
      </c>
      <c r="E876" s="12" t="n">
        <v>15662.2</v>
      </c>
      <c r="F876" s="12" t="n">
        <v>22707.4</v>
      </c>
      <c r="G876" s="12" t="n">
        <v>-7045.2</v>
      </c>
      <c r="H876" s="13" t="n">
        <v>0.2507</v>
      </c>
      <c r="I876" s="13" t="n">
        <v>0.1745</v>
      </c>
    </row>
    <row r="877">
      <c r="A877" s="10" t="inlineStr">
        <is>
          <t>PJ-2021-E</t>
        </is>
      </c>
      <c r="B877" s="10" t="inlineStr">
        <is>
          <t>位置合わせ(MS指定)／単調補間</t>
        </is>
      </c>
      <c r="C877" s="10" t="inlineStr">
        <is>
          <t>2021-12</t>
        </is>
      </c>
      <c r="D877" s="10" t="n">
        <v>12</v>
      </c>
      <c r="E877" s="12" t="n">
        <v>16908.1</v>
      </c>
      <c r="F877" s="12" t="n">
        <v>24332.8</v>
      </c>
      <c r="G877" s="12" t="n">
        <v>-7424.7</v>
      </c>
      <c r="H877" s="13" t="n">
        <v>0.2858</v>
      </c>
      <c r="I877" s="13" t="n">
        <v>0.225</v>
      </c>
    </row>
    <row r="878">
      <c r="A878" s="10" t="inlineStr">
        <is>
          <t>PJ-2021-E</t>
        </is>
      </c>
      <c r="B878" s="10" t="inlineStr">
        <is>
          <t>位置合わせ(MS指定)／単調補間</t>
        </is>
      </c>
      <c r="C878" s="10" t="inlineStr">
        <is>
          <t>2022-01</t>
        </is>
      </c>
      <c r="D878" s="10" t="n">
        <v>13</v>
      </c>
      <c r="E878" s="12" t="n">
        <v>18010</v>
      </c>
      <c r="F878" s="12" t="n">
        <v>28940.1</v>
      </c>
      <c r="G878" s="12" t="n">
        <v>-10930.1</v>
      </c>
      <c r="H878" s="13" t="n">
        <v>0.3231</v>
      </c>
      <c r="I878" s="13" t="n">
        <v>0.285</v>
      </c>
    </row>
    <row r="879">
      <c r="A879" s="10" t="inlineStr">
        <is>
          <t>PJ-2021-E</t>
        </is>
      </c>
      <c r="B879" s="10" t="inlineStr">
        <is>
          <t>位置合わせ(MS指定)／単調補間</t>
        </is>
      </c>
      <c r="C879" s="10" t="inlineStr">
        <is>
          <t>2022-02</t>
        </is>
      </c>
      <c r="D879" s="10" t="n">
        <v>14</v>
      </c>
      <c r="E879" s="12" t="n">
        <v>16791.9</v>
      </c>
      <c r="F879" s="12" t="n">
        <v>28533.6</v>
      </c>
      <c r="G879" s="12" t="n">
        <v>-11741.7</v>
      </c>
      <c r="H879" s="13" t="n">
        <v>0.3579</v>
      </c>
      <c r="I879" s="13" t="n">
        <v>0.3442</v>
      </c>
    </row>
    <row r="880">
      <c r="A880" s="10" t="inlineStr">
        <is>
          <t>PJ-2021-E</t>
        </is>
      </c>
      <c r="B880" s="10" t="inlineStr">
        <is>
          <t>位置合わせ(MS指定)／単調補間</t>
        </is>
      </c>
      <c r="C880" s="10" t="inlineStr">
        <is>
          <t>2022-03</t>
        </is>
      </c>
      <c r="D880" s="10" t="n">
        <v>15</v>
      </c>
      <c r="E880" s="12" t="n">
        <v>20050.2</v>
      </c>
      <c r="F880" s="12" t="n">
        <v>39513.1</v>
      </c>
      <c r="G880" s="12" t="n">
        <v>-19462.9</v>
      </c>
      <c r="H880" s="13" t="n">
        <v>0.3995</v>
      </c>
      <c r="I880" s="13" t="n">
        <v>0.4261</v>
      </c>
    </row>
    <row r="881">
      <c r="A881" s="10" t="inlineStr">
        <is>
          <t>PJ-2021-E</t>
        </is>
      </c>
      <c r="B881" s="10" t="inlineStr">
        <is>
          <t>位置合わせ(MS指定)／単調補間</t>
        </is>
      </c>
      <c r="C881" s="10" t="inlineStr">
        <is>
          <t>2022-04</t>
        </is>
      </c>
      <c r="D881" s="10" t="n">
        <v>16</v>
      </c>
      <c r="E881" s="12" t="n">
        <v>18191.4</v>
      </c>
      <c r="F881" s="12" t="n">
        <v>20968.4</v>
      </c>
      <c r="G881" s="12" t="n">
        <v>-2777</v>
      </c>
      <c r="H881" s="13" t="n">
        <v>0.4373</v>
      </c>
      <c r="I881" s="13" t="n">
        <v>0.4696</v>
      </c>
    </row>
    <row r="882">
      <c r="A882" s="10" t="inlineStr">
        <is>
          <t>PJ-2021-E</t>
        </is>
      </c>
      <c r="B882" s="10" t="inlineStr">
        <is>
          <t>位置合わせ(MS指定)／単調補間</t>
        </is>
      </c>
      <c r="C882" s="10" t="inlineStr">
        <is>
          <t>2022-05</t>
        </is>
      </c>
      <c r="D882" s="10" t="n">
        <v>17</v>
      </c>
      <c r="E882" s="12" t="n">
        <v>15226.5</v>
      </c>
      <c r="F882" s="12" t="n">
        <v>18133.4</v>
      </c>
      <c r="G882" s="12" t="n">
        <v>-2906.9</v>
      </c>
      <c r="H882" s="13" t="n">
        <v>0.4688</v>
      </c>
      <c r="I882" s="13" t="n">
        <v>0.5072</v>
      </c>
    </row>
    <row r="883">
      <c r="A883" s="10" t="inlineStr">
        <is>
          <t>PJ-2021-E</t>
        </is>
      </c>
      <c r="B883" s="10" t="inlineStr">
        <is>
          <t>位置合わせ(MS指定)／単調補間</t>
        </is>
      </c>
      <c r="C883" s="10" t="inlineStr">
        <is>
          <t>2022-06</t>
        </is>
      </c>
      <c r="D883" s="10" t="n">
        <v>18</v>
      </c>
      <c r="E883" s="12" t="n">
        <v>15257.3</v>
      </c>
      <c r="F883" s="12" t="n">
        <v>15271.7</v>
      </c>
      <c r="G883" s="12" t="n">
        <v>-14.4</v>
      </c>
      <c r="H883" s="13" t="n">
        <v>0.5004999999999999</v>
      </c>
      <c r="I883" s="13" t="n">
        <v>0.5389</v>
      </c>
    </row>
    <row r="884">
      <c r="A884" s="10" t="inlineStr">
        <is>
          <t>PJ-2021-E</t>
        </is>
      </c>
      <c r="B884" s="10" t="inlineStr">
        <is>
          <t>位置合わせ(MS指定)／単調補間</t>
        </is>
      </c>
      <c r="C884" s="10" t="inlineStr">
        <is>
          <t>2022-07</t>
        </is>
      </c>
      <c r="D884" s="10" t="n">
        <v>19</v>
      </c>
      <c r="E884" s="12" t="n">
        <v>15584.9</v>
      </c>
      <c r="F884" s="12" t="n">
        <v>16417.5</v>
      </c>
      <c r="G884" s="12" t="n">
        <v>-832.6</v>
      </c>
      <c r="H884" s="13" t="n">
        <v>0.5328000000000001</v>
      </c>
      <c r="I884" s="13" t="n">
        <v>0.573</v>
      </c>
    </row>
    <row r="885">
      <c r="A885" s="10" t="inlineStr">
        <is>
          <t>PJ-2021-E</t>
        </is>
      </c>
      <c r="B885" s="10" t="inlineStr">
        <is>
          <t>位置合わせ(MS指定)／単調補間</t>
        </is>
      </c>
      <c r="C885" s="10" t="inlineStr">
        <is>
          <t>2022-08</t>
        </is>
      </c>
      <c r="D885" s="10" t="n">
        <v>20</v>
      </c>
      <c r="E885" s="12" t="n">
        <v>15739.3</v>
      </c>
      <c r="F885" s="12" t="n">
        <v>14656</v>
      </c>
      <c r="G885" s="12" t="n">
        <v>1083.3</v>
      </c>
      <c r="H885" s="13" t="n">
        <v>0.5654</v>
      </c>
      <c r="I885" s="13" t="n">
        <v>0.6034</v>
      </c>
    </row>
    <row r="886">
      <c r="A886" s="10" t="inlineStr">
        <is>
          <t>PJ-2021-E</t>
        </is>
      </c>
      <c r="B886" s="10" t="inlineStr">
        <is>
          <t>位置合わせ(MS指定)／単調補間</t>
        </is>
      </c>
      <c r="C886" s="10" t="inlineStr">
        <is>
          <t>2022-09</t>
        </is>
      </c>
      <c r="D886" s="10" t="n">
        <v>21</v>
      </c>
      <c r="E886" s="12" t="n">
        <v>15301.5</v>
      </c>
      <c r="F886" s="12" t="n">
        <v>13886.2</v>
      </c>
      <c r="G886" s="12" t="n">
        <v>1415.3</v>
      </c>
      <c r="H886" s="13" t="n">
        <v>0.5972</v>
      </c>
      <c r="I886" s="13" t="n">
        <v>0.6322</v>
      </c>
    </row>
    <row r="887">
      <c r="A887" s="10" t="inlineStr">
        <is>
          <t>PJ-2021-E</t>
        </is>
      </c>
      <c r="B887" s="10" t="inlineStr">
        <is>
          <t>位置合わせ(MS指定)／単調補間</t>
        </is>
      </c>
      <c r="C887" s="10" t="inlineStr">
        <is>
          <t>2022-10</t>
        </is>
      </c>
      <c r="D887" s="10" t="n">
        <v>22</v>
      </c>
      <c r="E887" s="12" t="n">
        <v>15474.5</v>
      </c>
      <c r="F887" s="12" t="n">
        <v>13614.7</v>
      </c>
      <c r="G887" s="12" t="n">
        <v>1859.8</v>
      </c>
      <c r="H887" s="13" t="n">
        <v>0.6293</v>
      </c>
      <c r="I887" s="13" t="n">
        <v>0.6604</v>
      </c>
    </row>
    <row r="888">
      <c r="A888" s="10" t="inlineStr">
        <is>
          <t>PJ-2021-E</t>
        </is>
      </c>
      <c r="B888" s="10" t="inlineStr">
        <is>
          <t>位置合わせ(MS指定)／単調補間</t>
        </is>
      </c>
      <c r="C888" s="10" t="inlineStr">
        <is>
          <t>2022-11</t>
        </is>
      </c>
      <c r="D888" s="10" t="n">
        <v>23</v>
      </c>
      <c r="E888" s="12" t="n">
        <v>15326.9</v>
      </c>
      <c r="F888" s="12" t="n">
        <v>14580.3</v>
      </c>
      <c r="G888" s="12" t="n">
        <v>746.6</v>
      </c>
      <c r="H888" s="13" t="n">
        <v>0.6611</v>
      </c>
      <c r="I888" s="13" t="n">
        <v>0.6906</v>
      </c>
    </row>
    <row r="889">
      <c r="A889" s="10" t="inlineStr">
        <is>
          <t>PJ-2021-E</t>
        </is>
      </c>
      <c r="B889" s="10" t="inlineStr">
        <is>
          <t>位置合わせ(MS指定)／単調補間</t>
        </is>
      </c>
      <c r="C889" s="10" t="inlineStr">
        <is>
          <t>2022-12</t>
        </is>
      </c>
      <c r="D889" s="10" t="n">
        <v>24</v>
      </c>
      <c r="E889" s="12" t="n">
        <v>16114.9</v>
      </c>
      <c r="F889" s="12" t="n">
        <v>15865.3</v>
      </c>
      <c r="G889" s="12" t="n">
        <v>249.6</v>
      </c>
      <c r="H889" s="13" t="n">
        <v>0.6945</v>
      </c>
      <c r="I889" s="13" t="n">
        <v>0.7236</v>
      </c>
    </row>
    <row r="890">
      <c r="A890" s="10" t="inlineStr">
        <is>
          <t>PJ-2021-E</t>
        </is>
      </c>
      <c r="B890" s="10" t="inlineStr">
        <is>
          <t>位置合わせ(MS指定)／単調補間</t>
        </is>
      </c>
      <c r="C890" s="10" t="inlineStr">
        <is>
          <t>2023-01</t>
        </is>
      </c>
      <c r="D890" s="10" t="n">
        <v>25</v>
      </c>
      <c r="E890" s="12" t="n">
        <v>15780.3</v>
      </c>
      <c r="F890" s="12" t="n">
        <v>18226.2</v>
      </c>
      <c r="G890" s="12" t="n">
        <v>-2445.9</v>
      </c>
      <c r="H890" s="13" t="n">
        <v>0.7272</v>
      </c>
      <c r="I890" s="13" t="n">
        <v>0.7614</v>
      </c>
    </row>
    <row r="891">
      <c r="A891" s="10" t="inlineStr">
        <is>
          <t>PJ-2021-E</t>
        </is>
      </c>
      <c r="B891" s="10" t="inlineStr">
        <is>
          <t>位置合わせ(MS指定)／単調補間</t>
        </is>
      </c>
      <c r="C891" s="10" t="inlineStr">
        <is>
          <t>2023-02</t>
        </is>
      </c>
      <c r="D891" s="10" t="n">
        <v>26</v>
      </c>
      <c r="E891" s="12" t="n">
        <v>13594.3</v>
      </c>
      <c r="F891" s="12" t="n">
        <v>17827.1</v>
      </c>
      <c r="G891" s="12" t="n">
        <v>-4232.8</v>
      </c>
      <c r="H891" s="13" t="n">
        <v>0.7554</v>
      </c>
      <c r="I891" s="13" t="n">
        <v>0.7983</v>
      </c>
    </row>
    <row r="892">
      <c r="A892" s="10" t="inlineStr">
        <is>
          <t>PJ-2021-E</t>
        </is>
      </c>
      <c r="B892" s="10" t="inlineStr">
        <is>
          <t>位置合わせ(MS指定)／単調補間</t>
        </is>
      </c>
      <c r="C892" s="10" t="inlineStr">
        <is>
          <t>2023-03</t>
        </is>
      </c>
      <c r="D892" s="10" t="n">
        <v>27</v>
      </c>
      <c r="E892" s="12" t="n">
        <v>19513.1</v>
      </c>
      <c r="F892" s="12" t="n">
        <v>22013.8</v>
      </c>
      <c r="G892" s="12" t="n">
        <v>-2500.7</v>
      </c>
      <c r="H892" s="13" t="n">
        <v>0.7959000000000001</v>
      </c>
      <c r="I892" s="13" t="n">
        <v>0.844</v>
      </c>
    </row>
    <row r="893">
      <c r="A893" s="10" t="inlineStr">
        <is>
          <t>PJ-2021-E</t>
        </is>
      </c>
      <c r="B893" s="10" t="inlineStr">
        <is>
          <t>位置合わせ(MS指定)／単調補間</t>
        </is>
      </c>
      <c r="C893" s="10" t="inlineStr">
        <is>
          <t>2023-04</t>
        </is>
      </c>
      <c r="D893" s="10" t="n">
        <v>28</v>
      </c>
      <c r="E893" s="12" t="n">
        <v>20020.5</v>
      </c>
      <c r="F893" s="12" t="n">
        <v>17769.7</v>
      </c>
      <c r="G893" s="12" t="n">
        <v>2250.8</v>
      </c>
      <c r="H893" s="13" t="n">
        <v>0.8374</v>
      </c>
      <c r="I893" s="13" t="n">
        <v>0.8808</v>
      </c>
    </row>
    <row r="894">
      <c r="A894" s="10" t="inlineStr">
        <is>
          <t>PJ-2021-E</t>
        </is>
      </c>
      <c r="B894" s="10" t="inlineStr">
        <is>
          <t>位置合わせ(MS指定)／単調補間</t>
        </is>
      </c>
      <c r="C894" s="10" t="inlineStr">
        <is>
          <t>2023-05</t>
        </is>
      </c>
      <c r="D894" s="10" t="n">
        <v>29</v>
      </c>
      <c r="E894" s="12" t="n">
        <v>19830.5</v>
      </c>
      <c r="F894" s="12" t="n">
        <v>15747.8</v>
      </c>
      <c r="G894" s="12" t="n">
        <v>4082.7</v>
      </c>
      <c r="H894" s="13" t="n">
        <v>0.8784999999999999</v>
      </c>
      <c r="I894" s="13" t="n">
        <v>0.9135</v>
      </c>
    </row>
    <row r="895">
      <c r="A895" s="10" t="inlineStr">
        <is>
          <t>PJ-2021-E</t>
        </is>
      </c>
      <c r="B895" s="10" t="inlineStr">
        <is>
          <t>位置合わせ(MS指定)／単調補間</t>
        </is>
      </c>
      <c r="C895" s="10" t="inlineStr">
        <is>
          <t>2023-06</t>
        </is>
      </c>
      <c r="D895" s="10" t="n">
        <v>30</v>
      </c>
      <c r="E895" s="12" t="n">
        <v>16766.3</v>
      </c>
      <c r="F895" s="12" t="n">
        <v>11049.5</v>
      </c>
      <c r="G895" s="12" t="n">
        <v>5716.8</v>
      </c>
      <c r="H895" s="13" t="n">
        <v>0.9133</v>
      </c>
      <c r="I895" s="13" t="n">
        <v>0.9364</v>
      </c>
    </row>
    <row r="896">
      <c r="A896" s="10" t="inlineStr">
        <is>
          <t>PJ-2021-E</t>
        </is>
      </c>
      <c r="B896" s="10" t="inlineStr">
        <is>
          <t>位置合わせ(MS指定)／単調補間</t>
        </is>
      </c>
      <c r="C896" s="10" t="inlineStr">
        <is>
          <t>2023-07</t>
        </is>
      </c>
      <c r="D896" s="10" t="n">
        <v>31</v>
      </c>
      <c r="E896" s="12" t="n">
        <v>14593</v>
      </c>
      <c r="F896" s="12" t="n">
        <v>10147.8</v>
      </c>
      <c r="G896" s="12" t="n">
        <v>4445.2</v>
      </c>
      <c r="H896" s="13" t="n">
        <v>0.9436</v>
      </c>
      <c r="I896" s="13" t="n">
        <v>0.9575</v>
      </c>
    </row>
    <row r="897">
      <c r="A897" s="10" t="inlineStr">
        <is>
          <t>PJ-2021-E</t>
        </is>
      </c>
      <c r="B897" s="10" t="inlineStr">
        <is>
          <t>位置合わせ(MS指定)／単調補間</t>
        </is>
      </c>
      <c r="C897" s="10" t="inlineStr">
        <is>
          <t>2023-08</t>
        </is>
      </c>
      <c r="D897" s="10" t="n">
        <v>32</v>
      </c>
      <c r="E897" s="12" t="n">
        <v>10136.5</v>
      </c>
      <c r="F897" s="12" t="n">
        <v>8637.799999999999</v>
      </c>
      <c r="G897" s="12" t="n">
        <v>1498.7</v>
      </c>
      <c r="H897" s="13" t="n">
        <v>0.9646</v>
      </c>
      <c r="I897" s="13" t="n">
        <v>0.9754</v>
      </c>
    </row>
    <row r="898">
      <c r="A898" s="10" t="inlineStr">
        <is>
          <t>PJ-2021-E</t>
        </is>
      </c>
      <c r="B898" s="10" t="inlineStr">
        <is>
          <t>位置合わせ(MS指定)／単調補間</t>
        </is>
      </c>
      <c r="C898" s="10" t="inlineStr">
        <is>
          <t>2023-09</t>
        </is>
      </c>
      <c r="D898" s="10" t="n">
        <v>33</v>
      </c>
      <c r="E898" s="12" t="n">
        <v>5791.1</v>
      </c>
      <c r="F898" s="12" t="n">
        <v>5590.1</v>
      </c>
      <c r="G898" s="12" t="n">
        <v>201</v>
      </c>
      <c r="H898" s="13" t="n">
        <v>0.9766</v>
      </c>
      <c r="I898" s="13" t="n">
        <v>0.987</v>
      </c>
    </row>
    <row r="899">
      <c r="A899" s="10" t="inlineStr">
        <is>
          <t>PJ-2021-E</t>
        </is>
      </c>
      <c r="B899" s="10" t="inlineStr">
        <is>
          <t>位置合わせ(MS指定)／単調補間</t>
        </is>
      </c>
      <c r="C899" s="10" t="inlineStr">
        <is>
          <t>2023-10</t>
        </is>
      </c>
      <c r="D899" s="10" t="n">
        <v>34</v>
      </c>
      <c r="E899" s="12" t="n">
        <v>5047.3</v>
      </c>
      <c r="F899" s="12" t="n">
        <v>3746.3</v>
      </c>
      <c r="G899" s="12" t="n">
        <v>1301</v>
      </c>
      <c r="H899" s="13" t="n">
        <v>0.9871</v>
      </c>
      <c r="I899" s="13" t="n">
        <v>0.9947</v>
      </c>
    </row>
    <row r="900">
      <c r="A900" s="10" t="inlineStr">
        <is>
          <t>PJ-2021-E</t>
        </is>
      </c>
      <c r="B900" s="10" t="inlineStr">
        <is>
          <t>位置合わせ(MS指定)／単調補間</t>
        </is>
      </c>
      <c r="C900" s="10" t="inlineStr">
        <is>
          <t>2023-11</t>
        </is>
      </c>
      <c r="D900" s="10" t="n">
        <v>35</v>
      </c>
      <c r="E900" s="12" t="n">
        <v>3628.7</v>
      </c>
      <c r="F900" s="12" t="n">
        <v>1912.1</v>
      </c>
      <c r="G900" s="12" t="n">
        <v>1716.6</v>
      </c>
      <c r="H900" s="13" t="n">
        <v>0.9946</v>
      </c>
      <c r="I900" s="13" t="n">
        <v>0.9987</v>
      </c>
    </row>
    <row r="901">
      <c r="A901" s="10" t="inlineStr">
        <is>
          <t>PJ-2021-E</t>
        </is>
      </c>
      <c r="B901" s="10" t="inlineStr">
        <is>
          <t>位置合わせ(MS指定)／単調補間</t>
        </is>
      </c>
      <c r="C901" s="10" t="inlineStr">
        <is>
          <t>2023-12</t>
        </is>
      </c>
      <c r="D901" s="10" t="n">
        <v>36</v>
      </c>
      <c r="E901" s="12" t="n">
        <v>2600.3</v>
      </c>
      <c r="F901" s="12" t="n">
        <v>620.9</v>
      </c>
      <c r="G901" s="12" t="n">
        <v>1979.4</v>
      </c>
      <c r="H901" s="13" t="n">
        <v>1</v>
      </c>
      <c r="I901" s="13" t="n">
        <v>1</v>
      </c>
    </row>
    <row r="902">
      <c r="A902" s="10" t="inlineStr">
        <is>
          <t>PJ-2022-F</t>
        </is>
      </c>
      <c r="B902" s="10" t="inlineStr">
        <is>
          <t>素朴版／月内均等</t>
        </is>
      </c>
      <c r="C902" s="10" t="inlineStr">
        <is>
          <t>2022-04</t>
        </is>
      </c>
      <c r="D902" s="10" t="n">
        <v>1</v>
      </c>
      <c r="E902" s="12" t="n">
        <v>3337.6</v>
      </c>
      <c r="F902" s="12" t="n">
        <v>1989.3</v>
      </c>
      <c r="G902" s="12" t="n">
        <v>1348.3</v>
      </c>
      <c r="H902" s="13" t="n">
        <v>0.0237</v>
      </c>
      <c r="I902" s="13" t="n">
        <v>0.0141</v>
      </c>
    </row>
    <row r="903">
      <c r="A903" s="10" t="inlineStr">
        <is>
          <t>PJ-2022-F</t>
        </is>
      </c>
      <c r="B903" s="10" t="inlineStr">
        <is>
          <t>素朴版／月内均等</t>
        </is>
      </c>
      <c r="C903" s="10" t="inlineStr">
        <is>
          <t>2022-05</t>
        </is>
      </c>
      <c r="D903" s="10" t="n">
        <v>2</v>
      </c>
      <c r="E903" s="12" t="n">
        <v>4462.2</v>
      </c>
      <c r="F903" s="12" t="n">
        <v>3873.1</v>
      </c>
      <c r="G903" s="12" t="n">
        <v>589.1</v>
      </c>
      <c r="H903" s="13" t="n">
        <v>0.0553</v>
      </c>
      <c r="I903" s="13" t="n">
        <v>0.0416</v>
      </c>
    </row>
    <row r="904">
      <c r="A904" s="10" t="inlineStr">
        <is>
          <t>PJ-2022-F</t>
        </is>
      </c>
      <c r="B904" s="10" t="inlineStr">
        <is>
          <t>素朴版／月内均等</t>
        </is>
      </c>
      <c r="C904" s="10" t="inlineStr">
        <is>
          <t>2022-06</t>
        </is>
      </c>
      <c r="D904" s="10" t="n">
        <v>3</v>
      </c>
      <c r="E904" s="12" t="n">
        <v>4959.5</v>
      </c>
      <c r="F904" s="12" t="n">
        <v>5042.1</v>
      </c>
      <c r="G904" s="12" t="n">
        <v>-82.59999999999999</v>
      </c>
      <c r="H904" s="13" t="n">
        <v>0.09039999999999999</v>
      </c>
      <c r="I904" s="13" t="n">
        <v>0.07729999999999999</v>
      </c>
    </row>
    <row r="905">
      <c r="A905" s="10" t="inlineStr">
        <is>
          <t>PJ-2022-F</t>
        </is>
      </c>
      <c r="B905" s="10" t="inlineStr">
        <is>
          <t>素朴版／月内均等</t>
        </is>
      </c>
      <c r="C905" s="10" t="inlineStr">
        <is>
          <t>2022-07</t>
        </is>
      </c>
      <c r="D905" s="10" t="n">
        <v>4</v>
      </c>
      <c r="E905" s="12" t="n">
        <v>5481</v>
      </c>
      <c r="F905" s="12" t="n">
        <v>6282.6</v>
      </c>
      <c r="G905" s="12" t="n">
        <v>-801.6</v>
      </c>
      <c r="H905" s="13" t="n">
        <v>0.1293</v>
      </c>
      <c r="I905" s="13" t="n">
        <v>0.1218</v>
      </c>
    </row>
    <row r="906">
      <c r="A906" s="10" t="inlineStr">
        <is>
          <t>PJ-2022-F</t>
        </is>
      </c>
      <c r="B906" s="10" t="inlineStr">
        <is>
          <t>素朴版／月内均等</t>
        </is>
      </c>
      <c r="C906" s="10" t="inlineStr">
        <is>
          <t>2022-08</t>
        </is>
      </c>
      <c r="D906" s="10" t="n">
        <v>5</v>
      </c>
      <c r="E906" s="12" t="n">
        <v>6350.2</v>
      </c>
      <c r="F906" s="12" t="n">
        <v>7785.3</v>
      </c>
      <c r="G906" s="12" t="n">
        <v>-1435.1</v>
      </c>
      <c r="H906" s="13" t="n">
        <v>0.1743</v>
      </c>
      <c r="I906" s="13" t="n">
        <v>0.177</v>
      </c>
    </row>
    <row r="907">
      <c r="A907" s="10" t="inlineStr">
        <is>
          <t>PJ-2022-F</t>
        </is>
      </c>
      <c r="B907" s="10" t="inlineStr">
        <is>
          <t>素朴版／月内均等</t>
        </is>
      </c>
      <c r="C907" s="10" t="inlineStr">
        <is>
          <t>2022-09</t>
        </is>
      </c>
      <c r="D907" s="10" t="n">
        <v>6</v>
      </c>
      <c r="E907" s="12" t="n">
        <v>7880</v>
      </c>
      <c r="F907" s="12" t="n">
        <v>8593</v>
      </c>
      <c r="G907" s="12" t="n">
        <v>-713</v>
      </c>
      <c r="H907" s="13" t="n">
        <v>0.2302</v>
      </c>
      <c r="I907" s="13" t="n">
        <v>0.2379</v>
      </c>
    </row>
    <row r="908">
      <c r="A908" s="10" t="inlineStr">
        <is>
          <t>PJ-2022-F</t>
        </is>
      </c>
      <c r="B908" s="10" t="inlineStr">
        <is>
          <t>素朴版／月内均等</t>
        </is>
      </c>
      <c r="C908" s="10" t="inlineStr">
        <is>
          <t>2022-10</t>
        </is>
      </c>
      <c r="D908" s="10" t="n">
        <v>7</v>
      </c>
      <c r="E908" s="12" t="n">
        <v>9414.799999999999</v>
      </c>
      <c r="F908" s="12" t="n">
        <v>9513.5</v>
      </c>
      <c r="G908" s="12" t="n">
        <v>-98.7</v>
      </c>
      <c r="H908" s="13" t="n">
        <v>0.2969</v>
      </c>
      <c r="I908" s="13" t="n">
        <v>0.3053</v>
      </c>
    </row>
    <row r="909">
      <c r="A909" s="10" t="inlineStr">
        <is>
          <t>PJ-2022-F</t>
        </is>
      </c>
      <c r="B909" s="10" t="inlineStr">
        <is>
          <t>素朴版／月内均等</t>
        </is>
      </c>
      <c r="C909" s="10" t="inlineStr">
        <is>
          <t>2022-11</t>
        </is>
      </c>
      <c r="D909" s="10" t="n">
        <v>8</v>
      </c>
      <c r="E909" s="12" t="n">
        <v>9599.4</v>
      </c>
      <c r="F909" s="12" t="n">
        <v>11622</v>
      </c>
      <c r="G909" s="12" t="n">
        <v>-2022.6</v>
      </c>
      <c r="H909" s="13" t="n">
        <v>0.3649</v>
      </c>
      <c r="I909" s="13" t="n">
        <v>0.3877</v>
      </c>
    </row>
    <row r="910">
      <c r="A910" s="10" t="inlineStr">
        <is>
          <t>PJ-2022-F</t>
        </is>
      </c>
      <c r="B910" s="10" t="inlineStr">
        <is>
          <t>素朴版／月内均等</t>
        </is>
      </c>
      <c r="C910" s="10" t="inlineStr">
        <is>
          <t>2022-12</t>
        </is>
      </c>
      <c r="D910" s="10" t="n">
        <v>9</v>
      </c>
      <c r="E910" s="12" t="n">
        <v>9253.299999999999</v>
      </c>
      <c r="F910" s="12" t="n">
        <v>11222.9</v>
      </c>
      <c r="G910" s="12" t="n">
        <v>-1969.6</v>
      </c>
      <c r="H910" s="13" t="n">
        <v>0.4305</v>
      </c>
      <c r="I910" s="13" t="n">
        <v>0.4673</v>
      </c>
    </row>
    <row r="911">
      <c r="A911" s="10" t="inlineStr">
        <is>
          <t>PJ-2022-F</t>
        </is>
      </c>
      <c r="B911" s="10" t="inlineStr">
        <is>
          <t>素朴版／月内均等</t>
        </is>
      </c>
      <c r="C911" s="10" t="inlineStr">
        <is>
          <t>2023-01</t>
        </is>
      </c>
      <c r="D911" s="10" t="n">
        <v>10</v>
      </c>
      <c r="E911" s="12" t="n">
        <v>11020.3</v>
      </c>
      <c r="F911" s="12" t="n">
        <v>9600.700000000001</v>
      </c>
      <c r="G911" s="12" t="n">
        <v>1419.6</v>
      </c>
      <c r="H911" s="13" t="n">
        <v>0.5086000000000001</v>
      </c>
      <c r="I911" s="13" t="n">
        <v>0.5353</v>
      </c>
    </row>
    <row r="912">
      <c r="A912" s="10" t="inlineStr">
        <is>
          <t>PJ-2022-F</t>
        </is>
      </c>
      <c r="B912" s="10" t="inlineStr">
        <is>
          <t>素朴版／月内均等</t>
        </is>
      </c>
      <c r="C912" s="10" t="inlineStr">
        <is>
          <t>2023-02</t>
        </is>
      </c>
      <c r="D912" s="10" t="n">
        <v>11</v>
      </c>
      <c r="E912" s="12" t="n">
        <v>10775</v>
      </c>
      <c r="F912" s="12" t="n">
        <v>7097.2</v>
      </c>
      <c r="G912" s="12" t="n">
        <v>3677.8</v>
      </c>
      <c r="H912" s="13" t="n">
        <v>0.585</v>
      </c>
      <c r="I912" s="13" t="n">
        <v>0.5856</v>
      </c>
    </row>
    <row r="913">
      <c r="A913" s="10" t="inlineStr">
        <is>
          <t>PJ-2022-F</t>
        </is>
      </c>
      <c r="B913" s="10" t="inlineStr">
        <is>
          <t>素朴版／月内均等</t>
        </is>
      </c>
      <c r="C913" s="10" t="inlineStr">
        <is>
          <t>2023-03</t>
        </is>
      </c>
      <c r="D913" s="10" t="n">
        <v>12</v>
      </c>
      <c r="E913" s="12" t="n">
        <v>12538</v>
      </c>
      <c r="F913" s="12" t="n">
        <v>8011</v>
      </c>
      <c r="G913" s="12" t="n">
        <v>4527</v>
      </c>
      <c r="H913" s="13" t="n">
        <v>0.6739000000000001</v>
      </c>
      <c r="I913" s="13" t="n">
        <v>0.6424</v>
      </c>
    </row>
    <row r="914">
      <c r="A914" s="10" t="inlineStr">
        <is>
          <t>PJ-2022-F</t>
        </is>
      </c>
      <c r="B914" s="10" t="inlineStr">
        <is>
          <t>素朴版／月内均等</t>
        </is>
      </c>
      <c r="C914" s="10" t="inlineStr">
        <is>
          <t>2023-04</t>
        </is>
      </c>
      <c r="D914" s="10" t="n">
        <v>13</v>
      </c>
      <c r="E914" s="12" t="n">
        <v>10732</v>
      </c>
      <c r="F914" s="12" t="n">
        <v>7572.9</v>
      </c>
      <c r="G914" s="12" t="n">
        <v>3159.1</v>
      </c>
      <c r="H914" s="13" t="n">
        <v>0.7499</v>
      </c>
      <c r="I914" s="13" t="n">
        <v>0.6961000000000001</v>
      </c>
    </row>
    <row r="915">
      <c r="A915" s="10" t="inlineStr">
        <is>
          <t>PJ-2022-F</t>
        </is>
      </c>
      <c r="B915" s="10" t="inlineStr">
        <is>
          <t>素朴版／月内均等</t>
        </is>
      </c>
      <c r="C915" s="10" t="inlineStr">
        <is>
          <t>2023-05</t>
        </is>
      </c>
      <c r="D915" s="10" t="n">
        <v>14</v>
      </c>
      <c r="E915" s="12" t="n">
        <v>10196.3</v>
      </c>
      <c r="F915" s="12" t="n">
        <v>10002.8</v>
      </c>
      <c r="G915" s="12" t="n">
        <v>193.5</v>
      </c>
      <c r="H915" s="13" t="n">
        <v>0.8222</v>
      </c>
      <c r="I915" s="13" t="n">
        <v>0.767</v>
      </c>
    </row>
    <row r="916">
      <c r="A916" s="10" t="inlineStr">
        <is>
          <t>PJ-2022-F</t>
        </is>
      </c>
      <c r="B916" s="10" t="inlineStr">
        <is>
          <t>素朴版／月内均等</t>
        </is>
      </c>
      <c r="C916" s="10" t="inlineStr">
        <is>
          <t>2023-06</t>
        </is>
      </c>
      <c r="D916" s="10" t="n">
        <v>15</v>
      </c>
      <c r="E916" s="12" t="n">
        <v>9174.1</v>
      </c>
      <c r="F916" s="12" t="n">
        <v>14960.5</v>
      </c>
      <c r="G916" s="12" t="n">
        <v>-5786.4</v>
      </c>
      <c r="H916" s="13" t="n">
        <v>0.8872</v>
      </c>
      <c r="I916" s="13" t="n">
        <v>0.873</v>
      </c>
    </row>
    <row r="917">
      <c r="A917" s="10" t="inlineStr">
        <is>
          <t>PJ-2022-F</t>
        </is>
      </c>
      <c r="B917" s="10" t="inlineStr">
        <is>
          <t>素朴版／月内均等</t>
        </is>
      </c>
      <c r="C917" s="10" t="inlineStr">
        <is>
          <t>2023-07</t>
        </is>
      </c>
      <c r="D917" s="10" t="n">
        <v>16</v>
      </c>
      <c r="E917" s="12" t="n">
        <v>7201.6</v>
      </c>
      <c r="F917" s="12" t="n">
        <v>11519.7</v>
      </c>
      <c r="G917" s="12" t="n">
        <v>-4318.1</v>
      </c>
      <c r="H917" s="13" t="n">
        <v>0.9383</v>
      </c>
      <c r="I917" s="13" t="n">
        <v>0.9547</v>
      </c>
    </row>
    <row r="918">
      <c r="A918" s="10" t="inlineStr">
        <is>
          <t>PJ-2022-F</t>
        </is>
      </c>
      <c r="B918" s="10" t="inlineStr">
        <is>
          <t>素朴版／月内均等</t>
        </is>
      </c>
      <c r="C918" s="10" t="inlineStr">
        <is>
          <t>2023-08</t>
        </is>
      </c>
      <c r="D918" s="10" t="n">
        <v>17</v>
      </c>
      <c r="E918" s="12" t="n">
        <v>5608.4</v>
      </c>
      <c r="F918" s="12" t="n">
        <v>5165</v>
      </c>
      <c r="G918" s="12" t="n">
        <v>443.4</v>
      </c>
      <c r="H918" s="13" t="n">
        <v>0.978</v>
      </c>
      <c r="I918" s="13" t="n">
        <v>0.9913</v>
      </c>
    </row>
    <row r="919">
      <c r="A919" s="10" t="inlineStr">
        <is>
          <t>PJ-2022-F</t>
        </is>
      </c>
      <c r="B919" s="10" t="inlineStr">
        <is>
          <t>素朴版／月内均等</t>
        </is>
      </c>
      <c r="C919" s="10" t="inlineStr">
        <is>
          <t>2023-09</t>
        </is>
      </c>
      <c r="D919" s="10" t="n">
        <v>18</v>
      </c>
      <c r="E919" s="12" t="n">
        <v>3098.4</v>
      </c>
      <c r="F919" s="12" t="n">
        <v>1228.6</v>
      </c>
      <c r="G919" s="12" t="n">
        <v>1869.8</v>
      </c>
      <c r="H919" s="13" t="n">
        <v>1</v>
      </c>
      <c r="I919" s="13" t="n">
        <v>1</v>
      </c>
    </row>
    <row r="920">
      <c r="A920" s="10" t="inlineStr">
        <is>
          <t>PJ-2022-F</t>
        </is>
      </c>
      <c r="B920" s="10" t="inlineStr">
        <is>
          <t>位置合わせ(MS学習値)／月内均等</t>
        </is>
      </c>
      <c r="C920" s="10" t="inlineStr">
        <is>
          <t>2022-04</t>
        </is>
      </c>
      <c r="D920" s="10" t="n">
        <v>1</v>
      </c>
      <c r="E920" s="12" t="n">
        <v>3297</v>
      </c>
      <c r="F920" s="12" t="n">
        <v>1989.3</v>
      </c>
      <c r="G920" s="12" t="n">
        <v>1307.7</v>
      </c>
      <c r="H920" s="13" t="n">
        <v>0.0234</v>
      </c>
      <c r="I920" s="13" t="n">
        <v>0.0141</v>
      </c>
    </row>
    <row r="921">
      <c r="A921" s="10" t="inlineStr">
        <is>
          <t>PJ-2022-F</t>
        </is>
      </c>
      <c r="B921" s="10" t="inlineStr">
        <is>
          <t>位置合わせ(MS学習値)／月内均等</t>
        </is>
      </c>
      <c r="C921" s="10" t="inlineStr">
        <is>
          <t>2022-05</t>
        </is>
      </c>
      <c r="D921" s="10" t="n">
        <v>2</v>
      </c>
      <c r="E921" s="12" t="n">
        <v>4391.6</v>
      </c>
      <c r="F921" s="12" t="n">
        <v>3873.1</v>
      </c>
      <c r="G921" s="12" t="n">
        <v>518.5</v>
      </c>
      <c r="H921" s="13" t="n">
        <v>0.0545</v>
      </c>
      <c r="I921" s="13" t="n">
        <v>0.0416</v>
      </c>
    </row>
    <row r="922">
      <c r="A922" s="10" t="inlineStr">
        <is>
          <t>PJ-2022-F</t>
        </is>
      </c>
      <c r="B922" s="10" t="inlineStr">
        <is>
          <t>位置合わせ(MS学習値)／月内均等</t>
        </is>
      </c>
      <c r="C922" s="10" t="inlineStr">
        <is>
          <t>2022-06</t>
        </is>
      </c>
      <c r="D922" s="10" t="n">
        <v>3</v>
      </c>
      <c r="E922" s="12" t="n">
        <v>4879.2</v>
      </c>
      <c r="F922" s="12" t="n">
        <v>5042.1</v>
      </c>
      <c r="G922" s="12" t="n">
        <v>-162.9</v>
      </c>
      <c r="H922" s="13" t="n">
        <v>0.0891</v>
      </c>
      <c r="I922" s="13" t="n">
        <v>0.07729999999999999</v>
      </c>
    </row>
    <row r="923">
      <c r="A923" s="10" t="inlineStr">
        <is>
          <t>PJ-2022-F</t>
        </is>
      </c>
      <c r="B923" s="10" t="inlineStr">
        <is>
          <t>位置合わせ(MS学習値)／月内均等</t>
        </is>
      </c>
      <c r="C923" s="10" t="inlineStr">
        <is>
          <t>2022-07</t>
        </is>
      </c>
      <c r="D923" s="10" t="n">
        <v>4</v>
      </c>
      <c r="E923" s="12" t="n">
        <v>5396.7</v>
      </c>
      <c r="F923" s="12" t="n">
        <v>6282.6</v>
      </c>
      <c r="G923" s="12" t="n">
        <v>-885.9</v>
      </c>
      <c r="H923" s="13" t="n">
        <v>0.1273</v>
      </c>
      <c r="I923" s="13" t="n">
        <v>0.1218</v>
      </c>
    </row>
    <row r="924">
      <c r="A924" s="10" t="inlineStr">
        <is>
          <t>PJ-2022-F</t>
        </is>
      </c>
      <c r="B924" s="10" t="inlineStr">
        <is>
          <t>位置合わせ(MS学習値)／月内均等</t>
        </is>
      </c>
      <c r="C924" s="10" t="inlineStr">
        <is>
          <t>2022-08</t>
        </is>
      </c>
      <c r="D924" s="10" t="n">
        <v>5</v>
      </c>
      <c r="E924" s="12" t="n">
        <v>6146.6</v>
      </c>
      <c r="F924" s="12" t="n">
        <v>7785.3</v>
      </c>
      <c r="G924" s="12" t="n">
        <v>-1638.7</v>
      </c>
      <c r="H924" s="13" t="n">
        <v>0.1709</v>
      </c>
      <c r="I924" s="13" t="n">
        <v>0.177</v>
      </c>
    </row>
    <row r="925">
      <c r="A925" s="10" t="inlineStr">
        <is>
          <t>PJ-2022-F</t>
        </is>
      </c>
      <c r="B925" s="10" t="inlineStr">
        <is>
          <t>位置合わせ(MS学習値)／月内均等</t>
        </is>
      </c>
      <c r="C925" s="10" t="inlineStr">
        <is>
          <t>2022-09</t>
        </is>
      </c>
      <c r="D925" s="10" t="n">
        <v>6</v>
      </c>
      <c r="E925" s="12" t="n">
        <v>7109.5</v>
      </c>
      <c r="F925" s="12" t="n">
        <v>8593</v>
      </c>
      <c r="G925" s="12" t="n">
        <v>-1483.5</v>
      </c>
      <c r="H925" s="13" t="n">
        <v>0.2213</v>
      </c>
      <c r="I925" s="13" t="n">
        <v>0.2379</v>
      </c>
    </row>
    <row r="926">
      <c r="A926" s="10" t="inlineStr">
        <is>
          <t>PJ-2022-F</t>
        </is>
      </c>
      <c r="B926" s="10" t="inlineStr">
        <is>
          <t>位置合わせ(MS学習値)／月内均等</t>
        </is>
      </c>
      <c r="C926" s="10" t="inlineStr">
        <is>
          <t>2022-10</t>
        </is>
      </c>
      <c r="D926" s="10" t="n">
        <v>7</v>
      </c>
      <c r="E926" s="12" t="n">
        <v>8760.5</v>
      </c>
      <c r="F926" s="12" t="n">
        <v>9513.5</v>
      </c>
      <c r="G926" s="12" t="n">
        <v>-753</v>
      </c>
      <c r="H926" s="13" t="n">
        <v>0.2834</v>
      </c>
      <c r="I926" s="13" t="n">
        <v>0.3053</v>
      </c>
    </row>
    <row r="927">
      <c r="A927" s="10" t="inlineStr">
        <is>
          <t>PJ-2022-F</t>
        </is>
      </c>
      <c r="B927" s="10" t="inlineStr">
        <is>
          <t>位置合わせ(MS学習値)／月内均等</t>
        </is>
      </c>
      <c r="C927" s="10" t="inlineStr">
        <is>
          <t>2022-11</t>
        </is>
      </c>
      <c r="D927" s="10" t="n">
        <v>8</v>
      </c>
      <c r="E927" s="12" t="n">
        <v>9393.5</v>
      </c>
      <c r="F927" s="12" t="n">
        <v>11622</v>
      </c>
      <c r="G927" s="12" t="n">
        <v>-2228.5</v>
      </c>
      <c r="H927" s="13" t="n">
        <v>0.35</v>
      </c>
      <c r="I927" s="13" t="n">
        <v>0.3877</v>
      </c>
    </row>
    <row r="928">
      <c r="A928" s="10" t="inlineStr">
        <is>
          <t>PJ-2022-F</t>
        </is>
      </c>
      <c r="B928" s="10" t="inlineStr">
        <is>
          <t>位置合わせ(MS学習値)／月内均等</t>
        </is>
      </c>
      <c r="C928" s="10" t="inlineStr">
        <is>
          <t>2022-12</t>
        </is>
      </c>
      <c r="D928" s="10" t="n">
        <v>9</v>
      </c>
      <c r="E928" s="12" t="n">
        <v>11226.9</v>
      </c>
      <c r="F928" s="12" t="n">
        <v>11222.9</v>
      </c>
      <c r="G928" s="12" t="n">
        <v>4</v>
      </c>
      <c r="H928" s="13" t="n">
        <v>0.4295</v>
      </c>
      <c r="I928" s="13" t="n">
        <v>0.4673</v>
      </c>
    </row>
    <row r="929">
      <c r="A929" s="10" t="inlineStr">
        <is>
          <t>PJ-2022-F</t>
        </is>
      </c>
      <c r="B929" s="10" t="inlineStr">
        <is>
          <t>位置合わせ(MS学習値)／月内均等</t>
        </is>
      </c>
      <c r="C929" s="10" t="inlineStr">
        <is>
          <t>2023-01</t>
        </is>
      </c>
      <c r="D929" s="10" t="n">
        <v>10</v>
      </c>
      <c r="E929" s="12" t="n">
        <v>11789.1</v>
      </c>
      <c r="F929" s="12" t="n">
        <v>9600.700000000001</v>
      </c>
      <c r="G929" s="12" t="n">
        <v>2188.4</v>
      </c>
      <c r="H929" s="13" t="n">
        <v>0.5131</v>
      </c>
      <c r="I929" s="13" t="n">
        <v>0.5353</v>
      </c>
    </row>
    <row r="930">
      <c r="A930" s="10" t="inlineStr">
        <is>
          <t>PJ-2022-F</t>
        </is>
      </c>
      <c r="B930" s="10" t="inlineStr">
        <is>
          <t>位置合わせ(MS学習値)／月内均等</t>
        </is>
      </c>
      <c r="C930" s="10" t="inlineStr">
        <is>
          <t>2023-02</t>
        </is>
      </c>
      <c r="D930" s="10" t="n">
        <v>11</v>
      </c>
      <c r="E930" s="12" t="n">
        <v>10920.2</v>
      </c>
      <c r="F930" s="12" t="n">
        <v>7097.2</v>
      </c>
      <c r="G930" s="12" t="n">
        <v>3823</v>
      </c>
      <c r="H930" s="13" t="n">
        <v>0.5905</v>
      </c>
      <c r="I930" s="13" t="n">
        <v>0.5856</v>
      </c>
    </row>
    <row r="931">
      <c r="A931" s="10" t="inlineStr">
        <is>
          <t>PJ-2022-F</t>
        </is>
      </c>
      <c r="B931" s="10" t="inlineStr">
        <is>
          <t>位置合わせ(MS学習値)／月内均等</t>
        </is>
      </c>
      <c r="C931" s="10" t="inlineStr">
        <is>
          <t>2023-03</t>
        </is>
      </c>
      <c r="D931" s="10" t="n">
        <v>12</v>
      </c>
      <c r="E931" s="12" t="n">
        <v>12155.1</v>
      </c>
      <c r="F931" s="12" t="n">
        <v>8011</v>
      </c>
      <c r="G931" s="12" t="n">
        <v>4144.1</v>
      </c>
      <c r="H931" s="13" t="n">
        <v>0.6767</v>
      </c>
      <c r="I931" s="13" t="n">
        <v>0.6424</v>
      </c>
    </row>
    <row r="932">
      <c r="A932" s="10" t="inlineStr">
        <is>
          <t>PJ-2022-F</t>
        </is>
      </c>
      <c r="B932" s="10" t="inlineStr">
        <is>
          <t>位置合わせ(MS学習値)／月内均等</t>
        </is>
      </c>
      <c r="C932" s="10" t="inlineStr">
        <is>
          <t>2023-04</t>
        </is>
      </c>
      <c r="D932" s="10" t="n">
        <v>13</v>
      </c>
      <c r="E932" s="12" t="n">
        <v>11485.8</v>
      </c>
      <c r="F932" s="12" t="n">
        <v>7572.9</v>
      </c>
      <c r="G932" s="12" t="n">
        <v>3912.9</v>
      </c>
      <c r="H932" s="13" t="n">
        <v>0.7581</v>
      </c>
      <c r="I932" s="13" t="n">
        <v>0.6961000000000001</v>
      </c>
    </row>
    <row r="933">
      <c r="A933" s="10" t="inlineStr">
        <is>
          <t>PJ-2022-F</t>
        </is>
      </c>
      <c r="B933" s="10" t="inlineStr">
        <is>
          <t>位置合わせ(MS学習値)／月内均等</t>
        </is>
      </c>
      <c r="C933" s="10" t="inlineStr">
        <is>
          <t>2023-05</t>
        </is>
      </c>
      <c r="D933" s="10" t="n">
        <v>14</v>
      </c>
      <c r="E933" s="12" t="n">
        <v>10070.4</v>
      </c>
      <c r="F933" s="12" t="n">
        <v>10002.8</v>
      </c>
      <c r="G933" s="12" t="n">
        <v>67.59999999999999</v>
      </c>
      <c r="H933" s="13" t="n">
        <v>0.8295</v>
      </c>
      <c r="I933" s="13" t="n">
        <v>0.767</v>
      </c>
    </row>
    <row r="934">
      <c r="A934" s="10" t="inlineStr">
        <is>
          <t>PJ-2022-F</t>
        </is>
      </c>
      <c r="B934" s="10" t="inlineStr">
        <is>
          <t>位置合わせ(MS学習値)／月内均等</t>
        </is>
      </c>
      <c r="C934" s="10" t="inlineStr">
        <is>
          <t>2023-06</t>
        </is>
      </c>
      <c r="D934" s="10" t="n">
        <v>15</v>
      </c>
      <c r="E934" s="12" t="n">
        <v>8292.299999999999</v>
      </c>
      <c r="F934" s="12" t="n">
        <v>14960.5</v>
      </c>
      <c r="G934" s="12" t="n">
        <v>-6668.2</v>
      </c>
      <c r="H934" s="13" t="n">
        <v>0.8882</v>
      </c>
      <c r="I934" s="13" t="n">
        <v>0.873</v>
      </c>
    </row>
    <row r="935">
      <c r="A935" s="10" t="inlineStr">
        <is>
          <t>PJ-2022-F</t>
        </is>
      </c>
      <c r="B935" s="10" t="inlineStr">
        <is>
          <t>位置合わせ(MS学習値)／月内均等</t>
        </is>
      </c>
      <c r="C935" s="10" t="inlineStr">
        <is>
          <t>2023-07</t>
        </is>
      </c>
      <c r="D935" s="10" t="n">
        <v>16</v>
      </c>
      <c r="E935" s="12" t="n">
        <v>7002</v>
      </c>
      <c r="F935" s="12" t="n">
        <v>11519.7</v>
      </c>
      <c r="G935" s="12" t="n">
        <v>-4517.7</v>
      </c>
      <c r="H935" s="13" t="n">
        <v>0.9379</v>
      </c>
      <c r="I935" s="13" t="n">
        <v>0.9547</v>
      </c>
    </row>
    <row r="936">
      <c r="A936" s="10" t="inlineStr">
        <is>
          <t>PJ-2022-F</t>
        </is>
      </c>
      <c r="B936" s="10" t="inlineStr">
        <is>
          <t>位置合わせ(MS学習値)／月内均等</t>
        </is>
      </c>
      <c r="C936" s="10" t="inlineStr">
        <is>
          <t>2023-08</t>
        </is>
      </c>
      <c r="D936" s="10" t="n">
        <v>17</v>
      </c>
      <c r="E936" s="12" t="n">
        <v>5726.5</v>
      </c>
      <c r="F936" s="12" t="n">
        <v>5165</v>
      </c>
      <c r="G936" s="12" t="n">
        <v>561.5</v>
      </c>
      <c r="H936" s="13" t="n">
        <v>0.9785</v>
      </c>
      <c r="I936" s="13" t="n">
        <v>0.9913</v>
      </c>
    </row>
    <row r="937">
      <c r="A937" s="10" t="inlineStr">
        <is>
          <t>PJ-2022-F</t>
        </is>
      </c>
      <c r="B937" s="10" t="inlineStr">
        <is>
          <t>位置合わせ(MS学習値)／月内均等</t>
        </is>
      </c>
      <c r="C937" s="10" t="inlineStr">
        <is>
          <t>2023-09</t>
        </is>
      </c>
      <c r="D937" s="10" t="n">
        <v>18</v>
      </c>
      <c r="E937" s="12" t="n">
        <v>3039.3</v>
      </c>
      <c r="F937" s="12" t="n">
        <v>1228.6</v>
      </c>
      <c r="G937" s="12" t="n">
        <v>1810.7</v>
      </c>
      <c r="H937" s="13" t="n">
        <v>1</v>
      </c>
      <c r="I937" s="13" t="n">
        <v>1</v>
      </c>
    </row>
    <row r="938">
      <c r="A938" s="10" t="inlineStr">
        <is>
          <t>PJ-2022-F</t>
        </is>
      </c>
      <c r="B938" s="10" t="inlineStr">
        <is>
          <t>位置合わせ(MS指定)／月内均等</t>
        </is>
      </c>
      <c r="C938" s="10" t="inlineStr">
        <is>
          <t>2022-04</t>
        </is>
      </c>
      <c r="D938" s="10" t="n">
        <v>1</v>
      </c>
      <c r="E938" s="12" t="n">
        <v>3501.7</v>
      </c>
      <c r="F938" s="12" t="n">
        <v>1989.3</v>
      </c>
      <c r="G938" s="12" t="n">
        <v>1512.4</v>
      </c>
      <c r="H938" s="13" t="n">
        <v>0.0248</v>
      </c>
      <c r="I938" s="13" t="n">
        <v>0.0141</v>
      </c>
    </row>
    <row r="939">
      <c r="A939" s="10" t="inlineStr">
        <is>
          <t>PJ-2022-F</t>
        </is>
      </c>
      <c r="B939" s="10" t="inlineStr">
        <is>
          <t>位置合わせ(MS指定)／月内均等</t>
        </is>
      </c>
      <c r="C939" s="10" t="inlineStr">
        <is>
          <t>2022-05</t>
        </is>
      </c>
      <c r="D939" s="10" t="n">
        <v>2</v>
      </c>
      <c r="E939" s="12" t="n">
        <v>4704.8</v>
      </c>
      <c r="F939" s="12" t="n">
        <v>3873.1</v>
      </c>
      <c r="G939" s="12" t="n">
        <v>831.7</v>
      </c>
      <c r="H939" s="13" t="n">
        <v>0.0582</v>
      </c>
      <c r="I939" s="13" t="n">
        <v>0.0416</v>
      </c>
    </row>
    <row r="940">
      <c r="A940" s="10" t="inlineStr">
        <is>
          <t>PJ-2022-F</t>
        </is>
      </c>
      <c r="B940" s="10" t="inlineStr">
        <is>
          <t>位置合わせ(MS指定)／月内均等</t>
        </is>
      </c>
      <c r="C940" s="10" t="inlineStr">
        <is>
          <t>2022-06</t>
        </is>
      </c>
      <c r="D940" s="10" t="n">
        <v>3</v>
      </c>
      <c r="E940" s="12" t="n">
        <v>5199.6</v>
      </c>
      <c r="F940" s="12" t="n">
        <v>5042.1</v>
      </c>
      <c r="G940" s="12" t="n">
        <v>157.5</v>
      </c>
      <c r="H940" s="13" t="n">
        <v>0.095</v>
      </c>
      <c r="I940" s="13" t="n">
        <v>0.07729999999999999</v>
      </c>
    </row>
    <row r="941">
      <c r="A941" s="10" t="inlineStr">
        <is>
          <t>PJ-2022-F</t>
        </is>
      </c>
      <c r="B941" s="10" t="inlineStr">
        <is>
          <t>位置合わせ(MS指定)／月内均等</t>
        </is>
      </c>
      <c r="C941" s="10" t="inlineStr">
        <is>
          <t>2022-07</t>
        </is>
      </c>
      <c r="D941" s="10" t="n">
        <v>4</v>
      </c>
      <c r="E941" s="12" t="n">
        <v>5803.5</v>
      </c>
      <c r="F941" s="12" t="n">
        <v>6282.6</v>
      </c>
      <c r="G941" s="12" t="n">
        <v>-479.1</v>
      </c>
      <c r="H941" s="13" t="n">
        <v>0.1362</v>
      </c>
      <c r="I941" s="13" t="n">
        <v>0.1218</v>
      </c>
    </row>
    <row r="942">
      <c r="A942" s="10" t="inlineStr">
        <is>
          <t>PJ-2022-F</t>
        </is>
      </c>
      <c r="B942" s="10" t="inlineStr">
        <is>
          <t>位置合わせ(MS指定)／月内均等</t>
        </is>
      </c>
      <c r="C942" s="10" t="inlineStr">
        <is>
          <t>2022-08</t>
        </is>
      </c>
      <c r="D942" s="10" t="n">
        <v>5</v>
      </c>
      <c r="E942" s="12" t="n">
        <v>6686</v>
      </c>
      <c r="F942" s="12" t="n">
        <v>7785.3</v>
      </c>
      <c r="G942" s="12" t="n">
        <v>-1099.3</v>
      </c>
      <c r="H942" s="13" t="n">
        <v>0.1835</v>
      </c>
      <c r="I942" s="13" t="n">
        <v>0.177</v>
      </c>
    </row>
    <row r="943">
      <c r="A943" s="10" t="inlineStr">
        <is>
          <t>PJ-2022-F</t>
        </is>
      </c>
      <c r="B943" s="10" t="inlineStr">
        <is>
          <t>位置合わせ(MS指定)／月内均等</t>
        </is>
      </c>
      <c r="C943" s="10" t="inlineStr">
        <is>
          <t>2022-09</t>
        </is>
      </c>
      <c r="D943" s="10" t="n">
        <v>6</v>
      </c>
      <c r="E943" s="12" t="n">
        <v>8058</v>
      </c>
      <c r="F943" s="12" t="n">
        <v>8593</v>
      </c>
      <c r="G943" s="12" t="n">
        <v>-535</v>
      </c>
      <c r="H943" s="13" t="n">
        <v>0.2407</v>
      </c>
      <c r="I943" s="13" t="n">
        <v>0.2379</v>
      </c>
    </row>
    <row r="944">
      <c r="A944" s="10" t="inlineStr">
        <is>
          <t>PJ-2022-F</t>
        </is>
      </c>
      <c r="B944" s="10" t="inlineStr">
        <is>
          <t>位置合わせ(MS指定)／月内均等</t>
        </is>
      </c>
      <c r="C944" s="10" t="inlineStr">
        <is>
          <t>2022-10</t>
        </is>
      </c>
      <c r="D944" s="10" t="n">
        <v>7</v>
      </c>
      <c r="E944" s="12" t="n">
        <v>9606.9</v>
      </c>
      <c r="F944" s="12" t="n">
        <v>9513.5</v>
      </c>
      <c r="G944" s="12" t="n">
        <v>93.40000000000001</v>
      </c>
      <c r="H944" s="13" t="n">
        <v>0.3088</v>
      </c>
      <c r="I944" s="13" t="n">
        <v>0.3053</v>
      </c>
    </row>
    <row r="945">
      <c r="A945" s="10" t="inlineStr">
        <is>
          <t>PJ-2022-F</t>
        </is>
      </c>
      <c r="B945" s="10" t="inlineStr">
        <is>
          <t>位置合わせ(MS指定)／月内均等</t>
        </is>
      </c>
      <c r="C945" s="10" t="inlineStr">
        <is>
          <t>2022-11</t>
        </is>
      </c>
      <c r="D945" s="10" t="n">
        <v>8</v>
      </c>
      <c r="E945" s="12" t="n">
        <v>10293.5</v>
      </c>
      <c r="F945" s="12" t="n">
        <v>11622</v>
      </c>
      <c r="G945" s="12" t="n">
        <v>-1328.5</v>
      </c>
      <c r="H945" s="13" t="n">
        <v>0.3817</v>
      </c>
      <c r="I945" s="13" t="n">
        <v>0.3877</v>
      </c>
    </row>
    <row r="946">
      <c r="A946" s="10" t="inlineStr">
        <is>
          <t>PJ-2022-F</t>
        </is>
      </c>
      <c r="B946" s="10" t="inlineStr">
        <is>
          <t>位置合わせ(MS指定)／月内均等</t>
        </is>
      </c>
      <c r="C946" s="10" t="inlineStr">
        <is>
          <t>2022-12</t>
        </is>
      </c>
      <c r="D946" s="10" t="n">
        <v>9</v>
      </c>
      <c r="E946" s="12" t="n">
        <v>10259.2</v>
      </c>
      <c r="F946" s="12" t="n">
        <v>11222.9</v>
      </c>
      <c r="G946" s="12" t="n">
        <v>-963.7</v>
      </c>
      <c r="H946" s="13" t="n">
        <v>0.4544</v>
      </c>
      <c r="I946" s="13" t="n">
        <v>0.4673</v>
      </c>
    </row>
    <row r="947">
      <c r="A947" s="10" t="inlineStr">
        <is>
          <t>PJ-2022-F</t>
        </is>
      </c>
      <c r="B947" s="10" t="inlineStr">
        <is>
          <t>位置合わせ(MS指定)／月内均等</t>
        </is>
      </c>
      <c r="C947" s="10" t="inlineStr">
        <is>
          <t>2023-01</t>
        </is>
      </c>
      <c r="D947" s="10" t="n">
        <v>10</v>
      </c>
      <c r="E947" s="12" t="n">
        <v>8277.4</v>
      </c>
      <c r="F947" s="12" t="n">
        <v>9600.700000000001</v>
      </c>
      <c r="G947" s="12" t="n">
        <v>-1323.3</v>
      </c>
      <c r="H947" s="13" t="n">
        <v>0.5131</v>
      </c>
      <c r="I947" s="13" t="n">
        <v>0.5353</v>
      </c>
    </row>
    <row r="948">
      <c r="A948" s="10" t="inlineStr">
        <is>
          <t>PJ-2022-F</t>
        </is>
      </c>
      <c r="B948" s="10" t="inlineStr">
        <is>
          <t>位置合わせ(MS指定)／月内均等</t>
        </is>
      </c>
      <c r="C948" s="10" t="inlineStr">
        <is>
          <t>2023-02</t>
        </is>
      </c>
      <c r="D948" s="10" t="n">
        <v>11</v>
      </c>
      <c r="E948" s="12" t="n">
        <v>7674</v>
      </c>
      <c r="F948" s="12" t="n">
        <v>7097.2</v>
      </c>
      <c r="G948" s="12" t="n">
        <v>576.8</v>
      </c>
      <c r="H948" s="13" t="n">
        <v>0.5675</v>
      </c>
      <c r="I948" s="13" t="n">
        <v>0.5856</v>
      </c>
    </row>
    <row r="949">
      <c r="A949" s="10" t="inlineStr">
        <is>
          <t>PJ-2022-F</t>
        </is>
      </c>
      <c r="B949" s="10" t="inlineStr">
        <is>
          <t>位置合わせ(MS指定)／月内均等</t>
        </is>
      </c>
      <c r="C949" s="10" t="inlineStr">
        <is>
          <t>2023-03</t>
        </is>
      </c>
      <c r="D949" s="10" t="n">
        <v>12</v>
      </c>
      <c r="E949" s="12" t="n">
        <v>8331.1</v>
      </c>
      <c r="F949" s="12" t="n">
        <v>8011</v>
      </c>
      <c r="G949" s="12" t="n">
        <v>320.1</v>
      </c>
      <c r="H949" s="13" t="n">
        <v>0.6266</v>
      </c>
      <c r="I949" s="13" t="n">
        <v>0.6424</v>
      </c>
    </row>
    <row r="950">
      <c r="A950" s="10" t="inlineStr">
        <is>
          <t>PJ-2022-F</t>
        </is>
      </c>
      <c r="B950" s="10" t="inlineStr">
        <is>
          <t>位置合わせ(MS指定)／月内均等</t>
        </is>
      </c>
      <c r="C950" s="10" t="inlineStr">
        <is>
          <t>2023-04</t>
        </is>
      </c>
      <c r="D950" s="10" t="n">
        <v>13</v>
      </c>
      <c r="E950" s="12" t="n">
        <v>8334.200000000001</v>
      </c>
      <c r="F950" s="12" t="n">
        <v>7572.9</v>
      </c>
      <c r="G950" s="12" t="n">
        <v>761.3</v>
      </c>
      <c r="H950" s="13" t="n">
        <v>0.6856</v>
      </c>
      <c r="I950" s="13" t="n">
        <v>0.6961000000000001</v>
      </c>
    </row>
    <row r="951">
      <c r="A951" s="10" t="inlineStr">
        <is>
          <t>PJ-2022-F</t>
        </is>
      </c>
      <c r="B951" s="10" t="inlineStr">
        <is>
          <t>位置合わせ(MS指定)／月内均等</t>
        </is>
      </c>
      <c r="C951" s="10" t="inlineStr">
        <is>
          <t>2023-05</t>
        </is>
      </c>
      <c r="D951" s="10" t="n">
        <v>14</v>
      </c>
      <c r="E951" s="12" t="n">
        <v>8396.9</v>
      </c>
      <c r="F951" s="12" t="n">
        <v>10002.8</v>
      </c>
      <c r="G951" s="12" t="n">
        <v>-1605.9</v>
      </c>
      <c r="H951" s="13" t="n">
        <v>0.7451</v>
      </c>
      <c r="I951" s="13" t="n">
        <v>0.767</v>
      </c>
    </row>
    <row r="952">
      <c r="A952" s="10" t="inlineStr">
        <is>
          <t>PJ-2022-F</t>
        </is>
      </c>
      <c r="B952" s="10" t="inlineStr">
        <is>
          <t>位置合わせ(MS指定)／月内均等</t>
        </is>
      </c>
      <c r="C952" s="10" t="inlineStr">
        <is>
          <t>2023-06</t>
        </is>
      </c>
      <c r="D952" s="10" t="n">
        <v>15</v>
      </c>
      <c r="E952" s="12" t="n">
        <v>11686.9</v>
      </c>
      <c r="F952" s="12" t="n">
        <v>14960.5</v>
      </c>
      <c r="G952" s="12" t="n">
        <v>-3273.6</v>
      </c>
      <c r="H952" s="13" t="n">
        <v>0.828</v>
      </c>
      <c r="I952" s="13" t="n">
        <v>0.873</v>
      </c>
    </row>
    <row r="953">
      <c r="A953" s="10" t="inlineStr">
        <is>
          <t>PJ-2022-F</t>
        </is>
      </c>
      <c r="B953" s="10" t="inlineStr">
        <is>
          <t>位置合わせ(MS指定)／月内均等</t>
        </is>
      </c>
      <c r="C953" s="10" t="inlineStr">
        <is>
          <t>2023-07</t>
        </is>
      </c>
      <c r="D953" s="10" t="n">
        <v>16</v>
      </c>
      <c r="E953" s="12" t="n">
        <v>13114</v>
      </c>
      <c r="F953" s="12" t="n">
        <v>11519.7</v>
      </c>
      <c r="G953" s="12" t="n">
        <v>1594.3</v>
      </c>
      <c r="H953" s="13" t="n">
        <v>0.9209000000000001</v>
      </c>
      <c r="I953" s="13" t="n">
        <v>0.9547</v>
      </c>
    </row>
    <row r="954">
      <c r="A954" s="10" t="inlineStr">
        <is>
          <t>PJ-2022-F</t>
        </is>
      </c>
      <c r="B954" s="10" t="inlineStr">
        <is>
          <t>位置合わせ(MS指定)／月内均等</t>
        </is>
      </c>
      <c r="C954" s="10" t="inlineStr">
        <is>
          <t>2023-08</t>
        </is>
      </c>
      <c r="D954" s="10" t="n">
        <v>17</v>
      </c>
      <c r="E954" s="12" t="n">
        <v>7866</v>
      </c>
      <c r="F954" s="12" t="n">
        <v>5165</v>
      </c>
      <c r="G954" s="12" t="n">
        <v>2701</v>
      </c>
      <c r="H954" s="13" t="n">
        <v>0.9767</v>
      </c>
      <c r="I954" s="13" t="n">
        <v>0.9913</v>
      </c>
    </row>
    <row r="955">
      <c r="A955" s="10" t="inlineStr">
        <is>
          <t>PJ-2022-F</t>
        </is>
      </c>
      <c r="B955" s="10" t="inlineStr">
        <is>
          <t>位置合わせ(MS指定)／月内均等</t>
        </is>
      </c>
      <c r="C955" s="10" t="inlineStr">
        <is>
          <t>2023-09</t>
        </is>
      </c>
      <c r="D955" s="10" t="n">
        <v>18</v>
      </c>
      <c r="E955" s="12" t="n">
        <v>3288.5</v>
      </c>
      <c r="F955" s="12" t="n">
        <v>1228.6</v>
      </c>
      <c r="G955" s="12" t="n">
        <v>2059.9</v>
      </c>
      <c r="H955" s="13" t="n">
        <v>1</v>
      </c>
      <c r="I955" s="13" t="n">
        <v>1</v>
      </c>
    </row>
    <row r="956">
      <c r="A956" s="10" t="inlineStr">
        <is>
          <t>PJ-2022-F</t>
        </is>
      </c>
      <c r="B956" s="10" t="inlineStr">
        <is>
          <t>素朴版／単調補間</t>
        </is>
      </c>
      <c r="C956" s="10" t="inlineStr">
        <is>
          <t>2022-04</t>
        </is>
      </c>
      <c r="D956" s="10" t="n">
        <v>1</v>
      </c>
      <c r="E956" s="12" t="n">
        <v>3307.5</v>
      </c>
      <c r="F956" s="12" t="n">
        <v>1989.3</v>
      </c>
      <c r="G956" s="12" t="n">
        <v>1318.2</v>
      </c>
      <c r="H956" s="13" t="n">
        <v>0.0234</v>
      </c>
      <c r="I956" s="13" t="n">
        <v>0.0141</v>
      </c>
    </row>
    <row r="957">
      <c r="A957" s="10" t="inlineStr">
        <is>
          <t>PJ-2022-F</t>
        </is>
      </c>
      <c r="B957" s="10" t="inlineStr">
        <is>
          <t>素朴版／単調補間</t>
        </is>
      </c>
      <c r="C957" s="10" t="inlineStr">
        <is>
          <t>2022-05</t>
        </is>
      </c>
      <c r="D957" s="10" t="n">
        <v>2</v>
      </c>
      <c r="E957" s="12" t="n">
        <v>4446.4</v>
      </c>
      <c r="F957" s="12" t="n">
        <v>3873.1</v>
      </c>
      <c r="G957" s="12" t="n">
        <v>573.3</v>
      </c>
      <c r="H957" s="13" t="n">
        <v>0.055</v>
      </c>
      <c r="I957" s="13" t="n">
        <v>0.0416</v>
      </c>
    </row>
    <row r="958">
      <c r="A958" s="10" t="inlineStr">
        <is>
          <t>PJ-2022-F</t>
        </is>
      </c>
      <c r="B958" s="10" t="inlineStr">
        <is>
          <t>素朴版／単調補間</t>
        </is>
      </c>
      <c r="C958" s="10" t="inlineStr">
        <is>
          <t>2022-06</t>
        </is>
      </c>
      <c r="D958" s="10" t="n">
        <v>3</v>
      </c>
      <c r="E958" s="12" t="n">
        <v>4962.5</v>
      </c>
      <c r="F958" s="12" t="n">
        <v>5042.1</v>
      </c>
      <c r="G958" s="12" t="n">
        <v>-79.59999999999999</v>
      </c>
      <c r="H958" s="13" t="n">
        <v>0.0901</v>
      </c>
      <c r="I958" s="13" t="n">
        <v>0.07729999999999999</v>
      </c>
    </row>
    <row r="959">
      <c r="A959" s="10" t="inlineStr">
        <is>
          <t>PJ-2022-F</t>
        </is>
      </c>
      <c r="B959" s="10" t="inlineStr">
        <is>
          <t>素朴版／単調補間</t>
        </is>
      </c>
      <c r="C959" s="10" t="inlineStr">
        <is>
          <t>2022-07</t>
        </is>
      </c>
      <c r="D959" s="10" t="n">
        <v>4</v>
      </c>
      <c r="E959" s="12" t="n">
        <v>5470.7</v>
      </c>
      <c r="F959" s="12" t="n">
        <v>6282.6</v>
      </c>
      <c r="G959" s="12" t="n">
        <v>-811.9</v>
      </c>
      <c r="H959" s="13" t="n">
        <v>0.1289</v>
      </c>
      <c r="I959" s="13" t="n">
        <v>0.1218</v>
      </c>
    </row>
    <row r="960">
      <c r="A960" s="10" t="inlineStr">
        <is>
          <t>PJ-2022-F</t>
        </is>
      </c>
      <c r="B960" s="10" t="inlineStr">
        <is>
          <t>素朴版／単調補間</t>
        </is>
      </c>
      <c r="C960" s="10" t="inlineStr">
        <is>
          <t>2022-08</t>
        </is>
      </c>
      <c r="D960" s="10" t="n">
        <v>5</v>
      </c>
      <c r="E960" s="12" t="n">
        <v>6342.8</v>
      </c>
      <c r="F960" s="12" t="n">
        <v>7785.3</v>
      </c>
      <c r="G960" s="12" t="n">
        <v>-1442.5</v>
      </c>
      <c r="H960" s="13" t="n">
        <v>0.1739</v>
      </c>
      <c r="I960" s="13" t="n">
        <v>0.177</v>
      </c>
    </row>
    <row r="961">
      <c r="A961" s="10" t="inlineStr">
        <is>
          <t>PJ-2022-F</t>
        </is>
      </c>
      <c r="B961" s="10" t="inlineStr">
        <is>
          <t>素朴版／単調補間</t>
        </is>
      </c>
      <c r="C961" s="10" t="inlineStr">
        <is>
          <t>2022-09</t>
        </is>
      </c>
      <c r="D961" s="10" t="n">
        <v>6</v>
      </c>
      <c r="E961" s="12" t="n">
        <v>7894.1</v>
      </c>
      <c r="F961" s="12" t="n">
        <v>8593</v>
      </c>
      <c r="G961" s="12" t="n">
        <v>-698.9</v>
      </c>
      <c r="H961" s="13" t="n">
        <v>0.2298</v>
      </c>
      <c r="I961" s="13" t="n">
        <v>0.2379</v>
      </c>
    </row>
    <row r="962">
      <c r="A962" s="10" t="inlineStr">
        <is>
          <t>PJ-2022-F</t>
        </is>
      </c>
      <c r="B962" s="10" t="inlineStr">
        <is>
          <t>素朴版／単調補間</t>
        </is>
      </c>
      <c r="C962" s="10" t="inlineStr">
        <is>
          <t>2022-10</t>
        </is>
      </c>
      <c r="D962" s="10" t="n">
        <v>7</v>
      </c>
      <c r="E962" s="12" t="n">
        <v>9431.4</v>
      </c>
      <c r="F962" s="12" t="n">
        <v>9513.5</v>
      </c>
      <c r="G962" s="12" t="n">
        <v>-82.09999999999999</v>
      </c>
      <c r="H962" s="13" t="n">
        <v>0.2967</v>
      </c>
      <c r="I962" s="13" t="n">
        <v>0.3053</v>
      </c>
    </row>
    <row r="963">
      <c r="A963" s="10" t="inlineStr">
        <is>
          <t>PJ-2022-F</t>
        </is>
      </c>
      <c r="B963" s="10" t="inlineStr">
        <is>
          <t>素朴版／単調補間</t>
        </is>
      </c>
      <c r="C963" s="10" t="inlineStr">
        <is>
          <t>2022-11</t>
        </is>
      </c>
      <c r="D963" s="10" t="n">
        <v>8</v>
      </c>
      <c r="E963" s="12" t="n">
        <v>9640</v>
      </c>
      <c r="F963" s="12" t="n">
        <v>11622</v>
      </c>
      <c r="G963" s="12" t="n">
        <v>-1982</v>
      </c>
      <c r="H963" s="13" t="n">
        <v>0.365</v>
      </c>
      <c r="I963" s="13" t="n">
        <v>0.3877</v>
      </c>
    </row>
    <row r="964">
      <c r="A964" s="10" t="inlineStr">
        <is>
          <t>PJ-2022-F</t>
        </is>
      </c>
      <c r="B964" s="10" t="inlineStr">
        <is>
          <t>素朴版／単調補間</t>
        </is>
      </c>
      <c r="C964" s="10" t="inlineStr">
        <is>
          <t>2022-12</t>
        </is>
      </c>
      <c r="D964" s="10" t="n">
        <v>9</v>
      </c>
      <c r="E964" s="12" t="n">
        <v>9209.799999999999</v>
      </c>
      <c r="F964" s="12" t="n">
        <v>11222.9</v>
      </c>
      <c r="G964" s="12" t="n">
        <v>-2013.1</v>
      </c>
      <c r="H964" s="13" t="n">
        <v>0.4303</v>
      </c>
      <c r="I964" s="13" t="n">
        <v>0.4673</v>
      </c>
    </row>
    <row r="965">
      <c r="A965" s="10" t="inlineStr">
        <is>
          <t>PJ-2022-F</t>
        </is>
      </c>
      <c r="B965" s="10" t="inlineStr">
        <is>
          <t>素朴版／単調補間</t>
        </is>
      </c>
      <c r="C965" s="10" t="inlineStr">
        <is>
          <t>2023-01</t>
        </is>
      </c>
      <c r="D965" s="10" t="n">
        <v>10</v>
      </c>
      <c r="E965" s="12" t="n">
        <v>10964.4</v>
      </c>
      <c r="F965" s="12" t="n">
        <v>9600.700000000001</v>
      </c>
      <c r="G965" s="12" t="n">
        <v>1363.7</v>
      </c>
      <c r="H965" s="13" t="n">
        <v>0.508</v>
      </c>
      <c r="I965" s="13" t="n">
        <v>0.5353</v>
      </c>
    </row>
    <row r="966">
      <c r="A966" s="10" t="inlineStr">
        <is>
          <t>PJ-2022-F</t>
        </is>
      </c>
      <c r="B966" s="10" t="inlineStr">
        <is>
          <t>素朴版／単調補間</t>
        </is>
      </c>
      <c r="C966" s="10" t="inlineStr">
        <is>
          <t>2023-02</t>
        </is>
      </c>
      <c r="D966" s="10" t="n">
        <v>11</v>
      </c>
      <c r="E966" s="12" t="n">
        <v>10703.3</v>
      </c>
      <c r="F966" s="12" t="n">
        <v>7097.2</v>
      </c>
      <c r="G966" s="12" t="n">
        <v>3606.1</v>
      </c>
      <c r="H966" s="13" t="n">
        <v>0.5839</v>
      </c>
      <c r="I966" s="13" t="n">
        <v>0.5856</v>
      </c>
    </row>
    <row r="967">
      <c r="A967" s="10" t="inlineStr">
        <is>
          <t>PJ-2022-F</t>
        </is>
      </c>
      <c r="B967" s="10" t="inlineStr">
        <is>
          <t>素朴版／単調補間</t>
        </is>
      </c>
      <c r="C967" s="10" t="inlineStr">
        <is>
          <t>2023-03</t>
        </is>
      </c>
      <c r="D967" s="10" t="n">
        <v>12</v>
      </c>
      <c r="E967" s="12" t="n">
        <v>12703.3</v>
      </c>
      <c r="F967" s="12" t="n">
        <v>8011</v>
      </c>
      <c r="G967" s="12" t="n">
        <v>4692.3</v>
      </c>
      <c r="H967" s="13" t="n">
        <v>0.6739000000000001</v>
      </c>
      <c r="I967" s="13" t="n">
        <v>0.6424</v>
      </c>
    </row>
    <row r="968">
      <c r="A968" s="10" t="inlineStr">
        <is>
          <t>PJ-2022-F</t>
        </is>
      </c>
      <c r="B968" s="10" t="inlineStr">
        <is>
          <t>素朴版／単調補間</t>
        </is>
      </c>
      <c r="C968" s="10" t="inlineStr">
        <is>
          <t>2023-04</t>
        </is>
      </c>
      <c r="D968" s="10" t="n">
        <v>13</v>
      </c>
      <c r="E968" s="12" t="n">
        <v>10756.2</v>
      </c>
      <c r="F968" s="12" t="n">
        <v>7572.9</v>
      </c>
      <c r="G968" s="12" t="n">
        <v>3183.3</v>
      </c>
      <c r="H968" s="13" t="n">
        <v>0.7501</v>
      </c>
      <c r="I968" s="13" t="n">
        <v>0.6961000000000001</v>
      </c>
    </row>
    <row r="969">
      <c r="A969" s="10" t="inlineStr">
        <is>
          <t>PJ-2022-F</t>
        </is>
      </c>
      <c r="B969" s="10" t="inlineStr">
        <is>
          <t>素朴版／単調補間</t>
        </is>
      </c>
      <c r="C969" s="10" t="inlineStr">
        <is>
          <t>2023-05</t>
        </is>
      </c>
      <c r="D969" s="10" t="n">
        <v>14</v>
      </c>
      <c r="E969" s="12" t="n">
        <v>10242</v>
      </c>
      <c r="F969" s="12" t="n">
        <v>10002.8</v>
      </c>
      <c r="G969" s="12" t="n">
        <v>239.2</v>
      </c>
      <c r="H969" s="13" t="n">
        <v>0.8227</v>
      </c>
      <c r="I969" s="13" t="n">
        <v>0.767</v>
      </c>
    </row>
    <row r="970">
      <c r="A970" s="10" t="inlineStr">
        <is>
          <t>PJ-2022-F</t>
        </is>
      </c>
      <c r="B970" s="10" t="inlineStr">
        <is>
          <t>素朴版／単調補間</t>
        </is>
      </c>
      <c r="C970" s="10" t="inlineStr">
        <is>
          <t>2023-06</t>
        </is>
      </c>
      <c r="D970" s="10" t="n">
        <v>15</v>
      </c>
      <c r="E970" s="12" t="n">
        <v>9288.5</v>
      </c>
      <c r="F970" s="12" t="n">
        <v>14960.5</v>
      </c>
      <c r="G970" s="12" t="n">
        <v>-5672</v>
      </c>
      <c r="H970" s="13" t="n">
        <v>0.8885999999999999</v>
      </c>
      <c r="I970" s="13" t="n">
        <v>0.873</v>
      </c>
    </row>
    <row r="971">
      <c r="A971" s="10" t="inlineStr">
        <is>
          <t>PJ-2022-F</t>
        </is>
      </c>
      <c r="B971" s="10" t="inlineStr">
        <is>
          <t>素朴版／単調補間</t>
        </is>
      </c>
      <c r="C971" s="10" t="inlineStr">
        <is>
          <t>2023-07</t>
        </is>
      </c>
      <c r="D971" s="10" t="n">
        <v>16</v>
      </c>
      <c r="E971" s="12" t="n">
        <v>7153.4</v>
      </c>
      <c r="F971" s="12" t="n">
        <v>11519.7</v>
      </c>
      <c r="G971" s="12" t="n">
        <v>-4366.3</v>
      </c>
      <c r="H971" s="13" t="n">
        <v>0.9393</v>
      </c>
      <c r="I971" s="13" t="n">
        <v>0.9547</v>
      </c>
    </row>
    <row r="972">
      <c r="A972" s="10" t="inlineStr">
        <is>
          <t>PJ-2022-F</t>
        </is>
      </c>
      <c r="B972" s="10" t="inlineStr">
        <is>
          <t>素朴版／単調補間</t>
        </is>
      </c>
      <c r="C972" s="10" t="inlineStr">
        <is>
          <t>2023-08</t>
        </is>
      </c>
      <c r="D972" s="10" t="n">
        <v>17</v>
      </c>
      <c r="E972" s="12" t="n">
        <v>5557.6</v>
      </c>
      <c r="F972" s="12" t="n">
        <v>5165</v>
      </c>
      <c r="G972" s="12" t="n">
        <v>392.6</v>
      </c>
      <c r="H972" s="13" t="n">
        <v>0.9787</v>
      </c>
      <c r="I972" s="13" t="n">
        <v>0.9913</v>
      </c>
    </row>
    <row r="973">
      <c r="A973" s="10" t="inlineStr">
        <is>
          <t>PJ-2022-F</t>
        </is>
      </c>
      <c r="B973" s="10" t="inlineStr">
        <is>
          <t>素朴版／単調補間</t>
        </is>
      </c>
      <c r="C973" s="10" t="inlineStr">
        <is>
          <t>2023-09</t>
        </is>
      </c>
      <c r="D973" s="10" t="n">
        <v>18</v>
      </c>
      <c r="E973" s="12" t="n">
        <v>3008.4</v>
      </c>
      <c r="F973" s="12" t="n">
        <v>1228.6</v>
      </c>
      <c r="G973" s="12" t="n">
        <v>1779.8</v>
      </c>
      <c r="H973" s="13" t="n">
        <v>1</v>
      </c>
      <c r="I973" s="13" t="n">
        <v>1</v>
      </c>
    </row>
    <row r="974">
      <c r="A974" s="10" t="inlineStr">
        <is>
          <t>PJ-2022-F</t>
        </is>
      </c>
      <c r="B974" s="10" t="inlineStr">
        <is>
          <t>位置合わせ(MS学習値)／単調補間</t>
        </is>
      </c>
      <c r="C974" s="10" t="inlineStr">
        <is>
          <t>2022-04</t>
        </is>
      </c>
      <c r="D974" s="10" t="n">
        <v>1</v>
      </c>
      <c r="E974" s="12" t="n">
        <v>3267.8</v>
      </c>
      <c r="F974" s="12" t="n">
        <v>1989.3</v>
      </c>
      <c r="G974" s="12" t="n">
        <v>1278.5</v>
      </c>
      <c r="H974" s="13" t="n">
        <v>0.0232</v>
      </c>
      <c r="I974" s="13" t="n">
        <v>0.0141</v>
      </c>
    </row>
    <row r="975">
      <c r="A975" s="10" t="inlineStr">
        <is>
          <t>PJ-2022-F</t>
        </is>
      </c>
      <c r="B975" s="10" t="inlineStr">
        <is>
          <t>位置合わせ(MS学習値)／単調補間</t>
        </is>
      </c>
      <c r="C975" s="10" t="inlineStr">
        <is>
          <t>2022-05</t>
        </is>
      </c>
      <c r="D975" s="10" t="n">
        <v>2</v>
      </c>
      <c r="E975" s="12" t="n">
        <v>4396.2</v>
      </c>
      <c r="F975" s="12" t="n">
        <v>3873.1</v>
      </c>
      <c r="G975" s="12" t="n">
        <v>523.1</v>
      </c>
      <c r="H975" s="13" t="n">
        <v>0.0543</v>
      </c>
      <c r="I975" s="13" t="n">
        <v>0.0416</v>
      </c>
    </row>
    <row r="976">
      <c r="A976" s="10" t="inlineStr">
        <is>
          <t>PJ-2022-F</t>
        </is>
      </c>
      <c r="B976" s="10" t="inlineStr">
        <is>
          <t>位置合わせ(MS学習値)／単調補間</t>
        </is>
      </c>
      <c r="C976" s="10" t="inlineStr">
        <is>
          <t>2022-06</t>
        </is>
      </c>
      <c r="D976" s="10" t="n">
        <v>3</v>
      </c>
      <c r="E976" s="12" t="n">
        <v>4880</v>
      </c>
      <c r="F976" s="12" t="n">
        <v>5042.1</v>
      </c>
      <c r="G976" s="12" t="n">
        <v>-162.1</v>
      </c>
      <c r="H976" s="13" t="n">
        <v>0.08890000000000001</v>
      </c>
      <c r="I976" s="13" t="n">
        <v>0.07729999999999999</v>
      </c>
    </row>
    <row r="977">
      <c r="A977" s="10" t="inlineStr">
        <is>
          <t>PJ-2022-F</t>
        </is>
      </c>
      <c r="B977" s="10" t="inlineStr">
        <is>
          <t>位置合わせ(MS学習値)／単調補間</t>
        </is>
      </c>
      <c r="C977" s="10" t="inlineStr">
        <is>
          <t>2022-07</t>
        </is>
      </c>
      <c r="D977" s="10" t="n">
        <v>4</v>
      </c>
      <c r="E977" s="12" t="n">
        <v>5383.4</v>
      </c>
      <c r="F977" s="12" t="n">
        <v>6282.6</v>
      </c>
      <c r="G977" s="12" t="n">
        <v>-899.2</v>
      </c>
      <c r="H977" s="13" t="n">
        <v>0.1271</v>
      </c>
      <c r="I977" s="13" t="n">
        <v>0.1218</v>
      </c>
    </row>
    <row r="978">
      <c r="A978" s="10" t="inlineStr">
        <is>
          <t>PJ-2022-F</t>
        </is>
      </c>
      <c r="B978" s="10" t="inlineStr">
        <is>
          <t>位置合わせ(MS学習値)／単調補間</t>
        </is>
      </c>
      <c r="C978" s="10" t="inlineStr">
        <is>
          <t>2022-08</t>
        </is>
      </c>
      <c r="D978" s="10" t="n">
        <v>5</v>
      </c>
      <c r="E978" s="12" t="n">
        <v>6113.9</v>
      </c>
      <c r="F978" s="12" t="n">
        <v>7785.3</v>
      </c>
      <c r="G978" s="12" t="n">
        <v>-1671.4</v>
      </c>
      <c r="H978" s="13" t="n">
        <v>0.1704</v>
      </c>
      <c r="I978" s="13" t="n">
        <v>0.177</v>
      </c>
    </row>
    <row r="979">
      <c r="A979" s="10" t="inlineStr">
        <is>
          <t>PJ-2022-F</t>
        </is>
      </c>
      <c r="B979" s="10" t="inlineStr">
        <is>
          <t>位置合わせ(MS学習値)／単調補間</t>
        </is>
      </c>
      <c r="C979" s="10" t="inlineStr">
        <is>
          <t>2022-09</t>
        </is>
      </c>
      <c r="D979" s="10" t="n">
        <v>6</v>
      </c>
      <c r="E979" s="12" t="n">
        <v>7094</v>
      </c>
      <c r="F979" s="12" t="n">
        <v>8593</v>
      </c>
      <c r="G979" s="12" t="n">
        <v>-1499</v>
      </c>
      <c r="H979" s="13" t="n">
        <v>0.2207</v>
      </c>
      <c r="I979" s="13" t="n">
        <v>0.2379</v>
      </c>
    </row>
    <row r="980">
      <c r="A980" s="10" t="inlineStr">
        <is>
          <t>PJ-2022-F</t>
        </is>
      </c>
      <c r="B980" s="10" t="inlineStr">
        <is>
          <t>位置合わせ(MS学習値)／単調補間</t>
        </is>
      </c>
      <c r="C980" s="10" t="inlineStr">
        <is>
          <t>2022-10</t>
        </is>
      </c>
      <c r="D980" s="10" t="n">
        <v>7</v>
      </c>
      <c r="E980" s="12" t="n">
        <v>8798.9</v>
      </c>
      <c r="F980" s="12" t="n">
        <v>9513.5</v>
      </c>
      <c r="G980" s="12" t="n">
        <v>-714.6</v>
      </c>
      <c r="H980" s="13" t="n">
        <v>0.2831</v>
      </c>
      <c r="I980" s="13" t="n">
        <v>0.3053</v>
      </c>
    </row>
    <row r="981">
      <c r="A981" s="10" t="inlineStr">
        <is>
          <t>PJ-2022-F</t>
        </is>
      </c>
      <c r="B981" s="10" t="inlineStr">
        <is>
          <t>位置合わせ(MS学習値)／単調補間</t>
        </is>
      </c>
      <c r="C981" s="10" t="inlineStr">
        <is>
          <t>2022-11</t>
        </is>
      </c>
      <c r="D981" s="10" t="n">
        <v>8</v>
      </c>
      <c r="E981" s="12" t="n">
        <v>9332.799999999999</v>
      </c>
      <c r="F981" s="12" t="n">
        <v>11622</v>
      </c>
      <c r="G981" s="12" t="n">
        <v>-2289.2</v>
      </c>
      <c r="H981" s="13" t="n">
        <v>0.3492</v>
      </c>
      <c r="I981" s="13" t="n">
        <v>0.3877</v>
      </c>
    </row>
    <row r="982">
      <c r="A982" s="10" t="inlineStr">
        <is>
          <t>PJ-2022-F</t>
        </is>
      </c>
      <c r="B982" s="10" t="inlineStr">
        <is>
          <t>位置合わせ(MS学習値)／単調補間</t>
        </is>
      </c>
      <c r="C982" s="10" t="inlineStr">
        <is>
          <t>2022-12</t>
        </is>
      </c>
      <c r="D982" s="10" t="n">
        <v>9</v>
      </c>
      <c r="E982" s="12" t="n">
        <v>11112.5</v>
      </c>
      <c r="F982" s="12" t="n">
        <v>11222.9</v>
      </c>
      <c r="G982" s="12" t="n">
        <v>-110.4</v>
      </c>
      <c r="H982" s="13" t="n">
        <v>0.428</v>
      </c>
      <c r="I982" s="13" t="n">
        <v>0.4673</v>
      </c>
    </row>
    <row r="983">
      <c r="A983" s="10" t="inlineStr">
        <is>
          <t>PJ-2022-F</t>
        </is>
      </c>
      <c r="B983" s="10" t="inlineStr">
        <is>
          <t>位置合わせ(MS学習値)／単調補間</t>
        </is>
      </c>
      <c r="C983" s="10" t="inlineStr">
        <is>
          <t>2023-01</t>
        </is>
      </c>
      <c r="D983" s="10" t="n">
        <v>10</v>
      </c>
      <c r="E983" s="12" t="n">
        <v>11937</v>
      </c>
      <c r="F983" s="12" t="n">
        <v>9600.700000000001</v>
      </c>
      <c r="G983" s="12" t="n">
        <v>2336.3</v>
      </c>
      <c r="H983" s="13" t="n">
        <v>0.5125999999999999</v>
      </c>
      <c r="I983" s="13" t="n">
        <v>0.5353</v>
      </c>
    </row>
    <row r="984">
      <c r="A984" s="10" t="inlineStr">
        <is>
          <t>PJ-2022-F</t>
        </is>
      </c>
      <c r="B984" s="10" t="inlineStr">
        <is>
          <t>位置合わせ(MS学習値)／単調補間</t>
        </is>
      </c>
      <c r="C984" s="10" t="inlineStr">
        <is>
          <t>2023-02</t>
        </is>
      </c>
      <c r="D984" s="10" t="n">
        <v>11</v>
      </c>
      <c r="E984" s="12" t="n">
        <v>10990.6</v>
      </c>
      <c r="F984" s="12" t="n">
        <v>7097.2</v>
      </c>
      <c r="G984" s="12" t="n">
        <v>3893.4</v>
      </c>
      <c r="H984" s="13" t="n">
        <v>0.5905</v>
      </c>
      <c r="I984" s="13" t="n">
        <v>0.5856</v>
      </c>
    </row>
    <row r="985">
      <c r="A985" s="10" t="inlineStr">
        <is>
          <t>PJ-2022-F</t>
        </is>
      </c>
      <c r="B985" s="10" t="inlineStr">
        <is>
          <t>位置合わせ(MS学習値)／単調補間</t>
        </is>
      </c>
      <c r="C985" s="10" t="inlineStr">
        <is>
          <t>2023-03</t>
        </is>
      </c>
      <c r="D985" s="10" t="n">
        <v>12</v>
      </c>
      <c r="E985" s="12" t="n">
        <v>12243.1</v>
      </c>
      <c r="F985" s="12" t="n">
        <v>8011</v>
      </c>
      <c r="G985" s="12" t="n">
        <v>4232.1</v>
      </c>
      <c r="H985" s="13" t="n">
        <v>0.6773</v>
      </c>
      <c r="I985" s="13" t="n">
        <v>0.6424</v>
      </c>
    </row>
    <row r="986">
      <c r="A986" s="10" t="inlineStr">
        <is>
          <t>PJ-2022-F</t>
        </is>
      </c>
      <c r="B986" s="10" t="inlineStr">
        <is>
          <t>位置合わせ(MS学習値)／単調補間</t>
        </is>
      </c>
      <c r="C986" s="10" t="inlineStr">
        <is>
          <t>2023-04</t>
        </is>
      </c>
      <c r="D986" s="10" t="n">
        <v>13</v>
      </c>
      <c r="E986" s="12" t="n">
        <v>11608.5</v>
      </c>
      <c r="F986" s="12" t="n">
        <v>7572.9</v>
      </c>
      <c r="G986" s="12" t="n">
        <v>4035.6</v>
      </c>
      <c r="H986" s="13" t="n">
        <v>0.7595</v>
      </c>
      <c r="I986" s="13" t="n">
        <v>0.6961000000000001</v>
      </c>
    </row>
    <row r="987">
      <c r="A987" s="10" t="inlineStr">
        <is>
          <t>PJ-2022-F</t>
        </is>
      </c>
      <c r="B987" s="10" t="inlineStr">
        <is>
          <t>位置合わせ(MS学習値)／単調補間</t>
        </is>
      </c>
      <c r="C987" s="10" t="inlineStr">
        <is>
          <t>2023-05</t>
        </is>
      </c>
      <c r="D987" s="10" t="n">
        <v>14</v>
      </c>
      <c r="E987" s="12" t="n">
        <v>9920.1</v>
      </c>
      <c r="F987" s="12" t="n">
        <v>10002.8</v>
      </c>
      <c r="G987" s="12" t="n">
        <v>-82.7</v>
      </c>
      <c r="H987" s="13" t="n">
        <v>0.8299</v>
      </c>
      <c r="I987" s="13" t="n">
        <v>0.767</v>
      </c>
    </row>
    <row r="988">
      <c r="A988" s="10" t="inlineStr">
        <is>
          <t>PJ-2022-F</t>
        </is>
      </c>
      <c r="B988" s="10" t="inlineStr">
        <is>
          <t>位置合わせ(MS学習値)／単調補間</t>
        </is>
      </c>
      <c r="C988" s="10" t="inlineStr">
        <is>
          <t>2023-06</t>
        </is>
      </c>
      <c r="D988" s="10" t="n">
        <v>15</v>
      </c>
      <c r="E988" s="12" t="n">
        <v>8427.700000000001</v>
      </c>
      <c r="F988" s="12" t="n">
        <v>14960.5</v>
      </c>
      <c r="G988" s="12" t="n">
        <v>-6532.8</v>
      </c>
      <c r="H988" s="13" t="n">
        <v>0.8895999999999999</v>
      </c>
      <c r="I988" s="13" t="n">
        <v>0.873</v>
      </c>
    </row>
    <row r="989">
      <c r="A989" s="10" t="inlineStr">
        <is>
          <t>PJ-2022-F</t>
        </is>
      </c>
      <c r="B989" s="10" t="inlineStr">
        <is>
          <t>位置合わせ(MS学習値)／単調補間</t>
        </is>
      </c>
      <c r="C989" s="10" t="inlineStr">
        <is>
          <t>2023-07</t>
        </is>
      </c>
      <c r="D989" s="10" t="n">
        <v>16</v>
      </c>
      <c r="E989" s="12" t="n">
        <v>6913.3</v>
      </c>
      <c r="F989" s="12" t="n">
        <v>11519.7</v>
      </c>
      <c r="G989" s="12" t="n">
        <v>-4606.4</v>
      </c>
      <c r="H989" s="13" t="n">
        <v>0.9386</v>
      </c>
      <c r="I989" s="13" t="n">
        <v>0.9547</v>
      </c>
    </row>
    <row r="990">
      <c r="A990" s="10" t="inlineStr">
        <is>
          <t>PJ-2022-F</t>
        </is>
      </c>
      <c r="B990" s="10" t="inlineStr">
        <is>
          <t>位置合わせ(MS学習値)／単調補間</t>
        </is>
      </c>
      <c r="C990" s="10" t="inlineStr">
        <is>
          <t>2023-08</t>
        </is>
      </c>
      <c r="D990" s="10" t="n">
        <v>17</v>
      </c>
      <c r="E990" s="12" t="n">
        <v>5718.7</v>
      </c>
      <c r="F990" s="12" t="n">
        <v>5165</v>
      </c>
      <c r="G990" s="12" t="n">
        <v>553.7</v>
      </c>
      <c r="H990" s="13" t="n">
        <v>0.9791</v>
      </c>
      <c r="I990" s="13" t="n">
        <v>0.9913</v>
      </c>
    </row>
    <row r="991">
      <c r="A991" s="10" t="inlineStr">
        <is>
          <t>PJ-2022-F</t>
        </is>
      </c>
      <c r="B991" s="10" t="inlineStr">
        <is>
          <t>位置合わせ(MS学習値)／単調補間</t>
        </is>
      </c>
      <c r="C991" s="10" t="inlineStr">
        <is>
          <t>2023-09</t>
        </is>
      </c>
      <c r="D991" s="10" t="n">
        <v>18</v>
      </c>
      <c r="E991" s="12" t="n">
        <v>2943.6</v>
      </c>
      <c r="F991" s="12" t="n">
        <v>1228.6</v>
      </c>
      <c r="G991" s="12" t="n">
        <v>1715</v>
      </c>
      <c r="H991" s="13" t="n">
        <v>1</v>
      </c>
      <c r="I991" s="13" t="n">
        <v>1</v>
      </c>
    </row>
    <row r="992">
      <c r="A992" s="10" t="inlineStr">
        <is>
          <t>PJ-2022-F</t>
        </is>
      </c>
      <c r="B992" s="10" t="inlineStr">
        <is>
          <t>位置合わせ(MS指定)／単調補間</t>
        </is>
      </c>
      <c r="C992" s="10" t="inlineStr">
        <is>
          <t>2022-04</t>
        </is>
      </c>
      <c r="D992" s="10" t="n">
        <v>1</v>
      </c>
      <c r="E992" s="12" t="n">
        <v>3478.4</v>
      </c>
      <c r="F992" s="12" t="n">
        <v>1989.3</v>
      </c>
      <c r="G992" s="12" t="n">
        <v>1489.1</v>
      </c>
      <c r="H992" s="13" t="n">
        <v>0.0247</v>
      </c>
      <c r="I992" s="13" t="n">
        <v>0.0141</v>
      </c>
    </row>
    <row r="993">
      <c r="A993" s="10" t="inlineStr">
        <is>
          <t>PJ-2022-F</t>
        </is>
      </c>
      <c r="B993" s="10" t="inlineStr">
        <is>
          <t>位置合わせ(MS指定)／単調補間</t>
        </is>
      </c>
      <c r="C993" s="10" t="inlineStr">
        <is>
          <t>2022-05</t>
        </is>
      </c>
      <c r="D993" s="10" t="n">
        <v>2</v>
      </c>
      <c r="E993" s="12" t="n">
        <v>4701.1</v>
      </c>
      <c r="F993" s="12" t="n">
        <v>3873.1</v>
      </c>
      <c r="G993" s="12" t="n">
        <v>828</v>
      </c>
      <c r="H993" s="13" t="n">
        <v>0.058</v>
      </c>
      <c r="I993" s="13" t="n">
        <v>0.0416</v>
      </c>
    </row>
    <row r="994">
      <c r="A994" s="10" t="inlineStr">
        <is>
          <t>PJ-2022-F</t>
        </is>
      </c>
      <c r="B994" s="10" t="inlineStr">
        <is>
          <t>位置合わせ(MS指定)／単調補間</t>
        </is>
      </c>
      <c r="C994" s="10" t="inlineStr">
        <is>
          <t>2022-06</t>
        </is>
      </c>
      <c r="D994" s="10" t="n">
        <v>3</v>
      </c>
      <c r="E994" s="12" t="n">
        <v>5204.8</v>
      </c>
      <c r="F994" s="12" t="n">
        <v>5042.1</v>
      </c>
      <c r="G994" s="12" t="n">
        <v>162.7</v>
      </c>
      <c r="H994" s="13" t="n">
        <v>0.0949</v>
      </c>
      <c r="I994" s="13" t="n">
        <v>0.07729999999999999</v>
      </c>
    </row>
    <row r="995">
      <c r="A995" s="10" t="inlineStr">
        <is>
          <t>PJ-2022-F</t>
        </is>
      </c>
      <c r="B995" s="10" t="inlineStr">
        <is>
          <t>位置合わせ(MS指定)／単調補間</t>
        </is>
      </c>
      <c r="C995" s="10" t="inlineStr">
        <is>
          <t>2022-07</t>
        </is>
      </c>
      <c r="D995" s="10" t="n">
        <v>4</v>
      </c>
      <c r="E995" s="12" t="n">
        <v>5789.6</v>
      </c>
      <c r="F995" s="12" t="n">
        <v>6282.6</v>
      </c>
      <c r="G995" s="12" t="n">
        <v>-493</v>
      </c>
      <c r="H995" s="13" t="n">
        <v>0.1359</v>
      </c>
      <c r="I995" s="13" t="n">
        <v>0.1218</v>
      </c>
    </row>
    <row r="996">
      <c r="A996" s="10" t="inlineStr">
        <is>
          <t>PJ-2022-F</t>
        </is>
      </c>
      <c r="B996" s="10" t="inlineStr">
        <is>
          <t>位置合わせ(MS指定)／単調補間</t>
        </is>
      </c>
      <c r="C996" s="10" t="inlineStr">
        <is>
          <t>2022-08</t>
        </is>
      </c>
      <c r="D996" s="10" t="n">
        <v>5</v>
      </c>
      <c r="E996" s="12" t="n">
        <v>6674.5</v>
      </c>
      <c r="F996" s="12" t="n">
        <v>7785.3</v>
      </c>
      <c r="G996" s="12" t="n">
        <v>-1110.8</v>
      </c>
      <c r="H996" s="13" t="n">
        <v>0.1832</v>
      </c>
      <c r="I996" s="13" t="n">
        <v>0.177</v>
      </c>
    </row>
    <row r="997">
      <c r="A997" s="10" t="inlineStr">
        <is>
          <t>PJ-2022-F</t>
        </is>
      </c>
      <c r="B997" s="10" t="inlineStr">
        <is>
          <t>位置合わせ(MS指定)／単調補間</t>
        </is>
      </c>
      <c r="C997" s="10" t="inlineStr">
        <is>
          <t>2022-09</t>
        </is>
      </c>
      <c r="D997" s="10" t="n">
        <v>6</v>
      </c>
      <c r="E997" s="12" t="n">
        <v>8084.4</v>
      </c>
      <c r="F997" s="12" t="n">
        <v>8593</v>
      </c>
      <c r="G997" s="12" t="n">
        <v>-508.6</v>
      </c>
      <c r="H997" s="13" t="n">
        <v>0.2405</v>
      </c>
      <c r="I997" s="13" t="n">
        <v>0.2379</v>
      </c>
    </row>
    <row r="998">
      <c r="A998" s="10" t="inlineStr">
        <is>
          <t>PJ-2022-F</t>
        </is>
      </c>
      <c r="B998" s="10" t="inlineStr">
        <is>
          <t>位置合わせ(MS指定)／単調補間</t>
        </is>
      </c>
      <c r="C998" s="10" t="inlineStr">
        <is>
          <t>2022-10</t>
        </is>
      </c>
      <c r="D998" s="10" t="n">
        <v>7</v>
      </c>
      <c r="E998" s="12" t="n">
        <v>9608.200000000001</v>
      </c>
      <c r="F998" s="12" t="n">
        <v>9513.5</v>
      </c>
      <c r="G998" s="12" t="n">
        <v>94.7</v>
      </c>
      <c r="H998" s="13" t="n">
        <v>0.3086</v>
      </c>
      <c r="I998" s="13" t="n">
        <v>0.3053</v>
      </c>
    </row>
    <row r="999">
      <c r="A999" s="10" t="inlineStr">
        <is>
          <t>PJ-2022-F</t>
        </is>
      </c>
      <c r="B999" s="10" t="inlineStr">
        <is>
          <t>位置合わせ(MS指定)／単調補間</t>
        </is>
      </c>
      <c r="C999" s="10" t="inlineStr">
        <is>
          <t>2022-11</t>
        </is>
      </c>
      <c r="D999" s="10" t="n">
        <v>8</v>
      </c>
      <c r="E999" s="12" t="n">
        <v>10308.1</v>
      </c>
      <c r="F999" s="12" t="n">
        <v>11622</v>
      </c>
      <c r="G999" s="12" t="n">
        <v>-1313.9</v>
      </c>
      <c r="H999" s="13" t="n">
        <v>0.3817</v>
      </c>
      <c r="I999" s="13" t="n">
        <v>0.3877</v>
      </c>
    </row>
    <row r="1000">
      <c r="A1000" s="10" t="inlineStr">
        <is>
          <t>PJ-2022-F</t>
        </is>
      </c>
      <c r="B1000" s="10" t="inlineStr">
        <is>
          <t>位置合わせ(MS指定)／単調補間</t>
        </is>
      </c>
      <c r="C1000" s="10" t="inlineStr">
        <is>
          <t>2022-12</t>
        </is>
      </c>
      <c r="D1000" s="10" t="n">
        <v>9</v>
      </c>
      <c r="E1000" s="12" t="n">
        <v>10105.7</v>
      </c>
      <c r="F1000" s="12" t="n">
        <v>11222.9</v>
      </c>
      <c r="G1000" s="12" t="n">
        <v>-1117.2</v>
      </c>
      <c r="H1000" s="13" t="n">
        <v>0.4533</v>
      </c>
      <c r="I1000" s="13" t="n">
        <v>0.4673</v>
      </c>
    </row>
    <row r="1001">
      <c r="A1001" s="10" t="inlineStr">
        <is>
          <t>PJ-2022-F</t>
        </is>
      </c>
      <c r="B1001" s="10" t="inlineStr">
        <is>
          <t>位置合わせ(MS指定)／単調補間</t>
        </is>
      </c>
      <c r="C1001" s="10" t="inlineStr">
        <is>
          <t>2023-01</t>
        </is>
      </c>
      <c r="D1001" s="10" t="n">
        <v>10</v>
      </c>
      <c r="E1001" s="12" t="n">
        <v>8361.700000000001</v>
      </c>
      <c r="F1001" s="12" t="n">
        <v>9600.700000000001</v>
      </c>
      <c r="G1001" s="12" t="n">
        <v>-1239</v>
      </c>
      <c r="H1001" s="13" t="n">
        <v>0.5125999999999999</v>
      </c>
      <c r="I1001" s="13" t="n">
        <v>0.5353</v>
      </c>
    </row>
    <row r="1002">
      <c r="A1002" s="10" t="inlineStr">
        <is>
          <t>PJ-2022-F</t>
        </is>
      </c>
      <c r="B1002" s="10" t="inlineStr">
        <is>
          <t>位置合わせ(MS指定)／単調補間</t>
        </is>
      </c>
      <c r="C1002" s="10" t="inlineStr">
        <is>
          <t>2023-02</t>
        </is>
      </c>
      <c r="D1002" s="10" t="n">
        <v>11</v>
      </c>
      <c r="E1002" s="12" t="n">
        <v>7702.2</v>
      </c>
      <c r="F1002" s="12" t="n">
        <v>7097.2</v>
      </c>
      <c r="G1002" s="12" t="n">
        <v>605</v>
      </c>
      <c r="H1002" s="13" t="n">
        <v>0.5672</v>
      </c>
      <c r="I1002" s="13" t="n">
        <v>0.5856</v>
      </c>
    </row>
    <row r="1003">
      <c r="A1003" s="10" t="inlineStr">
        <is>
          <t>PJ-2022-F</t>
        </is>
      </c>
      <c r="B1003" s="10" t="inlineStr">
        <is>
          <t>位置合わせ(MS指定)／単調補間</t>
        </is>
      </c>
      <c r="C1003" s="10" t="inlineStr">
        <is>
          <t>2023-03</t>
        </is>
      </c>
      <c r="D1003" s="10" t="n">
        <v>12</v>
      </c>
      <c r="E1003" s="12" t="n">
        <v>8428.799999999999</v>
      </c>
      <c r="F1003" s="12" t="n">
        <v>8011</v>
      </c>
      <c r="G1003" s="12" t="n">
        <v>417.8</v>
      </c>
      <c r="H1003" s="13" t="n">
        <v>0.6269</v>
      </c>
      <c r="I1003" s="13" t="n">
        <v>0.6424</v>
      </c>
    </row>
    <row r="1004">
      <c r="A1004" s="10" t="inlineStr">
        <is>
          <t>PJ-2022-F</t>
        </is>
      </c>
      <c r="B1004" s="10" t="inlineStr">
        <is>
          <t>位置合わせ(MS指定)／単調補間</t>
        </is>
      </c>
      <c r="C1004" s="10" t="inlineStr">
        <is>
          <t>2023-04</t>
        </is>
      </c>
      <c r="D1004" s="10" t="n">
        <v>13</v>
      </c>
      <c r="E1004" s="12" t="n">
        <v>8385.5</v>
      </c>
      <c r="F1004" s="12" t="n">
        <v>7572.9</v>
      </c>
      <c r="G1004" s="12" t="n">
        <v>812.6</v>
      </c>
      <c r="H1004" s="13" t="n">
        <v>0.6864</v>
      </c>
      <c r="I1004" s="13" t="n">
        <v>0.6961000000000001</v>
      </c>
    </row>
    <row r="1005">
      <c r="A1005" s="10" t="inlineStr">
        <is>
          <t>PJ-2022-F</t>
        </is>
      </c>
      <c r="B1005" s="10" t="inlineStr">
        <is>
          <t>位置合わせ(MS指定)／単調補間</t>
        </is>
      </c>
      <c r="C1005" s="10" t="inlineStr">
        <is>
          <t>2023-05</t>
        </is>
      </c>
      <c r="D1005" s="10" t="n">
        <v>14</v>
      </c>
      <c r="E1005" s="12" t="n">
        <v>8415</v>
      </c>
      <c r="F1005" s="12" t="n">
        <v>10002.8</v>
      </c>
      <c r="G1005" s="12" t="n">
        <v>-1587.8</v>
      </c>
      <c r="H1005" s="13" t="n">
        <v>0.746</v>
      </c>
      <c r="I1005" s="13" t="n">
        <v>0.767</v>
      </c>
    </row>
    <row r="1006">
      <c r="A1006" s="10" t="inlineStr">
        <is>
          <t>PJ-2022-F</t>
        </is>
      </c>
      <c r="B1006" s="10" t="inlineStr">
        <is>
          <t>位置合わせ(MS指定)／単調補間</t>
        </is>
      </c>
      <c r="C1006" s="10" t="inlineStr">
        <is>
          <t>2023-06</t>
        </is>
      </c>
      <c r="D1006" s="10" t="n">
        <v>15</v>
      </c>
      <c r="E1006" s="12" t="n">
        <v>11627.9</v>
      </c>
      <c r="F1006" s="12" t="n">
        <v>14960.5</v>
      </c>
      <c r="G1006" s="12" t="n">
        <v>-3332.6</v>
      </c>
      <c r="H1006" s="13" t="n">
        <v>0.8284</v>
      </c>
      <c r="I1006" s="13" t="n">
        <v>0.873</v>
      </c>
    </row>
    <row r="1007">
      <c r="A1007" s="10" t="inlineStr">
        <is>
          <t>PJ-2022-F</t>
        </is>
      </c>
      <c r="B1007" s="10" t="inlineStr">
        <is>
          <t>位置合わせ(MS指定)／単調補間</t>
        </is>
      </c>
      <c r="C1007" s="10" t="inlineStr">
        <is>
          <t>2023-07</t>
        </is>
      </c>
      <c r="D1007" s="10" t="n">
        <v>16</v>
      </c>
      <c r="E1007" s="12" t="n">
        <v>13107.1</v>
      </c>
      <c r="F1007" s="12" t="n">
        <v>11519.7</v>
      </c>
      <c r="G1007" s="12" t="n">
        <v>1587.4</v>
      </c>
      <c r="H1007" s="13" t="n">
        <v>0.9213</v>
      </c>
      <c r="I1007" s="13" t="n">
        <v>0.9547</v>
      </c>
    </row>
    <row r="1008">
      <c r="A1008" s="10" t="inlineStr">
        <is>
          <t>PJ-2022-F</t>
        </is>
      </c>
      <c r="B1008" s="10" t="inlineStr">
        <is>
          <t>位置合わせ(MS指定)／単調補間</t>
        </is>
      </c>
      <c r="C1008" s="10" t="inlineStr">
        <is>
          <t>2023-08</t>
        </is>
      </c>
      <c r="D1008" s="10" t="n">
        <v>17</v>
      </c>
      <c r="E1008" s="12" t="n">
        <v>7902</v>
      </c>
      <c r="F1008" s="12" t="n">
        <v>5165</v>
      </c>
      <c r="G1008" s="12" t="n">
        <v>2737</v>
      </c>
      <c r="H1008" s="13" t="n">
        <v>0.9772999999999999</v>
      </c>
      <c r="I1008" s="13" t="n">
        <v>0.9913</v>
      </c>
    </row>
    <row r="1009">
      <c r="A1009" s="10" t="inlineStr">
        <is>
          <t>PJ-2022-F</t>
        </is>
      </c>
      <c r="B1009" s="10" t="inlineStr">
        <is>
          <t>位置合わせ(MS指定)／単調補間</t>
        </is>
      </c>
      <c r="C1009" s="10" t="inlineStr">
        <is>
          <t>2023-09</t>
        </is>
      </c>
      <c r="D1009" s="10" t="n">
        <v>18</v>
      </c>
      <c r="E1009" s="12" t="n">
        <v>3197.1</v>
      </c>
      <c r="F1009" s="12" t="n">
        <v>1228.6</v>
      </c>
      <c r="G1009" s="12" t="n">
        <v>1968.5</v>
      </c>
      <c r="H1009" s="13" t="n">
        <v>1</v>
      </c>
      <c r="I1009" s="13" t="n">
        <v>1</v>
      </c>
    </row>
    <row r="1010">
      <c r="A1010" s="10" t="inlineStr">
        <is>
          <t>PJ-2022-G</t>
        </is>
      </c>
      <c r="B1010" s="10" t="inlineStr">
        <is>
          <t>素朴版／月内均等</t>
        </is>
      </c>
      <c r="C1010" s="10" t="inlineStr">
        <is>
          <t>2022-02</t>
        </is>
      </c>
      <c r="D1010" s="10" t="n">
        <v>1</v>
      </c>
      <c r="E1010" s="12" t="n">
        <v>3014.1</v>
      </c>
      <c r="F1010" s="12" t="n">
        <v>9203.5</v>
      </c>
      <c r="G1010" s="12" t="n">
        <v>-6189.4</v>
      </c>
      <c r="H1010" s="13" t="n">
        <v>0.0129</v>
      </c>
      <c r="I1010" s="13" t="n">
        <v>0.0394</v>
      </c>
    </row>
    <row r="1011">
      <c r="A1011" s="10" t="inlineStr">
        <is>
          <t>PJ-2022-G</t>
        </is>
      </c>
      <c r="B1011" s="10" t="inlineStr">
        <is>
          <t>素朴版／月内均等</t>
        </is>
      </c>
      <c r="C1011" s="10" t="inlineStr">
        <is>
          <t>2022-03</t>
        </is>
      </c>
      <c r="D1011" s="10" t="n">
        <v>2</v>
      </c>
      <c r="E1011" s="12" t="n">
        <v>4401.8</v>
      </c>
      <c r="F1011" s="12" t="n">
        <v>11045.5</v>
      </c>
      <c r="G1011" s="12" t="n">
        <v>-6643.7</v>
      </c>
      <c r="H1011" s="13" t="n">
        <v>0.0317</v>
      </c>
      <c r="I1011" s="13" t="n">
        <v>0.0866</v>
      </c>
    </row>
    <row r="1012">
      <c r="A1012" s="10" t="inlineStr">
        <is>
          <t>PJ-2022-G</t>
        </is>
      </c>
      <c r="B1012" s="10" t="inlineStr">
        <is>
          <t>素朴版／月内均等</t>
        </is>
      </c>
      <c r="C1012" s="10" t="inlineStr">
        <is>
          <t>2022-04</t>
        </is>
      </c>
      <c r="D1012" s="10" t="n">
        <v>3</v>
      </c>
      <c r="E1012" s="12" t="n">
        <v>4997</v>
      </c>
      <c r="F1012" s="12" t="n">
        <v>10444.9</v>
      </c>
      <c r="G1012" s="12" t="n">
        <v>-5447.9</v>
      </c>
      <c r="H1012" s="13" t="n">
        <v>0.0531</v>
      </c>
      <c r="I1012" s="13" t="n">
        <v>0.1313</v>
      </c>
    </row>
    <row r="1013">
      <c r="A1013" s="10" t="inlineStr">
        <is>
          <t>PJ-2022-G</t>
        </is>
      </c>
      <c r="B1013" s="10" t="inlineStr">
        <is>
          <t>素朴版／月内均等</t>
        </is>
      </c>
      <c r="C1013" s="10" t="inlineStr">
        <is>
          <t>2022-05</t>
        </is>
      </c>
      <c r="D1013" s="10" t="n">
        <v>4</v>
      </c>
      <c r="E1013" s="12" t="n">
        <v>5877.2</v>
      </c>
      <c r="F1013" s="12" t="n">
        <v>11771</v>
      </c>
      <c r="G1013" s="12" t="n">
        <v>-5893.8</v>
      </c>
      <c r="H1013" s="13" t="n">
        <v>0.07820000000000001</v>
      </c>
      <c r="I1013" s="13" t="n">
        <v>0.1817</v>
      </c>
    </row>
    <row r="1014">
      <c r="A1014" s="10" t="inlineStr">
        <is>
          <t>PJ-2022-G</t>
        </is>
      </c>
      <c r="B1014" s="10" t="inlineStr">
        <is>
          <t>素朴版／月内均等</t>
        </is>
      </c>
      <c r="C1014" s="10" t="inlineStr">
        <is>
          <t>2022-06</t>
        </is>
      </c>
      <c r="D1014" s="10" t="n">
        <v>5</v>
      </c>
      <c r="E1014" s="12" t="n">
        <v>6054.7</v>
      </c>
      <c r="F1014" s="12" t="n">
        <v>10986.1</v>
      </c>
      <c r="G1014" s="12" t="n">
        <v>-4931.4</v>
      </c>
      <c r="H1014" s="13" t="n">
        <v>0.1041</v>
      </c>
      <c r="I1014" s="13" t="n">
        <v>0.2287</v>
      </c>
    </row>
    <row r="1015">
      <c r="A1015" s="10" t="inlineStr">
        <is>
          <t>PJ-2022-G</t>
        </is>
      </c>
      <c r="B1015" s="10" t="inlineStr">
        <is>
          <t>素朴版／月内均等</t>
        </is>
      </c>
      <c r="C1015" s="10" t="inlineStr">
        <is>
          <t>2022-07</t>
        </is>
      </c>
      <c r="D1015" s="10" t="n">
        <v>6</v>
      </c>
      <c r="E1015" s="12" t="n">
        <v>6836.9</v>
      </c>
      <c r="F1015" s="12" t="n">
        <v>12683.3</v>
      </c>
      <c r="G1015" s="12" t="n">
        <v>-5846.4</v>
      </c>
      <c r="H1015" s="13" t="n">
        <v>0.1334</v>
      </c>
      <c r="I1015" s="13" t="n">
        <v>0.2829</v>
      </c>
    </row>
    <row r="1016">
      <c r="A1016" s="10" t="inlineStr">
        <is>
          <t>PJ-2022-G</t>
        </is>
      </c>
      <c r="B1016" s="10" t="inlineStr">
        <is>
          <t>素朴版／月内均等</t>
        </is>
      </c>
      <c r="C1016" s="10" t="inlineStr">
        <is>
          <t>2022-08</t>
        </is>
      </c>
      <c r="D1016" s="10" t="n">
        <v>7</v>
      </c>
      <c r="E1016" s="12" t="n">
        <v>8110.7</v>
      </c>
      <c r="F1016" s="12" t="n">
        <v>14085.9</v>
      </c>
      <c r="G1016" s="12" t="n">
        <v>-5975.2</v>
      </c>
      <c r="H1016" s="13" t="n">
        <v>0.1681</v>
      </c>
      <c r="I1016" s="13" t="n">
        <v>0.3432</v>
      </c>
    </row>
    <row r="1017">
      <c r="A1017" s="10" t="inlineStr">
        <is>
          <t>PJ-2022-G</t>
        </is>
      </c>
      <c r="B1017" s="10" t="inlineStr">
        <is>
          <t>素朴版／月内均等</t>
        </is>
      </c>
      <c r="C1017" s="10" t="inlineStr">
        <is>
          <t>2022-09</t>
        </is>
      </c>
      <c r="D1017" s="10" t="n">
        <v>8</v>
      </c>
      <c r="E1017" s="12" t="n">
        <v>9285.200000000001</v>
      </c>
      <c r="F1017" s="12" t="n">
        <v>16396.3</v>
      </c>
      <c r="G1017" s="12" t="n">
        <v>-7111.1</v>
      </c>
      <c r="H1017" s="13" t="n">
        <v>0.2078</v>
      </c>
      <c r="I1017" s="13" t="n">
        <v>0.4133</v>
      </c>
    </row>
    <row r="1018">
      <c r="A1018" s="10" t="inlineStr">
        <is>
          <t>PJ-2022-G</t>
        </is>
      </c>
      <c r="B1018" s="10" t="inlineStr">
        <is>
          <t>素朴版／月内均等</t>
        </is>
      </c>
      <c r="C1018" s="10" t="inlineStr">
        <is>
          <t>2022-10</t>
        </is>
      </c>
      <c r="D1018" s="10" t="n">
        <v>9</v>
      </c>
      <c r="E1018" s="12" t="n">
        <v>10869.7</v>
      </c>
      <c r="F1018" s="12" t="n">
        <v>16496.9</v>
      </c>
      <c r="G1018" s="12" t="n">
        <v>-5627.2</v>
      </c>
      <c r="H1018" s="13" t="n">
        <v>0.2543</v>
      </c>
      <c r="I1018" s="13" t="n">
        <v>0.4839</v>
      </c>
    </row>
    <row r="1019">
      <c r="A1019" s="10" t="inlineStr">
        <is>
          <t>PJ-2022-G</t>
        </is>
      </c>
      <c r="B1019" s="10" t="inlineStr">
        <is>
          <t>素朴版／月内均等</t>
        </is>
      </c>
      <c r="C1019" s="10" t="inlineStr">
        <is>
          <t>2022-11</t>
        </is>
      </c>
      <c r="D1019" s="10" t="n">
        <v>10</v>
      </c>
      <c r="E1019" s="12" t="n">
        <v>11984.7</v>
      </c>
      <c r="F1019" s="12" t="n">
        <v>15571.5</v>
      </c>
      <c r="G1019" s="12" t="n">
        <v>-3586.8</v>
      </c>
      <c r="H1019" s="13" t="n">
        <v>0.3056</v>
      </c>
      <c r="I1019" s="13" t="n">
        <v>0.5505</v>
      </c>
    </row>
    <row r="1020">
      <c r="A1020" s="10" t="inlineStr">
        <is>
          <t>PJ-2022-G</t>
        </is>
      </c>
      <c r="B1020" s="10" t="inlineStr">
        <is>
          <t>素朴版／月内均等</t>
        </is>
      </c>
      <c r="C1020" s="10" t="inlineStr">
        <is>
          <t>2022-12</t>
        </is>
      </c>
      <c r="D1020" s="10" t="n">
        <v>11</v>
      </c>
      <c r="E1020" s="12" t="n">
        <v>11963.7</v>
      </c>
      <c r="F1020" s="12" t="n">
        <v>12580.5</v>
      </c>
      <c r="G1020" s="12" t="n">
        <v>-616.8</v>
      </c>
      <c r="H1020" s="13" t="n">
        <v>0.3568</v>
      </c>
      <c r="I1020" s="13" t="n">
        <v>0.6042999999999999</v>
      </c>
    </row>
    <row r="1021">
      <c r="A1021" s="10" t="inlineStr">
        <is>
          <t>PJ-2022-G</t>
        </is>
      </c>
      <c r="B1021" s="10" t="inlineStr">
        <is>
          <t>素朴版／月内均等</t>
        </is>
      </c>
      <c r="C1021" s="10" t="inlineStr">
        <is>
          <t>2023-01</t>
        </is>
      </c>
      <c r="D1021" s="10" t="n">
        <v>12</v>
      </c>
      <c r="E1021" s="12" t="n">
        <v>11734</v>
      </c>
      <c r="F1021" s="12" t="n">
        <v>10581</v>
      </c>
      <c r="G1021" s="12" t="n">
        <v>1153</v>
      </c>
      <c r="H1021" s="13" t="n">
        <v>0.407</v>
      </c>
      <c r="I1021" s="13" t="n">
        <v>0.6496</v>
      </c>
    </row>
    <row r="1022">
      <c r="A1022" s="10" t="inlineStr">
        <is>
          <t>PJ-2022-G</t>
        </is>
      </c>
      <c r="B1022" s="10" t="inlineStr">
        <is>
          <t>素朴版／月内均等</t>
        </is>
      </c>
      <c r="C1022" s="10" t="inlineStr">
        <is>
          <t>2023-02</t>
        </is>
      </c>
      <c r="D1022" s="10" t="n">
        <v>13</v>
      </c>
      <c r="E1022" s="12" t="n">
        <v>12352.9</v>
      </c>
      <c r="F1022" s="12" t="n">
        <v>9159.700000000001</v>
      </c>
      <c r="G1022" s="12" t="n">
        <v>3193.2</v>
      </c>
      <c r="H1022" s="13" t="n">
        <v>0.4598</v>
      </c>
      <c r="I1022" s="13" t="n">
        <v>0.6888</v>
      </c>
    </row>
    <row r="1023">
      <c r="A1023" s="10" t="inlineStr">
        <is>
          <t>PJ-2022-G</t>
        </is>
      </c>
      <c r="B1023" s="10" t="inlineStr">
        <is>
          <t>素朴版／月内均等</t>
        </is>
      </c>
      <c r="C1023" s="10" t="inlineStr">
        <is>
          <t>2023-03</t>
        </is>
      </c>
      <c r="D1023" s="10" t="n">
        <v>14</v>
      </c>
      <c r="E1023" s="12" t="n">
        <v>14149.2</v>
      </c>
      <c r="F1023" s="12" t="n">
        <v>10036.4</v>
      </c>
      <c r="G1023" s="12" t="n">
        <v>4112.8</v>
      </c>
      <c r="H1023" s="13" t="n">
        <v>0.5203</v>
      </c>
      <c r="I1023" s="13" t="n">
        <v>0.7317</v>
      </c>
    </row>
    <row r="1024">
      <c r="A1024" s="10" t="inlineStr">
        <is>
          <t>PJ-2022-G</t>
        </is>
      </c>
      <c r="B1024" s="10" t="inlineStr">
        <is>
          <t>素朴版／月内均等</t>
        </is>
      </c>
      <c r="C1024" s="10" t="inlineStr">
        <is>
          <t>2023-04</t>
        </is>
      </c>
      <c r="D1024" s="10" t="n">
        <v>15</v>
      </c>
      <c r="E1024" s="12" t="n">
        <v>14825.6</v>
      </c>
      <c r="F1024" s="12" t="n">
        <v>11511.6</v>
      </c>
      <c r="G1024" s="12" t="n">
        <v>3314</v>
      </c>
      <c r="H1024" s="13" t="n">
        <v>0.5838</v>
      </c>
      <c r="I1024" s="13" t="n">
        <v>0.7809</v>
      </c>
    </row>
    <row r="1025">
      <c r="A1025" s="10" t="inlineStr">
        <is>
          <t>PJ-2022-G</t>
        </is>
      </c>
      <c r="B1025" s="10" t="inlineStr">
        <is>
          <t>素朴版／月内均等</t>
        </is>
      </c>
      <c r="C1025" s="10" t="inlineStr">
        <is>
          <t>2023-05</t>
        </is>
      </c>
      <c r="D1025" s="10" t="n">
        <v>16</v>
      </c>
      <c r="E1025" s="12" t="n">
        <v>15260.9</v>
      </c>
      <c r="F1025" s="12" t="n">
        <v>12070.3</v>
      </c>
      <c r="G1025" s="12" t="n">
        <v>3190.6</v>
      </c>
      <c r="H1025" s="13" t="n">
        <v>0.649</v>
      </c>
      <c r="I1025" s="13" t="n">
        <v>0.8326</v>
      </c>
    </row>
    <row r="1026">
      <c r="A1026" s="10" t="inlineStr">
        <is>
          <t>PJ-2022-G</t>
        </is>
      </c>
      <c r="B1026" s="10" t="inlineStr">
        <is>
          <t>素朴版／月内均等</t>
        </is>
      </c>
      <c r="C1026" s="10" t="inlineStr">
        <is>
          <t>2023-06</t>
        </is>
      </c>
      <c r="D1026" s="10" t="n">
        <v>17</v>
      </c>
      <c r="E1026" s="12" t="n">
        <v>13539.2</v>
      </c>
      <c r="F1026" s="12" t="n">
        <v>10093.2</v>
      </c>
      <c r="G1026" s="12" t="n">
        <v>3446</v>
      </c>
      <c r="H1026" s="13" t="n">
        <v>0.707</v>
      </c>
      <c r="I1026" s="13" t="n">
        <v>0.8758</v>
      </c>
    </row>
    <row r="1027">
      <c r="A1027" s="10" t="inlineStr">
        <is>
          <t>PJ-2022-G</t>
        </is>
      </c>
      <c r="B1027" s="10" t="inlineStr">
        <is>
          <t>素朴版／月内均等</t>
        </is>
      </c>
      <c r="C1027" s="10" t="inlineStr">
        <is>
          <t>2023-07</t>
        </is>
      </c>
      <c r="D1027" s="10" t="n">
        <v>18</v>
      </c>
      <c r="E1027" s="12" t="n">
        <v>13278.6</v>
      </c>
      <c r="F1027" s="12" t="n">
        <v>8162.9</v>
      </c>
      <c r="G1027" s="12" t="n">
        <v>5115.7</v>
      </c>
      <c r="H1027" s="13" t="n">
        <v>0.7638</v>
      </c>
      <c r="I1027" s="13" t="n">
        <v>0.9107</v>
      </c>
    </row>
    <row r="1028">
      <c r="A1028" s="10" t="inlineStr">
        <is>
          <t>PJ-2022-G</t>
        </is>
      </c>
      <c r="B1028" s="10" t="inlineStr">
        <is>
          <t>素朴版／月内均等</t>
        </is>
      </c>
      <c r="C1028" s="10" t="inlineStr">
        <is>
          <t>2023-08</t>
        </is>
      </c>
      <c r="D1028" s="10" t="n">
        <v>19</v>
      </c>
      <c r="E1028" s="12" t="n">
        <v>13674.1</v>
      </c>
      <c r="F1028" s="12" t="n">
        <v>5336.7</v>
      </c>
      <c r="G1028" s="12" t="n">
        <v>8337.4</v>
      </c>
      <c r="H1028" s="13" t="n">
        <v>0.8223</v>
      </c>
      <c r="I1028" s="13" t="n">
        <v>0.9335</v>
      </c>
    </row>
    <row r="1029">
      <c r="A1029" s="10" t="inlineStr">
        <is>
          <t>PJ-2022-G</t>
        </is>
      </c>
      <c r="B1029" s="10" t="inlineStr">
        <is>
          <t>素朴版／月内均等</t>
        </is>
      </c>
      <c r="C1029" s="10" t="inlineStr">
        <is>
          <t>2023-09</t>
        </is>
      </c>
      <c r="D1029" s="10" t="n">
        <v>20</v>
      </c>
      <c r="E1029" s="12" t="n">
        <v>12770</v>
      </c>
      <c r="F1029" s="12" t="n">
        <v>4269.9</v>
      </c>
      <c r="G1029" s="12" t="n">
        <v>8500.1</v>
      </c>
      <c r="H1029" s="13" t="n">
        <v>0.8769</v>
      </c>
      <c r="I1029" s="13" t="n">
        <v>0.9518</v>
      </c>
    </row>
    <row r="1030">
      <c r="A1030" s="10" t="inlineStr">
        <is>
          <t>PJ-2022-G</t>
        </is>
      </c>
      <c r="B1030" s="10" t="inlineStr">
        <is>
          <t>素朴版／月内均等</t>
        </is>
      </c>
      <c r="C1030" s="10" t="inlineStr">
        <is>
          <t>2023-10</t>
        </is>
      </c>
      <c r="D1030" s="10" t="n">
        <v>21</v>
      </c>
      <c r="E1030" s="12" t="n">
        <v>10612</v>
      </c>
      <c r="F1030" s="12" t="n">
        <v>4101.6</v>
      </c>
      <c r="G1030" s="12" t="n">
        <v>6510.4</v>
      </c>
      <c r="H1030" s="13" t="n">
        <v>0.9223</v>
      </c>
      <c r="I1030" s="13" t="n">
        <v>0.9693000000000001</v>
      </c>
    </row>
    <row r="1031">
      <c r="A1031" s="10" t="inlineStr">
        <is>
          <t>PJ-2022-G</t>
        </is>
      </c>
      <c r="B1031" s="10" t="inlineStr">
        <is>
          <t>素朴版／月内均等</t>
        </is>
      </c>
      <c r="C1031" s="10" t="inlineStr">
        <is>
          <t>2023-11</t>
        </is>
      </c>
      <c r="D1031" s="10" t="n">
        <v>22</v>
      </c>
      <c r="E1031" s="12" t="n">
        <v>7932.2</v>
      </c>
      <c r="F1031" s="12" t="n">
        <v>3281.7</v>
      </c>
      <c r="G1031" s="12" t="n">
        <v>4650.5</v>
      </c>
      <c r="H1031" s="13" t="n">
        <v>0.9562</v>
      </c>
      <c r="I1031" s="13" t="n">
        <v>0.9834000000000001</v>
      </c>
    </row>
    <row r="1032">
      <c r="A1032" s="10" t="inlineStr">
        <is>
          <t>PJ-2022-G</t>
        </is>
      </c>
      <c r="B1032" s="10" t="inlineStr">
        <is>
          <t>素朴版／月内均等</t>
        </is>
      </c>
      <c r="C1032" s="10" t="inlineStr">
        <is>
          <t>2023-12</t>
        </is>
      </c>
      <c r="D1032" s="10" t="n">
        <v>23</v>
      </c>
      <c r="E1032" s="12" t="n">
        <v>6487.3</v>
      </c>
      <c r="F1032" s="12" t="n">
        <v>2964.5</v>
      </c>
      <c r="G1032" s="12" t="n">
        <v>3522.8</v>
      </c>
      <c r="H1032" s="13" t="n">
        <v>0.984</v>
      </c>
      <c r="I1032" s="13" t="n">
        <v>0.996</v>
      </c>
    </row>
    <row r="1033">
      <c r="A1033" s="10" t="inlineStr">
        <is>
          <t>PJ-2022-G</t>
        </is>
      </c>
      <c r="B1033" s="10" t="inlineStr">
        <is>
          <t>素朴版／月内均等</t>
        </is>
      </c>
      <c r="C1033" s="10" t="inlineStr">
        <is>
          <t>2024-01</t>
        </is>
      </c>
      <c r="D1033" s="10" t="n">
        <v>24</v>
      </c>
      <c r="E1033" s="12" t="n">
        <v>3748.2</v>
      </c>
      <c r="F1033" s="12" t="n">
        <v>925</v>
      </c>
      <c r="G1033" s="12" t="n">
        <v>2823.2</v>
      </c>
      <c r="H1033" s="13" t="n">
        <v>1</v>
      </c>
      <c r="I1033" s="13" t="n">
        <v>1</v>
      </c>
    </row>
    <row r="1034">
      <c r="A1034" s="10" t="inlineStr">
        <is>
          <t>PJ-2022-G</t>
        </is>
      </c>
      <c r="B1034" s="10" t="inlineStr">
        <is>
          <t>位置合わせ(MS学習値)／月内均等</t>
        </is>
      </c>
      <c r="C1034" s="10" t="inlineStr">
        <is>
          <t>2022-02</t>
        </is>
      </c>
      <c r="D1034" s="10" t="n">
        <v>1</v>
      </c>
      <c r="E1034" s="12" t="n">
        <v>3023.3</v>
      </c>
      <c r="F1034" s="12" t="n">
        <v>9203.5</v>
      </c>
      <c r="G1034" s="12" t="n">
        <v>-6180.2</v>
      </c>
      <c r="H1034" s="13" t="n">
        <v>0.0129</v>
      </c>
      <c r="I1034" s="13" t="n">
        <v>0.0394</v>
      </c>
    </row>
    <row r="1035">
      <c r="A1035" s="10" t="inlineStr">
        <is>
          <t>PJ-2022-G</t>
        </is>
      </c>
      <c r="B1035" s="10" t="inlineStr">
        <is>
          <t>位置合わせ(MS学習値)／月内均等</t>
        </is>
      </c>
      <c r="C1035" s="10" t="inlineStr">
        <is>
          <t>2022-03</t>
        </is>
      </c>
      <c r="D1035" s="10" t="n">
        <v>2</v>
      </c>
      <c r="E1035" s="12" t="n">
        <v>4358</v>
      </c>
      <c r="F1035" s="12" t="n">
        <v>11045.5</v>
      </c>
      <c r="G1035" s="12" t="n">
        <v>-6687.5</v>
      </c>
      <c r="H1035" s="13" t="n">
        <v>0.0316</v>
      </c>
      <c r="I1035" s="13" t="n">
        <v>0.0866</v>
      </c>
    </row>
    <row r="1036">
      <c r="A1036" s="10" t="inlineStr">
        <is>
          <t>PJ-2022-G</t>
        </is>
      </c>
      <c r="B1036" s="10" t="inlineStr">
        <is>
          <t>位置合わせ(MS学習値)／月内均等</t>
        </is>
      </c>
      <c r="C1036" s="10" t="inlineStr">
        <is>
          <t>2022-04</t>
        </is>
      </c>
      <c r="D1036" s="10" t="n">
        <v>3</v>
      </c>
      <c r="E1036" s="12" t="n">
        <v>4872.5</v>
      </c>
      <c r="F1036" s="12" t="n">
        <v>10444.9</v>
      </c>
      <c r="G1036" s="12" t="n">
        <v>-5572.4</v>
      </c>
      <c r="H1036" s="13" t="n">
        <v>0.0524</v>
      </c>
      <c r="I1036" s="13" t="n">
        <v>0.1313</v>
      </c>
    </row>
    <row r="1037">
      <c r="A1037" s="10" t="inlineStr">
        <is>
          <t>PJ-2022-G</t>
        </is>
      </c>
      <c r="B1037" s="10" t="inlineStr">
        <is>
          <t>位置合わせ(MS学習値)／月内均等</t>
        </is>
      </c>
      <c r="C1037" s="10" t="inlineStr">
        <is>
          <t>2022-05</t>
        </is>
      </c>
      <c r="D1037" s="10" t="n">
        <v>4</v>
      </c>
      <c r="E1037" s="12" t="n">
        <v>5810.8</v>
      </c>
      <c r="F1037" s="12" t="n">
        <v>11771</v>
      </c>
      <c r="G1037" s="12" t="n">
        <v>-5960.2</v>
      </c>
      <c r="H1037" s="13" t="n">
        <v>0.07729999999999999</v>
      </c>
      <c r="I1037" s="13" t="n">
        <v>0.1817</v>
      </c>
    </row>
    <row r="1038">
      <c r="A1038" s="10" t="inlineStr">
        <is>
          <t>PJ-2022-G</t>
        </is>
      </c>
      <c r="B1038" s="10" t="inlineStr">
        <is>
          <t>位置合わせ(MS学習値)／月内均等</t>
        </is>
      </c>
      <c r="C1038" s="10" t="inlineStr">
        <is>
          <t>2022-06</t>
        </is>
      </c>
      <c r="D1038" s="10" t="n">
        <v>5</v>
      </c>
      <c r="E1038" s="12" t="n">
        <v>5987.7</v>
      </c>
      <c r="F1038" s="12" t="n">
        <v>10986.1</v>
      </c>
      <c r="G1038" s="12" t="n">
        <v>-4998.4</v>
      </c>
      <c r="H1038" s="13" t="n">
        <v>0.1029</v>
      </c>
      <c r="I1038" s="13" t="n">
        <v>0.2287</v>
      </c>
    </row>
    <row r="1039">
      <c r="A1039" s="10" t="inlineStr">
        <is>
          <t>PJ-2022-G</t>
        </is>
      </c>
      <c r="B1039" s="10" t="inlineStr">
        <is>
          <t>位置合わせ(MS学習値)／月内均等</t>
        </is>
      </c>
      <c r="C1039" s="10" t="inlineStr">
        <is>
          <t>2022-07</t>
        </is>
      </c>
      <c r="D1039" s="10" t="n">
        <v>6</v>
      </c>
      <c r="E1039" s="12" t="n">
        <v>6701.5</v>
      </c>
      <c r="F1039" s="12" t="n">
        <v>12683.3</v>
      </c>
      <c r="G1039" s="12" t="n">
        <v>-5981.8</v>
      </c>
      <c r="H1039" s="13" t="n">
        <v>0.1316</v>
      </c>
      <c r="I1039" s="13" t="n">
        <v>0.2829</v>
      </c>
    </row>
    <row r="1040">
      <c r="A1040" s="10" t="inlineStr">
        <is>
          <t>PJ-2022-G</t>
        </is>
      </c>
      <c r="B1040" s="10" t="inlineStr">
        <is>
          <t>位置合わせ(MS学習値)／月内均等</t>
        </is>
      </c>
      <c r="C1040" s="10" t="inlineStr">
        <is>
          <t>2022-08</t>
        </is>
      </c>
      <c r="D1040" s="10" t="n">
        <v>7</v>
      </c>
      <c r="E1040" s="12" t="n">
        <v>7456.7</v>
      </c>
      <c r="F1040" s="12" t="n">
        <v>14085.9</v>
      </c>
      <c r="G1040" s="12" t="n">
        <v>-6629.2</v>
      </c>
      <c r="H1040" s="13" t="n">
        <v>0.1635</v>
      </c>
      <c r="I1040" s="13" t="n">
        <v>0.3432</v>
      </c>
    </row>
    <row r="1041">
      <c r="A1041" s="10" t="inlineStr">
        <is>
          <t>PJ-2022-G</t>
        </is>
      </c>
      <c r="B1041" s="10" t="inlineStr">
        <is>
          <t>位置合わせ(MS学習値)／月内均等</t>
        </is>
      </c>
      <c r="C1041" s="10" t="inlineStr">
        <is>
          <t>2022-09</t>
        </is>
      </c>
      <c r="D1041" s="10" t="n">
        <v>8</v>
      </c>
      <c r="E1041" s="12" t="n">
        <v>8536.700000000001</v>
      </c>
      <c r="F1041" s="12" t="n">
        <v>16396.3</v>
      </c>
      <c r="G1041" s="12" t="n">
        <v>-7859.6</v>
      </c>
      <c r="H1041" s="13" t="n">
        <v>0.2</v>
      </c>
      <c r="I1041" s="13" t="n">
        <v>0.4133</v>
      </c>
    </row>
    <row r="1042">
      <c r="A1042" s="10" t="inlineStr">
        <is>
          <t>PJ-2022-G</t>
        </is>
      </c>
      <c r="B1042" s="10" t="inlineStr">
        <is>
          <t>位置合わせ(MS学習値)／月内均等</t>
        </is>
      </c>
      <c r="C1042" s="10" t="inlineStr">
        <is>
          <t>2022-10</t>
        </is>
      </c>
      <c r="D1042" s="10" t="n">
        <v>9</v>
      </c>
      <c r="E1042" s="12" t="n">
        <v>10092</v>
      </c>
      <c r="F1042" s="12" t="n">
        <v>16496.9</v>
      </c>
      <c r="G1042" s="12" t="n">
        <v>-6404.9</v>
      </c>
      <c r="H1042" s="13" t="n">
        <v>0.2432</v>
      </c>
      <c r="I1042" s="13" t="n">
        <v>0.4839</v>
      </c>
    </row>
    <row r="1043">
      <c r="A1043" s="10" t="inlineStr">
        <is>
          <t>PJ-2022-G</t>
        </is>
      </c>
      <c r="B1043" s="10" t="inlineStr">
        <is>
          <t>位置合わせ(MS学習値)／月内均等</t>
        </is>
      </c>
      <c r="C1043" s="10" t="inlineStr">
        <is>
          <t>2022-11</t>
        </is>
      </c>
      <c r="D1043" s="10" t="n">
        <v>10</v>
      </c>
      <c r="E1043" s="12" t="n">
        <v>10735.1</v>
      </c>
      <c r="F1043" s="12" t="n">
        <v>15571.5</v>
      </c>
      <c r="G1043" s="12" t="n">
        <v>-4836.4</v>
      </c>
      <c r="H1043" s="13" t="n">
        <v>0.2891</v>
      </c>
      <c r="I1043" s="13" t="n">
        <v>0.5505</v>
      </c>
    </row>
    <row r="1044">
      <c r="A1044" s="10" t="inlineStr">
        <is>
          <t>PJ-2022-G</t>
        </is>
      </c>
      <c r="B1044" s="10" t="inlineStr">
        <is>
          <t>位置合わせ(MS学習値)／月内均等</t>
        </is>
      </c>
      <c r="C1044" s="10" t="inlineStr">
        <is>
          <t>2022-12</t>
        </is>
      </c>
      <c r="D1044" s="10" t="n">
        <v>11</v>
      </c>
      <c r="E1044" s="12" t="n">
        <v>12510.9</v>
      </c>
      <c r="F1044" s="12" t="n">
        <v>12580.5</v>
      </c>
      <c r="G1044" s="12" t="n">
        <v>-69.59999999999999</v>
      </c>
      <c r="H1044" s="13" t="n">
        <v>0.3426</v>
      </c>
      <c r="I1044" s="13" t="n">
        <v>0.6042999999999999</v>
      </c>
    </row>
    <row r="1045">
      <c r="A1045" s="10" t="inlineStr">
        <is>
          <t>PJ-2022-G</t>
        </is>
      </c>
      <c r="B1045" s="10" t="inlineStr">
        <is>
          <t>位置合わせ(MS学習値)／月内均等</t>
        </is>
      </c>
      <c r="C1045" s="10" t="inlineStr">
        <is>
          <t>2023-01</t>
        </is>
      </c>
      <c r="D1045" s="10" t="n">
        <v>12</v>
      </c>
      <c r="E1045" s="12" t="n">
        <v>14585.1</v>
      </c>
      <c r="F1045" s="12" t="n">
        <v>10581</v>
      </c>
      <c r="G1045" s="12" t="n">
        <v>4004.1</v>
      </c>
      <c r="H1045" s="13" t="n">
        <v>0.405</v>
      </c>
      <c r="I1045" s="13" t="n">
        <v>0.6496</v>
      </c>
    </row>
    <row r="1046">
      <c r="A1046" s="10" t="inlineStr">
        <is>
          <t>PJ-2022-G</t>
        </is>
      </c>
      <c r="B1046" s="10" t="inlineStr">
        <is>
          <t>位置合わせ(MS学習値)／月内均等</t>
        </is>
      </c>
      <c r="C1046" s="10" t="inlineStr">
        <is>
          <t>2023-02</t>
        </is>
      </c>
      <c r="D1046" s="10" t="n">
        <v>13</v>
      </c>
      <c r="E1046" s="12" t="n">
        <v>13216.8</v>
      </c>
      <c r="F1046" s="12" t="n">
        <v>9159.700000000001</v>
      </c>
      <c r="G1046" s="12" t="n">
        <v>4057.1</v>
      </c>
      <c r="H1046" s="13" t="n">
        <v>0.4615</v>
      </c>
      <c r="I1046" s="13" t="n">
        <v>0.6888</v>
      </c>
    </row>
    <row r="1047">
      <c r="A1047" s="10" t="inlineStr">
        <is>
          <t>PJ-2022-G</t>
        </is>
      </c>
      <c r="B1047" s="10" t="inlineStr">
        <is>
          <t>位置合わせ(MS学習値)／月内均等</t>
        </is>
      </c>
      <c r="C1047" s="10" t="inlineStr">
        <is>
          <t>2023-03</t>
        </is>
      </c>
      <c r="D1047" s="10" t="n">
        <v>14</v>
      </c>
      <c r="E1047" s="12" t="n">
        <v>14994.5</v>
      </c>
      <c r="F1047" s="12" t="n">
        <v>10036.4</v>
      </c>
      <c r="G1047" s="12" t="n">
        <v>4958.1</v>
      </c>
      <c r="H1047" s="13" t="n">
        <v>0.5256999999999999</v>
      </c>
      <c r="I1047" s="13" t="n">
        <v>0.7317</v>
      </c>
    </row>
    <row r="1048">
      <c r="A1048" s="10" t="inlineStr">
        <is>
          <t>PJ-2022-G</t>
        </is>
      </c>
      <c r="B1048" s="10" t="inlineStr">
        <is>
          <t>位置合わせ(MS学習値)／月内均等</t>
        </is>
      </c>
      <c r="C1048" s="10" t="inlineStr">
        <is>
          <t>2023-04</t>
        </is>
      </c>
      <c r="D1048" s="10" t="n">
        <v>15</v>
      </c>
      <c r="E1048" s="12" t="n">
        <v>14203.7</v>
      </c>
      <c r="F1048" s="12" t="n">
        <v>11511.6</v>
      </c>
      <c r="G1048" s="12" t="n">
        <v>2692.1</v>
      </c>
      <c r="H1048" s="13" t="n">
        <v>0.5864</v>
      </c>
      <c r="I1048" s="13" t="n">
        <v>0.7809</v>
      </c>
    </row>
    <row r="1049">
      <c r="A1049" s="10" t="inlineStr">
        <is>
          <t>PJ-2022-G</t>
        </is>
      </c>
      <c r="B1049" s="10" t="inlineStr">
        <is>
          <t>位置合わせ(MS学習値)／月内均等</t>
        </is>
      </c>
      <c r="C1049" s="10" t="inlineStr">
        <is>
          <t>2023-05</t>
        </is>
      </c>
      <c r="D1049" s="10" t="n">
        <v>16</v>
      </c>
      <c r="E1049" s="12" t="n">
        <v>14555.5</v>
      </c>
      <c r="F1049" s="12" t="n">
        <v>12070.3</v>
      </c>
      <c r="G1049" s="12" t="n">
        <v>2485.2</v>
      </c>
      <c r="H1049" s="13" t="n">
        <v>0.6487000000000001</v>
      </c>
      <c r="I1049" s="13" t="n">
        <v>0.8326</v>
      </c>
    </row>
    <row r="1050">
      <c r="A1050" s="10" t="inlineStr">
        <is>
          <t>PJ-2022-G</t>
        </is>
      </c>
      <c r="B1050" s="10" t="inlineStr">
        <is>
          <t>位置合わせ(MS学習値)／月内均等</t>
        </is>
      </c>
      <c r="C1050" s="10" t="inlineStr">
        <is>
          <t>2023-06</t>
        </is>
      </c>
      <c r="D1050" s="10" t="n">
        <v>17</v>
      </c>
      <c r="E1050" s="12" t="n">
        <v>14854.9</v>
      </c>
      <c r="F1050" s="12" t="n">
        <v>10093.2</v>
      </c>
      <c r="G1050" s="12" t="n">
        <v>4761.7</v>
      </c>
      <c r="H1050" s="13" t="n">
        <v>0.7123</v>
      </c>
      <c r="I1050" s="13" t="n">
        <v>0.8758</v>
      </c>
    </row>
    <row r="1051">
      <c r="A1051" s="10" t="inlineStr">
        <is>
          <t>PJ-2022-G</t>
        </is>
      </c>
      <c r="B1051" s="10" t="inlineStr">
        <is>
          <t>位置合わせ(MS学習値)／月内均等</t>
        </is>
      </c>
      <c r="C1051" s="10" t="inlineStr">
        <is>
          <t>2023-07</t>
        </is>
      </c>
      <c r="D1051" s="10" t="n">
        <v>18</v>
      </c>
      <c r="E1051" s="12" t="n">
        <v>14938.6</v>
      </c>
      <c r="F1051" s="12" t="n">
        <v>8162.9</v>
      </c>
      <c r="G1051" s="12" t="n">
        <v>6775.7</v>
      </c>
      <c r="H1051" s="13" t="n">
        <v>0.7762</v>
      </c>
      <c r="I1051" s="13" t="n">
        <v>0.9107</v>
      </c>
    </row>
    <row r="1052">
      <c r="A1052" s="10" t="inlineStr">
        <is>
          <t>PJ-2022-G</t>
        </is>
      </c>
      <c r="B1052" s="10" t="inlineStr">
        <is>
          <t>位置合わせ(MS学習値)／月内均等</t>
        </is>
      </c>
      <c r="C1052" s="10" t="inlineStr">
        <is>
          <t>2023-08</t>
        </is>
      </c>
      <c r="D1052" s="10" t="n">
        <v>19</v>
      </c>
      <c r="E1052" s="12" t="n">
        <v>12997.1</v>
      </c>
      <c r="F1052" s="12" t="n">
        <v>5336.7</v>
      </c>
      <c r="G1052" s="12" t="n">
        <v>7660.4</v>
      </c>
      <c r="H1052" s="13" t="n">
        <v>0.8318</v>
      </c>
      <c r="I1052" s="13" t="n">
        <v>0.9335</v>
      </c>
    </row>
    <row r="1053">
      <c r="A1053" s="10" t="inlineStr">
        <is>
          <t>PJ-2022-G</t>
        </is>
      </c>
      <c r="B1053" s="10" t="inlineStr">
        <is>
          <t>位置合わせ(MS学習値)／月内均等</t>
        </is>
      </c>
      <c r="C1053" s="10" t="inlineStr">
        <is>
          <t>2023-09</t>
        </is>
      </c>
      <c r="D1053" s="10" t="n">
        <v>20</v>
      </c>
      <c r="E1053" s="12" t="n">
        <v>11376.9</v>
      </c>
      <c r="F1053" s="12" t="n">
        <v>4269.9</v>
      </c>
      <c r="G1053" s="12" t="n">
        <v>7107</v>
      </c>
      <c r="H1053" s="13" t="n">
        <v>0.8804</v>
      </c>
      <c r="I1053" s="13" t="n">
        <v>0.9518</v>
      </c>
    </row>
    <row r="1054">
      <c r="A1054" s="10" t="inlineStr">
        <is>
          <t>PJ-2022-G</t>
        </is>
      </c>
      <c r="B1054" s="10" t="inlineStr">
        <is>
          <t>位置合わせ(MS学習値)／月内均等</t>
        </is>
      </c>
      <c r="C1054" s="10" t="inlineStr">
        <is>
          <t>2023-10</t>
        </is>
      </c>
      <c r="D1054" s="10" t="n">
        <v>21</v>
      </c>
      <c r="E1054" s="12" t="n">
        <v>10098.3</v>
      </c>
      <c r="F1054" s="12" t="n">
        <v>4101.6</v>
      </c>
      <c r="G1054" s="12" t="n">
        <v>5996.7</v>
      </c>
      <c r="H1054" s="13" t="n">
        <v>0.9236</v>
      </c>
      <c r="I1054" s="13" t="n">
        <v>0.9693000000000001</v>
      </c>
    </row>
    <row r="1055">
      <c r="A1055" s="10" t="inlineStr">
        <is>
          <t>PJ-2022-G</t>
        </is>
      </c>
      <c r="B1055" s="10" t="inlineStr">
        <is>
          <t>位置合わせ(MS学習値)／月内均等</t>
        </is>
      </c>
      <c r="C1055" s="10" t="inlineStr">
        <is>
          <t>2023-11</t>
        </is>
      </c>
      <c r="D1055" s="10" t="n">
        <v>22</v>
      </c>
      <c r="E1055" s="12" t="n">
        <v>7761.3</v>
      </c>
      <c r="F1055" s="12" t="n">
        <v>3281.7</v>
      </c>
      <c r="G1055" s="12" t="n">
        <v>4479.6</v>
      </c>
      <c r="H1055" s="13" t="n">
        <v>0.9568</v>
      </c>
      <c r="I1055" s="13" t="n">
        <v>0.9834000000000001</v>
      </c>
    </row>
    <row r="1056">
      <c r="A1056" s="10" t="inlineStr">
        <is>
          <t>PJ-2022-G</t>
        </is>
      </c>
      <c r="B1056" s="10" t="inlineStr">
        <is>
          <t>位置合わせ(MS学習値)／月内均等</t>
        </is>
      </c>
      <c r="C1056" s="10" t="inlineStr">
        <is>
          <t>2023-12</t>
        </is>
      </c>
      <c r="D1056" s="10" t="n">
        <v>23</v>
      </c>
      <c r="E1056" s="12" t="n">
        <v>6510.9</v>
      </c>
      <c r="F1056" s="12" t="n">
        <v>2964.5</v>
      </c>
      <c r="G1056" s="12" t="n">
        <v>3546.4</v>
      </c>
      <c r="H1056" s="13" t="n">
        <v>0.9847</v>
      </c>
      <c r="I1056" s="13" t="n">
        <v>0.996</v>
      </c>
    </row>
    <row r="1057">
      <c r="A1057" s="10" t="inlineStr">
        <is>
          <t>PJ-2022-G</t>
        </is>
      </c>
      <c r="B1057" s="10" t="inlineStr">
        <is>
          <t>位置合わせ(MS学習値)／月内均等</t>
        </is>
      </c>
      <c r="C1057" s="10" t="inlineStr">
        <is>
          <t>2024-01</t>
        </is>
      </c>
      <c r="D1057" s="10" t="n">
        <v>24</v>
      </c>
      <c r="E1057" s="12" t="n">
        <v>3581</v>
      </c>
      <c r="F1057" s="12" t="n">
        <v>925</v>
      </c>
      <c r="G1057" s="12" t="n">
        <v>2656</v>
      </c>
      <c r="H1057" s="13" t="n">
        <v>1</v>
      </c>
      <c r="I1057" s="13" t="n">
        <v>1</v>
      </c>
    </row>
    <row r="1058">
      <c r="A1058" s="10" t="inlineStr">
        <is>
          <t>PJ-2022-G</t>
        </is>
      </c>
      <c r="B1058" s="10" t="inlineStr">
        <is>
          <t>位置合わせ(MS指定)／月内均等</t>
        </is>
      </c>
      <c r="C1058" s="10" t="inlineStr">
        <is>
          <t>2022-02</t>
        </is>
      </c>
      <c r="D1058" s="10" t="n">
        <v>1</v>
      </c>
      <c r="E1058" s="12" t="n">
        <v>3152.9</v>
      </c>
      <c r="F1058" s="12" t="n">
        <v>9203.5</v>
      </c>
      <c r="G1058" s="12" t="n">
        <v>-6050.6</v>
      </c>
      <c r="H1058" s="13" t="n">
        <v>0.0135</v>
      </c>
      <c r="I1058" s="13" t="n">
        <v>0.0394</v>
      </c>
    </row>
    <row r="1059">
      <c r="A1059" s="10" t="inlineStr">
        <is>
          <t>PJ-2022-G</t>
        </is>
      </c>
      <c r="B1059" s="10" t="inlineStr">
        <is>
          <t>位置合わせ(MS指定)／月内均等</t>
        </is>
      </c>
      <c r="C1059" s="10" t="inlineStr">
        <is>
          <t>2022-03</t>
        </is>
      </c>
      <c r="D1059" s="10" t="n">
        <v>2</v>
      </c>
      <c r="E1059" s="12" t="n">
        <v>4603.7</v>
      </c>
      <c r="F1059" s="12" t="n">
        <v>11045.5</v>
      </c>
      <c r="G1059" s="12" t="n">
        <v>-6441.8</v>
      </c>
      <c r="H1059" s="13" t="n">
        <v>0.0332</v>
      </c>
      <c r="I1059" s="13" t="n">
        <v>0.0866</v>
      </c>
    </row>
    <row r="1060">
      <c r="A1060" s="10" t="inlineStr">
        <is>
          <t>PJ-2022-G</t>
        </is>
      </c>
      <c r="B1060" s="10" t="inlineStr">
        <is>
          <t>位置合わせ(MS指定)／月内均等</t>
        </is>
      </c>
      <c r="C1060" s="10" t="inlineStr">
        <is>
          <t>2022-04</t>
        </is>
      </c>
      <c r="D1060" s="10" t="n">
        <v>3</v>
      </c>
      <c r="E1060" s="12" t="n">
        <v>5201.5</v>
      </c>
      <c r="F1060" s="12" t="n">
        <v>10444.9</v>
      </c>
      <c r="G1060" s="12" t="n">
        <v>-5243.4</v>
      </c>
      <c r="H1060" s="13" t="n">
        <v>0.0554</v>
      </c>
      <c r="I1060" s="13" t="n">
        <v>0.1313</v>
      </c>
    </row>
    <row r="1061">
      <c r="A1061" s="10" t="inlineStr">
        <is>
          <t>PJ-2022-G</t>
        </is>
      </c>
      <c r="B1061" s="10" t="inlineStr">
        <is>
          <t>位置合わせ(MS指定)／月内均等</t>
        </is>
      </c>
      <c r="C1061" s="10" t="inlineStr">
        <is>
          <t>2022-05</t>
        </is>
      </c>
      <c r="D1061" s="10" t="n">
        <v>4</v>
      </c>
      <c r="E1061" s="12" t="n">
        <v>6056</v>
      </c>
      <c r="F1061" s="12" t="n">
        <v>11771</v>
      </c>
      <c r="G1061" s="12" t="n">
        <v>-5715</v>
      </c>
      <c r="H1061" s="13" t="n">
        <v>0.0813</v>
      </c>
      <c r="I1061" s="13" t="n">
        <v>0.1817</v>
      </c>
    </row>
    <row r="1062">
      <c r="A1062" s="10" t="inlineStr">
        <is>
          <t>PJ-2022-G</t>
        </is>
      </c>
      <c r="B1062" s="10" t="inlineStr">
        <is>
          <t>位置合わせ(MS指定)／月内均等</t>
        </is>
      </c>
      <c r="C1062" s="10" t="inlineStr">
        <is>
          <t>2022-06</t>
        </is>
      </c>
      <c r="D1062" s="10" t="n">
        <v>5</v>
      </c>
      <c r="E1062" s="12" t="n">
        <v>6351.8</v>
      </c>
      <c r="F1062" s="12" t="n">
        <v>10986.1</v>
      </c>
      <c r="G1062" s="12" t="n">
        <v>-4634.3</v>
      </c>
      <c r="H1062" s="13" t="n">
        <v>0.1085</v>
      </c>
      <c r="I1062" s="13" t="n">
        <v>0.2287</v>
      </c>
    </row>
    <row r="1063">
      <c r="A1063" s="10" t="inlineStr">
        <is>
          <t>PJ-2022-G</t>
        </is>
      </c>
      <c r="B1063" s="10" t="inlineStr">
        <is>
          <t>位置合わせ(MS指定)／月内均等</t>
        </is>
      </c>
      <c r="C1063" s="10" t="inlineStr">
        <is>
          <t>2022-07</t>
        </is>
      </c>
      <c r="D1063" s="10" t="n">
        <v>6</v>
      </c>
      <c r="E1063" s="12" t="n">
        <v>7203.9</v>
      </c>
      <c r="F1063" s="12" t="n">
        <v>12683.3</v>
      </c>
      <c r="G1063" s="12" t="n">
        <v>-5479.4</v>
      </c>
      <c r="H1063" s="13" t="n">
        <v>0.1393</v>
      </c>
      <c r="I1063" s="13" t="n">
        <v>0.2829</v>
      </c>
    </row>
    <row r="1064">
      <c r="A1064" s="10" t="inlineStr">
        <is>
          <t>PJ-2022-G</t>
        </is>
      </c>
      <c r="B1064" s="10" t="inlineStr">
        <is>
          <t>位置合わせ(MS指定)／月内均等</t>
        </is>
      </c>
      <c r="C1064" s="10" t="inlineStr">
        <is>
          <t>2022-08</t>
        </is>
      </c>
      <c r="D1064" s="10" t="n">
        <v>7</v>
      </c>
      <c r="E1064" s="12" t="n">
        <v>8067.5</v>
      </c>
      <c r="F1064" s="12" t="n">
        <v>14085.9</v>
      </c>
      <c r="G1064" s="12" t="n">
        <v>-6018.4</v>
      </c>
      <c r="H1064" s="13" t="n">
        <v>0.1738</v>
      </c>
      <c r="I1064" s="13" t="n">
        <v>0.3432</v>
      </c>
    </row>
    <row r="1065">
      <c r="A1065" s="10" t="inlineStr">
        <is>
          <t>PJ-2022-G</t>
        </is>
      </c>
      <c r="B1065" s="10" t="inlineStr">
        <is>
          <t>位置合わせ(MS指定)／月内均等</t>
        </is>
      </c>
      <c r="C1065" s="10" t="inlineStr">
        <is>
          <t>2022-09</t>
        </is>
      </c>
      <c r="D1065" s="10" t="n">
        <v>8</v>
      </c>
      <c r="E1065" s="12" t="n">
        <v>9284</v>
      </c>
      <c r="F1065" s="12" t="n">
        <v>16396.3</v>
      </c>
      <c r="G1065" s="12" t="n">
        <v>-7112.3</v>
      </c>
      <c r="H1065" s="13" t="n">
        <v>0.2136</v>
      </c>
      <c r="I1065" s="13" t="n">
        <v>0.4133</v>
      </c>
    </row>
    <row r="1066">
      <c r="A1066" s="10" t="inlineStr">
        <is>
          <t>PJ-2022-G</t>
        </is>
      </c>
      <c r="B1066" s="10" t="inlineStr">
        <is>
          <t>位置合わせ(MS指定)／月内均等</t>
        </is>
      </c>
      <c r="C1066" s="10" t="inlineStr">
        <is>
          <t>2022-10</t>
        </is>
      </c>
      <c r="D1066" s="10" t="n">
        <v>9</v>
      </c>
      <c r="E1066" s="12" t="n">
        <v>10875.7</v>
      </c>
      <c r="F1066" s="12" t="n">
        <v>16496.9</v>
      </c>
      <c r="G1066" s="12" t="n">
        <v>-5621.2</v>
      </c>
      <c r="H1066" s="13" t="n">
        <v>0.2601</v>
      </c>
      <c r="I1066" s="13" t="n">
        <v>0.4839</v>
      </c>
    </row>
    <row r="1067">
      <c r="A1067" s="10" t="inlineStr">
        <is>
          <t>PJ-2022-G</t>
        </is>
      </c>
      <c r="B1067" s="10" t="inlineStr">
        <is>
          <t>位置合わせ(MS指定)／月内均等</t>
        </is>
      </c>
      <c r="C1067" s="10" t="inlineStr">
        <is>
          <t>2022-11</t>
        </is>
      </c>
      <c r="D1067" s="10" t="n">
        <v>10</v>
      </c>
      <c r="E1067" s="12" t="n">
        <v>11824.6</v>
      </c>
      <c r="F1067" s="12" t="n">
        <v>15571.5</v>
      </c>
      <c r="G1067" s="12" t="n">
        <v>-3746.9</v>
      </c>
      <c r="H1067" s="13" t="n">
        <v>0.3107</v>
      </c>
      <c r="I1067" s="13" t="n">
        <v>0.5505</v>
      </c>
    </row>
    <row r="1068">
      <c r="A1068" s="10" t="inlineStr">
        <is>
          <t>PJ-2022-G</t>
        </is>
      </c>
      <c r="B1068" s="10" t="inlineStr">
        <is>
          <t>位置合わせ(MS指定)／月内均等</t>
        </is>
      </c>
      <c r="C1068" s="10" t="inlineStr">
        <is>
          <t>2022-12</t>
        </is>
      </c>
      <c r="D1068" s="10" t="n">
        <v>11</v>
      </c>
      <c r="E1068" s="12" t="n">
        <v>13795.8</v>
      </c>
      <c r="F1068" s="12" t="n">
        <v>12580.5</v>
      </c>
      <c r="G1068" s="12" t="n">
        <v>1215.3</v>
      </c>
      <c r="H1068" s="13" t="n">
        <v>0.3697</v>
      </c>
      <c r="I1068" s="13" t="n">
        <v>0.6042999999999999</v>
      </c>
    </row>
    <row r="1069">
      <c r="A1069" s="10" t="inlineStr">
        <is>
          <t>PJ-2022-G</t>
        </is>
      </c>
      <c r="B1069" s="10" t="inlineStr">
        <is>
          <t>位置合わせ(MS指定)／月内均等</t>
        </is>
      </c>
      <c r="C1069" s="10" t="inlineStr">
        <is>
          <t>2023-01</t>
        </is>
      </c>
      <c r="D1069" s="10" t="n">
        <v>12</v>
      </c>
      <c r="E1069" s="12" t="n">
        <v>15007.7</v>
      </c>
      <c r="F1069" s="12" t="n">
        <v>10581</v>
      </c>
      <c r="G1069" s="12" t="n">
        <v>4426.7</v>
      </c>
      <c r="H1069" s="13" t="n">
        <v>0.4339</v>
      </c>
      <c r="I1069" s="13" t="n">
        <v>0.6496</v>
      </c>
    </row>
    <row r="1070">
      <c r="A1070" s="10" t="inlineStr">
        <is>
          <t>PJ-2022-G</t>
        </is>
      </c>
      <c r="B1070" s="10" t="inlineStr">
        <is>
          <t>位置合わせ(MS指定)／月内均等</t>
        </is>
      </c>
      <c r="C1070" s="10" t="inlineStr">
        <is>
          <t>2023-02</t>
        </is>
      </c>
      <c r="D1070" s="10" t="n">
        <v>13</v>
      </c>
      <c r="E1070" s="12" t="n">
        <v>12929.5</v>
      </c>
      <c r="F1070" s="12" t="n">
        <v>9159.700000000001</v>
      </c>
      <c r="G1070" s="12" t="n">
        <v>3769.8</v>
      </c>
      <c r="H1070" s="13" t="n">
        <v>0.4892</v>
      </c>
      <c r="I1070" s="13" t="n">
        <v>0.6888</v>
      </c>
    </row>
    <row r="1071">
      <c r="A1071" s="10" t="inlineStr">
        <is>
          <t>PJ-2022-G</t>
        </is>
      </c>
      <c r="B1071" s="10" t="inlineStr">
        <is>
          <t>位置合わせ(MS指定)／月内均等</t>
        </is>
      </c>
      <c r="C1071" s="10" t="inlineStr">
        <is>
          <t>2023-03</t>
        </is>
      </c>
      <c r="D1071" s="10" t="n">
        <v>14</v>
      </c>
      <c r="E1071" s="12" t="n">
        <v>14430</v>
      </c>
      <c r="F1071" s="12" t="n">
        <v>10036.4</v>
      </c>
      <c r="G1071" s="12" t="n">
        <v>4393.6</v>
      </c>
      <c r="H1071" s="13" t="n">
        <v>0.5508999999999999</v>
      </c>
      <c r="I1071" s="13" t="n">
        <v>0.7317</v>
      </c>
    </row>
    <row r="1072">
      <c r="A1072" s="10" t="inlineStr">
        <is>
          <t>PJ-2022-G</t>
        </is>
      </c>
      <c r="B1072" s="10" t="inlineStr">
        <is>
          <t>位置合わせ(MS指定)／月内均等</t>
        </is>
      </c>
      <c r="C1072" s="10" t="inlineStr">
        <is>
          <t>2023-04</t>
        </is>
      </c>
      <c r="D1072" s="10" t="n">
        <v>15</v>
      </c>
      <c r="E1072" s="12" t="n">
        <v>13504</v>
      </c>
      <c r="F1072" s="12" t="n">
        <v>11511.6</v>
      </c>
      <c r="G1072" s="12" t="n">
        <v>1992.4</v>
      </c>
      <c r="H1072" s="13" t="n">
        <v>0.6087</v>
      </c>
      <c r="I1072" s="13" t="n">
        <v>0.7809</v>
      </c>
    </row>
    <row r="1073">
      <c r="A1073" s="10" t="inlineStr">
        <is>
          <t>PJ-2022-G</t>
        </is>
      </c>
      <c r="B1073" s="10" t="inlineStr">
        <is>
          <t>位置合わせ(MS指定)／月内均等</t>
        </is>
      </c>
      <c r="C1073" s="10" t="inlineStr">
        <is>
          <t>2023-05</t>
        </is>
      </c>
      <c r="D1073" s="10" t="n">
        <v>16</v>
      </c>
      <c r="E1073" s="12" t="n">
        <v>14315.1</v>
      </c>
      <c r="F1073" s="12" t="n">
        <v>12070.3</v>
      </c>
      <c r="G1073" s="12" t="n">
        <v>2244.8</v>
      </c>
      <c r="H1073" s="13" t="n">
        <v>0.6699000000000001</v>
      </c>
      <c r="I1073" s="13" t="n">
        <v>0.8326</v>
      </c>
    </row>
    <row r="1074">
      <c r="A1074" s="10" t="inlineStr">
        <is>
          <t>PJ-2022-G</t>
        </is>
      </c>
      <c r="B1074" s="10" t="inlineStr">
        <is>
          <t>位置合わせ(MS指定)／月内均等</t>
        </is>
      </c>
      <c r="C1074" s="10" t="inlineStr">
        <is>
          <t>2023-06</t>
        </is>
      </c>
      <c r="D1074" s="10" t="n">
        <v>17</v>
      </c>
      <c r="E1074" s="12" t="n">
        <v>14253</v>
      </c>
      <c r="F1074" s="12" t="n">
        <v>10093.2</v>
      </c>
      <c r="G1074" s="12" t="n">
        <v>4159.8</v>
      </c>
      <c r="H1074" s="13" t="n">
        <v>0.7309</v>
      </c>
      <c r="I1074" s="13" t="n">
        <v>0.8758</v>
      </c>
    </row>
    <row r="1075">
      <c r="A1075" s="10" t="inlineStr">
        <is>
          <t>PJ-2022-G</t>
        </is>
      </c>
      <c r="B1075" s="10" t="inlineStr">
        <is>
          <t>位置合わせ(MS指定)／月内均等</t>
        </is>
      </c>
      <c r="C1075" s="10" t="inlineStr">
        <is>
          <t>2023-07</t>
        </is>
      </c>
      <c r="D1075" s="10" t="n">
        <v>18</v>
      </c>
      <c r="E1075" s="12" t="n">
        <v>13148</v>
      </c>
      <c r="F1075" s="12" t="n">
        <v>8162.9</v>
      </c>
      <c r="G1075" s="12" t="n">
        <v>4985.1</v>
      </c>
      <c r="H1075" s="13" t="n">
        <v>0.7872</v>
      </c>
      <c r="I1075" s="13" t="n">
        <v>0.9107</v>
      </c>
    </row>
    <row r="1076">
      <c r="A1076" s="10" t="inlineStr">
        <is>
          <t>PJ-2022-G</t>
        </is>
      </c>
      <c r="B1076" s="10" t="inlineStr">
        <is>
          <t>位置合わせ(MS指定)／月内均等</t>
        </is>
      </c>
      <c r="C1076" s="10" t="inlineStr">
        <is>
          <t>2023-08</t>
        </is>
      </c>
      <c r="D1076" s="10" t="n">
        <v>19</v>
      </c>
      <c r="E1076" s="12" t="n">
        <v>10568.3</v>
      </c>
      <c r="F1076" s="12" t="n">
        <v>5336.7</v>
      </c>
      <c r="G1076" s="12" t="n">
        <v>5231.6</v>
      </c>
      <c r="H1076" s="13" t="n">
        <v>0.8324</v>
      </c>
      <c r="I1076" s="13" t="n">
        <v>0.9335</v>
      </c>
    </row>
    <row r="1077">
      <c r="A1077" s="10" t="inlineStr">
        <is>
          <t>PJ-2022-G</t>
        </is>
      </c>
      <c r="B1077" s="10" t="inlineStr">
        <is>
          <t>位置合わせ(MS指定)／月内均等</t>
        </is>
      </c>
      <c r="C1077" s="10" t="inlineStr">
        <is>
          <t>2023-09</t>
        </is>
      </c>
      <c r="D1077" s="10" t="n">
        <v>20</v>
      </c>
      <c r="E1077" s="12" t="n">
        <v>9331</v>
      </c>
      <c r="F1077" s="12" t="n">
        <v>4269.9</v>
      </c>
      <c r="G1077" s="12" t="n">
        <v>5061.1</v>
      </c>
      <c r="H1077" s="13" t="n">
        <v>0.8723</v>
      </c>
      <c r="I1077" s="13" t="n">
        <v>0.9518</v>
      </c>
    </row>
    <row r="1078">
      <c r="A1078" s="10" t="inlineStr">
        <is>
          <t>PJ-2022-G</t>
        </is>
      </c>
      <c r="B1078" s="10" t="inlineStr">
        <is>
          <t>位置合わせ(MS指定)／月内均等</t>
        </is>
      </c>
      <c r="C1078" s="10" t="inlineStr">
        <is>
          <t>2023-10</t>
        </is>
      </c>
      <c r="D1078" s="10" t="n">
        <v>21</v>
      </c>
      <c r="E1078" s="12" t="n">
        <v>8732.6</v>
      </c>
      <c r="F1078" s="12" t="n">
        <v>4101.6</v>
      </c>
      <c r="G1078" s="12" t="n">
        <v>4631</v>
      </c>
      <c r="H1078" s="13" t="n">
        <v>0.9096</v>
      </c>
      <c r="I1078" s="13" t="n">
        <v>0.9693000000000001</v>
      </c>
    </row>
    <row r="1079">
      <c r="A1079" s="10" t="inlineStr">
        <is>
          <t>PJ-2022-G</t>
        </is>
      </c>
      <c r="B1079" s="10" t="inlineStr">
        <is>
          <t>位置合わせ(MS指定)／月内均等</t>
        </is>
      </c>
      <c r="C1079" s="10" t="inlineStr">
        <is>
          <t>2023-11</t>
        </is>
      </c>
      <c r="D1079" s="10" t="n">
        <v>22</v>
      </c>
      <c r="E1079" s="12" t="n">
        <v>6925.9</v>
      </c>
      <c r="F1079" s="12" t="n">
        <v>3281.7</v>
      </c>
      <c r="G1079" s="12" t="n">
        <v>3644.2</v>
      </c>
      <c r="H1079" s="13" t="n">
        <v>0.9393</v>
      </c>
      <c r="I1079" s="13" t="n">
        <v>0.9834000000000001</v>
      </c>
    </row>
    <row r="1080">
      <c r="A1080" s="10" t="inlineStr">
        <is>
          <t>PJ-2022-G</t>
        </is>
      </c>
      <c r="B1080" s="10" t="inlineStr">
        <is>
          <t>位置合わせ(MS指定)／月内均等</t>
        </is>
      </c>
      <c r="C1080" s="10" t="inlineStr">
        <is>
          <t>2023-12</t>
        </is>
      </c>
      <c r="D1080" s="10" t="n">
        <v>23</v>
      </c>
      <c r="E1080" s="12" t="n">
        <v>8503.700000000001</v>
      </c>
      <c r="F1080" s="12" t="n">
        <v>2964.5</v>
      </c>
      <c r="G1080" s="12" t="n">
        <v>5539.2</v>
      </c>
      <c r="H1080" s="13" t="n">
        <v>0.9756</v>
      </c>
      <c r="I1080" s="13" t="n">
        <v>0.996</v>
      </c>
    </row>
    <row r="1081">
      <c r="A1081" s="10" t="inlineStr">
        <is>
          <t>PJ-2022-G</t>
        </is>
      </c>
      <c r="B1081" s="10" t="inlineStr">
        <is>
          <t>位置合わせ(MS指定)／月内均等</t>
        </is>
      </c>
      <c r="C1081" s="10" t="inlineStr">
        <is>
          <t>2024-01</t>
        </is>
      </c>
      <c r="D1081" s="10" t="n">
        <v>24</v>
      </c>
      <c r="E1081" s="12" t="n">
        <v>5693.8</v>
      </c>
      <c r="F1081" s="12" t="n">
        <v>925</v>
      </c>
      <c r="G1081" s="12" t="n">
        <v>4768.8</v>
      </c>
      <c r="H1081" s="13" t="n">
        <v>1</v>
      </c>
      <c r="I1081" s="13" t="n">
        <v>1</v>
      </c>
    </row>
    <row r="1082">
      <c r="A1082" s="10" t="inlineStr">
        <is>
          <t>PJ-2022-G</t>
        </is>
      </c>
      <c r="B1082" s="10" t="inlineStr">
        <is>
          <t>素朴版／単調補間</t>
        </is>
      </c>
      <c r="C1082" s="10" t="inlineStr">
        <is>
          <t>2022-02</t>
        </is>
      </c>
      <c r="D1082" s="10" t="n">
        <v>1</v>
      </c>
      <c r="E1082" s="12" t="n">
        <v>2918.9</v>
      </c>
      <c r="F1082" s="12" t="n">
        <v>9203.5</v>
      </c>
      <c r="G1082" s="12" t="n">
        <v>-6284.6</v>
      </c>
      <c r="H1082" s="13" t="n">
        <v>0.0125</v>
      </c>
      <c r="I1082" s="13" t="n">
        <v>0.0394</v>
      </c>
    </row>
    <row r="1083">
      <c r="A1083" s="10" t="inlineStr">
        <is>
          <t>PJ-2022-G</t>
        </is>
      </c>
      <c r="B1083" s="10" t="inlineStr">
        <is>
          <t>素朴版／単調補間</t>
        </is>
      </c>
      <c r="C1083" s="10" t="inlineStr">
        <is>
          <t>2022-03</t>
        </is>
      </c>
      <c r="D1083" s="10" t="n">
        <v>2</v>
      </c>
      <c r="E1083" s="12" t="n">
        <v>4359.3</v>
      </c>
      <c r="F1083" s="12" t="n">
        <v>11045.5</v>
      </c>
      <c r="G1083" s="12" t="n">
        <v>-6686.2</v>
      </c>
      <c r="H1083" s="13" t="n">
        <v>0.0311</v>
      </c>
      <c r="I1083" s="13" t="n">
        <v>0.0866</v>
      </c>
    </row>
    <row r="1084">
      <c r="A1084" s="10" t="inlineStr">
        <is>
          <t>PJ-2022-G</t>
        </is>
      </c>
      <c r="B1084" s="10" t="inlineStr">
        <is>
          <t>素朴版／単調補間</t>
        </is>
      </c>
      <c r="C1084" s="10" t="inlineStr">
        <is>
          <t>2022-04</t>
        </is>
      </c>
      <c r="D1084" s="10" t="n">
        <v>3</v>
      </c>
      <c r="E1084" s="12" t="n">
        <v>5034.7</v>
      </c>
      <c r="F1084" s="12" t="n">
        <v>10444.9</v>
      </c>
      <c r="G1084" s="12" t="n">
        <v>-5410.2</v>
      </c>
      <c r="H1084" s="13" t="n">
        <v>0.0527</v>
      </c>
      <c r="I1084" s="13" t="n">
        <v>0.1313</v>
      </c>
    </row>
    <row r="1085">
      <c r="A1085" s="10" t="inlineStr">
        <is>
          <t>PJ-2022-G</t>
        </is>
      </c>
      <c r="B1085" s="10" t="inlineStr">
        <is>
          <t>素朴版／単調補間</t>
        </is>
      </c>
      <c r="C1085" s="10" t="inlineStr">
        <is>
          <t>2022-05</t>
        </is>
      </c>
      <c r="D1085" s="10" t="n">
        <v>4</v>
      </c>
      <c r="E1085" s="12" t="n">
        <v>5901</v>
      </c>
      <c r="F1085" s="12" t="n">
        <v>11771</v>
      </c>
      <c r="G1085" s="12" t="n">
        <v>-5870</v>
      </c>
      <c r="H1085" s="13" t="n">
        <v>0.0779</v>
      </c>
      <c r="I1085" s="13" t="n">
        <v>0.1817</v>
      </c>
    </row>
    <row r="1086">
      <c r="A1086" s="10" t="inlineStr">
        <is>
          <t>PJ-2022-G</t>
        </is>
      </c>
      <c r="B1086" s="10" t="inlineStr">
        <is>
          <t>素朴版／単調補間</t>
        </is>
      </c>
      <c r="C1086" s="10" t="inlineStr">
        <is>
          <t>2022-06</t>
        </is>
      </c>
      <c r="D1086" s="10" t="n">
        <v>5</v>
      </c>
      <c r="E1086" s="12" t="n">
        <v>6053.3</v>
      </c>
      <c r="F1086" s="12" t="n">
        <v>10986.1</v>
      </c>
      <c r="G1086" s="12" t="n">
        <v>-4932.8</v>
      </c>
      <c r="H1086" s="13" t="n">
        <v>0.1038</v>
      </c>
      <c r="I1086" s="13" t="n">
        <v>0.2287</v>
      </c>
    </row>
    <row r="1087">
      <c r="A1087" s="10" t="inlineStr">
        <is>
          <t>PJ-2022-G</t>
        </is>
      </c>
      <c r="B1087" s="10" t="inlineStr">
        <is>
          <t>素朴版／単調補間</t>
        </is>
      </c>
      <c r="C1087" s="10" t="inlineStr">
        <is>
          <t>2022-07</t>
        </is>
      </c>
      <c r="D1087" s="10" t="n">
        <v>6</v>
      </c>
      <c r="E1087" s="12" t="n">
        <v>6798.5</v>
      </c>
      <c r="F1087" s="12" t="n">
        <v>12683.3</v>
      </c>
      <c r="G1087" s="12" t="n">
        <v>-5884.8</v>
      </c>
      <c r="H1087" s="13" t="n">
        <v>0.1329</v>
      </c>
      <c r="I1087" s="13" t="n">
        <v>0.2829</v>
      </c>
    </row>
    <row r="1088">
      <c r="A1088" s="10" t="inlineStr">
        <is>
          <t>PJ-2022-G</t>
        </is>
      </c>
      <c r="B1088" s="10" t="inlineStr">
        <is>
          <t>素朴版／単調補間</t>
        </is>
      </c>
      <c r="C1088" s="10" t="inlineStr">
        <is>
          <t>2022-08</t>
        </is>
      </c>
      <c r="D1088" s="10" t="n">
        <v>7</v>
      </c>
      <c r="E1088" s="12" t="n">
        <v>8090.4</v>
      </c>
      <c r="F1088" s="12" t="n">
        <v>14085.9</v>
      </c>
      <c r="G1088" s="12" t="n">
        <v>-5995.5</v>
      </c>
      <c r="H1088" s="13" t="n">
        <v>0.1675</v>
      </c>
      <c r="I1088" s="13" t="n">
        <v>0.3432</v>
      </c>
    </row>
    <row r="1089">
      <c r="A1089" s="10" t="inlineStr">
        <is>
          <t>PJ-2022-G</t>
        </is>
      </c>
      <c r="B1089" s="10" t="inlineStr">
        <is>
          <t>素朴版／単調補間</t>
        </is>
      </c>
      <c r="C1089" s="10" t="inlineStr">
        <is>
          <t>2022-09</t>
        </is>
      </c>
      <c r="D1089" s="10" t="n">
        <v>8</v>
      </c>
      <c r="E1089" s="12" t="n">
        <v>9333.9</v>
      </c>
      <c r="F1089" s="12" t="n">
        <v>16396.3</v>
      </c>
      <c r="G1089" s="12" t="n">
        <v>-7062.4</v>
      </c>
      <c r="H1089" s="13" t="n">
        <v>0.2074</v>
      </c>
      <c r="I1089" s="13" t="n">
        <v>0.4133</v>
      </c>
    </row>
    <row r="1090">
      <c r="A1090" s="10" t="inlineStr">
        <is>
          <t>PJ-2022-G</t>
        </is>
      </c>
      <c r="B1090" s="10" t="inlineStr">
        <is>
          <t>素朴版／単調補間</t>
        </is>
      </c>
      <c r="C1090" s="10" t="inlineStr">
        <is>
          <t>2022-10</t>
        </is>
      </c>
      <c r="D1090" s="10" t="n">
        <v>9</v>
      </c>
      <c r="E1090" s="12" t="n">
        <v>10797.6</v>
      </c>
      <c r="F1090" s="12" t="n">
        <v>16496.9</v>
      </c>
      <c r="G1090" s="12" t="n">
        <v>-5699.3</v>
      </c>
      <c r="H1090" s="13" t="n">
        <v>0.2536</v>
      </c>
      <c r="I1090" s="13" t="n">
        <v>0.4839</v>
      </c>
    </row>
    <row r="1091">
      <c r="A1091" s="10" t="inlineStr">
        <is>
          <t>PJ-2022-G</t>
        </is>
      </c>
      <c r="B1091" s="10" t="inlineStr">
        <is>
          <t>素朴版／単調補間</t>
        </is>
      </c>
      <c r="C1091" s="10" t="inlineStr">
        <is>
          <t>2022-11</t>
        </is>
      </c>
      <c r="D1091" s="10" t="n">
        <v>10</v>
      </c>
      <c r="E1091" s="12" t="n">
        <v>12100.5</v>
      </c>
      <c r="F1091" s="12" t="n">
        <v>15571.5</v>
      </c>
      <c r="G1091" s="12" t="n">
        <v>-3471</v>
      </c>
      <c r="H1091" s="13" t="n">
        <v>0.3054</v>
      </c>
      <c r="I1091" s="13" t="n">
        <v>0.5505</v>
      </c>
    </row>
    <row r="1092">
      <c r="A1092" s="10" t="inlineStr">
        <is>
          <t>PJ-2022-G</t>
        </is>
      </c>
      <c r="B1092" s="10" t="inlineStr">
        <is>
          <t>素朴版／単調補間</t>
        </is>
      </c>
      <c r="C1092" s="10" t="inlineStr">
        <is>
          <t>2022-12</t>
        </is>
      </c>
      <c r="D1092" s="10" t="n">
        <v>11</v>
      </c>
      <c r="E1092" s="12" t="n">
        <v>11974.4</v>
      </c>
      <c r="F1092" s="12" t="n">
        <v>12580.5</v>
      </c>
      <c r="G1092" s="12" t="n">
        <v>-606.1</v>
      </c>
      <c r="H1092" s="13" t="n">
        <v>0.3566</v>
      </c>
      <c r="I1092" s="13" t="n">
        <v>0.6042999999999999</v>
      </c>
    </row>
    <row r="1093">
      <c r="A1093" s="10" t="inlineStr">
        <is>
          <t>PJ-2022-G</t>
        </is>
      </c>
      <c r="B1093" s="10" t="inlineStr">
        <is>
          <t>素朴版／単調補間</t>
        </is>
      </c>
      <c r="C1093" s="10" t="inlineStr">
        <is>
          <t>2023-01</t>
        </is>
      </c>
      <c r="D1093" s="10" t="n">
        <v>12</v>
      </c>
      <c r="E1093" s="12" t="n">
        <v>11748.2</v>
      </c>
      <c r="F1093" s="12" t="n">
        <v>10581</v>
      </c>
      <c r="G1093" s="12" t="n">
        <v>1167.2</v>
      </c>
      <c r="H1093" s="13" t="n">
        <v>0.4069</v>
      </c>
      <c r="I1093" s="13" t="n">
        <v>0.6496</v>
      </c>
    </row>
    <row r="1094">
      <c r="A1094" s="10" t="inlineStr">
        <is>
          <t>PJ-2022-G</t>
        </is>
      </c>
      <c r="B1094" s="10" t="inlineStr">
        <is>
          <t>素朴版／単調補間</t>
        </is>
      </c>
      <c r="C1094" s="10" t="inlineStr">
        <is>
          <t>2023-02</t>
        </is>
      </c>
      <c r="D1094" s="10" t="n">
        <v>13</v>
      </c>
      <c r="E1094" s="12" t="n">
        <v>12270.3</v>
      </c>
      <c r="F1094" s="12" t="n">
        <v>9159.700000000001</v>
      </c>
      <c r="G1094" s="12" t="n">
        <v>3110.6</v>
      </c>
      <c r="H1094" s="13" t="n">
        <v>0.4594</v>
      </c>
      <c r="I1094" s="13" t="n">
        <v>0.6888</v>
      </c>
    </row>
    <row r="1095">
      <c r="A1095" s="10" t="inlineStr">
        <is>
          <t>PJ-2022-G</t>
        </is>
      </c>
      <c r="B1095" s="10" t="inlineStr">
        <is>
          <t>素朴版／単調補間</t>
        </is>
      </c>
      <c r="C1095" s="10" t="inlineStr">
        <is>
          <t>2023-03</t>
        </is>
      </c>
      <c r="D1095" s="10" t="n">
        <v>14</v>
      </c>
      <c r="E1095" s="12" t="n">
        <v>14133.3</v>
      </c>
      <c r="F1095" s="12" t="n">
        <v>10036.4</v>
      </c>
      <c r="G1095" s="12" t="n">
        <v>4096.9</v>
      </c>
      <c r="H1095" s="13" t="n">
        <v>0.5198</v>
      </c>
      <c r="I1095" s="13" t="n">
        <v>0.7317</v>
      </c>
    </row>
    <row r="1096">
      <c r="A1096" s="10" t="inlineStr">
        <is>
          <t>PJ-2022-G</t>
        </is>
      </c>
      <c r="B1096" s="10" t="inlineStr">
        <is>
          <t>素朴版／単調補間</t>
        </is>
      </c>
      <c r="C1096" s="10" t="inlineStr">
        <is>
          <t>2023-04</t>
        </is>
      </c>
      <c r="D1096" s="10" t="n">
        <v>15</v>
      </c>
      <c r="E1096" s="12" t="n">
        <v>14762.1</v>
      </c>
      <c r="F1096" s="12" t="n">
        <v>11511.6</v>
      </c>
      <c r="G1096" s="12" t="n">
        <v>3250.5</v>
      </c>
      <c r="H1096" s="13" t="n">
        <v>0.583</v>
      </c>
      <c r="I1096" s="13" t="n">
        <v>0.7809</v>
      </c>
    </row>
    <row r="1097">
      <c r="A1097" s="10" t="inlineStr">
        <is>
          <t>PJ-2022-G</t>
        </is>
      </c>
      <c r="B1097" s="10" t="inlineStr">
        <is>
          <t>素朴版／単調補間</t>
        </is>
      </c>
      <c r="C1097" s="10" t="inlineStr">
        <is>
          <t>2023-05</t>
        </is>
      </c>
      <c r="D1097" s="10" t="n">
        <v>16</v>
      </c>
      <c r="E1097" s="12" t="n">
        <v>15457.4</v>
      </c>
      <c r="F1097" s="12" t="n">
        <v>12070.3</v>
      </c>
      <c r="G1097" s="12" t="n">
        <v>3387.1</v>
      </c>
      <c r="H1097" s="13" t="n">
        <v>0.6491</v>
      </c>
      <c r="I1097" s="13" t="n">
        <v>0.8326</v>
      </c>
    </row>
    <row r="1098">
      <c r="A1098" s="10" t="inlineStr">
        <is>
          <t>PJ-2022-G</t>
        </is>
      </c>
      <c r="B1098" s="10" t="inlineStr">
        <is>
          <t>素朴版／単調補間</t>
        </is>
      </c>
      <c r="C1098" s="10" t="inlineStr">
        <is>
          <t>2023-06</t>
        </is>
      </c>
      <c r="D1098" s="10" t="n">
        <v>17</v>
      </c>
      <c r="E1098" s="12" t="n">
        <v>13662.7</v>
      </c>
      <c r="F1098" s="12" t="n">
        <v>10093.2</v>
      </c>
      <c r="G1098" s="12" t="n">
        <v>3569.5</v>
      </c>
      <c r="H1098" s="13" t="n">
        <v>0.7075</v>
      </c>
      <c r="I1098" s="13" t="n">
        <v>0.8758</v>
      </c>
    </row>
    <row r="1099">
      <c r="A1099" s="10" t="inlineStr">
        <is>
          <t>PJ-2022-G</t>
        </is>
      </c>
      <c r="B1099" s="10" t="inlineStr">
        <is>
          <t>素朴版／単調補間</t>
        </is>
      </c>
      <c r="C1099" s="10" t="inlineStr">
        <is>
          <t>2023-07</t>
        </is>
      </c>
      <c r="D1099" s="10" t="n">
        <v>18</v>
      </c>
      <c r="E1099" s="12" t="n">
        <v>13208.3</v>
      </c>
      <c r="F1099" s="12" t="n">
        <v>8162.9</v>
      </c>
      <c r="G1099" s="12" t="n">
        <v>5045.4</v>
      </c>
      <c r="H1099" s="13" t="n">
        <v>0.7641</v>
      </c>
      <c r="I1099" s="13" t="n">
        <v>0.9107</v>
      </c>
    </row>
    <row r="1100">
      <c r="A1100" s="10" t="inlineStr">
        <is>
          <t>PJ-2022-G</t>
        </is>
      </c>
      <c r="B1100" s="10" t="inlineStr">
        <is>
          <t>素朴版／単調補間</t>
        </is>
      </c>
      <c r="C1100" s="10" t="inlineStr">
        <is>
          <t>2023-08</t>
        </is>
      </c>
      <c r="D1100" s="10" t="n">
        <v>19</v>
      </c>
      <c r="E1100" s="12" t="n">
        <v>13643.5</v>
      </c>
      <c r="F1100" s="12" t="n">
        <v>5336.7</v>
      </c>
      <c r="G1100" s="12" t="n">
        <v>8306.799999999999</v>
      </c>
      <c r="H1100" s="13" t="n">
        <v>0.8224</v>
      </c>
      <c r="I1100" s="13" t="n">
        <v>0.9335</v>
      </c>
    </row>
    <row r="1101">
      <c r="A1101" s="10" t="inlineStr">
        <is>
          <t>PJ-2022-G</t>
        </is>
      </c>
      <c r="B1101" s="10" t="inlineStr">
        <is>
          <t>素朴版／単調補間</t>
        </is>
      </c>
      <c r="C1101" s="10" t="inlineStr">
        <is>
          <t>2023-09</t>
        </is>
      </c>
      <c r="D1101" s="10" t="n">
        <v>20</v>
      </c>
      <c r="E1101" s="12" t="n">
        <v>13075.1</v>
      </c>
      <c r="F1101" s="12" t="n">
        <v>4269.9</v>
      </c>
      <c r="G1101" s="12" t="n">
        <v>8805.200000000001</v>
      </c>
      <c r="H1101" s="13" t="n">
        <v>0.8784</v>
      </c>
      <c r="I1101" s="13" t="n">
        <v>0.9518</v>
      </c>
    </row>
    <row r="1102">
      <c r="A1102" s="10" t="inlineStr">
        <is>
          <t>PJ-2022-G</t>
        </is>
      </c>
      <c r="B1102" s="10" t="inlineStr">
        <is>
          <t>素朴版／単調補間</t>
        </is>
      </c>
      <c r="C1102" s="10" t="inlineStr">
        <is>
          <t>2023-10</t>
        </is>
      </c>
      <c r="D1102" s="10" t="n">
        <v>21</v>
      </c>
      <c r="E1102" s="12" t="n">
        <v>10580.2</v>
      </c>
      <c r="F1102" s="12" t="n">
        <v>4101.6</v>
      </c>
      <c r="G1102" s="12" t="n">
        <v>6478.6</v>
      </c>
      <c r="H1102" s="13" t="n">
        <v>0.9236</v>
      </c>
      <c r="I1102" s="13" t="n">
        <v>0.9693000000000001</v>
      </c>
    </row>
    <row r="1103">
      <c r="A1103" s="10" t="inlineStr">
        <is>
          <t>PJ-2022-G</t>
        </is>
      </c>
      <c r="B1103" s="10" t="inlineStr">
        <is>
          <t>素朴版／単調補間</t>
        </is>
      </c>
      <c r="C1103" s="10" t="inlineStr">
        <is>
          <t>2023-11</t>
        </is>
      </c>
      <c r="D1103" s="10" t="n">
        <v>22</v>
      </c>
      <c r="E1103" s="12" t="n">
        <v>7978.2</v>
      </c>
      <c r="F1103" s="12" t="n">
        <v>3281.7</v>
      </c>
      <c r="G1103" s="12" t="n">
        <v>4696.5</v>
      </c>
      <c r="H1103" s="13" t="n">
        <v>0.9577</v>
      </c>
      <c r="I1103" s="13" t="n">
        <v>0.9834000000000001</v>
      </c>
    </row>
    <row r="1104">
      <c r="A1104" s="10" t="inlineStr">
        <is>
          <t>PJ-2022-G</t>
        </is>
      </c>
      <c r="B1104" s="10" t="inlineStr">
        <is>
          <t>素朴版／単調補間</t>
        </is>
      </c>
      <c r="C1104" s="10" t="inlineStr">
        <is>
          <t>2023-12</t>
        </is>
      </c>
      <c r="D1104" s="10" t="n">
        <v>23</v>
      </c>
      <c r="E1104" s="12" t="n">
        <v>6392.4</v>
      </c>
      <c r="F1104" s="12" t="n">
        <v>2964.5</v>
      </c>
      <c r="G1104" s="12" t="n">
        <v>3427.9</v>
      </c>
      <c r="H1104" s="13" t="n">
        <v>0.9851</v>
      </c>
      <c r="I1104" s="13" t="n">
        <v>0.996</v>
      </c>
    </row>
    <row r="1105">
      <c r="A1105" s="10" t="inlineStr">
        <is>
          <t>PJ-2022-G</t>
        </is>
      </c>
      <c r="B1105" s="10" t="inlineStr">
        <is>
          <t>素朴版／単調補間</t>
        </is>
      </c>
      <c r="C1105" s="10" t="inlineStr">
        <is>
          <t>2024-01</t>
        </is>
      </c>
      <c r="D1105" s="10" t="n">
        <v>24</v>
      </c>
      <c r="E1105" s="12" t="n">
        <v>3485.8</v>
      </c>
      <c r="F1105" s="12" t="n">
        <v>925</v>
      </c>
      <c r="G1105" s="12" t="n">
        <v>2560.8</v>
      </c>
      <c r="H1105" s="13" t="n">
        <v>1</v>
      </c>
      <c r="I1105" s="13" t="n">
        <v>1</v>
      </c>
    </row>
    <row r="1106">
      <c r="A1106" s="10" t="inlineStr">
        <is>
          <t>PJ-2022-G</t>
        </is>
      </c>
      <c r="B1106" s="10" t="inlineStr">
        <is>
          <t>位置合わせ(MS学習値)／単調補間</t>
        </is>
      </c>
      <c r="C1106" s="10" t="inlineStr">
        <is>
          <t>2022-02</t>
        </is>
      </c>
      <c r="D1106" s="10" t="n">
        <v>1</v>
      </c>
      <c r="E1106" s="12" t="n">
        <v>2923.2</v>
      </c>
      <c r="F1106" s="12" t="n">
        <v>9203.5</v>
      </c>
      <c r="G1106" s="12" t="n">
        <v>-6280.3</v>
      </c>
      <c r="H1106" s="13" t="n">
        <v>0.0125</v>
      </c>
      <c r="I1106" s="13" t="n">
        <v>0.0394</v>
      </c>
    </row>
    <row r="1107">
      <c r="A1107" s="10" t="inlineStr">
        <is>
          <t>PJ-2022-G</t>
        </is>
      </c>
      <c r="B1107" s="10" t="inlineStr">
        <is>
          <t>位置合わせ(MS学習値)／単調補間</t>
        </is>
      </c>
      <c r="C1107" s="10" t="inlineStr">
        <is>
          <t>2022-03</t>
        </is>
      </c>
      <c r="D1107" s="10" t="n">
        <v>2</v>
      </c>
      <c r="E1107" s="12" t="n">
        <v>4295.2</v>
      </c>
      <c r="F1107" s="12" t="n">
        <v>11045.5</v>
      </c>
      <c r="G1107" s="12" t="n">
        <v>-6750.3</v>
      </c>
      <c r="H1107" s="13" t="n">
        <v>0.0309</v>
      </c>
      <c r="I1107" s="13" t="n">
        <v>0.0866</v>
      </c>
    </row>
    <row r="1108">
      <c r="A1108" s="10" t="inlineStr">
        <is>
          <t>PJ-2022-G</t>
        </is>
      </c>
      <c r="B1108" s="10" t="inlineStr">
        <is>
          <t>位置合わせ(MS学習値)／単調補間</t>
        </is>
      </c>
      <c r="C1108" s="10" t="inlineStr">
        <is>
          <t>2022-04</t>
        </is>
      </c>
      <c r="D1108" s="10" t="n">
        <v>3</v>
      </c>
      <c r="E1108" s="12" t="n">
        <v>4966.5</v>
      </c>
      <c r="F1108" s="12" t="n">
        <v>10444.9</v>
      </c>
      <c r="G1108" s="12" t="n">
        <v>-5478.4</v>
      </c>
      <c r="H1108" s="13" t="n">
        <v>0.0521</v>
      </c>
      <c r="I1108" s="13" t="n">
        <v>0.1313</v>
      </c>
    </row>
    <row r="1109">
      <c r="A1109" s="10" t="inlineStr">
        <is>
          <t>PJ-2022-G</t>
        </is>
      </c>
      <c r="B1109" s="10" t="inlineStr">
        <is>
          <t>位置合わせ(MS学習値)／単調補間</t>
        </is>
      </c>
      <c r="C1109" s="10" t="inlineStr">
        <is>
          <t>2022-05</t>
        </is>
      </c>
      <c r="D1109" s="10" t="n">
        <v>4</v>
      </c>
      <c r="E1109" s="12" t="n">
        <v>5826.2</v>
      </c>
      <c r="F1109" s="12" t="n">
        <v>11771</v>
      </c>
      <c r="G1109" s="12" t="n">
        <v>-5944.8</v>
      </c>
      <c r="H1109" s="13" t="n">
        <v>0.077</v>
      </c>
      <c r="I1109" s="13" t="n">
        <v>0.1817</v>
      </c>
    </row>
    <row r="1110">
      <c r="A1110" s="10" t="inlineStr">
        <is>
          <t>PJ-2022-G</t>
        </is>
      </c>
      <c r="B1110" s="10" t="inlineStr">
        <is>
          <t>位置合わせ(MS学習値)／単調補間</t>
        </is>
      </c>
      <c r="C1110" s="10" t="inlineStr">
        <is>
          <t>2022-06</t>
        </is>
      </c>
      <c r="D1110" s="10" t="n">
        <v>5</v>
      </c>
      <c r="E1110" s="12" t="n">
        <v>5923.2</v>
      </c>
      <c r="F1110" s="12" t="n">
        <v>10986.1</v>
      </c>
      <c r="G1110" s="12" t="n">
        <v>-5062.9</v>
      </c>
      <c r="H1110" s="13" t="n">
        <v>0.1024</v>
      </c>
      <c r="I1110" s="13" t="n">
        <v>0.2287</v>
      </c>
    </row>
    <row r="1111">
      <c r="A1111" s="10" t="inlineStr">
        <is>
          <t>PJ-2022-G</t>
        </is>
      </c>
      <c r="B1111" s="10" t="inlineStr">
        <is>
          <t>位置合わせ(MS学習値)／単調補間</t>
        </is>
      </c>
      <c r="C1111" s="10" t="inlineStr">
        <is>
          <t>2022-07</t>
        </is>
      </c>
      <c r="D1111" s="10" t="n">
        <v>6</v>
      </c>
      <c r="E1111" s="12" t="n">
        <v>6707</v>
      </c>
      <c r="F1111" s="12" t="n">
        <v>12683.3</v>
      </c>
      <c r="G1111" s="12" t="n">
        <v>-5976.3</v>
      </c>
      <c r="H1111" s="13" t="n">
        <v>0.1311</v>
      </c>
      <c r="I1111" s="13" t="n">
        <v>0.2829</v>
      </c>
    </row>
    <row r="1112">
      <c r="A1112" s="10" t="inlineStr">
        <is>
          <t>PJ-2022-G</t>
        </is>
      </c>
      <c r="B1112" s="10" t="inlineStr">
        <is>
          <t>位置合わせ(MS学習値)／単調補間</t>
        </is>
      </c>
      <c r="C1112" s="10" t="inlineStr">
        <is>
          <t>2022-08</t>
        </is>
      </c>
      <c r="D1112" s="10" t="n">
        <v>7</v>
      </c>
      <c r="E1112" s="12" t="n">
        <v>7528.8</v>
      </c>
      <c r="F1112" s="12" t="n">
        <v>14085.9</v>
      </c>
      <c r="G1112" s="12" t="n">
        <v>-6557.1</v>
      </c>
      <c r="H1112" s="13" t="n">
        <v>0.1633</v>
      </c>
      <c r="I1112" s="13" t="n">
        <v>0.3432</v>
      </c>
    </row>
    <row r="1113">
      <c r="A1113" s="10" t="inlineStr">
        <is>
          <t>PJ-2022-G</t>
        </is>
      </c>
      <c r="B1113" s="10" t="inlineStr">
        <is>
          <t>位置合わせ(MS学習値)／単調補間</t>
        </is>
      </c>
      <c r="C1113" s="10" t="inlineStr">
        <is>
          <t>2022-09</t>
        </is>
      </c>
      <c r="D1113" s="10" t="n">
        <v>8</v>
      </c>
      <c r="E1113" s="12" t="n">
        <v>8411.4</v>
      </c>
      <c r="F1113" s="12" t="n">
        <v>16396.3</v>
      </c>
      <c r="G1113" s="12" t="n">
        <v>-7984.9</v>
      </c>
      <c r="H1113" s="13" t="n">
        <v>0.1993</v>
      </c>
      <c r="I1113" s="13" t="n">
        <v>0.4133</v>
      </c>
    </row>
    <row r="1114">
      <c r="A1114" s="10" t="inlineStr">
        <is>
          <t>PJ-2022-G</t>
        </is>
      </c>
      <c r="B1114" s="10" t="inlineStr">
        <is>
          <t>位置合わせ(MS学習値)／単調補間</t>
        </is>
      </c>
      <c r="C1114" s="10" t="inlineStr">
        <is>
          <t>2022-10</t>
        </is>
      </c>
      <c r="D1114" s="10" t="n">
        <v>9</v>
      </c>
      <c r="E1114" s="12" t="n">
        <v>10113.9</v>
      </c>
      <c r="F1114" s="12" t="n">
        <v>16496.9</v>
      </c>
      <c r="G1114" s="12" t="n">
        <v>-6383</v>
      </c>
      <c r="H1114" s="13" t="n">
        <v>0.2425</v>
      </c>
      <c r="I1114" s="13" t="n">
        <v>0.4839</v>
      </c>
    </row>
    <row r="1115">
      <c r="A1115" s="10" t="inlineStr">
        <is>
          <t>PJ-2022-G</t>
        </is>
      </c>
      <c r="B1115" s="10" t="inlineStr">
        <is>
          <t>位置合わせ(MS学習値)／単調補間</t>
        </is>
      </c>
      <c r="C1115" s="10" t="inlineStr">
        <is>
          <t>2022-11</t>
        </is>
      </c>
      <c r="D1115" s="10" t="n">
        <v>10</v>
      </c>
      <c r="E1115" s="12" t="n">
        <v>10801.7</v>
      </c>
      <c r="F1115" s="12" t="n">
        <v>15571.5</v>
      </c>
      <c r="G1115" s="12" t="n">
        <v>-4769.8</v>
      </c>
      <c r="H1115" s="13" t="n">
        <v>0.2887</v>
      </c>
      <c r="I1115" s="13" t="n">
        <v>0.5505</v>
      </c>
    </row>
    <row r="1116">
      <c r="A1116" s="10" t="inlineStr">
        <is>
          <t>PJ-2022-G</t>
        </is>
      </c>
      <c r="B1116" s="10" t="inlineStr">
        <is>
          <t>位置合わせ(MS学習値)／単調補間</t>
        </is>
      </c>
      <c r="C1116" s="10" t="inlineStr">
        <is>
          <t>2022-12</t>
        </is>
      </c>
      <c r="D1116" s="10" t="n">
        <v>11</v>
      </c>
      <c r="E1116" s="12" t="n">
        <v>12420.1</v>
      </c>
      <c r="F1116" s="12" t="n">
        <v>12580.5</v>
      </c>
      <c r="G1116" s="12" t="n">
        <v>-160.4</v>
      </c>
      <c r="H1116" s="13" t="n">
        <v>0.3419</v>
      </c>
      <c r="I1116" s="13" t="n">
        <v>0.6042999999999999</v>
      </c>
    </row>
    <row r="1117">
      <c r="A1117" s="10" t="inlineStr">
        <is>
          <t>PJ-2022-G</t>
        </is>
      </c>
      <c r="B1117" s="10" t="inlineStr">
        <is>
          <t>位置合わせ(MS学習値)／単調補間</t>
        </is>
      </c>
      <c r="C1117" s="10" t="inlineStr">
        <is>
          <t>2023-01</t>
        </is>
      </c>
      <c r="D1117" s="10" t="n">
        <v>12</v>
      </c>
      <c r="E1117" s="12" t="n">
        <v>14386.9</v>
      </c>
      <c r="F1117" s="12" t="n">
        <v>10581</v>
      </c>
      <c r="G1117" s="12" t="n">
        <v>3805.9</v>
      </c>
      <c r="H1117" s="13" t="n">
        <v>0.4034</v>
      </c>
      <c r="I1117" s="13" t="n">
        <v>0.6496</v>
      </c>
    </row>
    <row r="1118">
      <c r="A1118" s="10" t="inlineStr">
        <is>
          <t>PJ-2022-G</t>
        </is>
      </c>
      <c r="B1118" s="10" t="inlineStr">
        <is>
          <t>位置合わせ(MS学習値)／単調補間</t>
        </is>
      </c>
      <c r="C1118" s="10" t="inlineStr">
        <is>
          <t>2023-02</t>
        </is>
      </c>
      <c r="D1118" s="10" t="n">
        <v>13</v>
      </c>
      <c r="E1118" s="12" t="n">
        <v>13423.1</v>
      </c>
      <c r="F1118" s="12" t="n">
        <v>9159.700000000001</v>
      </c>
      <c r="G1118" s="12" t="n">
        <v>4263.4</v>
      </c>
      <c r="H1118" s="13" t="n">
        <v>0.4608</v>
      </c>
      <c r="I1118" s="13" t="n">
        <v>0.6888</v>
      </c>
    </row>
    <row r="1119">
      <c r="A1119" s="10" t="inlineStr">
        <is>
          <t>PJ-2022-G</t>
        </is>
      </c>
      <c r="B1119" s="10" t="inlineStr">
        <is>
          <t>位置合わせ(MS学習値)／単調補間</t>
        </is>
      </c>
      <c r="C1119" s="10" t="inlineStr">
        <is>
          <t>2023-03</t>
        </is>
      </c>
      <c r="D1119" s="10" t="n">
        <v>14</v>
      </c>
      <c r="E1119" s="12" t="n">
        <v>15066.3</v>
      </c>
      <c r="F1119" s="12" t="n">
        <v>10036.4</v>
      </c>
      <c r="G1119" s="12" t="n">
        <v>5029.9</v>
      </c>
      <c r="H1119" s="13" t="n">
        <v>0.5253</v>
      </c>
      <c r="I1119" s="13" t="n">
        <v>0.7317</v>
      </c>
    </row>
    <row r="1120">
      <c r="A1120" s="10" t="inlineStr">
        <is>
          <t>PJ-2022-G</t>
        </is>
      </c>
      <c r="B1120" s="10" t="inlineStr">
        <is>
          <t>位置合わせ(MS学習値)／単調補間</t>
        </is>
      </c>
      <c r="C1120" s="10" t="inlineStr">
        <is>
          <t>2023-04</t>
        </is>
      </c>
      <c r="D1120" s="10" t="n">
        <v>15</v>
      </c>
      <c r="E1120" s="12" t="n">
        <v>14323.2</v>
      </c>
      <c r="F1120" s="12" t="n">
        <v>11511.6</v>
      </c>
      <c r="G1120" s="12" t="n">
        <v>2811.6</v>
      </c>
      <c r="H1120" s="13" t="n">
        <v>0.5866</v>
      </c>
      <c r="I1120" s="13" t="n">
        <v>0.7809</v>
      </c>
    </row>
    <row r="1121">
      <c r="A1121" s="10" t="inlineStr">
        <is>
          <t>PJ-2022-G</t>
        </is>
      </c>
      <c r="B1121" s="10" t="inlineStr">
        <is>
          <t>位置合わせ(MS学習値)／単調補間</t>
        </is>
      </c>
      <c r="C1121" s="10" t="inlineStr">
        <is>
          <t>2023-05</t>
        </is>
      </c>
      <c r="D1121" s="10" t="n">
        <v>16</v>
      </c>
      <c r="E1121" s="12" t="n">
        <v>14616.2</v>
      </c>
      <c r="F1121" s="12" t="n">
        <v>12070.3</v>
      </c>
      <c r="G1121" s="12" t="n">
        <v>2545.9</v>
      </c>
      <c r="H1121" s="13" t="n">
        <v>0.6491</v>
      </c>
      <c r="I1121" s="13" t="n">
        <v>0.8326</v>
      </c>
    </row>
    <row r="1122">
      <c r="A1122" s="10" t="inlineStr">
        <is>
          <t>PJ-2022-G</t>
        </is>
      </c>
      <c r="B1122" s="10" t="inlineStr">
        <is>
          <t>位置合わせ(MS学習値)／単調補間</t>
        </is>
      </c>
      <c r="C1122" s="10" t="inlineStr">
        <is>
          <t>2023-06</t>
        </is>
      </c>
      <c r="D1122" s="10" t="n">
        <v>17</v>
      </c>
      <c r="E1122" s="12" t="n">
        <v>14848.7</v>
      </c>
      <c r="F1122" s="12" t="n">
        <v>10093.2</v>
      </c>
      <c r="G1122" s="12" t="n">
        <v>4755.5</v>
      </c>
      <c r="H1122" s="13" t="n">
        <v>0.7126</v>
      </c>
      <c r="I1122" s="13" t="n">
        <v>0.8758</v>
      </c>
    </row>
    <row r="1123">
      <c r="A1123" s="10" t="inlineStr">
        <is>
          <t>PJ-2022-G</t>
        </is>
      </c>
      <c r="B1123" s="10" t="inlineStr">
        <is>
          <t>位置合わせ(MS学習値)／単調補間</t>
        </is>
      </c>
      <c r="C1123" s="10" t="inlineStr">
        <is>
          <t>2023-07</t>
        </is>
      </c>
      <c r="D1123" s="10" t="n">
        <v>18</v>
      </c>
      <c r="E1123" s="12" t="n">
        <v>15121.8</v>
      </c>
      <c r="F1123" s="12" t="n">
        <v>8162.9</v>
      </c>
      <c r="G1123" s="12" t="n">
        <v>6958.9</v>
      </c>
      <c r="H1123" s="13" t="n">
        <v>0.7773</v>
      </c>
      <c r="I1123" s="13" t="n">
        <v>0.9107</v>
      </c>
    </row>
    <row r="1124">
      <c r="A1124" s="10" t="inlineStr">
        <is>
          <t>PJ-2022-G</t>
        </is>
      </c>
      <c r="B1124" s="10" t="inlineStr">
        <is>
          <t>位置合わせ(MS学習値)／単調補間</t>
        </is>
      </c>
      <c r="C1124" s="10" t="inlineStr">
        <is>
          <t>2023-08</t>
        </is>
      </c>
      <c r="D1124" s="10" t="n">
        <v>19</v>
      </c>
      <c r="E1124" s="12" t="n">
        <v>12863.9</v>
      </c>
      <c r="F1124" s="12" t="n">
        <v>5336.7</v>
      </c>
      <c r="G1124" s="12" t="n">
        <v>7527.2</v>
      </c>
      <c r="H1124" s="13" t="n">
        <v>0.8323</v>
      </c>
      <c r="I1124" s="13" t="n">
        <v>0.9335</v>
      </c>
    </row>
    <row r="1125">
      <c r="A1125" s="10" t="inlineStr">
        <is>
          <t>PJ-2022-G</t>
        </is>
      </c>
      <c r="B1125" s="10" t="inlineStr">
        <is>
          <t>位置合わせ(MS学習値)／単調補間</t>
        </is>
      </c>
      <c r="C1125" s="10" t="inlineStr">
        <is>
          <t>2023-09</t>
        </is>
      </c>
      <c r="D1125" s="10" t="n">
        <v>20</v>
      </c>
      <c r="E1125" s="12" t="n">
        <v>11680.3</v>
      </c>
      <c r="F1125" s="12" t="n">
        <v>4269.9</v>
      </c>
      <c r="G1125" s="12" t="n">
        <v>7410.4</v>
      </c>
      <c r="H1125" s="13" t="n">
        <v>0.8823</v>
      </c>
      <c r="I1125" s="13" t="n">
        <v>0.9518</v>
      </c>
    </row>
    <row r="1126">
      <c r="A1126" s="10" t="inlineStr">
        <is>
          <t>PJ-2022-G</t>
        </is>
      </c>
      <c r="B1126" s="10" t="inlineStr">
        <is>
          <t>位置合わせ(MS学習値)／単調補間</t>
        </is>
      </c>
      <c r="C1126" s="10" t="inlineStr">
        <is>
          <t>2023-10</t>
        </is>
      </c>
      <c r="D1126" s="10" t="n">
        <v>21</v>
      </c>
      <c r="E1126" s="12" t="n">
        <v>9775.9</v>
      </c>
      <c r="F1126" s="12" t="n">
        <v>4101.6</v>
      </c>
      <c r="G1126" s="12" t="n">
        <v>5674.3</v>
      </c>
      <c r="H1126" s="13" t="n">
        <v>0.9241</v>
      </c>
      <c r="I1126" s="13" t="n">
        <v>0.9693000000000001</v>
      </c>
    </row>
    <row r="1127">
      <c r="A1127" s="10" t="inlineStr">
        <is>
          <t>PJ-2022-G</t>
        </is>
      </c>
      <c r="B1127" s="10" t="inlineStr">
        <is>
          <t>位置合わせ(MS学習値)／単調補間</t>
        </is>
      </c>
      <c r="C1127" s="10" t="inlineStr">
        <is>
          <t>2023-11</t>
        </is>
      </c>
      <c r="D1127" s="10" t="n">
        <v>22</v>
      </c>
      <c r="E1127" s="12" t="n">
        <v>8065.2</v>
      </c>
      <c r="F1127" s="12" t="n">
        <v>3281.7</v>
      </c>
      <c r="G1127" s="12" t="n">
        <v>4783.5</v>
      </c>
      <c r="H1127" s="13" t="n">
        <v>0.9586</v>
      </c>
      <c r="I1127" s="13" t="n">
        <v>0.9834000000000001</v>
      </c>
    </row>
    <row r="1128">
      <c r="A1128" s="10" t="inlineStr">
        <is>
          <t>PJ-2022-G</t>
        </is>
      </c>
      <c r="B1128" s="10" t="inlineStr">
        <is>
          <t>位置合わせ(MS学習値)／単調補間</t>
        </is>
      </c>
      <c r="C1128" s="10" t="inlineStr">
        <is>
          <t>2023-12</t>
        </is>
      </c>
      <c r="D1128" s="10" t="n">
        <v>23</v>
      </c>
      <c r="E1128" s="12" t="n">
        <v>6334.9</v>
      </c>
      <c r="F1128" s="12" t="n">
        <v>2964.5</v>
      </c>
      <c r="G1128" s="12" t="n">
        <v>3370.4</v>
      </c>
      <c r="H1128" s="13" t="n">
        <v>0.9857</v>
      </c>
      <c r="I1128" s="13" t="n">
        <v>0.996</v>
      </c>
    </row>
    <row r="1129">
      <c r="A1129" s="10" t="inlineStr">
        <is>
          <t>PJ-2022-G</t>
        </is>
      </c>
      <c r="B1129" s="10" t="inlineStr">
        <is>
          <t>位置合わせ(MS学習値)／単調補間</t>
        </is>
      </c>
      <c r="C1129" s="10" t="inlineStr">
        <is>
          <t>2024-01</t>
        </is>
      </c>
      <c r="D1129" s="10" t="n">
        <v>24</v>
      </c>
      <c r="E1129" s="12" t="n">
        <v>3336.5</v>
      </c>
      <c r="F1129" s="12" t="n">
        <v>925</v>
      </c>
      <c r="G1129" s="12" t="n">
        <v>2411.5</v>
      </c>
      <c r="H1129" s="13" t="n">
        <v>1</v>
      </c>
      <c r="I1129" s="13" t="n">
        <v>1</v>
      </c>
    </row>
    <row r="1130">
      <c r="A1130" s="10" t="inlineStr">
        <is>
          <t>PJ-2022-G</t>
        </is>
      </c>
      <c r="B1130" s="10" t="inlineStr">
        <is>
          <t>位置合わせ(MS指定)／単調補間</t>
        </is>
      </c>
      <c r="C1130" s="10" t="inlineStr">
        <is>
          <t>2022-02</t>
        </is>
      </c>
      <c r="D1130" s="10" t="n">
        <v>1</v>
      </c>
      <c r="E1130" s="12" t="n">
        <v>3051.1</v>
      </c>
      <c r="F1130" s="12" t="n">
        <v>9203.5</v>
      </c>
      <c r="G1130" s="12" t="n">
        <v>-6152.4</v>
      </c>
      <c r="H1130" s="13" t="n">
        <v>0.0131</v>
      </c>
      <c r="I1130" s="13" t="n">
        <v>0.0394</v>
      </c>
    </row>
    <row r="1131">
      <c r="A1131" s="10" t="inlineStr">
        <is>
          <t>PJ-2022-G</t>
        </is>
      </c>
      <c r="B1131" s="10" t="inlineStr">
        <is>
          <t>位置合わせ(MS指定)／単調補間</t>
        </is>
      </c>
      <c r="C1131" s="10" t="inlineStr">
        <is>
          <t>2022-03</t>
        </is>
      </c>
      <c r="D1131" s="10" t="n">
        <v>2</v>
      </c>
      <c r="E1131" s="12" t="n">
        <v>4546.2</v>
      </c>
      <c r="F1131" s="12" t="n">
        <v>11045.5</v>
      </c>
      <c r="G1131" s="12" t="n">
        <v>-6499.3</v>
      </c>
      <c r="H1131" s="13" t="n">
        <v>0.0325</v>
      </c>
      <c r="I1131" s="13" t="n">
        <v>0.0866</v>
      </c>
    </row>
    <row r="1132">
      <c r="A1132" s="10" t="inlineStr">
        <is>
          <t>PJ-2022-G</t>
        </is>
      </c>
      <c r="B1132" s="10" t="inlineStr">
        <is>
          <t>位置合わせ(MS指定)／単調補間</t>
        </is>
      </c>
      <c r="C1132" s="10" t="inlineStr">
        <is>
          <t>2022-04</t>
        </is>
      </c>
      <c r="D1132" s="10" t="n">
        <v>3</v>
      </c>
      <c r="E1132" s="12" t="n">
        <v>5262</v>
      </c>
      <c r="F1132" s="12" t="n">
        <v>10444.9</v>
      </c>
      <c r="G1132" s="12" t="n">
        <v>-5182.9</v>
      </c>
      <c r="H1132" s="13" t="n">
        <v>0.055</v>
      </c>
      <c r="I1132" s="13" t="n">
        <v>0.1313</v>
      </c>
    </row>
    <row r="1133">
      <c r="A1133" s="10" t="inlineStr">
        <is>
          <t>PJ-2022-G</t>
        </is>
      </c>
      <c r="B1133" s="10" t="inlineStr">
        <is>
          <t>位置合わせ(MS指定)／単調補間</t>
        </is>
      </c>
      <c r="C1133" s="10" t="inlineStr">
        <is>
          <t>2022-05</t>
        </is>
      </c>
      <c r="D1133" s="10" t="n">
        <v>4</v>
      </c>
      <c r="E1133" s="12" t="n">
        <v>6126.8</v>
      </c>
      <c r="F1133" s="12" t="n">
        <v>11771</v>
      </c>
      <c r="G1133" s="12" t="n">
        <v>-5644.2</v>
      </c>
      <c r="H1133" s="13" t="n">
        <v>0.08119999999999999</v>
      </c>
      <c r="I1133" s="13" t="n">
        <v>0.1817</v>
      </c>
    </row>
    <row r="1134">
      <c r="A1134" s="10" t="inlineStr">
        <is>
          <t>PJ-2022-G</t>
        </is>
      </c>
      <c r="B1134" s="10" t="inlineStr">
        <is>
          <t>位置合わせ(MS指定)／単調補間</t>
        </is>
      </c>
      <c r="C1134" s="10" t="inlineStr">
        <is>
          <t>2022-06</t>
        </is>
      </c>
      <c r="D1134" s="10" t="n">
        <v>5</v>
      </c>
      <c r="E1134" s="12" t="n">
        <v>6281.5</v>
      </c>
      <c r="F1134" s="12" t="n">
        <v>10986.1</v>
      </c>
      <c r="G1134" s="12" t="n">
        <v>-4704.6</v>
      </c>
      <c r="H1134" s="13" t="n">
        <v>0.1081</v>
      </c>
      <c r="I1134" s="13" t="n">
        <v>0.2287</v>
      </c>
    </row>
    <row r="1135">
      <c r="A1135" s="10" t="inlineStr">
        <is>
          <t>PJ-2022-G</t>
        </is>
      </c>
      <c r="B1135" s="10" t="inlineStr">
        <is>
          <t>位置合わせ(MS指定)／単調補間</t>
        </is>
      </c>
      <c r="C1135" s="10" t="inlineStr">
        <is>
          <t>2022-07</t>
        </is>
      </c>
      <c r="D1135" s="10" t="n">
        <v>6</v>
      </c>
      <c r="E1135" s="12" t="n">
        <v>7161</v>
      </c>
      <c r="F1135" s="12" t="n">
        <v>12683.3</v>
      </c>
      <c r="G1135" s="12" t="n">
        <v>-5522.3</v>
      </c>
      <c r="H1135" s="13" t="n">
        <v>0.1387</v>
      </c>
      <c r="I1135" s="13" t="n">
        <v>0.2829</v>
      </c>
    </row>
    <row r="1136">
      <c r="A1136" s="10" t="inlineStr">
        <is>
          <t>PJ-2022-G</t>
        </is>
      </c>
      <c r="B1136" s="10" t="inlineStr">
        <is>
          <t>位置合わせ(MS指定)／単調補間</t>
        </is>
      </c>
      <c r="C1136" s="10" t="inlineStr">
        <is>
          <t>2022-08</t>
        </is>
      </c>
      <c r="D1136" s="10" t="n">
        <v>7</v>
      </c>
      <c r="E1136" s="12" t="n">
        <v>8084.7</v>
      </c>
      <c r="F1136" s="12" t="n">
        <v>14085.9</v>
      </c>
      <c r="G1136" s="12" t="n">
        <v>-6001.2</v>
      </c>
      <c r="H1136" s="13" t="n">
        <v>0.1733</v>
      </c>
      <c r="I1136" s="13" t="n">
        <v>0.3432</v>
      </c>
    </row>
    <row r="1137">
      <c r="A1137" s="10" t="inlineStr">
        <is>
          <t>PJ-2022-G</t>
        </is>
      </c>
      <c r="B1137" s="10" t="inlineStr">
        <is>
          <t>位置合わせ(MS指定)／単調補間</t>
        </is>
      </c>
      <c r="C1137" s="10" t="inlineStr">
        <is>
          <t>2022-09</t>
        </is>
      </c>
      <c r="D1137" s="10" t="n">
        <v>8</v>
      </c>
      <c r="E1137" s="12" t="n">
        <v>9340.1</v>
      </c>
      <c r="F1137" s="12" t="n">
        <v>16396.3</v>
      </c>
      <c r="G1137" s="12" t="n">
        <v>-7056.2</v>
      </c>
      <c r="H1137" s="13" t="n">
        <v>0.2133</v>
      </c>
      <c r="I1137" s="13" t="n">
        <v>0.4133</v>
      </c>
    </row>
    <row r="1138">
      <c r="A1138" s="10" t="inlineStr">
        <is>
          <t>PJ-2022-G</t>
        </is>
      </c>
      <c r="B1138" s="10" t="inlineStr">
        <is>
          <t>位置合わせ(MS指定)／単調補間</t>
        </is>
      </c>
      <c r="C1138" s="10" t="inlineStr">
        <is>
          <t>2022-10</t>
        </is>
      </c>
      <c r="D1138" s="10" t="n">
        <v>9</v>
      </c>
      <c r="E1138" s="12" t="n">
        <v>10822.7</v>
      </c>
      <c r="F1138" s="12" t="n">
        <v>16496.9</v>
      </c>
      <c r="G1138" s="12" t="n">
        <v>-5674.2</v>
      </c>
      <c r="H1138" s="13" t="n">
        <v>0.2596</v>
      </c>
      <c r="I1138" s="13" t="n">
        <v>0.4839</v>
      </c>
    </row>
    <row r="1139">
      <c r="A1139" s="10" t="inlineStr">
        <is>
          <t>PJ-2022-G</t>
        </is>
      </c>
      <c r="B1139" s="10" t="inlineStr">
        <is>
          <t>位置合わせ(MS指定)／単調補間</t>
        </is>
      </c>
      <c r="C1139" s="10" t="inlineStr">
        <is>
          <t>2022-11</t>
        </is>
      </c>
      <c r="D1139" s="10" t="n">
        <v>10</v>
      </c>
      <c r="E1139" s="12" t="n">
        <v>11730.8</v>
      </c>
      <c r="F1139" s="12" t="n">
        <v>15571.5</v>
      </c>
      <c r="G1139" s="12" t="n">
        <v>-3840.7</v>
      </c>
      <c r="H1139" s="13" t="n">
        <v>0.3097</v>
      </c>
      <c r="I1139" s="13" t="n">
        <v>0.5505</v>
      </c>
    </row>
    <row r="1140">
      <c r="A1140" s="10" t="inlineStr">
        <is>
          <t>PJ-2022-G</t>
        </is>
      </c>
      <c r="B1140" s="10" t="inlineStr">
        <is>
          <t>位置合わせ(MS指定)／単調補間</t>
        </is>
      </c>
      <c r="C1140" s="10" t="inlineStr">
        <is>
          <t>2022-12</t>
        </is>
      </c>
      <c r="D1140" s="10" t="n">
        <v>11</v>
      </c>
      <c r="E1140" s="12" t="n">
        <v>13850.7</v>
      </c>
      <c r="F1140" s="12" t="n">
        <v>12580.5</v>
      </c>
      <c r="G1140" s="12" t="n">
        <v>1270.2</v>
      </c>
      <c r="H1140" s="13" t="n">
        <v>0.369</v>
      </c>
      <c r="I1140" s="13" t="n">
        <v>0.6042999999999999</v>
      </c>
    </row>
    <row r="1141">
      <c r="A1141" s="10" t="inlineStr">
        <is>
          <t>PJ-2022-G</t>
        </is>
      </c>
      <c r="B1141" s="10" t="inlineStr">
        <is>
          <t>位置合わせ(MS指定)／単調補間</t>
        </is>
      </c>
      <c r="C1141" s="10" t="inlineStr">
        <is>
          <t>2023-01</t>
        </is>
      </c>
      <c r="D1141" s="10" t="n">
        <v>12</v>
      </c>
      <c r="E1141" s="12" t="n">
        <v>14905</v>
      </c>
      <c r="F1141" s="12" t="n">
        <v>10581</v>
      </c>
      <c r="G1141" s="12" t="n">
        <v>4324</v>
      </c>
      <c r="H1141" s="13" t="n">
        <v>0.4328</v>
      </c>
      <c r="I1141" s="13" t="n">
        <v>0.6496</v>
      </c>
    </row>
    <row r="1142">
      <c r="A1142" s="10" t="inlineStr">
        <is>
          <t>PJ-2022-G</t>
        </is>
      </c>
      <c r="B1142" s="10" t="inlineStr">
        <is>
          <t>位置合わせ(MS指定)／単調補間</t>
        </is>
      </c>
      <c r="C1142" s="10" t="inlineStr">
        <is>
          <t>2023-02</t>
        </is>
      </c>
      <c r="D1142" s="10" t="n">
        <v>13</v>
      </c>
      <c r="E1142" s="12" t="n">
        <v>13059.4</v>
      </c>
      <c r="F1142" s="12" t="n">
        <v>9159.700000000001</v>
      </c>
      <c r="G1142" s="12" t="n">
        <v>3899.7</v>
      </c>
      <c r="H1142" s="13" t="n">
        <v>0.4886</v>
      </c>
      <c r="I1142" s="13" t="n">
        <v>0.6888</v>
      </c>
    </row>
    <row r="1143">
      <c r="A1143" s="10" t="inlineStr">
        <is>
          <t>PJ-2022-G</t>
        </is>
      </c>
      <c r="B1143" s="10" t="inlineStr">
        <is>
          <t>位置合わせ(MS指定)／単調補間</t>
        </is>
      </c>
      <c r="C1143" s="10" t="inlineStr">
        <is>
          <t>2023-03</t>
        </is>
      </c>
      <c r="D1143" s="10" t="n">
        <v>14</v>
      </c>
      <c r="E1143" s="12" t="n">
        <v>14506</v>
      </c>
      <c r="F1143" s="12" t="n">
        <v>10036.4</v>
      </c>
      <c r="G1143" s="12" t="n">
        <v>4469.6</v>
      </c>
      <c r="H1143" s="13" t="n">
        <v>0.5507</v>
      </c>
      <c r="I1143" s="13" t="n">
        <v>0.7317</v>
      </c>
    </row>
    <row r="1144">
      <c r="A1144" s="10" t="inlineStr">
        <is>
          <t>PJ-2022-G</t>
        </is>
      </c>
      <c r="B1144" s="10" t="inlineStr">
        <is>
          <t>位置合わせ(MS指定)／単調補間</t>
        </is>
      </c>
      <c r="C1144" s="10" t="inlineStr">
        <is>
          <t>2023-04</t>
        </is>
      </c>
      <c r="D1144" s="10" t="n">
        <v>15</v>
      </c>
      <c r="E1144" s="12" t="n">
        <v>13646.4</v>
      </c>
      <c r="F1144" s="12" t="n">
        <v>11511.6</v>
      </c>
      <c r="G1144" s="12" t="n">
        <v>2134.8</v>
      </c>
      <c r="H1144" s="13" t="n">
        <v>0.6091</v>
      </c>
      <c r="I1144" s="13" t="n">
        <v>0.7809</v>
      </c>
    </row>
    <row r="1145">
      <c r="A1145" s="10" t="inlineStr">
        <is>
          <t>PJ-2022-G</t>
        </is>
      </c>
      <c r="B1145" s="10" t="inlineStr">
        <is>
          <t>位置合わせ(MS指定)／単調補間</t>
        </is>
      </c>
      <c r="C1145" s="10" t="inlineStr">
        <is>
          <t>2023-05</t>
        </is>
      </c>
      <c r="D1145" s="10" t="n">
        <v>16</v>
      </c>
      <c r="E1145" s="12" t="n">
        <v>14399.1</v>
      </c>
      <c r="F1145" s="12" t="n">
        <v>12070.3</v>
      </c>
      <c r="G1145" s="12" t="n">
        <v>2328.8</v>
      </c>
      <c r="H1145" s="13" t="n">
        <v>0.6707</v>
      </c>
      <c r="I1145" s="13" t="n">
        <v>0.8326</v>
      </c>
    </row>
    <row r="1146">
      <c r="A1146" s="10" t="inlineStr">
        <is>
          <t>PJ-2022-G</t>
        </is>
      </c>
      <c r="B1146" s="10" t="inlineStr">
        <is>
          <t>位置合わせ(MS指定)／単調補間</t>
        </is>
      </c>
      <c r="C1146" s="10" t="inlineStr">
        <is>
          <t>2023-06</t>
        </is>
      </c>
      <c r="D1146" s="10" t="n">
        <v>17</v>
      </c>
      <c r="E1146" s="12" t="n">
        <v>14249.7</v>
      </c>
      <c r="F1146" s="12" t="n">
        <v>10093.2</v>
      </c>
      <c r="G1146" s="12" t="n">
        <v>4156.5</v>
      </c>
      <c r="H1146" s="13" t="n">
        <v>0.7316</v>
      </c>
      <c r="I1146" s="13" t="n">
        <v>0.8758</v>
      </c>
    </row>
    <row r="1147">
      <c r="A1147" s="10" t="inlineStr">
        <is>
          <t>PJ-2022-G</t>
        </is>
      </c>
      <c r="B1147" s="10" t="inlineStr">
        <is>
          <t>位置合わせ(MS指定)／単調補間</t>
        </is>
      </c>
      <c r="C1147" s="10" t="inlineStr">
        <is>
          <t>2023-07</t>
        </is>
      </c>
      <c r="D1147" s="10" t="n">
        <v>18</v>
      </c>
      <c r="E1147" s="12" t="n">
        <v>13214.2</v>
      </c>
      <c r="F1147" s="12" t="n">
        <v>8162.9</v>
      </c>
      <c r="G1147" s="12" t="n">
        <v>5051.3</v>
      </c>
      <c r="H1147" s="13" t="n">
        <v>0.7881</v>
      </c>
      <c r="I1147" s="13" t="n">
        <v>0.9107</v>
      </c>
    </row>
    <row r="1148">
      <c r="A1148" s="10" t="inlineStr">
        <is>
          <t>PJ-2022-G</t>
        </is>
      </c>
      <c r="B1148" s="10" t="inlineStr">
        <is>
          <t>位置合わせ(MS指定)／単調補間</t>
        </is>
      </c>
      <c r="C1148" s="10" t="inlineStr">
        <is>
          <t>2023-08</t>
        </is>
      </c>
      <c r="D1148" s="10" t="n">
        <v>19</v>
      </c>
      <c r="E1148" s="12" t="n">
        <v>10477.4</v>
      </c>
      <c r="F1148" s="12" t="n">
        <v>5336.7</v>
      </c>
      <c r="G1148" s="12" t="n">
        <v>5140.7</v>
      </c>
      <c r="H1148" s="13" t="n">
        <v>0.833</v>
      </c>
      <c r="I1148" s="13" t="n">
        <v>0.9335</v>
      </c>
    </row>
    <row r="1149">
      <c r="A1149" s="10" t="inlineStr">
        <is>
          <t>PJ-2022-G</t>
        </is>
      </c>
      <c r="B1149" s="10" t="inlineStr">
        <is>
          <t>位置合わせ(MS指定)／単調補間</t>
        </is>
      </c>
      <c r="C1149" s="10" t="inlineStr">
        <is>
          <t>2023-09</t>
        </is>
      </c>
      <c r="D1149" s="10" t="n">
        <v>20</v>
      </c>
      <c r="E1149" s="12" t="n">
        <v>9609.9</v>
      </c>
      <c r="F1149" s="12" t="n">
        <v>4269.9</v>
      </c>
      <c r="G1149" s="12" t="n">
        <v>5340</v>
      </c>
      <c r="H1149" s="13" t="n">
        <v>0.8741</v>
      </c>
      <c r="I1149" s="13" t="n">
        <v>0.9518</v>
      </c>
    </row>
    <row r="1150">
      <c r="A1150" s="10" t="inlineStr">
        <is>
          <t>PJ-2022-G</t>
        </is>
      </c>
      <c r="B1150" s="10" t="inlineStr">
        <is>
          <t>位置合わせ(MS指定)／単調補間</t>
        </is>
      </c>
      <c r="C1150" s="10" t="inlineStr">
        <is>
          <t>2023-10</t>
        </is>
      </c>
      <c r="D1150" s="10" t="n">
        <v>21</v>
      </c>
      <c r="E1150" s="12" t="n">
        <v>8578.4</v>
      </c>
      <c r="F1150" s="12" t="n">
        <v>4101.6</v>
      </c>
      <c r="G1150" s="12" t="n">
        <v>4476.8</v>
      </c>
      <c r="H1150" s="13" t="n">
        <v>0.9108000000000001</v>
      </c>
      <c r="I1150" s="13" t="n">
        <v>0.9693000000000001</v>
      </c>
    </row>
    <row r="1151">
      <c r="A1151" s="10" t="inlineStr">
        <is>
          <t>PJ-2022-G</t>
        </is>
      </c>
      <c r="B1151" s="10" t="inlineStr">
        <is>
          <t>位置合わせ(MS指定)／単調補間</t>
        </is>
      </c>
      <c r="C1151" s="10" t="inlineStr">
        <is>
          <t>2023-11</t>
        </is>
      </c>
      <c r="D1151" s="10" t="n">
        <v>22</v>
      </c>
      <c r="E1151" s="12" t="n">
        <v>6918.3</v>
      </c>
      <c r="F1151" s="12" t="n">
        <v>3281.7</v>
      </c>
      <c r="G1151" s="12" t="n">
        <v>3636.6</v>
      </c>
      <c r="H1151" s="13" t="n">
        <v>0.9404</v>
      </c>
      <c r="I1151" s="13" t="n">
        <v>0.9834000000000001</v>
      </c>
    </row>
    <row r="1152">
      <c r="A1152" s="10" t="inlineStr">
        <is>
          <t>PJ-2022-G</t>
        </is>
      </c>
      <c r="B1152" s="10" t="inlineStr">
        <is>
          <t>位置合わせ(MS指定)／単調補間</t>
        </is>
      </c>
      <c r="C1152" s="10" t="inlineStr">
        <is>
          <t>2023-12</t>
        </is>
      </c>
      <c r="D1152" s="10" t="n">
        <v>23</v>
      </c>
      <c r="E1152" s="12" t="n">
        <v>8384.9</v>
      </c>
      <c r="F1152" s="12" t="n">
        <v>2964.5</v>
      </c>
      <c r="G1152" s="12" t="n">
        <v>5420.4</v>
      </c>
      <c r="H1152" s="13" t="n">
        <v>0.9762</v>
      </c>
      <c r="I1152" s="13" t="n">
        <v>0.996</v>
      </c>
    </row>
    <row r="1153">
      <c r="A1153" s="10" t="inlineStr">
        <is>
          <t>PJ-2022-G</t>
        </is>
      </c>
      <c r="B1153" s="10" t="inlineStr">
        <is>
          <t>位置合わせ(MS指定)／単調補間</t>
        </is>
      </c>
      <c r="C1153" s="10" t="inlineStr">
        <is>
          <t>2024-01</t>
        </is>
      </c>
      <c r="D1153" s="10" t="n">
        <v>24</v>
      </c>
      <c r="E1153" s="12" t="n">
        <v>5553.5</v>
      </c>
      <c r="F1153" s="12" t="n">
        <v>925</v>
      </c>
      <c r="G1153" s="12" t="n">
        <v>4628.5</v>
      </c>
      <c r="H1153" s="13" t="n">
        <v>1</v>
      </c>
      <c r="I1153" s="13" t="n">
        <v>1</v>
      </c>
    </row>
    <row r="1154">
      <c r="A1154" s="10" t="inlineStr">
        <is>
          <t>PJ-2023-H</t>
        </is>
      </c>
      <c r="B1154" s="10" t="inlineStr">
        <is>
          <t>素朴版／月内均等</t>
        </is>
      </c>
      <c r="C1154" s="10" t="inlineStr">
        <is>
          <t>2023-01</t>
        </is>
      </c>
      <c r="D1154" s="10" t="n">
        <v>1</v>
      </c>
      <c r="E1154" s="12" t="n">
        <v>3833.4</v>
      </c>
      <c r="F1154" s="12" t="n">
        <v>2440.7</v>
      </c>
      <c r="G1154" s="12" t="n">
        <v>1392.7</v>
      </c>
      <c r="H1154" s="13" t="n">
        <v>0.0217</v>
      </c>
      <c r="I1154" s="13" t="n">
        <v>0.0138</v>
      </c>
    </row>
    <row r="1155">
      <c r="A1155" s="10" t="inlineStr">
        <is>
          <t>PJ-2023-H</t>
        </is>
      </c>
      <c r="B1155" s="10" t="inlineStr">
        <is>
          <t>素朴版／月内均等</t>
        </is>
      </c>
      <c r="C1155" s="10" t="inlineStr">
        <is>
          <t>2023-02</t>
        </is>
      </c>
      <c r="D1155" s="10" t="n">
        <v>2</v>
      </c>
      <c r="E1155" s="12" t="n">
        <v>4419</v>
      </c>
      <c r="F1155" s="12" t="n">
        <v>3859.4</v>
      </c>
      <c r="G1155" s="12" t="n">
        <v>559.6</v>
      </c>
      <c r="H1155" s="13" t="n">
        <v>0.0467</v>
      </c>
      <c r="I1155" s="13" t="n">
        <v>0.0356</v>
      </c>
    </row>
    <row r="1156">
      <c r="A1156" s="10" t="inlineStr">
        <is>
          <t>PJ-2023-H</t>
        </is>
      </c>
      <c r="B1156" s="10" t="inlineStr">
        <is>
          <t>素朴版／月内均等</t>
        </is>
      </c>
      <c r="C1156" s="10" t="inlineStr">
        <is>
          <t>2023-03</t>
        </is>
      </c>
      <c r="D1156" s="10" t="n">
        <v>3</v>
      </c>
      <c r="E1156" s="12" t="n">
        <v>5475.7</v>
      </c>
      <c r="F1156" s="12" t="n">
        <v>6095.6</v>
      </c>
      <c r="G1156" s="12" t="n">
        <v>-619.9</v>
      </c>
      <c r="H1156" s="13" t="n">
        <v>0.07770000000000001</v>
      </c>
      <c r="I1156" s="13" t="n">
        <v>0.0701</v>
      </c>
    </row>
    <row r="1157">
      <c r="A1157" s="10" t="inlineStr">
        <is>
          <t>PJ-2023-H</t>
        </is>
      </c>
      <c r="B1157" s="10" t="inlineStr">
        <is>
          <t>素朴版／月内均等</t>
        </is>
      </c>
      <c r="C1157" s="10" t="inlineStr">
        <is>
          <t>2023-04</t>
        </is>
      </c>
      <c r="D1157" s="10" t="n">
        <v>4</v>
      </c>
      <c r="E1157" s="12" t="n">
        <v>5747.3</v>
      </c>
      <c r="F1157" s="12" t="n">
        <v>7110.8</v>
      </c>
      <c r="G1157" s="12" t="n">
        <v>-1363.5</v>
      </c>
      <c r="H1157" s="13" t="n">
        <v>0.1102</v>
      </c>
      <c r="I1157" s="13" t="n">
        <v>0.1103</v>
      </c>
    </row>
    <row r="1158">
      <c r="A1158" s="10" t="inlineStr">
        <is>
          <t>PJ-2023-H</t>
        </is>
      </c>
      <c r="B1158" s="10" t="inlineStr">
        <is>
          <t>素朴版／月内均等</t>
        </is>
      </c>
      <c r="C1158" s="10" t="inlineStr">
        <is>
          <t>2023-05</t>
        </is>
      </c>
      <c r="D1158" s="10" t="n">
        <v>5</v>
      </c>
      <c r="E1158" s="12" t="n">
        <v>6499.9</v>
      </c>
      <c r="F1158" s="12" t="n">
        <v>8343.200000000001</v>
      </c>
      <c r="G1158" s="12" t="n">
        <v>-1843.3</v>
      </c>
      <c r="H1158" s="13" t="n">
        <v>0.1469</v>
      </c>
      <c r="I1158" s="13" t="n">
        <v>0.1575</v>
      </c>
    </row>
    <row r="1159">
      <c r="A1159" s="10" t="inlineStr">
        <is>
          <t>PJ-2023-H</t>
        </is>
      </c>
      <c r="B1159" s="10" t="inlineStr">
        <is>
          <t>素朴版／月内均等</t>
        </is>
      </c>
      <c r="C1159" s="10" t="inlineStr">
        <is>
          <t>2023-06</t>
        </is>
      </c>
      <c r="D1159" s="10" t="n">
        <v>6</v>
      </c>
      <c r="E1159" s="12" t="n">
        <v>7658.7</v>
      </c>
      <c r="F1159" s="12" t="n">
        <v>9678</v>
      </c>
      <c r="G1159" s="12" t="n">
        <v>-2019.3</v>
      </c>
      <c r="H1159" s="13" t="n">
        <v>0.1903</v>
      </c>
      <c r="I1159" s="13" t="n">
        <v>0.2123</v>
      </c>
    </row>
    <row r="1160">
      <c r="A1160" s="10" t="inlineStr">
        <is>
          <t>PJ-2023-H</t>
        </is>
      </c>
      <c r="B1160" s="10" t="inlineStr">
        <is>
          <t>素朴版／月内均等</t>
        </is>
      </c>
      <c r="C1160" s="10" t="inlineStr">
        <is>
          <t>2023-07</t>
        </is>
      </c>
      <c r="D1160" s="10" t="n">
        <v>7</v>
      </c>
      <c r="E1160" s="12" t="n">
        <v>9439</v>
      </c>
      <c r="F1160" s="12" t="n">
        <v>11523.9</v>
      </c>
      <c r="G1160" s="12" t="n">
        <v>-2084.9</v>
      </c>
      <c r="H1160" s="13" t="n">
        <v>0.2436</v>
      </c>
      <c r="I1160" s="13" t="n">
        <v>0.2775</v>
      </c>
    </row>
    <row r="1161">
      <c r="A1161" s="10" t="inlineStr">
        <is>
          <t>PJ-2023-H</t>
        </is>
      </c>
      <c r="B1161" s="10" t="inlineStr">
        <is>
          <t>素朴版／月内均等</t>
        </is>
      </c>
      <c r="C1161" s="10" t="inlineStr">
        <is>
          <t>2023-08</t>
        </is>
      </c>
      <c r="D1161" s="10" t="n">
        <v>8</v>
      </c>
      <c r="E1161" s="12" t="n">
        <v>10647.5</v>
      </c>
      <c r="F1161" s="12" t="n">
        <v>13879.8</v>
      </c>
      <c r="G1161" s="12" t="n">
        <v>-3232.3</v>
      </c>
      <c r="H1161" s="13" t="n">
        <v>0.3039</v>
      </c>
      <c r="I1161" s="13" t="n">
        <v>0.356</v>
      </c>
    </row>
    <row r="1162">
      <c r="A1162" s="10" t="inlineStr">
        <is>
          <t>PJ-2023-H</t>
        </is>
      </c>
      <c r="B1162" s="10" t="inlineStr">
        <is>
          <t>素朴版／月内均等</t>
        </is>
      </c>
      <c r="C1162" s="10" t="inlineStr">
        <is>
          <t>2023-09</t>
        </is>
      </c>
      <c r="D1162" s="10" t="n">
        <v>9</v>
      </c>
      <c r="E1162" s="12" t="n">
        <v>10583.6</v>
      </c>
      <c r="F1162" s="12" t="n">
        <v>13966.5</v>
      </c>
      <c r="G1162" s="12" t="n">
        <v>-3382.9</v>
      </c>
      <c r="H1162" s="13" t="n">
        <v>0.3637</v>
      </c>
      <c r="I1162" s="13" t="n">
        <v>0.435</v>
      </c>
    </row>
    <row r="1163">
      <c r="A1163" s="10" t="inlineStr">
        <is>
          <t>PJ-2023-H</t>
        </is>
      </c>
      <c r="B1163" s="10" t="inlineStr">
        <is>
          <t>素朴版／月内均等</t>
        </is>
      </c>
      <c r="C1163" s="10" t="inlineStr">
        <is>
          <t>2023-10</t>
        </is>
      </c>
      <c r="D1163" s="10" t="n">
        <v>10</v>
      </c>
      <c r="E1163" s="12" t="n">
        <v>10605.4</v>
      </c>
      <c r="F1163" s="12" t="n">
        <v>10043.9</v>
      </c>
      <c r="G1163" s="12" t="n">
        <v>561.5</v>
      </c>
      <c r="H1163" s="13" t="n">
        <v>0.4237</v>
      </c>
      <c r="I1163" s="13" t="n">
        <v>0.4918</v>
      </c>
    </row>
    <row r="1164">
      <c r="A1164" s="10" t="inlineStr">
        <is>
          <t>PJ-2023-H</t>
        </is>
      </c>
      <c r="B1164" s="10" t="inlineStr">
        <is>
          <t>素朴版／月内均等</t>
        </is>
      </c>
      <c r="C1164" s="10" t="inlineStr">
        <is>
          <t>2023-11</t>
        </is>
      </c>
      <c r="D1164" s="10" t="n">
        <v>11</v>
      </c>
      <c r="E1164" s="12" t="n">
        <v>12081.1</v>
      </c>
      <c r="F1164" s="12" t="n">
        <v>9363.200000000001</v>
      </c>
      <c r="G1164" s="12" t="n">
        <v>2717.9</v>
      </c>
      <c r="H1164" s="13" t="n">
        <v>0.4921</v>
      </c>
      <c r="I1164" s="13" t="n">
        <v>0.5448</v>
      </c>
    </row>
    <row r="1165">
      <c r="A1165" s="10" t="inlineStr">
        <is>
          <t>PJ-2023-H</t>
        </is>
      </c>
      <c r="B1165" s="10" t="inlineStr">
        <is>
          <t>素朴版／月内均等</t>
        </is>
      </c>
      <c r="C1165" s="10" t="inlineStr">
        <is>
          <t>2023-12</t>
        </is>
      </c>
      <c r="D1165" s="10" t="n">
        <v>12</v>
      </c>
      <c r="E1165" s="12" t="n">
        <v>13291</v>
      </c>
      <c r="F1165" s="12" t="n">
        <v>8579.200000000001</v>
      </c>
      <c r="G1165" s="12" t="n">
        <v>4711.8</v>
      </c>
      <c r="H1165" s="13" t="n">
        <v>0.5672</v>
      </c>
      <c r="I1165" s="13" t="n">
        <v>0.5933</v>
      </c>
    </row>
    <row r="1166">
      <c r="A1166" s="10" t="inlineStr">
        <is>
          <t>PJ-2023-H</t>
        </is>
      </c>
      <c r="B1166" s="10" t="inlineStr">
        <is>
          <t>素朴版／月内均等</t>
        </is>
      </c>
      <c r="C1166" s="10" t="inlineStr">
        <is>
          <t>2024-01</t>
        </is>
      </c>
      <c r="D1166" s="10" t="n">
        <v>13</v>
      </c>
      <c r="E1166" s="12" t="n">
        <v>14196.1</v>
      </c>
      <c r="F1166" s="12" t="n">
        <v>8088</v>
      </c>
      <c r="G1166" s="12" t="n">
        <v>6108.1</v>
      </c>
      <c r="H1166" s="13" t="n">
        <v>0.6475</v>
      </c>
      <c r="I1166" s="13" t="n">
        <v>0.639</v>
      </c>
    </row>
    <row r="1167">
      <c r="A1167" s="10" t="inlineStr">
        <is>
          <t>PJ-2023-H</t>
        </is>
      </c>
      <c r="B1167" s="10" t="inlineStr">
        <is>
          <t>素朴版／月内均等</t>
        </is>
      </c>
      <c r="C1167" s="10" t="inlineStr">
        <is>
          <t>2024-02</t>
        </is>
      </c>
      <c r="D1167" s="10" t="n">
        <v>14</v>
      </c>
      <c r="E1167" s="12" t="n">
        <v>12331.2</v>
      </c>
      <c r="F1167" s="12" t="n">
        <v>8288.700000000001</v>
      </c>
      <c r="G1167" s="12" t="n">
        <v>4042.5</v>
      </c>
      <c r="H1167" s="13" t="n">
        <v>0.7173</v>
      </c>
      <c r="I1167" s="13" t="n">
        <v>0.6859</v>
      </c>
    </row>
    <row r="1168">
      <c r="A1168" s="10" t="inlineStr">
        <is>
          <t>PJ-2023-H</t>
        </is>
      </c>
      <c r="B1168" s="10" t="inlineStr">
        <is>
          <t>素朴版／月内均等</t>
        </is>
      </c>
      <c r="C1168" s="10" t="inlineStr">
        <is>
          <t>2024-03</t>
        </is>
      </c>
      <c r="D1168" s="10" t="n">
        <v>15</v>
      </c>
      <c r="E1168" s="12" t="n">
        <v>11864.8</v>
      </c>
      <c r="F1168" s="12" t="n">
        <v>9844.9</v>
      </c>
      <c r="G1168" s="12" t="n">
        <v>2019.9</v>
      </c>
      <c r="H1168" s="13" t="n">
        <v>0.7844</v>
      </c>
      <c r="I1168" s="13" t="n">
        <v>0.7416</v>
      </c>
    </row>
    <row r="1169">
      <c r="A1169" s="10" t="inlineStr">
        <is>
          <t>PJ-2023-H</t>
        </is>
      </c>
      <c r="B1169" s="10" t="inlineStr">
        <is>
          <t>素朴版／月内均等</t>
        </is>
      </c>
      <c r="C1169" s="10" t="inlineStr">
        <is>
          <t>2024-04</t>
        </is>
      </c>
      <c r="D1169" s="10" t="n">
        <v>16</v>
      </c>
      <c r="E1169" s="12" t="n">
        <v>11186.9</v>
      </c>
      <c r="F1169" s="12" t="n">
        <v>11975.4</v>
      </c>
      <c r="G1169" s="12" t="n">
        <v>-788.5</v>
      </c>
      <c r="H1169" s="13" t="n">
        <v>0.8477</v>
      </c>
      <c r="I1169" s="13" t="n">
        <v>0.8093</v>
      </c>
    </row>
    <row r="1170">
      <c r="A1170" s="10" t="inlineStr">
        <is>
          <t>PJ-2023-H</t>
        </is>
      </c>
      <c r="B1170" s="10" t="inlineStr">
        <is>
          <t>素朴版／月内均等</t>
        </is>
      </c>
      <c r="C1170" s="10" t="inlineStr">
        <is>
          <t>2024-05</t>
        </is>
      </c>
      <c r="D1170" s="10" t="n">
        <v>17</v>
      </c>
      <c r="E1170" s="12" t="n">
        <v>10259.5</v>
      </c>
      <c r="F1170" s="12" t="n">
        <v>13374.7</v>
      </c>
      <c r="G1170" s="12" t="n">
        <v>-3115.2</v>
      </c>
      <c r="H1170" s="13" t="n">
        <v>0.9056999999999999</v>
      </c>
      <c r="I1170" s="13" t="n">
        <v>0.885</v>
      </c>
    </row>
    <row r="1171">
      <c r="A1171" s="10" t="inlineStr">
        <is>
          <t>PJ-2023-H</t>
        </is>
      </c>
      <c r="B1171" s="10" t="inlineStr">
        <is>
          <t>素朴版／月内均等</t>
        </is>
      </c>
      <c r="C1171" s="10" t="inlineStr">
        <is>
          <t>2024-06</t>
        </is>
      </c>
      <c r="D1171" s="10" t="n">
        <v>18</v>
      </c>
      <c r="E1171" s="12" t="n">
        <v>7574.6</v>
      </c>
      <c r="F1171" s="12" t="n">
        <v>8541.700000000001</v>
      </c>
      <c r="G1171" s="12" t="n">
        <v>-967.1</v>
      </c>
      <c r="H1171" s="13" t="n">
        <v>0.9486</v>
      </c>
      <c r="I1171" s="13" t="n">
        <v>0.9333</v>
      </c>
    </row>
    <row r="1172">
      <c r="A1172" s="10" t="inlineStr">
        <is>
          <t>PJ-2023-H</t>
        </is>
      </c>
      <c r="B1172" s="10" t="inlineStr">
        <is>
          <t>素朴版／月内均等</t>
        </is>
      </c>
      <c r="C1172" s="10" t="inlineStr">
        <is>
          <t>2024-07</t>
        </is>
      </c>
      <c r="D1172" s="10" t="n">
        <v>19</v>
      </c>
      <c r="E1172" s="12" t="n">
        <v>5941.7</v>
      </c>
      <c r="F1172" s="12" t="n">
        <v>7179.1</v>
      </c>
      <c r="G1172" s="12" t="n">
        <v>-1237.4</v>
      </c>
      <c r="H1172" s="13" t="n">
        <v>0.9822</v>
      </c>
      <c r="I1172" s="13" t="n">
        <v>0.9739</v>
      </c>
    </row>
    <row r="1173">
      <c r="A1173" s="10" t="inlineStr">
        <is>
          <t>PJ-2023-H</t>
        </is>
      </c>
      <c r="B1173" s="10" t="inlineStr">
        <is>
          <t>素朴版／月内均等</t>
        </is>
      </c>
      <c r="C1173" s="10" t="inlineStr">
        <is>
          <t>2024-08</t>
        </is>
      </c>
      <c r="D1173" s="10" t="n">
        <v>20</v>
      </c>
      <c r="E1173" s="12" t="n">
        <v>3149.5</v>
      </c>
      <c r="F1173" s="12" t="n">
        <v>4609.2</v>
      </c>
      <c r="G1173" s="12" t="n">
        <v>-1459.7</v>
      </c>
      <c r="H1173" s="13" t="n">
        <v>1</v>
      </c>
      <c r="I1173" s="13" t="n">
        <v>1</v>
      </c>
    </row>
    <row r="1174">
      <c r="A1174" s="10" t="inlineStr">
        <is>
          <t>PJ-2023-H</t>
        </is>
      </c>
      <c r="B1174" s="10" t="inlineStr">
        <is>
          <t>位置合わせ(MS学習値)／月内均等</t>
        </is>
      </c>
      <c r="C1174" s="10" t="inlineStr">
        <is>
          <t>2023-01</t>
        </is>
      </c>
      <c r="D1174" s="10" t="n">
        <v>1</v>
      </c>
      <c r="E1174" s="12" t="n">
        <v>3785.6</v>
      </c>
      <c r="F1174" s="12" t="n">
        <v>2440.7</v>
      </c>
      <c r="G1174" s="12" t="n">
        <v>1344.9</v>
      </c>
      <c r="H1174" s="13" t="n">
        <v>0.0214</v>
      </c>
      <c r="I1174" s="13" t="n">
        <v>0.0138</v>
      </c>
    </row>
    <row r="1175">
      <c r="A1175" s="10" t="inlineStr">
        <is>
          <t>PJ-2023-H</t>
        </is>
      </c>
      <c r="B1175" s="10" t="inlineStr">
        <is>
          <t>位置合わせ(MS学習値)／月内均等</t>
        </is>
      </c>
      <c r="C1175" s="10" t="inlineStr">
        <is>
          <t>2023-02</t>
        </is>
      </c>
      <c r="D1175" s="10" t="n">
        <v>2</v>
      </c>
      <c r="E1175" s="12" t="n">
        <v>4369.4</v>
      </c>
      <c r="F1175" s="12" t="n">
        <v>3859.4</v>
      </c>
      <c r="G1175" s="12" t="n">
        <v>510</v>
      </c>
      <c r="H1175" s="13" t="n">
        <v>0.0461</v>
      </c>
      <c r="I1175" s="13" t="n">
        <v>0.0356</v>
      </c>
    </row>
    <row r="1176">
      <c r="A1176" s="10" t="inlineStr">
        <is>
          <t>PJ-2023-H</t>
        </is>
      </c>
      <c r="B1176" s="10" t="inlineStr">
        <is>
          <t>位置合わせ(MS学習値)／月内均等</t>
        </is>
      </c>
      <c r="C1176" s="10" t="inlineStr">
        <is>
          <t>2023-03</t>
        </is>
      </c>
      <c r="D1176" s="10" t="n">
        <v>3</v>
      </c>
      <c r="E1176" s="12" t="n">
        <v>5446</v>
      </c>
      <c r="F1176" s="12" t="n">
        <v>6095.6</v>
      </c>
      <c r="G1176" s="12" t="n">
        <v>-649.6</v>
      </c>
      <c r="H1176" s="13" t="n">
        <v>0.0769</v>
      </c>
      <c r="I1176" s="13" t="n">
        <v>0.0701</v>
      </c>
    </row>
    <row r="1177">
      <c r="A1177" s="10" t="inlineStr">
        <is>
          <t>PJ-2023-H</t>
        </is>
      </c>
      <c r="B1177" s="10" t="inlineStr">
        <is>
          <t>位置合わせ(MS学習値)／月内均等</t>
        </is>
      </c>
      <c r="C1177" s="10" t="inlineStr">
        <is>
          <t>2023-04</t>
        </is>
      </c>
      <c r="D1177" s="10" t="n">
        <v>4</v>
      </c>
      <c r="E1177" s="12" t="n">
        <v>5666.5</v>
      </c>
      <c r="F1177" s="12" t="n">
        <v>7110.8</v>
      </c>
      <c r="G1177" s="12" t="n">
        <v>-1444.3</v>
      </c>
      <c r="H1177" s="13" t="n">
        <v>0.109</v>
      </c>
      <c r="I1177" s="13" t="n">
        <v>0.1103</v>
      </c>
    </row>
    <row r="1178">
      <c r="A1178" s="10" t="inlineStr">
        <is>
          <t>PJ-2023-H</t>
        </is>
      </c>
      <c r="B1178" s="10" t="inlineStr">
        <is>
          <t>位置合わせ(MS学習値)／月内均等</t>
        </is>
      </c>
      <c r="C1178" s="10" t="inlineStr">
        <is>
          <t>2023-05</t>
        </is>
      </c>
      <c r="D1178" s="10" t="n">
        <v>5</v>
      </c>
      <c r="E1178" s="12" t="n">
        <v>6395.9</v>
      </c>
      <c r="F1178" s="12" t="n">
        <v>8343.200000000001</v>
      </c>
      <c r="G1178" s="12" t="n">
        <v>-1947.3</v>
      </c>
      <c r="H1178" s="13" t="n">
        <v>0.1452</v>
      </c>
      <c r="I1178" s="13" t="n">
        <v>0.1575</v>
      </c>
    </row>
    <row r="1179">
      <c r="A1179" s="10" t="inlineStr">
        <is>
          <t>PJ-2023-H</t>
        </is>
      </c>
      <c r="B1179" s="10" t="inlineStr">
        <is>
          <t>位置合わせ(MS学習値)／月内均等</t>
        </is>
      </c>
      <c r="C1179" s="10" t="inlineStr">
        <is>
          <t>2023-06</t>
        </is>
      </c>
      <c r="D1179" s="10" t="n">
        <v>6</v>
      </c>
      <c r="E1179" s="12" t="n">
        <v>7045.3</v>
      </c>
      <c r="F1179" s="12" t="n">
        <v>9678</v>
      </c>
      <c r="G1179" s="12" t="n">
        <v>-2632.7</v>
      </c>
      <c r="H1179" s="13" t="n">
        <v>0.185</v>
      </c>
      <c r="I1179" s="13" t="n">
        <v>0.2123</v>
      </c>
    </row>
    <row r="1180">
      <c r="A1180" s="10" t="inlineStr">
        <is>
          <t>PJ-2023-H</t>
        </is>
      </c>
      <c r="B1180" s="10" t="inlineStr">
        <is>
          <t>位置合わせ(MS学習値)／月内均等</t>
        </is>
      </c>
      <c r="C1180" s="10" t="inlineStr">
        <is>
          <t>2023-07</t>
        </is>
      </c>
      <c r="D1180" s="10" t="n">
        <v>7</v>
      </c>
      <c r="E1180" s="12" t="n">
        <v>8799.5</v>
      </c>
      <c r="F1180" s="12" t="n">
        <v>11523.9</v>
      </c>
      <c r="G1180" s="12" t="n">
        <v>-2724.4</v>
      </c>
      <c r="H1180" s="13" t="n">
        <v>0.2348</v>
      </c>
      <c r="I1180" s="13" t="n">
        <v>0.2775</v>
      </c>
    </row>
    <row r="1181">
      <c r="A1181" s="10" t="inlineStr">
        <is>
          <t>PJ-2023-H</t>
        </is>
      </c>
      <c r="B1181" s="10" t="inlineStr">
        <is>
          <t>位置合わせ(MS学習値)／月内均等</t>
        </is>
      </c>
      <c r="C1181" s="10" t="inlineStr">
        <is>
          <t>2023-08</t>
        </is>
      </c>
      <c r="D1181" s="10" t="n">
        <v>8</v>
      </c>
      <c r="E1181" s="12" t="n">
        <v>9951.1</v>
      </c>
      <c r="F1181" s="12" t="n">
        <v>13879.8</v>
      </c>
      <c r="G1181" s="12" t="n">
        <v>-3928.7</v>
      </c>
      <c r="H1181" s="13" t="n">
        <v>0.2911</v>
      </c>
      <c r="I1181" s="13" t="n">
        <v>0.356</v>
      </c>
    </row>
    <row r="1182">
      <c r="A1182" s="10" t="inlineStr">
        <is>
          <t>PJ-2023-H</t>
        </is>
      </c>
      <c r="B1182" s="10" t="inlineStr">
        <is>
          <t>位置合わせ(MS学習値)／月内均等</t>
        </is>
      </c>
      <c r="C1182" s="10" t="inlineStr">
        <is>
          <t>2023-09</t>
        </is>
      </c>
      <c r="D1182" s="10" t="n">
        <v>9</v>
      </c>
      <c r="E1182" s="12" t="n">
        <v>10586</v>
      </c>
      <c r="F1182" s="12" t="n">
        <v>13966.5</v>
      </c>
      <c r="G1182" s="12" t="n">
        <v>-3380.5</v>
      </c>
      <c r="H1182" s="13" t="n">
        <v>0.351</v>
      </c>
      <c r="I1182" s="13" t="n">
        <v>0.435</v>
      </c>
    </row>
    <row r="1183">
      <c r="A1183" s="10" t="inlineStr">
        <is>
          <t>PJ-2023-H</t>
        </is>
      </c>
      <c r="B1183" s="10" t="inlineStr">
        <is>
          <t>位置合わせ(MS学習値)／月内均等</t>
        </is>
      </c>
      <c r="C1183" s="10" t="inlineStr">
        <is>
          <t>2023-10</t>
        </is>
      </c>
      <c r="D1183" s="10" t="n">
        <v>10</v>
      </c>
      <c r="E1183" s="12" t="n">
        <v>12393.6</v>
      </c>
      <c r="F1183" s="12" t="n">
        <v>10043.9</v>
      </c>
      <c r="G1183" s="12" t="n">
        <v>2349.7</v>
      </c>
      <c r="H1183" s="13" t="n">
        <v>0.4211</v>
      </c>
      <c r="I1183" s="13" t="n">
        <v>0.4918</v>
      </c>
    </row>
    <row r="1184">
      <c r="A1184" s="10" t="inlineStr">
        <is>
          <t>PJ-2023-H</t>
        </is>
      </c>
      <c r="B1184" s="10" t="inlineStr">
        <is>
          <t>位置合わせ(MS学習値)／月内均等</t>
        </is>
      </c>
      <c r="C1184" s="10" t="inlineStr">
        <is>
          <t>2023-11</t>
        </is>
      </c>
      <c r="D1184" s="10" t="n">
        <v>11</v>
      </c>
      <c r="E1184" s="12" t="n">
        <v>12716.2</v>
      </c>
      <c r="F1184" s="12" t="n">
        <v>9363.200000000001</v>
      </c>
      <c r="G1184" s="12" t="n">
        <v>3353</v>
      </c>
      <c r="H1184" s="13" t="n">
        <v>0.493</v>
      </c>
      <c r="I1184" s="13" t="n">
        <v>0.5448</v>
      </c>
    </row>
    <row r="1185">
      <c r="A1185" s="10" t="inlineStr">
        <is>
          <t>PJ-2023-H</t>
        </is>
      </c>
      <c r="B1185" s="10" t="inlineStr">
        <is>
          <t>位置合わせ(MS学習値)／月内均等</t>
        </is>
      </c>
      <c r="C1185" s="10" t="inlineStr">
        <is>
          <t>2023-12</t>
        </is>
      </c>
      <c r="D1185" s="10" t="n">
        <v>12</v>
      </c>
      <c r="E1185" s="12" t="n">
        <v>13719.4</v>
      </c>
      <c r="F1185" s="12" t="n">
        <v>8579.200000000001</v>
      </c>
      <c r="G1185" s="12" t="n">
        <v>5140.2</v>
      </c>
      <c r="H1185" s="13" t="n">
        <v>0.5706</v>
      </c>
      <c r="I1185" s="13" t="n">
        <v>0.5933</v>
      </c>
    </row>
    <row r="1186">
      <c r="A1186" s="10" t="inlineStr">
        <is>
          <t>PJ-2023-H</t>
        </is>
      </c>
      <c r="B1186" s="10" t="inlineStr">
        <is>
          <t>位置合わせ(MS学習値)／月内均等</t>
        </is>
      </c>
      <c r="C1186" s="10" t="inlineStr">
        <is>
          <t>2024-01</t>
        </is>
      </c>
      <c r="D1186" s="10" t="n">
        <v>13</v>
      </c>
      <c r="E1186" s="12" t="n">
        <v>13641.4</v>
      </c>
      <c r="F1186" s="12" t="n">
        <v>8088</v>
      </c>
      <c r="G1186" s="12" t="n">
        <v>5553.4</v>
      </c>
      <c r="H1186" s="13" t="n">
        <v>0.6478</v>
      </c>
      <c r="I1186" s="13" t="n">
        <v>0.639</v>
      </c>
    </row>
    <row r="1187">
      <c r="A1187" s="10" t="inlineStr">
        <is>
          <t>PJ-2023-H</t>
        </is>
      </c>
      <c r="B1187" s="10" t="inlineStr">
        <is>
          <t>位置合わせ(MS学習値)／月内均等</t>
        </is>
      </c>
      <c r="C1187" s="10" t="inlineStr">
        <is>
          <t>2024-02</t>
        </is>
      </c>
      <c r="D1187" s="10" t="n">
        <v>14</v>
      </c>
      <c r="E1187" s="12" t="n">
        <v>13296.1</v>
      </c>
      <c r="F1187" s="12" t="n">
        <v>8288.700000000001</v>
      </c>
      <c r="G1187" s="12" t="n">
        <v>5007.4</v>
      </c>
      <c r="H1187" s="13" t="n">
        <v>0.723</v>
      </c>
      <c r="I1187" s="13" t="n">
        <v>0.6859</v>
      </c>
    </row>
    <row r="1188">
      <c r="A1188" s="10" t="inlineStr">
        <is>
          <t>PJ-2023-H</t>
        </is>
      </c>
      <c r="B1188" s="10" t="inlineStr">
        <is>
          <t>位置合わせ(MS学習値)／月内均等</t>
        </is>
      </c>
      <c r="C1188" s="10" t="inlineStr">
        <is>
          <t>2024-03</t>
        </is>
      </c>
      <c r="D1188" s="10" t="n">
        <v>15</v>
      </c>
      <c r="E1188" s="12" t="n">
        <v>13123.4</v>
      </c>
      <c r="F1188" s="12" t="n">
        <v>9844.9</v>
      </c>
      <c r="G1188" s="12" t="n">
        <v>3278.5</v>
      </c>
      <c r="H1188" s="13" t="n">
        <v>0.7972</v>
      </c>
      <c r="I1188" s="13" t="n">
        <v>0.7416</v>
      </c>
    </row>
    <row r="1189">
      <c r="A1189" s="10" t="inlineStr">
        <is>
          <t>PJ-2023-H</t>
        </is>
      </c>
      <c r="B1189" s="10" t="inlineStr">
        <is>
          <t>位置合わせ(MS学習値)／月内均等</t>
        </is>
      </c>
      <c r="C1189" s="10" t="inlineStr">
        <is>
          <t>2024-04</t>
        </is>
      </c>
      <c r="D1189" s="10" t="n">
        <v>16</v>
      </c>
      <c r="E1189" s="12" t="n">
        <v>10106</v>
      </c>
      <c r="F1189" s="12" t="n">
        <v>11975.4</v>
      </c>
      <c r="G1189" s="12" t="n">
        <v>-1869.4</v>
      </c>
      <c r="H1189" s="13" t="n">
        <v>0.8544</v>
      </c>
      <c r="I1189" s="13" t="n">
        <v>0.8093</v>
      </c>
    </row>
    <row r="1190">
      <c r="A1190" s="10" t="inlineStr">
        <is>
          <t>PJ-2023-H</t>
        </is>
      </c>
      <c r="B1190" s="10" t="inlineStr">
        <is>
          <t>位置合わせ(MS学習値)／月内均等</t>
        </is>
      </c>
      <c r="C1190" s="10" t="inlineStr">
        <is>
          <t>2024-05</t>
        </is>
      </c>
      <c r="D1190" s="10" t="n">
        <v>17</v>
      </c>
      <c r="E1190" s="12" t="n">
        <v>9281</v>
      </c>
      <c r="F1190" s="12" t="n">
        <v>13374.7</v>
      </c>
      <c r="G1190" s="12" t="n">
        <v>-4093.7</v>
      </c>
      <c r="H1190" s="13" t="n">
        <v>0.9069</v>
      </c>
      <c r="I1190" s="13" t="n">
        <v>0.885</v>
      </c>
    </row>
    <row r="1191">
      <c r="A1191" s="10" t="inlineStr">
        <is>
          <t>PJ-2023-H</t>
        </is>
      </c>
      <c r="B1191" s="10" t="inlineStr">
        <is>
          <t>位置合わせ(MS学習値)／月内均等</t>
        </is>
      </c>
      <c r="C1191" s="10" t="inlineStr">
        <is>
          <t>2024-06</t>
        </is>
      </c>
      <c r="D1191" s="10" t="n">
        <v>18</v>
      </c>
      <c r="E1191" s="12" t="n">
        <v>7258.1</v>
      </c>
      <c r="F1191" s="12" t="n">
        <v>8541.700000000001</v>
      </c>
      <c r="G1191" s="12" t="n">
        <v>-1283.6</v>
      </c>
      <c r="H1191" s="13" t="n">
        <v>0.9479</v>
      </c>
      <c r="I1191" s="13" t="n">
        <v>0.9333</v>
      </c>
    </row>
    <row r="1192">
      <c r="A1192" s="10" t="inlineStr">
        <is>
          <t>PJ-2023-H</t>
        </is>
      </c>
      <c r="B1192" s="10" t="inlineStr">
        <is>
          <t>位置合わせ(MS学習値)／月内均等</t>
        </is>
      </c>
      <c r="C1192" s="10" t="inlineStr">
        <is>
          <t>2024-07</t>
        </is>
      </c>
      <c r="D1192" s="10" t="n">
        <v>19</v>
      </c>
      <c r="E1192" s="12" t="n">
        <v>6104.4</v>
      </c>
      <c r="F1192" s="12" t="n">
        <v>7179.1</v>
      </c>
      <c r="G1192" s="12" t="n">
        <v>-1074.7</v>
      </c>
      <c r="H1192" s="13" t="n">
        <v>0.9825</v>
      </c>
      <c r="I1192" s="13" t="n">
        <v>0.9739</v>
      </c>
    </row>
    <row r="1193">
      <c r="A1193" s="10" t="inlineStr">
        <is>
          <t>PJ-2023-H</t>
        </is>
      </c>
      <c r="B1193" s="10" t="inlineStr">
        <is>
          <t>位置合わせ(MS学習値)／月内均等</t>
        </is>
      </c>
      <c r="C1193" s="10" t="inlineStr">
        <is>
          <t>2024-08</t>
        </is>
      </c>
      <c r="D1193" s="10" t="n">
        <v>20</v>
      </c>
      <c r="E1193" s="12" t="n">
        <v>3101</v>
      </c>
      <c r="F1193" s="12" t="n">
        <v>4609.2</v>
      </c>
      <c r="G1193" s="12" t="n">
        <v>-1508.2</v>
      </c>
      <c r="H1193" s="13" t="n">
        <v>1</v>
      </c>
      <c r="I1193" s="13" t="n">
        <v>1</v>
      </c>
    </row>
    <row r="1194">
      <c r="A1194" s="10" t="inlineStr">
        <is>
          <t>PJ-2023-H</t>
        </is>
      </c>
      <c r="B1194" s="10" t="inlineStr">
        <is>
          <t>位置合わせ(MS指定)／月内均等</t>
        </is>
      </c>
      <c r="C1194" s="10" t="inlineStr">
        <is>
          <t>2023-01</t>
        </is>
      </c>
      <c r="D1194" s="10" t="n">
        <v>1</v>
      </c>
      <c r="E1194" s="12" t="n">
        <v>4645.1</v>
      </c>
      <c r="F1194" s="12" t="n">
        <v>2440.7</v>
      </c>
      <c r="G1194" s="12" t="n">
        <v>2204.4</v>
      </c>
      <c r="H1194" s="13" t="n">
        <v>0.0263</v>
      </c>
      <c r="I1194" s="13" t="n">
        <v>0.0138</v>
      </c>
    </row>
    <row r="1195">
      <c r="A1195" s="10" t="inlineStr">
        <is>
          <t>PJ-2023-H</t>
        </is>
      </c>
      <c r="B1195" s="10" t="inlineStr">
        <is>
          <t>位置合わせ(MS指定)／月内均等</t>
        </is>
      </c>
      <c r="C1195" s="10" t="inlineStr">
        <is>
          <t>2023-02</t>
        </is>
      </c>
      <c r="D1195" s="10" t="n">
        <v>2</v>
      </c>
      <c r="E1195" s="12" t="n">
        <v>5407.4</v>
      </c>
      <c r="F1195" s="12" t="n">
        <v>3859.4</v>
      </c>
      <c r="G1195" s="12" t="n">
        <v>1548</v>
      </c>
      <c r="H1195" s="13" t="n">
        <v>0.0569</v>
      </c>
      <c r="I1195" s="13" t="n">
        <v>0.0356</v>
      </c>
    </row>
    <row r="1196">
      <c r="A1196" s="10" t="inlineStr">
        <is>
          <t>PJ-2023-H</t>
        </is>
      </c>
      <c r="B1196" s="10" t="inlineStr">
        <is>
          <t>位置合わせ(MS指定)／月内均等</t>
        </is>
      </c>
      <c r="C1196" s="10" t="inlineStr">
        <is>
          <t>2023-03</t>
        </is>
      </c>
      <c r="D1196" s="10" t="n">
        <v>3</v>
      </c>
      <c r="E1196" s="12" t="n">
        <v>6817.6</v>
      </c>
      <c r="F1196" s="12" t="n">
        <v>6095.6</v>
      </c>
      <c r="G1196" s="12" t="n">
        <v>722</v>
      </c>
      <c r="H1196" s="13" t="n">
        <v>0.0954</v>
      </c>
      <c r="I1196" s="13" t="n">
        <v>0.0701</v>
      </c>
    </row>
    <row r="1197">
      <c r="A1197" s="10" t="inlineStr">
        <is>
          <t>PJ-2023-H</t>
        </is>
      </c>
      <c r="B1197" s="10" t="inlineStr">
        <is>
          <t>位置合わせ(MS指定)／月内均等</t>
        </is>
      </c>
      <c r="C1197" s="10" t="inlineStr">
        <is>
          <t>2023-04</t>
        </is>
      </c>
      <c r="D1197" s="10" t="n">
        <v>4</v>
      </c>
      <c r="E1197" s="12" t="n">
        <v>7117.4</v>
      </c>
      <c r="F1197" s="12" t="n">
        <v>7110.8</v>
      </c>
      <c r="G1197" s="12" t="n">
        <v>6.6</v>
      </c>
      <c r="H1197" s="13" t="n">
        <v>0.1357</v>
      </c>
      <c r="I1197" s="13" t="n">
        <v>0.1103</v>
      </c>
    </row>
    <row r="1198">
      <c r="A1198" s="10" t="inlineStr">
        <is>
          <t>PJ-2023-H</t>
        </is>
      </c>
      <c r="B1198" s="10" t="inlineStr">
        <is>
          <t>位置合わせ(MS指定)／月内均等</t>
        </is>
      </c>
      <c r="C1198" s="10" t="inlineStr">
        <is>
          <t>2023-05</t>
        </is>
      </c>
      <c r="D1198" s="10" t="n">
        <v>5</v>
      </c>
      <c r="E1198" s="12" t="n">
        <v>8572</v>
      </c>
      <c r="F1198" s="12" t="n">
        <v>8343.200000000001</v>
      </c>
      <c r="G1198" s="12" t="n">
        <v>228.8</v>
      </c>
      <c r="H1198" s="13" t="n">
        <v>0.1842</v>
      </c>
      <c r="I1198" s="13" t="n">
        <v>0.1575</v>
      </c>
    </row>
    <row r="1199">
      <c r="A1199" s="10" t="inlineStr">
        <is>
          <t>PJ-2023-H</t>
        </is>
      </c>
      <c r="B1199" s="10" t="inlineStr">
        <is>
          <t>位置合わせ(MS指定)／月内均等</t>
        </is>
      </c>
      <c r="C1199" s="10" t="inlineStr">
        <is>
          <t>2023-06</t>
        </is>
      </c>
      <c r="D1199" s="10" t="n">
        <v>6</v>
      </c>
      <c r="E1199" s="12" t="n">
        <v>10250.2</v>
      </c>
      <c r="F1199" s="12" t="n">
        <v>9678</v>
      </c>
      <c r="G1199" s="12" t="n">
        <v>572.2</v>
      </c>
      <c r="H1199" s="13" t="n">
        <v>0.2422</v>
      </c>
      <c r="I1199" s="13" t="n">
        <v>0.2123</v>
      </c>
    </row>
    <row r="1200">
      <c r="A1200" s="10" t="inlineStr">
        <is>
          <t>PJ-2023-H</t>
        </is>
      </c>
      <c r="B1200" s="10" t="inlineStr">
        <is>
          <t>位置合わせ(MS指定)／月内均等</t>
        </is>
      </c>
      <c r="C1200" s="10" t="inlineStr">
        <is>
          <t>2023-07</t>
        </is>
      </c>
      <c r="D1200" s="10" t="n">
        <v>7</v>
      </c>
      <c r="E1200" s="12" t="n">
        <v>12177.3</v>
      </c>
      <c r="F1200" s="12" t="n">
        <v>11523.9</v>
      </c>
      <c r="G1200" s="12" t="n">
        <v>653.4</v>
      </c>
      <c r="H1200" s="13" t="n">
        <v>0.311</v>
      </c>
      <c r="I1200" s="13" t="n">
        <v>0.2775</v>
      </c>
    </row>
    <row r="1201">
      <c r="A1201" s="10" t="inlineStr">
        <is>
          <t>PJ-2023-H</t>
        </is>
      </c>
      <c r="B1201" s="10" t="inlineStr">
        <is>
          <t>位置合わせ(MS指定)／月内均等</t>
        </is>
      </c>
      <c r="C1201" s="10" t="inlineStr">
        <is>
          <t>2023-08</t>
        </is>
      </c>
      <c r="D1201" s="10" t="n">
        <v>8</v>
      </c>
      <c r="E1201" s="12" t="n">
        <v>13626.8</v>
      </c>
      <c r="F1201" s="12" t="n">
        <v>13879.8</v>
      </c>
      <c r="G1201" s="12" t="n">
        <v>-253</v>
      </c>
      <c r="H1201" s="13" t="n">
        <v>0.3881</v>
      </c>
      <c r="I1201" s="13" t="n">
        <v>0.356</v>
      </c>
    </row>
    <row r="1202">
      <c r="A1202" s="10" t="inlineStr">
        <is>
          <t>PJ-2023-H</t>
        </is>
      </c>
      <c r="B1202" s="10" t="inlineStr">
        <is>
          <t>位置合わせ(MS指定)／月内均等</t>
        </is>
      </c>
      <c r="C1202" s="10" t="inlineStr">
        <is>
          <t>2023-09</t>
        </is>
      </c>
      <c r="D1202" s="10" t="n">
        <v>9</v>
      </c>
      <c r="E1202" s="12" t="n">
        <v>11444.4</v>
      </c>
      <c r="F1202" s="12" t="n">
        <v>13966.5</v>
      </c>
      <c r="G1202" s="12" t="n">
        <v>-2522.1</v>
      </c>
      <c r="H1202" s="13" t="n">
        <v>0.4529</v>
      </c>
      <c r="I1202" s="13" t="n">
        <v>0.435</v>
      </c>
    </row>
    <row r="1203">
      <c r="A1203" s="10" t="inlineStr">
        <is>
          <t>PJ-2023-H</t>
        </is>
      </c>
      <c r="B1203" s="10" t="inlineStr">
        <is>
          <t>位置合わせ(MS指定)／月内均等</t>
        </is>
      </c>
      <c r="C1203" s="10" t="inlineStr">
        <is>
          <t>2023-10</t>
        </is>
      </c>
      <c r="D1203" s="10" t="n">
        <v>10</v>
      </c>
      <c r="E1203" s="12" t="n">
        <v>8855.799999999999</v>
      </c>
      <c r="F1203" s="12" t="n">
        <v>10043.9</v>
      </c>
      <c r="G1203" s="12" t="n">
        <v>-1188.1</v>
      </c>
      <c r="H1203" s="13" t="n">
        <v>0.5029</v>
      </c>
      <c r="I1203" s="13" t="n">
        <v>0.4918</v>
      </c>
    </row>
    <row r="1204">
      <c r="A1204" s="10" t="inlineStr">
        <is>
          <t>PJ-2023-H</t>
        </is>
      </c>
      <c r="B1204" s="10" t="inlineStr">
        <is>
          <t>位置合わせ(MS指定)／月内均等</t>
        </is>
      </c>
      <c r="C1204" s="10" t="inlineStr">
        <is>
          <t>2023-11</t>
        </is>
      </c>
      <c r="D1204" s="10" t="n">
        <v>11</v>
      </c>
      <c r="E1204" s="12" t="n">
        <v>8603.6</v>
      </c>
      <c r="F1204" s="12" t="n">
        <v>9363.200000000001</v>
      </c>
      <c r="G1204" s="12" t="n">
        <v>-759.6</v>
      </c>
      <c r="H1204" s="13" t="n">
        <v>0.5516</v>
      </c>
      <c r="I1204" s="13" t="n">
        <v>0.5448</v>
      </c>
    </row>
    <row r="1205">
      <c r="A1205" s="10" t="inlineStr">
        <is>
          <t>PJ-2023-H</t>
        </is>
      </c>
      <c r="B1205" s="10" t="inlineStr">
        <is>
          <t>位置合わせ(MS指定)／月内均等</t>
        </is>
      </c>
      <c r="C1205" s="10" t="inlineStr">
        <is>
          <t>2023-12</t>
        </is>
      </c>
      <c r="D1205" s="10" t="n">
        <v>12</v>
      </c>
      <c r="E1205" s="12" t="n">
        <v>8986.9</v>
      </c>
      <c r="F1205" s="12" t="n">
        <v>8579.200000000001</v>
      </c>
      <c r="G1205" s="12" t="n">
        <v>407.7</v>
      </c>
      <c r="H1205" s="13" t="n">
        <v>0.6024</v>
      </c>
      <c r="I1205" s="13" t="n">
        <v>0.5933</v>
      </c>
    </row>
    <row r="1206">
      <c r="A1206" s="10" t="inlineStr">
        <is>
          <t>PJ-2023-H</t>
        </is>
      </c>
      <c r="B1206" s="10" t="inlineStr">
        <is>
          <t>位置合わせ(MS指定)／月内均等</t>
        </is>
      </c>
      <c r="C1206" s="10" t="inlineStr">
        <is>
          <t>2024-01</t>
        </is>
      </c>
      <c r="D1206" s="10" t="n">
        <v>13</v>
      </c>
      <c r="E1206" s="12" t="n">
        <v>8908.700000000001</v>
      </c>
      <c r="F1206" s="12" t="n">
        <v>8088</v>
      </c>
      <c r="G1206" s="12" t="n">
        <v>820.7</v>
      </c>
      <c r="H1206" s="13" t="n">
        <v>0.6528</v>
      </c>
      <c r="I1206" s="13" t="n">
        <v>0.639</v>
      </c>
    </row>
    <row r="1207">
      <c r="A1207" s="10" t="inlineStr">
        <is>
          <t>PJ-2023-H</t>
        </is>
      </c>
      <c r="B1207" s="10" t="inlineStr">
        <is>
          <t>位置合わせ(MS指定)／月内均等</t>
        </is>
      </c>
      <c r="C1207" s="10" t="inlineStr">
        <is>
          <t>2024-02</t>
        </is>
      </c>
      <c r="D1207" s="10" t="n">
        <v>14</v>
      </c>
      <c r="E1207" s="12" t="n">
        <v>8711.1</v>
      </c>
      <c r="F1207" s="12" t="n">
        <v>8288.700000000001</v>
      </c>
      <c r="G1207" s="12" t="n">
        <v>422.4</v>
      </c>
      <c r="H1207" s="13" t="n">
        <v>0.7020999999999999</v>
      </c>
      <c r="I1207" s="13" t="n">
        <v>0.6859</v>
      </c>
    </row>
    <row r="1208">
      <c r="A1208" s="10" t="inlineStr">
        <is>
          <t>PJ-2023-H</t>
        </is>
      </c>
      <c r="B1208" s="10" t="inlineStr">
        <is>
          <t>位置合わせ(MS指定)／月内均等</t>
        </is>
      </c>
      <c r="C1208" s="10" t="inlineStr">
        <is>
          <t>2024-03</t>
        </is>
      </c>
      <c r="D1208" s="10" t="n">
        <v>15</v>
      </c>
      <c r="E1208" s="12" t="n">
        <v>8923.799999999999</v>
      </c>
      <c r="F1208" s="12" t="n">
        <v>9844.9</v>
      </c>
      <c r="G1208" s="12" t="n">
        <v>-921.1</v>
      </c>
      <c r="H1208" s="13" t="n">
        <v>0.7526</v>
      </c>
      <c r="I1208" s="13" t="n">
        <v>0.7416</v>
      </c>
    </row>
    <row r="1209">
      <c r="A1209" s="10" t="inlineStr">
        <is>
          <t>PJ-2023-H</t>
        </is>
      </c>
      <c r="B1209" s="10" t="inlineStr">
        <is>
          <t>位置合わせ(MS指定)／月内均等</t>
        </is>
      </c>
      <c r="C1209" s="10" t="inlineStr">
        <is>
          <t>2024-04</t>
        </is>
      </c>
      <c r="D1209" s="10" t="n">
        <v>16</v>
      </c>
      <c r="E1209" s="12" t="n">
        <v>11065.9</v>
      </c>
      <c r="F1209" s="12" t="n">
        <v>11975.4</v>
      </c>
      <c r="G1209" s="12" t="n">
        <v>-909.5</v>
      </c>
      <c r="H1209" s="13" t="n">
        <v>0.8152</v>
      </c>
      <c r="I1209" s="13" t="n">
        <v>0.8093</v>
      </c>
    </row>
    <row r="1210">
      <c r="A1210" s="10" t="inlineStr">
        <is>
          <t>PJ-2023-H</t>
        </is>
      </c>
      <c r="B1210" s="10" t="inlineStr">
        <is>
          <t>位置合わせ(MS指定)／月内均等</t>
        </is>
      </c>
      <c r="C1210" s="10" t="inlineStr">
        <is>
          <t>2024-05</t>
        </is>
      </c>
      <c r="D1210" s="10" t="n">
        <v>17</v>
      </c>
      <c r="E1210" s="12" t="n">
        <v>11747.9</v>
      </c>
      <c r="F1210" s="12" t="n">
        <v>13374.7</v>
      </c>
      <c r="G1210" s="12" t="n">
        <v>-1626.8</v>
      </c>
      <c r="H1210" s="13" t="n">
        <v>0.8816000000000001</v>
      </c>
      <c r="I1210" s="13" t="n">
        <v>0.885</v>
      </c>
    </row>
    <row r="1211">
      <c r="A1211" s="10" t="inlineStr">
        <is>
          <t>PJ-2023-H</t>
        </is>
      </c>
      <c r="B1211" s="10" t="inlineStr">
        <is>
          <t>位置合わせ(MS指定)／月内均等</t>
        </is>
      </c>
      <c r="C1211" s="10" t="inlineStr">
        <is>
          <t>2024-06</t>
        </is>
      </c>
      <c r="D1211" s="10" t="n">
        <v>18</v>
      </c>
      <c r="E1211" s="12" t="n">
        <v>9511.1</v>
      </c>
      <c r="F1211" s="12" t="n">
        <v>8541.700000000001</v>
      </c>
      <c r="G1211" s="12" t="n">
        <v>969.4</v>
      </c>
      <c r="H1211" s="13" t="n">
        <v>0.9354</v>
      </c>
      <c r="I1211" s="13" t="n">
        <v>0.9333</v>
      </c>
    </row>
    <row r="1212">
      <c r="A1212" s="10" t="inlineStr">
        <is>
          <t>PJ-2023-H</t>
        </is>
      </c>
      <c r="B1212" s="10" t="inlineStr">
        <is>
          <t>位置合わせ(MS指定)／月内均等</t>
        </is>
      </c>
      <c r="C1212" s="10" t="inlineStr">
        <is>
          <t>2024-07</t>
        </is>
      </c>
      <c r="D1212" s="10" t="n">
        <v>19</v>
      </c>
      <c r="E1212" s="12" t="n">
        <v>7539.6</v>
      </c>
      <c r="F1212" s="12" t="n">
        <v>7179.1</v>
      </c>
      <c r="G1212" s="12" t="n">
        <v>360.5</v>
      </c>
      <c r="H1212" s="13" t="n">
        <v>0.9781</v>
      </c>
      <c r="I1212" s="13" t="n">
        <v>0.9739</v>
      </c>
    </row>
    <row r="1213">
      <c r="A1213" s="10" t="inlineStr">
        <is>
          <t>PJ-2023-H</t>
        </is>
      </c>
      <c r="B1213" s="10" t="inlineStr">
        <is>
          <t>位置合わせ(MS指定)／月内均等</t>
        </is>
      </c>
      <c r="C1213" s="10" t="inlineStr">
        <is>
          <t>2024-08</t>
        </is>
      </c>
      <c r="D1213" s="10" t="n">
        <v>20</v>
      </c>
      <c r="E1213" s="12" t="n">
        <v>3873.4</v>
      </c>
      <c r="F1213" s="12" t="n">
        <v>4609.2</v>
      </c>
      <c r="G1213" s="12" t="n">
        <v>-735.8</v>
      </c>
      <c r="H1213" s="13" t="n">
        <v>1</v>
      </c>
      <c r="I1213" s="13" t="n">
        <v>1</v>
      </c>
    </row>
    <row r="1214">
      <c r="A1214" s="10" t="inlineStr">
        <is>
          <t>PJ-2023-H</t>
        </is>
      </c>
      <c r="B1214" s="10" t="inlineStr">
        <is>
          <t>素朴版／単調補間</t>
        </is>
      </c>
      <c r="C1214" s="10" t="inlineStr">
        <is>
          <t>2023-01</t>
        </is>
      </c>
      <c r="D1214" s="10" t="n">
        <v>1</v>
      </c>
      <c r="E1214" s="12" t="n">
        <v>3793.7</v>
      </c>
      <c r="F1214" s="12" t="n">
        <v>2440.7</v>
      </c>
      <c r="G1214" s="12" t="n">
        <v>1353</v>
      </c>
      <c r="H1214" s="13" t="n">
        <v>0.0215</v>
      </c>
      <c r="I1214" s="13" t="n">
        <v>0.0138</v>
      </c>
    </row>
    <row r="1215">
      <c r="A1215" s="10" t="inlineStr">
        <is>
          <t>PJ-2023-H</t>
        </is>
      </c>
      <c r="B1215" s="10" t="inlineStr">
        <is>
          <t>素朴版／単調補間</t>
        </is>
      </c>
      <c r="C1215" s="10" t="inlineStr">
        <is>
          <t>2023-02</t>
        </is>
      </c>
      <c r="D1215" s="10" t="n">
        <v>2</v>
      </c>
      <c r="E1215" s="12" t="n">
        <v>4379.2</v>
      </c>
      <c r="F1215" s="12" t="n">
        <v>3859.4</v>
      </c>
      <c r="G1215" s="12" t="n">
        <v>519.8</v>
      </c>
      <c r="H1215" s="13" t="n">
        <v>0.0462</v>
      </c>
      <c r="I1215" s="13" t="n">
        <v>0.0356</v>
      </c>
    </row>
    <row r="1216">
      <c r="A1216" s="10" t="inlineStr">
        <is>
          <t>PJ-2023-H</t>
        </is>
      </c>
      <c r="B1216" s="10" t="inlineStr">
        <is>
          <t>素朴版／単調補間</t>
        </is>
      </c>
      <c r="C1216" s="10" t="inlineStr">
        <is>
          <t>2023-03</t>
        </is>
      </c>
      <c r="D1216" s="10" t="n">
        <v>3</v>
      </c>
      <c r="E1216" s="12" t="n">
        <v>5493.9</v>
      </c>
      <c r="F1216" s="12" t="n">
        <v>6095.6</v>
      </c>
      <c r="G1216" s="12" t="n">
        <v>-601.7</v>
      </c>
      <c r="H1216" s="13" t="n">
        <v>0.07729999999999999</v>
      </c>
      <c r="I1216" s="13" t="n">
        <v>0.0701</v>
      </c>
    </row>
    <row r="1217">
      <c r="A1217" s="10" t="inlineStr">
        <is>
          <t>PJ-2023-H</t>
        </is>
      </c>
      <c r="B1217" s="10" t="inlineStr">
        <is>
          <t>素朴版／単調補間</t>
        </is>
      </c>
      <c r="C1217" s="10" t="inlineStr">
        <is>
          <t>2023-04</t>
        </is>
      </c>
      <c r="D1217" s="10" t="n">
        <v>4</v>
      </c>
      <c r="E1217" s="12" t="n">
        <v>5749.2</v>
      </c>
      <c r="F1217" s="12" t="n">
        <v>7110.8</v>
      </c>
      <c r="G1217" s="12" t="n">
        <v>-1361.6</v>
      </c>
      <c r="H1217" s="13" t="n">
        <v>0.1098</v>
      </c>
      <c r="I1217" s="13" t="n">
        <v>0.1103</v>
      </c>
    </row>
    <row r="1218">
      <c r="A1218" s="10" t="inlineStr">
        <is>
          <t>PJ-2023-H</t>
        </is>
      </c>
      <c r="B1218" s="10" t="inlineStr">
        <is>
          <t>素朴版／単調補間</t>
        </is>
      </c>
      <c r="C1218" s="10" t="inlineStr">
        <is>
          <t>2023-05</t>
        </is>
      </c>
      <c r="D1218" s="10" t="n">
        <v>5</v>
      </c>
      <c r="E1218" s="12" t="n">
        <v>6474.3</v>
      </c>
      <c r="F1218" s="12" t="n">
        <v>8343.200000000001</v>
      </c>
      <c r="G1218" s="12" t="n">
        <v>-1868.9</v>
      </c>
      <c r="H1218" s="13" t="n">
        <v>0.1465</v>
      </c>
      <c r="I1218" s="13" t="n">
        <v>0.1575</v>
      </c>
    </row>
    <row r="1219">
      <c r="A1219" s="10" t="inlineStr">
        <is>
          <t>PJ-2023-H</t>
        </is>
      </c>
      <c r="B1219" s="10" t="inlineStr">
        <is>
          <t>素朴版／単調補間</t>
        </is>
      </c>
      <c r="C1219" s="10" t="inlineStr">
        <is>
          <t>2023-06</t>
        </is>
      </c>
      <c r="D1219" s="10" t="n">
        <v>6</v>
      </c>
      <c r="E1219" s="12" t="n">
        <v>7640.7</v>
      </c>
      <c r="F1219" s="12" t="n">
        <v>9678</v>
      </c>
      <c r="G1219" s="12" t="n">
        <v>-2037.3</v>
      </c>
      <c r="H1219" s="13" t="n">
        <v>0.1897</v>
      </c>
      <c r="I1219" s="13" t="n">
        <v>0.2123</v>
      </c>
    </row>
    <row r="1220">
      <c r="A1220" s="10" t="inlineStr">
        <is>
          <t>PJ-2023-H</t>
        </is>
      </c>
      <c r="B1220" s="10" t="inlineStr">
        <is>
          <t>素朴版／単調補間</t>
        </is>
      </c>
      <c r="C1220" s="10" t="inlineStr">
        <is>
          <t>2023-07</t>
        </is>
      </c>
      <c r="D1220" s="10" t="n">
        <v>7</v>
      </c>
      <c r="E1220" s="12" t="n">
        <v>9467.6</v>
      </c>
      <c r="F1220" s="12" t="n">
        <v>11523.9</v>
      </c>
      <c r="G1220" s="12" t="n">
        <v>-2056.3</v>
      </c>
      <c r="H1220" s="13" t="n">
        <v>0.2432</v>
      </c>
      <c r="I1220" s="13" t="n">
        <v>0.2775</v>
      </c>
    </row>
    <row r="1221">
      <c r="A1221" s="10" t="inlineStr">
        <is>
          <t>PJ-2023-H</t>
        </is>
      </c>
      <c r="B1221" s="10" t="inlineStr">
        <is>
          <t>素朴版／単調補間</t>
        </is>
      </c>
      <c r="C1221" s="10" t="inlineStr">
        <is>
          <t>2023-08</t>
        </is>
      </c>
      <c r="D1221" s="10" t="n">
        <v>8</v>
      </c>
      <c r="E1221" s="12" t="n">
        <v>10703.2</v>
      </c>
      <c r="F1221" s="12" t="n">
        <v>13879.8</v>
      </c>
      <c r="G1221" s="12" t="n">
        <v>-3176.6</v>
      </c>
      <c r="H1221" s="13" t="n">
        <v>0.3038</v>
      </c>
      <c r="I1221" s="13" t="n">
        <v>0.356</v>
      </c>
    </row>
    <row r="1222">
      <c r="A1222" s="10" t="inlineStr">
        <is>
          <t>PJ-2023-H</t>
        </is>
      </c>
      <c r="B1222" s="10" t="inlineStr">
        <is>
          <t>素朴版／単調補間</t>
        </is>
      </c>
      <c r="C1222" s="10" t="inlineStr">
        <is>
          <t>2023-09</t>
        </is>
      </c>
      <c r="D1222" s="10" t="n">
        <v>9</v>
      </c>
      <c r="E1222" s="12" t="n">
        <v>10595.1</v>
      </c>
      <c r="F1222" s="12" t="n">
        <v>13966.5</v>
      </c>
      <c r="G1222" s="12" t="n">
        <v>-3371.4</v>
      </c>
      <c r="H1222" s="13" t="n">
        <v>0.3637</v>
      </c>
      <c r="I1222" s="13" t="n">
        <v>0.435</v>
      </c>
    </row>
    <row r="1223">
      <c r="A1223" s="10" t="inlineStr">
        <is>
          <t>PJ-2023-H</t>
        </is>
      </c>
      <c r="B1223" s="10" t="inlineStr">
        <is>
          <t>素朴版／単調補間</t>
        </is>
      </c>
      <c r="C1223" s="10" t="inlineStr">
        <is>
          <t>2023-10</t>
        </is>
      </c>
      <c r="D1223" s="10" t="n">
        <v>10</v>
      </c>
      <c r="E1223" s="12" t="n">
        <v>10608.2</v>
      </c>
      <c r="F1223" s="12" t="n">
        <v>10043.9</v>
      </c>
      <c r="G1223" s="12" t="n">
        <v>564.3</v>
      </c>
      <c r="H1223" s="13" t="n">
        <v>0.4237</v>
      </c>
      <c r="I1223" s="13" t="n">
        <v>0.4918</v>
      </c>
    </row>
    <row r="1224">
      <c r="A1224" s="10" t="inlineStr">
        <is>
          <t>PJ-2023-H</t>
        </is>
      </c>
      <c r="B1224" s="10" t="inlineStr">
        <is>
          <t>素朴版／単調補間</t>
        </is>
      </c>
      <c r="C1224" s="10" t="inlineStr">
        <is>
          <t>2023-11</t>
        </is>
      </c>
      <c r="D1224" s="10" t="n">
        <v>11</v>
      </c>
      <c r="E1224" s="12" t="n">
        <v>11981.2</v>
      </c>
      <c r="F1224" s="12" t="n">
        <v>9363.200000000001</v>
      </c>
      <c r="G1224" s="12" t="n">
        <v>2618</v>
      </c>
      <c r="H1224" s="13" t="n">
        <v>0.4915</v>
      </c>
      <c r="I1224" s="13" t="n">
        <v>0.5448</v>
      </c>
    </row>
    <row r="1225">
      <c r="A1225" s="10" t="inlineStr">
        <is>
          <t>PJ-2023-H</t>
        </is>
      </c>
      <c r="B1225" s="10" t="inlineStr">
        <is>
          <t>素朴版／単調補間</t>
        </is>
      </c>
      <c r="C1225" s="10" t="inlineStr">
        <is>
          <t>2023-12</t>
        </is>
      </c>
      <c r="D1225" s="10" t="n">
        <v>12</v>
      </c>
      <c r="E1225" s="12" t="n">
        <v>13165.5</v>
      </c>
      <c r="F1225" s="12" t="n">
        <v>8579.200000000001</v>
      </c>
      <c r="G1225" s="12" t="n">
        <v>4586.3</v>
      </c>
      <c r="H1225" s="13" t="n">
        <v>0.5659</v>
      </c>
      <c r="I1225" s="13" t="n">
        <v>0.5933</v>
      </c>
    </row>
    <row r="1226">
      <c r="A1226" s="10" t="inlineStr">
        <is>
          <t>PJ-2023-H</t>
        </is>
      </c>
      <c r="B1226" s="10" t="inlineStr">
        <is>
          <t>素朴版／単調補間</t>
        </is>
      </c>
      <c r="C1226" s="10" t="inlineStr">
        <is>
          <t>2024-01</t>
        </is>
      </c>
      <c r="D1226" s="10" t="n">
        <v>13</v>
      </c>
      <c r="E1226" s="12" t="n">
        <v>14544.2</v>
      </c>
      <c r="F1226" s="12" t="n">
        <v>8088</v>
      </c>
      <c r="G1226" s="12" t="n">
        <v>6456.2</v>
      </c>
      <c r="H1226" s="13" t="n">
        <v>0.6482</v>
      </c>
      <c r="I1226" s="13" t="n">
        <v>0.639</v>
      </c>
    </row>
    <row r="1227">
      <c r="A1227" s="10" t="inlineStr">
        <is>
          <t>PJ-2023-H</t>
        </is>
      </c>
      <c r="B1227" s="10" t="inlineStr">
        <is>
          <t>素朴版／単調補間</t>
        </is>
      </c>
      <c r="C1227" s="10" t="inlineStr">
        <is>
          <t>2024-02</t>
        </is>
      </c>
      <c r="D1227" s="10" t="n">
        <v>14</v>
      </c>
      <c r="E1227" s="12" t="n">
        <v>12365.3</v>
      </c>
      <c r="F1227" s="12" t="n">
        <v>8288.700000000001</v>
      </c>
      <c r="G1227" s="12" t="n">
        <v>4076.6</v>
      </c>
      <c r="H1227" s="13" t="n">
        <v>0.7181999999999999</v>
      </c>
      <c r="I1227" s="13" t="n">
        <v>0.6859</v>
      </c>
    </row>
    <row r="1228">
      <c r="A1228" s="10" t="inlineStr">
        <is>
          <t>PJ-2023-H</t>
        </is>
      </c>
      <c r="B1228" s="10" t="inlineStr">
        <is>
          <t>素朴版／単調補間</t>
        </is>
      </c>
      <c r="C1228" s="10" t="inlineStr">
        <is>
          <t>2024-03</t>
        </is>
      </c>
      <c r="D1228" s="10" t="n">
        <v>15</v>
      </c>
      <c r="E1228" s="12" t="n">
        <v>11771.5</v>
      </c>
      <c r="F1228" s="12" t="n">
        <v>9844.9</v>
      </c>
      <c r="G1228" s="12" t="n">
        <v>1926.6</v>
      </c>
      <c r="H1228" s="13" t="n">
        <v>0.7848000000000001</v>
      </c>
      <c r="I1228" s="13" t="n">
        <v>0.7416</v>
      </c>
    </row>
    <row r="1229">
      <c r="A1229" s="10" t="inlineStr">
        <is>
          <t>PJ-2023-H</t>
        </is>
      </c>
      <c r="B1229" s="10" t="inlineStr">
        <is>
          <t>素朴版／単調補間</t>
        </is>
      </c>
      <c r="C1229" s="10" t="inlineStr">
        <is>
          <t>2024-04</t>
        </is>
      </c>
      <c r="D1229" s="10" t="n">
        <v>16</v>
      </c>
      <c r="E1229" s="12" t="n">
        <v>11176.8</v>
      </c>
      <c r="F1229" s="12" t="n">
        <v>11975.4</v>
      </c>
      <c r="G1229" s="12" t="n">
        <v>-798.6</v>
      </c>
      <c r="H1229" s="13" t="n">
        <v>0.848</v>
      </c>
      <c r="I1229" s="13" t="n">
        <v>0.8093</v>
      </c>
    </row>
    <row r="1230">
      <c r="A1230" s="10" t="inlineStr">
        <is>
          <t>PJ-2023-H</t>
        </is>
      </c>
      <c r="B1230" s="10" t="inlineStr">
        <is>
          <t>素朴版／単調補間</t>
        </is>
      </c>
      <c r="C1230" s="10" t="inlineStr">
        <is>
          <t>2024-05</t>
        </is>
      </c>
      <c r="D1230" s="10" t="n">
        <v>17</v>
      </c>
      <c r="E1230" s="12" t="n">
        <v>10474.6</v>
      </c>
      <c r="F1230" s="12" t="n">
        <v>13374.7</v>
      </c>
      <c r="G1230" s="12" t="n">
        <v>-2900.1</v>
      </c>
      <c r="H1230" s="13" t="n">
        <v>0.9072</v>
      </c>
      <c r="I1230" s="13" t="n">
        <v>0.885</v>
      </c>
    </row>
    <row r="1231">
      <c r="A1231" s="10" t="inlineStr">
        <is>
          <t>PJ-2023-H</t>
        </is>
      </c>
      <c r="B1231" s="10" t="inlineStr">
        <is>
          <t>素朴版／単調補間</t>
        </is>
      </c>
      <c r="C1231" s="10" t="inlineStr">
        <is>
          <t>2024-06</t>
        </is>
      </c>
      <c r="D1231" s="10" t="n">
        <v>18</v>
      </c>
      <c r="E1231" s="12" t="n">
        <v>7534.9</v>
      </c>
      <c r="F1231" s="12" t="n">
        <v>8541.700000000001</v>
      </c>
      <c r="G1231" s="12" t="n">
        <v>-1006.8</v>
      </c>
      <c r="H1231" s="13" t="n">
        <v>0.9498</v>
      </c>
      <c r="I1231" s="13" t="n">
        <v>0.9333</v>
      </c>
    </row>
    <row r="1232">
      <c r="A1232" s="10" t="inlineStr">
        <is>
          <t>PJ-2023-H</t>
        </is>
      </c>
      <c r="B1232" s="10" t="inlineStr">
        <is>
          <t>素朴版／単調補間</t>
        </is>
      </c>
      <c r="C1232" s="10" t="inlineStr">
        <is>
          <t>2024-07</t>
        </is>
      </c>
      <c r="D1232" s="10" t="n">
        <v>19</v>
      </c>
      <c r="E1232" s="12" t="n">
        <v>5847.8</v>
      </c>
      <c r="F1232" s="12" t="n">
        <v>7179.1</v>
      </c>
      <c r="G1232" s="12" t="n">
        <v>-1331.3</v>
      </c>
      <c r="H1232" s="13" t="n">
        <v>0.9829</v>
      </c>
      <c r="I1232" s="13" t="n">
        <v>0.9739</v>
      </c>
    </row>
    <row r="1233">
      <c r="A1233" s="10" t="inlineStr">
        <is>
          <t>PJ-2023-H</t>
        </is>
      </c>
      <c r="B1233" s="10" t="inlineStr">
        <is>
          <t>素朴版／単調補間</t>
        </is>
      </c>
      <c r="C1233" s="10" t="inlineStr">
        <is>
          <t>2024-08</t>
        </is>
      </c>
      <c r="D1233" s="10" t="n">
        <v>20</v>
      </c>
      <c r="E1233" s="12" t="n">
        <v>3018.9</v>
      </c>
      <c r="F1233" s="12" t="n">
        <v>4609.2</v>
      </c>
      <c r="G1233" s="12" t="n">
        <v>-1590.3</v>
      </c>
      <c r="H1233" s="13" t="n">
        <v>1</v>
      </c>
      <c r="I1233" s="13" t="n">
        <v>1</v>
      </c>
    </row>
    <row r="1234">
      <c r="A1234" s="10" t="inlineStr">
        <is>
          <t>PJ-2023-H</t>
        </is>
      </c>
      <c r="B1234" s="10" t="inlineStr">
        <is>
          <t>位置合わせ(MS学習値)／単調補間</t>
        </is>
      </c>
      <c r="C1234" s="10" t="inlineStr">
        <is>
          <t>2023-01</t>
        </is>
      </c>
      <c r="D1234" s="10" t="n">
        <v>1</v>
      </c>
      <c r="E1234" s="12" t="n">
        <v>3740.2</v>
      </c>
      <c r="F1234" s="12" t="n">
        <v>2440.7</v>
      </c>
      <c r="G1234" s="12" t="n">
        <v>1299.5</v>
      </c>
      <c r="H1234" s="13" t="n">
        <v>0.0212</v>
      </c>
      <c r="I1234" s="13" t="n">
        <v>0.0138</v>
      </c>
    </row>
    <row r="1235">
      <c r="A1235" s="10" t="inlineStr">
        <is>
          <t>PJ-2023-H</t>
        </is>
      </c>
      <c r="B1235" s="10" t="inlineStr">
        <is>
          <t>位置合わせ(MS学習値)／単調補間</t>
        </is>
      </c>
      <c r="C1235" s="10" t="inlineStr">
        <is>
          <t>2023-02</t>
        </is>
      </c>
      <c r="D1235" s="10" t="n">
        <v>2</v>
      </c>
      <c r="E1235" s="12" t="n">
        <v>4340.4</v>
      </c>
      <c r="F1235" s="12" t="n">
        <v>3859.4</v>
      </c>
      <c r="G1235" s="12" t="n">
        <v>481</v>
      </c>
      <c r="H1235" s="13" t="n">
        <v>0.0457</v>
      </c>
      <c r="I1235" s="13" t="n">
        <v>0.0356</v>
      </c>
    </row>
    <row r="1236">
      <c r="A1236" s="10" t="inlineStr">
        <is>
          <t>PJ-2023-H</t>
        </is>
      </c>
      <c r="B1236" s="10" t="inlineStr">
        <is>
          <t>位置合わせ(MS学習値)／単調補間</t>
        </is>
      </c>
      <c r="C1236" s="10" t="inlineStr">
        <is>
          <t>2023-03</t>
        </is>
      </c>
      <c r="D1236" s="10" t="n">
        <v>3</v>
      </c>
      <c r="E1236" s="12" t="n">
        <v>5434.8</v>
      </c>
      <c r="F1236" s="12" t="n">
        <v>6095.6</v>
      </c>
      <c r="G1236" s="12" t="n">
        <v>-660.8</v>
      </c>
      <c r="H1236" s="13" t="n">
        <v>0.0765</v>
      </c>
      <c r="I1236" s="13" t="n">
        <v>0.0701</v>
      </c>
    </row>
    <row r="1237">
      <c r="A1237" s="10" t="inlineStr">
        <is>
          <t>PJ-2023-H</t>
        </is>
      </c>
      <c r="B1237" s="10" t="inlineStr">
        <is>
          <t>位置合わせ(MS学習値)／単調補間</t>
        </is>
      </c>
      <c r="C1237" s="10" t="inlineStr">
        <is>
          <t>2023-04</t>
        </is>
      </c>
      <c r="D1237" s="10" t="n">
        <v>4</v>
      </c>
      <c r="E1237" s="12" t="n">
        <v>5676.1</v>
      </c>
      <c r="F1237" s="12" t="n">
        <v>7110.8</v>
      </c>
      <c r="G1237" s="12" t="n">
        <v>-1434.7</v>
      </c>
      <c r="H1237" s="13" t="n">
        <v>0.1086</v>
      </c>
      <c r="I1237" s="13" t="n">
        <v>0.1103</v>
      </c>
    </row>
    <row r="1238">
      <c r="A1238" s="10" t="inlineStr">
        <is>
          <t>PJ-2023-H</t>
        </is>
      </c>
      <c r="B1238" s="10" t="inlineStr">
        <is>
          <t>位置合わせ(MS学習値)／単調補間</t>
        </is>
      </c>
      <c r="C1238" s="10" t="inlineStr">
        <is>
          <t>2023-05</t>
        </is>
      </c>
      <c r="D1238" s="10" t="n">
        <v>5</v>
      </c>
      <c r="E1238" s="12" t="n">
        <v>6392.4</v>
      </c>
      <c r="F1238" s="12" t="n">
        <v>8343.200000000001</v>
      </c>
      <c r="G1238" s="12" t="n">
        <v>-1950.8</v>
      </c>
      <c r="H1238" s="13" t="n">
        <v>0.1447</v>
      </c>
      <c r="I1238" s="13" t="n">
        <v>0.1575</v>
      </c>
    </row>
    <row r="1239">
      <c r="A1239" s="10" t="inlineStr">
        <is>
          <t>PJ-2023-H</t>
        </is>
      </c>
      <c r="B1239" s="10" t="inlineStr">
        <is>
          <t>位置合わせ(MS学習値)／単調補間</t>
        </is>
      </c>
      <c r="C1239" s="10" t="inlineStr">
        <is>
          <t>2023-06</t>
        </is>
      </c>
      <c r="D1239" s="10" t="n">
        <v>6</v>
      </c>
      <c r="E1239" s="12" t="n">
        <v>7079.8</v>
      </c>
      <c r="F1239" s="12" t="n">
        <v>9678</v>
      </c>
      <c r="G1239" s="12" t="n">
        <v>-2598.2</v>
      </c>
      <c r="H1239" s="13" t="n">
        <v>0.1848</v>
      </c>
      <c r="I1239" s="13" t="n">
        <v>0.2123</v>
      </c>
    </row>
    <row r="1240">
      <c r="A1240" s="10" t="inlineStr">
        <is>
          <t>PJ-2023-H</t>
        </is>
      </c>
      <c r="B1240" s="10" t="inlineStr">
        <is>
          <t>位置合わせ(MS学習値)／単調補間</t>
        </is>
      </c>
      <c r="C1240" s="10" t="inlineStr">
        <is>
          <t>2023-07</t>
        </is>
      </c>
      <c r="D1240" s="10" t="n">
        <v>7</v>
      </c>
      <c r="E1240" s="12" t="n">
        <v>8783.4</v>
      </c>
      <c r="F1240" s="12" t="n">
        <v>11523.9</v>
      </c>
      <c r="G1240" s="12" t="n">
        <v>-2740.5</v>
      </c>
      <c r="H1240" s="13" t="n">
        <v>0.2344</v>
      </c>
      <c r="I1240" s="13" t="n">
        <v>0.2775</v>
      </c>
    </row>
    <row r="1241">
      <c r="A1241" s="10" t="inlineStr">
        <is>
          <t>PJ-2023-H</t>
        </is>
      </c>
      <c r="B1241" s="10" t="inlineStr">
        <is>
          <t>位置合わせ(MS学習値)／単調補間</t>
        </is>
      </c>
      <c r="C1241" s="10" t="inlineStr">
        <is>
          <t>2023-08</t>
        </is>
      </c>
      <c r="D1241" s="10" t="n">
        <v>8</v>
      </c>
      <c r="E1241" s="12" t="n">
        <v>9949.200000000001</v>
      </c>
      <c r="F1241" s="12" t="n">
        <v>13879.8</v>
      </c>
      <c r="G1241" s="12" t="n">
        <v>-3930.6</v>
      </c>
      <c r="H1241" s="13" t="n">
        <v>0.2907</v>
      </c>
      <c r="I1241" s="13" t="n">
        <v>0.356</v>
      </c>
    </row>
    <row r="1242">
      <c r="A1242" s="10" t="inlineStr">
        <is>
          <t>PJ-2023-H</t>
        </is>
      </c>
      <c r="B1242" s="10" t="inlineStr">
        <is>
          <t>位置合わせ(MS学習値)／単調補間</t>
        </is>
      </c>
      <c r="C1242" s="10" t="inlineStr">
        <is>
          <t>2023-09</t>
        </is>
      </c>
      <c r="D1242" s="10" t="n">
        <v>9</v>
      </c>
      <c r="E1242" s="12" t="n">
        <v>10511.3</v>
      </c>
      <c r="F1242" s="12" t="n">
        <v>13966.5</v>
      </c>
      <c r="G1242" s="12" t="n">
        <v>-3455.2</v>
      </c>
      <c r="H1242" s="13" t="n">
        <v>0.3502</v>
      </c>
      <c r="I1242" s="13" t="n">
        <v>0.435</v>
      </c>
    </row>
    <row r="1243">
      <c r="A1243" s="10" t="inlineStr">
        <is>
          <t>PJ-2023-H</t>
        </is>
      </c>
      <c r="B1243" s="10" t="inlineStr">
        <is>
          <t>位置合わせ(MS学習値)／単調補間</t>
        </is>
      </c>
      <c r="C1243" s="10" t="inlineStr">
        <is>
          <t>2023-10</t>
        </is>
      </c>
      <c r="D1243" s="10" t="n">
        <v>10</v>
      </c>
      <c r="E1243" s="12" t="n">
        <v>12255.7</v>
      </c>
      <c r="F1243" s="12" t="n">
        <v>10043.9</v>
      </c>
      <c r="G1243" s="12" t="n">
        <v>2211.8</v>
      </c>
      <c r="H1243" s="13" t="n">
        <v>0.4195</v>
      </c>
      <c r="I1243" s="13" t="n">
        <v>0.4918</v>
      </c>
    </row>
    <row r="1244">
      <c r="A1244" s="10" t="inlineStr">
        <is>
          <t>PJ-2023-H</t>
        </is>
      </c>
      <c r="B1244" s="10" t="inlineStr">
        <is>
          <t>位置合わせ(MS学習値)／単調補間</t>
        </is>
      </c>
      <c r="C1244" s="10" t="inlineStr">
        <is>
          <t>2023-11</t>
        </is>
      </c>
      <c r="D1244" s="10" t="n">
        <v>11</v>
      </c>
      <c r="E1244" s="12" t="n">
        <v>12855.3</v>
      </c>
      <c r="F1244" s="12" t="n">
        <v>9363.200000000001</v>
      </c>
      <c r="G1244" s="12" t="n">
        <v>3492.1</v>
      </c>
      <c r="H1244" s="13" t="n">
        <v>0.4922</v>
      </c>
      <c r="I1244" s="13" t="n">
        <v>0.5448</v>
      </c>
    </row>
    <row r="1245">
      <c r="A1245" s="10" t="inlineStr">
        <is>
          <t>PJ-2023-H</t>
        </is>
      </c>
      <c r="B1245" s="10" t="inlineStr">
        <is>
          <t>位置合わせ(MS学習値)／単調補間</t>
        </is>
      </c>
      <c r="C1245" s="10" t="inlineStr">
        <is>
          <t>2023-12</t>
        </is>
      </c>
      <c r="D1245" s="10" t="n">
        <v>12</v>
      </c>
      <c r="E1245" s="12" t="n">
        <v>13775.2</v>
      </c>
      <c r="F1245" s="12" t="n">
        <v>8579.200000000001</v>
      </c>
      <c r="G1245" s="12" t="n">
        <v>5196</v>
      </c>
      <c r="H1245" s="13" t="n">
        <v>0.5701000000000001</v>
      </c>
      <c r="I1245" s="13" t="n">
        <v>0.5933</v>
      </c>
    </row>
    <row r="1246">
      <c r="A1246" s="10" t="inlineStr">
        <is>
          <t>PJ-2023-H</t>
        </is>
      </c>
      <c r="B1246" s="10" t="inlineStr">
        <is>
          <t>位置合わせ(MS学習値)／単調補間</t>
        </is>
      </c>
      <c r="C1246" s="10" t="inlineStr">
        <is>
          <t>2024-01</t>
        </is>
      </c>
      <c r="D1246" s="10" t="n">
        <v>13</v>
      </c>
      <c r="E1246" s="12" t="n">
        <v>13803.5</v>
      </c>
      <c r="F1246" s="12" t="n">
        <v>8088</v>
      </c>
      <c r="G1246" s="12" t="n">
        <v>5715.5</v>
      </c>
      <c r="H1246" s="13" t="n">
        <v>0.6482</v>
      </c>
      <c r="I1246" s="13" t="n">
        <v>0.639</v>
      </c>
    </row>
    <row r="1247">
      <c r="A1247" s="10" t="inlineStr">
        <is>
          <t>PJ-2023-H</t>
        </is>
      </c>
      <c r="B1247" s="10" t="inlineStr">
        <is>
          <t>位置合わせ(MS学習値)／単調補間</t>
        </is>
      </c>
      <c r="C1247" s="10" t="inlineStr">
        <is>
          <t>2024-02</t>
        </is>
      </c>
      <c r="D1247" s="10" t="n">
        <v>14</v>
      </c>
      <c r="E1247" s="12" t="n">
        <v>13346.9</v>
      </c>
      <c r="F1247" s="12" t="n">
        <v>8288.700000000001</v>
      </c>
      <c r="G1247" s="12" t="n">
        <v>5058.2</v>
      </c>
      <c r="H1247" s="13" t="n">
        <v>0.7237</v>
      </c>
      <c r="I1247" s="13" t="n">
        <v>0.6859</v>
      </c>
    </row>
    <row r="1248">
      <c r="A1248" s="10" t="inlineStr">
        <is>
          <t>PJ-2023-H</t>
        </is>
      </c>
      <c r="B1248" s="10" t="inlineStr">
        <is>
          <t>位置合わせ(MS学習値)／単調補間</t>
        </is>
      </c>
      <c r="C1248" s="10" t="inlineStr">
        <is>
          <t>2024-03</t>
        </is>
      </c>
      <c r="D1248" s="10" t="n">
        <v>15</v>
      </c>
      <c r="E1248" s="12" t="n">
        <v>13206.8</v>
      </c>
      <c r="F1248" s="12" t="n">
        <v>9844.9</v>
      </c>
      <c r="G1248" s="12" t="n">
        <v>3361.9</v>
      </c>
      <c r="H1248" s="13" t="n">
        <v>0.7984</v>
      </c>
      <c r="I1248" s="13" t="n">
        <v>0.7416</v>
      </c>
    </row>
    <row r="1249">
      <c r="A1249" s="10" t="inlineStr">
        <is>
          <t>PJ-2023-H</t>
        </is>
      </c>
      <c r="B1249" s="10" t="inlineStr">
        <is>
          <t>位置合わせ(MS学習値)／単調補間</t>
        </is>
      </c>
      <c r="C1249" s="10" t="inlineStr">
        <is>
          <t>2024-04</t>
        </is>
      </c>
      <c r="D1249" s="10" t="n">
        <v>16</v>
      </c>
      <c r="E1249" s="12" t="n">
        <v>10051.4</v>
      </c>
      <c r="F1249" s="12" t="n">
        <v>11975.4</v>
      </c>
      <c r="G1249" s="12" t="n">
        <v>-1924</v>
      </c>
      <c r="H1249" s="13" t="n">
        <v>0.8552999999999999</v>
      </c>
      <c r="I1249" s="13" t="n">
        <v>0.8093</v>
      </c>
    </row>
    <row r="1250">
      <c r="A1250" s="10" t="inlineStr">
        <is>
          <t>PJ-2023-H</t>
        </is>
      </c>
      <c r="B1250" s="10" t="inlineStr">
        <is>
          <t>位置合わせ(MS学習値)／単調補間</t>
        </is>
      </c>
      <c r="C1250" s="10" t="inlineStr">
        <is>
          <t>2024-05</t>
        </is>
      </c>
      <c r="D1250" s="10" t="n">
        <v>17</v>
      </c>
      <c r="E1250" s="12" t="n">
        <v>9379.799999999999</v>
      </c>
      <c r="F1250" s="12" t="n">
        <v>13374.7</v>
      </c>
      <c r="G1250" s="12" t="n">
        <v>-3994.9</v>
      </c>
      <c r="H1250" s="13" t="n">
        <v>0.9083</v>
      </c>
      <c r="I1250" s="13" t="n">
        <v>0.885</v>
      </c>
    </row>
    <row r="1251">
      <c r="A1251" s="10" t="inlineStr">
        <is>
          <t>PJ-2023-H</t>
        </is>
      </c>
      <c r="B1251" s="10" t="inlineStr">
        <is>
          <t>位置合わせ(MS学習値)／単調補間</t>
        </is>
      </c>
      <c r="C1251" s="10" t="inlineStr">
        <is>
          <t>2024-06</t>
        </is>
      </c>
      <c r="D1251" s="10" t="n">
        <v>18</v>
      </c>
      <c r="E1251" s="12" t="n">
        <v>7209.9</v>
      </c>
      <c r="F1251" s="12" t="n">
        <v>8541.700000000001</v>
      </c>
      <c r="G1251" s="12" t="n">
        <v>-1331.8</v>
      </c>
      <c r="H1251" s="13" t="n">
        <v>0.9491000000000001</v>
      </c>
      <c r="I1251" s="13" t="n">
        <v>0.9333</v>
      </c>
    </row>
    <row r="1252">
      <c r="A1252" s="10" t="inlineStr">
        <is>
          <t>PJ-2023-H</t>
        </is>
      </c>
      <c r="B1252" s="10" t="inlineStr">
        <is>
          <t>位置合わせ(MS学習値)／単調補間</t>
        </is>
      </c>
      <c r="C1252" s="10" t="inlineStr">
        <is>
          <t>2024-07</t>
        </is>
      </c>
      <c r="D1252" s="10" t="n">
        <v>19</v>
      </c>
      <c r="E1252" s="12" t="n">
        <v>6023.1</v>
      </c>
      <c r="F1252" s="12" t="n">
        <v>7179.1</v>
      </c>
      <c r="G1252" s="12" t="n">
        <v>-1156</v>
      </c>
      <c r="H1252" s="13" t="n">
        <v>0.9832</v>
      </c>
      <c r="I1252" s="13" t="n">
        <v>0.9739</v>
      </c>
    </row>
    <row r="1253">
      <c r="A1253" s="10" t="inlineStr">
        <is>
          <t>PJ-2023-H</t>
        </is>
      </c>
      <c r="B1253" s="10" t="inlineStr">
        <is>
          <t>位置合わせ(MS学習値)／単調補間</t>
        </is>
      </c>
      <c r="C1253" s="10" t="inlineStr">
        <is>
          <t>2024-08</t>
        </is>
      </c>
      <c r="D1253" s="10" t="n">
        <v>20</v>
      </c>
      <c r="E1253" s="12" t="n">
        <v>2970.8</v>
      </c>
      <c r="F1253" s="12" t="n">
        <v>4609.2</v>
      </c>
      <c r="G1253" s="12" t="n">
        <v>-1638.4</v>
      </c>
      <c r="H1253" s="13" t="n">
        <v>1</v>
      </c>
      <c r="I1253" s="13" t="n">
        <v>1</v>
      </c>
    </row>
    <row r="1254">
      <c r="A1254" s="10" t="inlineStr">
        <is>
          <t>PJ-2023-H</t>
        </is>
      </c>
      <c r="B1254" s="10" t="inlineStr">
        <is>
          <t>位置合わせ(MS指定)／単調補間</t>
        </is>
      </c>
      <c r="C1254" s="10" t="inlineStr">
        <is>
          <t>2023-01</t>
        </is>
      </c>
      <c r="D1254" s="10" t="n">
        <v>1</v>
      </c>
      <c r="E1254" s="12" t="n">
        <v>4617.1</v>
      </c>
      <c r="F1254" s="12" t="n">
        <v>2440.7</v>
      </c>
      <c r="G1254" s="12" t="n">
        <v>2176.4</v>
      </c>
      <c r="H1254" s="13" t="n">
        <v>0.0261</v>
      </c>
      <c r="I1254" s="13" t="n">
        <v>0.0138</v>
      </c>
    </row>
    <row r="1255">
      <c r="A1255" s="10" t="inlineStr">
        <is>
          <t>PJ-2023-H</t>
        </is>
      </c>
      <c r="B1255" s="10" t="inlineStr">
        <is>
          <t>位置合わせ(MS指定)／単調補間</t>
        </is>
      </c>
      <c r="C1255" s="10" t="inlineStr">
        <is>
          <t>2023-02</t>
        </is>
      </c>
      <c r="D1255" s="10" t="n">
        <v>2</v>
      </c>
      <c r="E1255" s="12" t="n">
        <v>5405.7</v>
      </c>
      <c r="F1255" s="12" t="n">
        <v>3859.4</v>
      </c>
      <c r="G1255" s="12" t="n">
        <v>1546.3</v>
      </c>
      <c r="H1255" s="13" t="n">
        <v>0.0567</v>
      </c>
      <c r="I1255" s="13" t="n">
        <v>0.0356</v>
      </c>
    </row>
    <row r="1256">
      <c r="A1256" s="10" t="inlineStr">
        <is>
          <t>PJ-2023-H</t>
        </is>
      </c>
      <c r="B1256" s="10" t="inlineStr">
        <is>
          <t>位置合わせ(MS指定)／単調補間</t>
        </is>
      </c>
      <c r="C1256" s="10" t="inlineStr">
        <is>
          <t>2023-03</t>
        </is>
      </c>
      <c r="D1256" s="10" t="n">
        <v>3</v>
      </c>
      <c r="E1256" s="12" t="n">
        <v>6830.3</v>
      </c>
      <c r="F1256" s="12" t="n">
        <v>6095.6</v>
      </c>
      <c r="G1256" s="12" t="n">
        <v>734.7</v>
      </c>
      <c r="H1256" s="13" t="n">
        <v>0.0953</v>
      </c>
      <c r="I1256" s="13" t="n">
        <v>0.0701</v>
      </c>
    </row>
    <row r="1257">
      <c r="A1257" s="10" t="inlineStr">
        <is>
          <t>PJ-2023-H</t>
        </is>
      </c>
      <c r="B1257" s="10" t="inlineStr">
        <is>
          <t>位置合わせ(MS指定)／単調補間</t>
        </is>
      </c>
      <c r="C1257" s="10" t="inlineStr">
        <is>
          <t>2023-04</t>
        </is>
      </c>
      <c r="D1257" s="10" t="n">
        <v>4</v>
      </c>
      <c r="E1257" s="12" t="n">
        <v>7090.9</v>
      </c>
      <c r="F1257" s="12" t="n">
        <v>7110.8</v>
      </c>
      <c r="G1257" s="12" t="n">
        <v>-19.9</v>
      </c>
      <c r="H1257" s="13" t="n">
        <v>0.1354</v>
      </c>
      <c r="I1257" s="13" t="n">
        <v>0.1103</v>
      </c>
    </row>
    <row r="1258">
      <c r="A1258" s="10" t="inlineStr">
        <is>
          <t>PJ-2023-H</t>
        </is>
      </c>
      <c r="B1258" s="10" t="inlineStr">
        <is>
          <t>位置合わせ(MS指定)／単調補間</t>
        </is>
      </c>
      <c r="C1258" s="10" t="inlineStr">
        <is>
          <t>2023-05</t>
        </is>
      </c>
      <c r="D1258" s="10" t="n">
        <v>5</v>
      </c>
      <c r="E1258" s="12" t="n">
        <v>8568.6</v>
      </c>
      <c r="F1258" s="12" t="n">
        <v>8343.200000000001</v>
      </c>
      <c r="G1258" s="12" t="n">
        <v>225.4</v>
      </c>
      <c r="H1258" s="13" t="n">
        <v>0.1839</v>
      </c>
      <c r="I1258" s="13" t="n">
        <v>0.1575</v>
      </c>
    </row>
    <row r="1259">
      <c r="A1259" s="10" t="inlineStr">
        <is>
          <t>PJ-2023-H</t>
        </is>
      </c>
      <c r="B1259" s="10" t="inlineStr">
        <is>
          <t>位置合わせ(MS指定)／単調補間</t>
        </is>
      </c>
      <c r="C1259" s="10" t="inlineStr">
        <is>
          <t>2023-06</t>
        </is>
      </c>
      <c r="D1259" s="10" t="n">
        <v>6</v>
      </c>
      <c r="E1259" s="12" t="n">
        <v>10263.4</v>
      </c>
      <c r="F1259" s="12" t="n">
        <v>9678</v>
      </c>
      <c r="G1259" s="12" t="n">
        <v>585.4</v>
      </c>
      <c r="H1259" s="13" t="n">
        <v>0.242</v>
      </c>
      <c r="I1259" s="13" t="n">
        <v>0.2123</v>
      </c>
    </row>
    <row r="1260">
      <c r="A1260" s="10" t="inlineStr">
        <is>
          <t>PJ-2023-H</t>
        </is>
      </c>
      <c r="B1260" s="10" t="inlineStr">
        <is>
          <t>位置合わせ(MS指定)／単調補間</t>
        </is>
      </c>
      <c r="C1260" s="10" t="inlineStr">
        <is>
          <t>2023-07</t>
        </is>
      </c>
      <c r="D1260" s="10" t="n">
        <v>7</v>
      </c>
      <c r="E1260" s="12" t="n">
        <v>12186.6</v>
      </c>
      <c r="F1260" s="12" t="n">
        <v>11523.9</v>
      </c>
      <c r="G1260" s="12" t="n">
        <v>662.7</v>
      </c>
      <c r="H1260" s="13" t="n">
        <v>0.3109</v>
      </c>
      <c r="I1260" s="13" t="n">
        <v>0.2775</v>
      </c>
    </row>
    <row r="1261">
      <c r="A1261" s="10" t="inlineStr">
        <is>
          <t>PJ-2023-H</t>
        </is>
      </c>
      <c r="B1261" s="10" t="inlineStr">
        <is>
          <t>位置合わせ(MS指定)／単調補間</t>
        </is>
      </c>
      <c r="C1261" s="10" t="inlineStr">
        <is>
          <t>2023-08</t>
        </is>
      </c>
      <c r="D1261" s="10" t="n">
        <v>8</v>
      </c>
      <c r="E1261" s="12" t="n">
        <v>13609.2</v>
      </c>
      <c r="F1261" s="12" t="n">
        <v>13879.8</v>
      </c>
      <c r="G1261" s="12" t="n">
        <v>-270.6</v>
      </c>
      <c r="H1261" s="13" t="n">
        <v>0.3879</v>
      </c>
      <c r="I1261" s="13" t="n">
        <v>0.356</v>
      </c>
    </row>
    <row r="1262">
      <c r="A1262" s="10" t="inlineStr">
        <is>
          <t>PJ-2023-H</t>
        </is>
      </c>
      <c r="B1262" s="10" t="inlineStr">
        <is>
          <t>位置合わせ(MS指定)／単調補間</t>
        </is>
      </c>
      <c r="C1262" s="10" t="inlineStr">
        <is>
          <t>2023-09</t>
        </is>
      </c>
      <c r="D1262" s="10" t="n">
        <v>9</v>
      </c>
      <c r="E1262" s="12" t="n">
        <v>11263</v>
      </c>
      <c r="F1262" s="12" t="n">
        <v>13966.5</v>
      </c>
      <c r="G1262" s="12" t="n">
        <v>-2703.5</v>
      </c>
      <c r="H1262" s="13" t="n">
        <v>0.4516</v>
      </c>
      <c r="I1262" s="13" t="n">
        <v>0.435</v>
      </c>
    </row>
    <row r="1263">
      <c r="A1263" s="10" t="inlineStr">
        <is>
          <t>PJ-2023-H</t>
        </is>
      </c>
      <c r="B1263" s="10" t="inlineStr">
        <is>
          <t>位置合わせ(MS指定)／単調補間</t>
        </is>
      </c>
      <c r="C1263" s="10" t="inlineStr">
        <is>
          <t>2023-10</t>
        </is>
      </c>
      <c r="D1263" s="10" t="n">
        <v>10</v>
      </c>
      <c r="E1263" s="12" t="n">
        <v>8955.6</v>
      </c>
      <c r="F1263" s="12" t="n">
        <v>10043.9</v>
      </c>
      <c r="G1263" s="12" t="n">
        <v>-1088.3</v>
      </c>
      <c r="H1263" s="13" t="n">
        <v>0.5022</v>
      </c>
      <c r="I1263" s="13" t="n">
        <v>0.4918</v>
      </c>
    </row>
    <row r="1264">
      <c r="A1264" s="10" t="inlineStr">
        <is>
          <t>PJ-2023-H</t>
        </is>
      </c>
      <c r="B1264" s="10" t="inlineStr">
        <is>
          <t>位置合わせ(MS指定)／単調補間</t>
        </is>
      </c>
      <c r="C1264" s="10" t="inlineStr">
        <is>
          <t>2023-11</t>
        </is>
      </c>
      <c r="D1264" s="10" t="n">
        <v>11</v>
      </c>
      <c r="E1264" s="12" t="n">
        <v>8631.4</v>
      </c>
      <c r="F1264" s="12" t="n">
        <v>9363.200000000001</v>
      </c>
      <c r="G1264" s="12" t="n">
        <v>-731.8</v>
      </c>
      <c r="H1264" s="13" t="n">
        <v>0.5511</v>
      </c>
      <c r="I1264" s="13" t="n">
        <v>0.5448</v>
      </c>
    </row>
    <row r="1265">
      <c r="A1265" s="10" t="inlineStr">
        <is>
          <t>PJ-2023-H</t>
        </is>
      </c>
      <c r="B1265" s="10" t="inlineStr">
        <is>
          <t>位置合わせ(MS指定)／単調補間</t>
        </is>
      </c>
      <c r="C1265" s="10" t="inlineStr">
        <is>
          <t>2023-12</t>
        </is>
      </c>
      <c r="D1265" s="10" t="n">
        <v>12</v>
      </c>
      <c r="E1265" s="12" t="n">
        <v>9083.299999999999</v>
      </c>
      <c r="F1265" s="12" t="n">
        <v>8579.200000000001</v>
      </c>
      <c r="G1265" s="12" t="n">
        <v>504.1</v>
      </c>
      <c r="H1265" s="13" t="n">
        <v>0.6025</v>
      </c>
      <c r="I1265" s="13" t="n">
        <v>0.5933</v>
      </c>
    </row>
    <row r="1266">
      <c r="A1266" s="10" t="inlineStr">
        <is>
          <t>PJ-2023-H</t>
        </is>
      </c>
      <c r="B1266" s="10" t="inlineStr">
        <is>
          <t>位置合わせ(MS指定)／単調補間</t>
        </is>
      </c>
      <c r="C1266" s="10" t="inlineStr">
        <is>
          <t>2024-01</t>
        </is>
      </c>
      <c r="D1266" s="10" t="n">
        <v>13</v>
      </c>
      <c r="E1266" s="12" t="n">
        <v>8990.1</v>
      </c>
      <c r="F1266" s="12" t="n">
        <v>8088</v>
      </c>
      <c r="G1266" s="12" t="n">
        <v>902.1</v>
      </c>
      <c r="H1266" s="13" t="n">
        <v>0.6533</v>
      </c>
      <c r="I1266" s="13" t="n">
        <v>0.639</v>
      </c>
    </row>
    <row r="1267">
      <c r="A1267" s="10" t="inlineStr">
        <is>
          <t>PJ-2023-H</t>
        </is>
      </c>
      <c r="B1267" s="10" t="inlineStr">
        <is>
          <t>位置合わせ(MS指定)／単調補間</t>
        </is>
      </c>
      <c r="C1267" s="10" t="inlineStr">
        <is>
          <t>2024-02</t>
        </is>
      </c>
      <c r="D1267" s="10" t="n">
        <v>14</v>
      </c>
      <c r="E1267" s="12" t="n">
        <v>8771.6</v>
      </c>
      <c r="F1267" s="12" t="n">
        <v>8288.700000000001</v>
      </c>
      <c r="G1267" s="12" t="n">
        <v>482.9</v>
      </c>
      <c r="H1267" s="13" t="n">
        <v>0.7029</v>
      </c>
      <c r="I1267" s="13" t="n">
        <v>0.6859</v>
      </c>
    </row>
    <row r="1268">
      <c r="A1268" s="10" t="inlineStr">
        <is>
          <t>PJ-2023-H</t>
        </is>
      </c>
      <c r="B1268" s="10" t="inlineStr">
        <is>
          <t>位置合わせ(MS指定)／単調補間</t>
        </is>
      </c>
      <c r="C1268" s="10" t="inlineStr">
        <is>
          <t>2024-03</t>
        </is>
      </c>
      <c r="D1268" s="10" t="n">
        <v>15</v>
      </c>
      <c r="E1268" s="12" t="n">
        <v>8958.799999999999</v>
      </c>
      <c r="F1268" s="12" t="n">
        <v>9844.9</v>
      </c>
      <c r="G1268" s="12" t="n">
        <v>-886.1</v>
      </c>
      <c r="H1268" s="13" t="n">
        <v>0.7536</v>
      </c>
      <c r="I1268" s="13" t="n">
        <v>0.7416</v>
      </c>
    </row>
    <row r="1269">
      <c r="A1269" s="10" t="inlineStr">
        <is>
          <t>PJ-2023-H</t>
        </is>
      </c>
      <c r="B1269" s="10" t="inlineStr">
        <is>
          <t>位置合わせ(MS指定)／単調補間</t>
        </is>
      </c>
      <c r="C1269" s="10" t="inlineStr">
        <is>
          <t>2024-04</t>
        </is>
      </c>
      <c r="D1269" s="10" t="n">
        <v>16</v>
      </c>
      <c r="E1269" s="12" t="n">
        <v>11067.2</v>
      </c>
      <c r="F1269" s="12" t="n">
        <v>11975.4</v>
      </c>
      <c r="G1269" s="12" t="n">
        <v>-908.2</v>
      </c>
      <c r="H1269" s="13" t="n">
        <v>0.8162</v>
      </c>
      <c r="I1269" s="13" t="n">
        <v>0.8093</v>
      </c>
    </row>
    <row r="1270">
      <c r="A1270" s="10" t="inlineStr">
        <is>
          <t>PJ-2023-H</t>
        </is>
      </c>
      <c r="B1270" s="10" t="inlineStr">
        <is>
          <t>位置合わせ(MS指定)／単調補間</t>
        </is>
      </c>
      <c r="C1270" s="10" t="inlineStr">
        <is>
          <t>2024-05</t>
        </is>
      </c>
      <c r="D1270" s="10" t="n">
        <v>17</v>
      </c>
      <c r="E1270" s="12" t="n">
        <v>11875.1</v>
      </c>
      <c r="F1270" s="12" t="n">
        <v>13374.7</v>
      </c>
      <c r="G1270" s="12" t="n">
        <v>-1499.6</v>
      </c>
      <c r="H1270" s="13" t="n">
        <v>0.8834</v>
      </c>
      <c r="I1270" s="13" t="n">
        <v>0.885</v>
      </c>
    </row>
    <row r="1271">
      <c r="A1271" s="10" t="inlineStr">
        <is>
          <t>PJ-2023-H</t>
        </is>
      </c>
      <c r="B1271" s="10" t="inlineStr">
        <is>
          <t>位置合わせ(MS指定)／単調補間</t>
        </is>
      </c>
      <c r="C1271" s="10" t="inlineStr">
        <is>
          <t>2024-06</t>
        </is>
      </c>
      <c r="D1271" s="10" t="n">
        <v>18</v>
      </c>
      <c r="E1271" s="12" t="n">
        <v>9336.5</v>
      </c>
      <c r="F1271" s="12" t="n">
        <v>8541.700000000001</v>
      </c>
      <c r="G1271" s="12" t="n">
        <v>794.8</v>
      </c>
      <c r="H1271" s="13" t="n">
        <v>0.9362</v>
      </c>
      <c r="I1271" s="13" t="n">
        <v>0.9333</v>
      </c>
    </row>
    <row r="1272">
      <c r="A1272" s="10" t="inlineStr">
        <is>
          <t>PJ-2023-H</t>
        </is>
      </c>
      <c r="B1272" s="10" t="inlineStr">
        <is>
          <t>位置合わせ(MS指定)／単調補間</t>
        </is>
      </c>
      <c r="C1272" s="10" t="inlineStr">
        <is>
          <t>2024-07</t>
        </is>
      </c>
      <c r="D1272" s="10" t="n">
        <v>19</v>
      </c>
      <c r="E1272" s="12" t="n">
        <v>7524.8</v>
      </c>
      <c r="F1272" s="12" t="n">
        <v>7179.1</v>
      </c>
      <c r="G1272" s="12" t="n">
        <v>345.7</v>
      </c>
      <c r="H1272" s="13" t="n">
        <v>0.9788</v>
      </c>
      <c r="I1272" s="13" t="n">
        <v>0.9739</v>
      </c>
    </row>
    <row r="1273">
      <c r="A1273" s="10" t="inlineStr">
        <is>
          <t>PJ-2023-H</t>
        </is>
      </c>
      <c r="B1273" s="10" t="inlineStr">
        <is>
          <t>位置合わせ(MS指定)／単調補間</t>
        </is>
      </c>
      <c r="C1273" s="10" t="inlineStr">
        <is>
          <t>2024-08</t>
        </is>
      </c>
      <c r="D1273" s="10" t="n">
        <v>20</v>
      </c>
      <c r="E1273" s="12" t="n">
        <v>3756.7</v>
      </c>
      <c r="F1273" s="12" t="n">
        <v>4609.2</v>
      </c>
      <c r="G1273" s="12" t="n">
        <v>-852.5</v>
      </c>
      <c r="H1273" s="13" t="n">
        <v>1</v>
      </c>
      <c r="I1273" s="13" t="n">
        <v>1</v>
      </c>
    </row>
    <row r="1274">
      <c r="A1274" s="10" t="inlineStr">
        <is>
          <t>PJ-2023-I</t>
        </is>
      </c>
      <c r="B1274" s="10" t="inlineStr">
        <is>
          <t>素朴版／月内均等</t>
        </is>
      </c>
      <c r="C1274" s="10" t="inlineStr">
        <is>
          <t>2023-05</t>
        </is>
      </c>
      <c r="D1274" s="10" t="n">
        <v>1</v>
      </c>
      <c r="E1274" s="12" t="n">
        <v>2891.4</v>
      </c>
      <c r="F1274" s="12" t="n">
        <v>1057.9</v>
      </c>
      <c r="G1274" s="12" t="n">
        <v>1833.5</v>
      </c>
      <c r="H1274" s="13" t="n">
        <v>0.0255</v>
      </c>
      <c r="I1274" s="13" t="n">
        <v>0.009299999999999999</v>
      </c>
    </row>
    <row r="1275">
      <c r="A1275" s="10" t="inlineStr">
        <is>
          <t>PJ-2023-I</t>
        </is>
      </c>
      <c r="B1275" s="10" t="inlineStr">
        <is>
          <t>素朴版／月内均等</t>
        </is>
      </c>
      <c r="C1275" s="10" t="inlineStr">
        <is>
          <t>2023-06</t>
        </is>
      </c>
      <c r="D1275" s="10" t="n">
        <v>2</v>
      </c>
      <c r="E1275" s="12" t="n">
        <v>3569</v>
      </c>
      <c r="F1275" s="12" t="n">
        <v>2017.9</v>
      </c>
      <c r="G1275" s="12" t="n">
        <v>1551.1</v>
      </c>
      <c r="H1275" s="13" t="n">
        <v>0.0569</v>
      </c>
      <c r="I1275" s="13" t="n">
        <v>0.0271</v>
      </c>
    </row>
    <row r="1276">
      <c r="A1276" s="10" t="inlineStr">
        <is>
          <t>PJ-2023-I</t>
        </is>
      </c>
      <c r="B1276" s="10" t="inlineStr">
        <is>
          <t>素朴版／月内均等</t>
        </is>
      </c>
      <c r="C1276" s="10" t="inlineStr">
        <is>
          <t>2023-07</t>
        </is>
      </c>
      <c r="D1276" s="10" t="n">
        <v>3</v>
      </c>
      <c r="E1276" s="12" t="n">
        <v>4249.6</v>
      </c>
      <c r="F1276" s="12" t="n">
        <v>2934.1</v>
      </c>
      <c r="G1276" s="12" t="n">
        <v>1315.5</v>
      </c>
      <c r="H1276" s="13" t="n">
        <v>0.09429999999999999</v>
      </c>
      <c r="I1276" s="13" t="n">
        <v>0.0529</v>
      </c>
    </row>
    <row r="1277">
      <c r="A1277" s="10" t="inlineStr">
        <is>
          <t>PJ-2023-I</t>
        </is>
      </c>
      <c r="B1277" s="10" t="inlineStr">
        <is>
          <t>素朴版／月内均等</t>
        </is>
      </c>
      <c r="C1277" s="10" t="inlineStr">
        <is>
          <t>2023-08</t>
        </is>
      </c>
      <c r="D1277" s="10" t="n">
        <v>4</v>
      </c>
      <c r="E1277" s="12" t="n">
        <v>4509.8</v>
      </c>
      <c r="F1277" s="12" t="n">
        <v>3879.4</v>
      </c>
      <c r="G1277" s="12" t="n">
        <v>630.4</v>
      </c>
      <c r="H1277" s="13" t="n">
        <v>0.134</v>
      </c>
      <c r="I1277" s="13" t="n">
        <v>0.0871</v>
      </c>
    </row>
    <row r="1278">
      <c r="A1278" s="10" t="inlineStr">
        <is>
          <t>PJ-2023-I</t>
        </is>
      </c>
      <c r="B1278" s="10" t="inlineStr">
        <is>
          <t>素朴版／月内均等</t>
        </is>
      </c>
      <c r="C1278" s="10" t="inlineStr">
        <is>
          <t>2023-09</t>
        </is>
      </c>
      <c r="D1278" s="10" t="n">
        <v>5</v>
      </c>
      <c r="E1278" s="12" t="n">
        <v>5064.7</v>
      </c>
      <c r="F1278" s="12" t="n">
        <v>4638.5</v>
      </c>
      <c r="G1278" s="12" t="n">
        <v>426.2</v>
      </c>
      <c r="H1278" s="13" t="n">
        <v>0.1786</v>
      </c>
      <c r="I1278" s="13" t="n">
        <v>0.1279</v>
      </c>
    </row>
    <row r="1279">
      <c r="A1279" s="10" t="inlineStr">
        <is>
          <t>PJ-2023-I</t>
        </is>
      </c>
      <c r="B1279" s="10" t="inlineStr">
        <is>
          <t>素朴版／月内均等</t>
        </is>
      </c>
      <c r="C1279" s="10" t="inlineStr">
        <is>
          <t>2023-10</t>
        </is>
      </c>
      <c r="D1279" s="10" t="n">
        <v>6</v>
      </c>
      <c r="E1279" s="12" t="n">
        <v>6680.2</v>
      </c>
      <c r="F1279" s="12" t="n">
        <v>5612.3</v>
      </c>
      <c r="G1279" s="12" t="n">
        <v>1067.9</v>
      </c>
      <c r="H1279" s="13" t="n">
        <v>0.2375</v>
      </c>
      <c r="I1279" s="13" t="n">
        <v>0.1774</v>
      </c>
    </row>
    <row r="1280">
      <c r="A1280" s="10" t="inlineStr">
        <is>
          <t>PJ-2023-I</t>
        </is>
      </c>
      <c r="B1280" s="10" t="inlineStr">
        <is>
          <t>素朴版／月内均等</t>
        </is>
      </c>
      <c r="C1280" s="10" t="inlineStr">
        <is>
          <t>2023-11</t>
        </is>
      </c>
      <c r="D1280" s="10" t="n">
        <v>7</v>
      </c>
      <c r="E1280" s="12" t="n">
        <v>7322.4</v>
      </c>
      <c r="F1280" s="12" t="n">
        <v>6590</v>
      </c>
      <c r="G1280" s="12" t="n">
        <v>732.4</v>
      </c>
      <c r="H1280" s="13" t="n">
        <v>0.302</v>
      </c>
      <c r="I1280" s="13" t="n">
        <v>0.2354</v>
      </c>
    </row>
    <row r="1281">
      <c r="A1281" s="10" t="inlineStr">
        <is>
          <t>PJ-2023-I</t>
        </is>
      </c>
      <c r="B1281" s="10" t="inlineStr">
        <is>
          <t>素朴版／月内均等</t>
        </is>
      </c>
      <c r="C1281" s="10" t="inlineStr">
        <is>
          <t>2023-12</t>
        </is>
      </c>
      <c r="D1281" s="10" t="n">
        <v>8</v>
      </c>
      <c r="E1281" s="12" t="n">
        <v>8104.9</v>
      </c>
      <c r="F1281" s="12" t="n">
        <v>8421.299999999999</v>
      </c>
      <c r="G1281" s="12" t="n">
        <v>-316.4</v>
      </c>
      <c r="H1281" s="13" t="n">
        <v>0.3733</v>
      </c>
      <c r="I1281" s="13" t="n">
        <v>0.3096</v>
      </c>
    </row>
    <row r="1282">
      <c r="A1282" s="10" t="inlineStr">
        <is>
          <t>PJ-2023-I</t>
        </is>
      </c>
      <c r="B1282" s="10" t="inlineStr">
        <is>
          <t>素朴版／月内均等</t>
        </is>
      </c>
      <c r="C1282" s="10" t="inlineStr">
        <is>
          <t>2024-01</t>
        </is>
      </c>
      <c r="D1282" s="10" t="n">
        <v>9</v>
      </c>
      <c r="E1282" s="12" t="n">
        <v>7204.9</v>
      </c>
      <c r="F1282" s="12" t="n">
        <v>11235.7</v>
      </c>
      <c r="G1282" s="12" t="n">
        <v>-4030.8</v>
      </c>
      <c r="H1282" s="13" t="n">
        <v>0.4368</v>
      </c>
      <c r="I1282" s="13" t="n">
        <v>0.4085</v>
      </c>
    </row>
    <row r="1283">
      <c r="A1283" s="10" t="inlineStr">
        <is>
          <t>PJ-2023-I</t>
        </is>
      </c>
      <c r="B1283" s="10" t="inlineStr">
        <is>
          <t>素朴版／月内均等</t>
        </is>
      </c>
      <c r="C1283" s="10" t="inlineStr">
        <is>
          <t>2024-02</t>
        </is>
      </c>
      <c r="D1283" s="10" t="n">
        <v>10</v>
      </c>
      <c r="E1283" s="12" t="n">
        <v>7573.9</v>
      </c>
      <c r="F1283" s="12" t="n">
        <v>13660.8</v>
      </c>
      <c r="G1283" s="12" t="n">
        <v>-6086.9</v>
      </c>
      <c r="H1283" s="13" t="n">
        <v>0.5034999999999999</v>
      </c>
      <c r="I1283" s="13" t="n">
        <v>0.5288</v>
      </c>
    </row>
    <row r="1284">
      <c r="A1284" s="10" t="inlineStr">
        <is>
          <t>PJ-2023-I</t>
        </is>
      </c>
      <c r="B1284" s="10" t="inlineStr">
        <is>
          <t>素朴版／月内均等</t>
        </is>
      </c>
      <c r="C1284" s="10" t="inlineStr">
        <is>
          <t>2024-03</t>
        </is>
      </c>
      <c r="D1284" s="10" t="n">
        <v>11</v>
      </c>
      <c r="E1284" s="12" t="n">
        <v>8786.700000000001</v>
      </c>
      <c r="F1284" s="12" t="n">
        <v>13455.6</v>
      </c>
      <c r="G1284" s="12" t="n">
        <v>-4668.9</v>
      </c>
      <c r="H1284" s="13" t="n">
        <v>0.5809</v>
      </c>
      <c r="I1284" s="13" t="n">
        <v>0.6473</v>
      </c>
    </row>
    <row r="1285">
      <c r="A1285" s="10" t="inlineStr">
        <is>
          <t>PJ-2023-I</t>
        </is>
      </c>
      <c r="B1285" s="10" t="inlineStr">
        <is>
          <t>素朴版／月内均等</t>
        </is>
      </c>
      <c r="C1285" s="10" t="inlineStr">
        <is>
          <t>2024-04</t>
        </is>
      </c>
      <c r="D1285" s="10" t="n">
        <v>12</v>
      </c>
      <c r="E1285" s="12" t="n">
        <v>8817.700000000001</v>
      </c>
      <c r="F1285" s="12" t="n">
        <v>15249</v>
      </c>
      <c r="G1285" s="12" t="n">
        <v>-6431.3</v>
      </c>
      <c r="H1285" s="13" t="n">
        <v>0.6585</v>
      </c>
      <c r="I1285" s="13" t="n">
        <v>0.7816</v>
      </c>
    </row>
    <row r="1286">
      <c r="A1286" s="10" t="inlineStr">
        <is>
          <t>PJ-2023-I</t>
        </is>
      </c>
      <c r="B1286" s="10" t="inlineStr">
        <is>
          <t>素朴版／月内均等</t>
        </is>
      </c>
      <c r="C1286" s="10" t="inlineStr">
        <is>
          <t>2024-05</t>
        </is>
      </c>
      <c r="D1286" s="10" t="n">
        <v>13</v>
      </c>
      <c r="E1286" s="12" t="n">
        <v>8815.299999999999</v>
      </c>
      <c r="F1286" s="12" t="n">
        <v>6881.4</v>
      </c>
      <c r="G1286" s="12" t="n">
        <v>1933.9</v>
      </c>
      <c r="H1286" s="13" t="n">
        <v>0.7362</v>
      </c>
      <c r="I1286" s="13" t="n">
        <v>0.8421999999999999</v>
      </c>
    </row>
    <row r="1287">
      <c r="A1287" s="10" t="inlineStr">
        <is>
          <t>PJ-2023-I</t>
        </is>
      </c>
      <c r="B1287" s="10" t="inlineStr">
        <is>
          <t>素朴版／月内均等</t>
        </is>
      </c>
      <c r="C1287" s="10" t="inlineStr">
        <is>
          <t>2024-06</t>
        </is>
      </c>
      <c r="D1287" s="10" t="n">
        <v>14</v>
      </c>
      <c r="E1287" s="12" t="n">
        <v>8116.3</v>
      </c>
      <c r="F1287" s="12" t="n">
        <v>5543.4</v>
      </c>
      <c r="G1287" s="12" t="n">
        <v>2572.9</v>
      </c>
      <c r="H1287" s="13" t="n">
        <v>0.8077</v>
      </c>
      <c r="I1287" s="13" t="n">
        <v>0.8911</v>
      </c>
    </row>
    <row r="1288">
      <c r="A1288" s="10" t="inlineStr">
        <is>
          <t>PJ-2023-I</t>
        </is>
      </c>
      <c r="B1288" s="10" t="inlineStr">
        <is>
          <t>素朴版／月内均等</t>
        </is>
      </c>
      <c r="C1288" s="10" t="inlineStr">
        <is>
          <t>2024-07</t>
        </is>
      </c>
      <c r="D1288" s="10" t="n">
        <v>15</v>
      </c>
      <c r="E1288" s="12" t="n">
        <v>8479.700000000001</v>
      </c>
      <c r="F1288" s="12" t="n">
        <v>3845</v>
      </c>
      <c r="G1288" s="12" t="n">
        <v>4634.7</v>
      </c>
      <c r="H1288" s="13" t="n">
        <v>0.8823</v>
      </c>
      <c r="I1288" s="13" t="n">
        <v>0.9249000000000001</v>
      </c>
    </row>
    <row r="1289">
      <c r="A1289" s="10" t="inlineStr">
        <is>
          <t>PJ-2023-I</t>
        </is>
      </c>
      <c r="B1289" s="10" t="inlineStr">
        <is>
          <t>素朴版／月内均等</t>
        </is>
      </c>
      <c r="C1289" s="10" t="inlineStr">
        <is>
          <t>2024-08</t>
        </is>
      </c>
      <c r="D1289" s="10" t="n">
        <v>16</v>
      </c>
      <c r="E1289" s="12" t="n">
        <v>6443.8</v>
      </c>
      <c r="F1289" s="12" t="n">
        <v>3094</v>
      </c>
      <c r="G1289" s="12" t="n">
        <v>3349.8</v>
      </c>
      <c r="H1289" s="13" t="n">
        <v>0.9391</v>
      </c>
      <c r="I1289" s="13" t="n">
        <v>0.9522</v>
      </c>
    </row>
    <row r="1290">
      <c r="A1290" s="10" t="inlineStr">
        <is>
          <t>PJ-2023-I</t>
        </is>
      </c>
      <c r="B1290" s="10" t="inlineStr">
        <is>
          <t>素朴版／月内均等</t>
        </is>
      </c>
      <c r="C1290" s="10" t="inlineStr">
        <is>
          <t>2024-09</t>
        </is>
      </c>
      <c r="D1290" s="10" t="n">
        <v>17</v>
      </c>
      <c r="E1290" s="12" t="n">
        <v>4421.1</v>
      </c>
      <c r="F1290" s="12" t="n">
        <v>3246</v>
      </c>
      <c r="G1290" s="12" t="n">
        <v>1175.1</v>
      </c>
      <c r="H1290" s="13" t="n">
        <v>0.978</v>
      </c>
      <c r="I1290" s="13" t="n">
        <v>0.9808</v>
      </c>
    </row>
    <row r="1291">
      <c r="A1291" s="10" t="inlineStr">
        <is>
          <t>PJ-2023-I</t>
        </is>
      </c>
      <c r="B1291" s="10" t="inlineStr">
        <is>
          <t>素朴版／月内均等</t>
        </is>
      </c>
      <c r="C1291" s="10" t="inlineStr">
        <is>
          <t>2024-10</t>
        </is>
      </c>
      <c r="D1291" s="10" t="n">
        <v>18</v>
      </c>
      <c r="E1291" s="12" t="n">
        <v>2495.6</v>
      </c>
      <c r="F1291" s="12" t="n">
        <v>2184.9</v>
      </c>
      <c r="G1291" s="12" t="n">
        <v>310.7</v>
      </c>
      <c r="H1291" s="13" t="n">
        <v>1</v>
      </c>
      <c r="I1291" s="13" t="n">
        <v>1</v>
      </c>
    </row>
    <row r="1292">
      <c r="A1292" s="10" t="inlineStr">
        <is>
          <t>PJ-2023-I</t>
        </is>
      </c>
      <c r="B1292" s="10" t="inlineStr">
        <is>
          <t>位置合わせ(MS学習値)／月内均等</t>
        </is>
      </c>
      <c r="C1292" s="10" t="inlineStr">
        <is>
          <t>2023-05</t>
        </is>
      </c>
      <c r="D1292" s="10" t="n">
        <v>1</v>
      </c>
      <c r="E1292" s="12" t="n">
        <v>2850.4</v>
      </c>
      <c r="F1292" s="12" t="n">
        <v>1057.9</v>
      </c>
      <c r="G1292" s="12" t="n">
        <v>1792.5</v>
      </c>
      <c r="H1292" s="13" t="n">
        <v>0.0251</v>
      </c>
      <c r="I1292" s="13" t="n">
        <v>0.009299999999999999</v>
      </c>
    </row>
    <row r="1293">
      <c r="A1293" s="10" t="inlineStr">
        <is>
          <t>PJ-2023-I</t>
        </is>
      </c>
      <c r="B1293" s="10" t="inlineStr">
        <is>
          <t>位置合わせ(MS学習値)／月内均等</t>
        </is>
      </c>
      <c r="C1293" s="10" t="inlineStr">
        <is>
          <t>2023-06</t>
        </is>
      </c>
      <c r="D1293" s="10" t="n">
        <v>2</v>
      </c>
      <c r="E1293" s="12" t="n">
        <v>3515.5</v>
      </c>
      <c r="F1293" s="12" t="n">
        <v>2017.9</v>
      </c>
      <c r="G1293" s="12" t="n">
        <v>1497.6</v>
      </c>
      <c r="H1293" s="13" t="n">
        <v>0.0561</v>
      </c>
      <c r="I1293" s="13" t="n">
        <v>0.0271</v>
      </c>
    </row>
    <row r="1294">
      <c r="A1294" s="10" t="inlineStr">
        <is>
          <t>PJ-2023-I</t>
        </is>
      </c>
      <c r="B1294" s="10" t="inlineStr">
        <is>
          <t>位置合わせ(MS学習値)／月内均等</t>
        </is>
      </c>
      <c r="C1294" s="10" t="inlineStr">
        <is>
          <t>2023-07</t>
        </is>
      </c>
      <c r="D1294" s="10" t="n">
        <v>3</v>
      </c>
      <c r="E1294" s="12" t="n">
        <v>4173.1</v>
      </c>
      <c r="F1294" s="12" t="n">
        <v>2934.1</v>
      </c>
      <c r="G1294" s="12" t="n">
        <v>1239</v>
      </c>
      <c r="H1294" s="13" t="n">
        <v>0.09279999999999999</v>
      </c>
      <c r="I1294" s="13" t="n">
        <v>0.0529</v>
      </c>
    </row>
    <row r="1295">
      <c r="A1295" s="10" t="inlineStr">
        <is>
          <t>PJ-2023-I</t>
        </is>
      </c>
      <c r="B1295" s="10" t="inlineStr">
        <is>
          <t>位置合わせ(MS学習値)／月内均等</t>
        </is>
      </c>
      <c r="C1295" s="10" t="inlineStr">
        <is>
          <t>2023-08</t>
        </is>
      </c>
      <c r="D1295" s="10" t="n">
        <v>4</v>
      </c>
      <c r="E1295" s="12" t="n">
        <v>4438.7</v>
      </c>
      <c r="F1295" s="12" t="n">
        <v>3879.4</v>
      </c>
      <c r="G1295" s="12" t="n">
        <v>559.3</v>
      </c>
      <c r="H1295" s="13" t="n">
        <v>0.1319</v>
      </c>
      <c r="I1295" s="13" t="n">
        <v>0.0871</v>
      </c>
    </row>
    <row r="1296">
      <c r="A1296" s="10" t="inlineStr">
        <is>
          <t>PJ-2023-I</t>
        </is>
      </c>
      <c r="B1296" s="10" t="inlineStr">
        <is>
          <t>位置合わせ(MS学習値)／月内均等</t>
        </is>
      </c>
      <c r="C1296" s="10" t="inlineStr">
        <is>
          <t>2023-09</t>
        </is>
      </c>
      <c r="D1296" s="10" t="n">
        <v>5</v>
      </c>
      <c r="E1296" s="12" t="n">
        <v>4903</v>
      </c>
      <c r="F1296" s="12" t="n">
        <v>4638.5</v>
      </c>
      <c r="G1296" s="12" t="n">
        <v>264.5</v>
      </c>
      <c r="H1296" s="13" t="n">
        <v>0.1751</v>
      </c>
      <c r="I1296" s="13" t="n">
        <v>0.1279</v>
      </c>
    </row>
    <row r="1297">
      <c r="A1297" s="10" t="inlineStr">
        <is>
          <t>PJ-2023-I</t>
        </is>
      </c>
      <c r="B1297" s="10" t="inlineStr">
        <is>
          <t>位置合わせ(MS学習値)／月内均等</t>
        </is>
      </c>
      <c r="C1297" s="10" t="inlineStr">
        <is>
          <t>2023-10</t>
        </is>
      </c>
      <c r="D1297" s="10" t="n">
        <v>6</v>
      </c>
      <c r="E1297" s="12" t="n">
        <v>6036.3</v>
      </c>
      <c r="F1297" s="12" t="n">
        <v>5612.3</v>
      </c>
      <c r="G1297" s="12" t="n">
        <v>424</v>
      </c>
      <c r="H1297" s="13" t="n">
        <v>0.2282</v>
      </c>
      <c r="I1297" s="13" t="n">
        <v>0.1774</v>
      </c>
    </row>
    <row r="1298">
      <c r="A1298" s="10" t="inlineStr">
        <is>
          <t>PJ-2023-I</t>
        </is>
      </c>
      <c r="B1298" s="10" t="inlineStr">
        <is>
          <t>位置合わせ(MS学習値)／月内均等</t>
        </is>
      </c>
      <c r="C1298" s="10" t="inlineStr">
        <is>
          <t>2023-11</t>
        </is>
      </c>
      <c r="D1298" s="10" t="n">
        <v>7</v>
      </c>
      <c r="E1298" s="12" t="n">
        <v>6840.1</v>
      </c>
      <c r="F1298" s="12" t="n">
        <v>6590</v>
      </c>
      <c r="G1298" s="12" t="n">
        <v>250.1</v>
      </c>
      <c r="H1298" s="13" t="n">
        <v>0.2885</v>
      </c>
      <c r="I1298" s="13" t="n">
        <v>0.2354</v>
      </c>
    </row>
    <row r="1299">
      <c r="A1299" s="10" t="inlineStr">
        <is>
          <t>PJ-2023-I</t>
        </is>
      </c>
      <c r="B1299" s="10" t="inlineStr">
        <is>
          <t>位置合わせ(MS学習値)／月内均等</t>
        </is>
      </c>
      <c r="C1299" s="10" t="inlineStr">
        <is>
          <t>2023-12</t>
        </is>
      </c>
      <c r="D1299" s="10" t="n">
        <v>8</v>
      </c>
      <c r="E1299" s="12" t="n">
        <v>7898.3</v>
      </c>
      <c r="F1299" s="12" t="n">
        <v>8421.299999999999</v>
      </c>
      <c r="G1299" s="12" t="n">
        <v>-523</v>
      </c>
      <c r="H1299" s="13" t="n">
        <v>0.358</v>
      </c>
      <c r="I1299" s="13" t="n">
        <v>0.3096</v>
      </c>
    </row>
    <row r="1300">
      <c r="A1300" s="10" t="inlineStr">
        <is>
          <t>PJ-2023-I</t>
        </is>
      </c>
      <c r="B1300" s="10" t="inlineStr">
        <is>
          <t>位置合わせ(MS学習値)／月内均等</t>
        </is>
      </c>
      <c r="C1300" s="10" t="inlineStr">
        <is>
          <t>2024-01</t>
        </is>
      </c>
      <c r="D1300" s="10" t="n">
        <v>9</v>
      </c>
      <c r="E1300" s="12" t="n">
        <v>8955</v>
      </c>
      <c r="F1300" s="12" t="n">
        <v>11235.7</v>
      </c>
      <c r="G1300" s="12" t="n">
        <v>-2280.7</v>
      </c>
      <c r="H1300" s="13" t="n">
        <v>0.4369</v>
      </c>
      <c r="I1300" s="13" t="n">
        <v>0.4085</v>
      </c>
    </row>
    <row r="1301">
      <c r="A1301" s="10" t="inlineStr">
        <is>
          <t>PJ-2023-I</t>
        </is>
      </c>
      <c r="B1301" s="10" t="inlineStr">
        <is>
          <t>位置合わせ(MS学習値)／月内均等</t>
        </is>
      </c>
      <c r="C1301" s="10" t="inlineStr">
        <is>
          <t>2024-02</t>
        </is>
      </c>
      <c r="D1301" s="10" t="n">
        <v>10</v>
      </c>
      <c r="E1301" s="12" t="n">
        <v>8313</v>
      </c>
      <c r="F1301" s="12" t="n">
        <v>13660.8</v>
      </c>
      <c r="G1301" s="12" t="n">
        <v>-5347.8</v>
      </c>
      <c r="H1301" s="13" t="n">
        <v>0.5101</v>
      </c>
      <c r="I1301" s="13" t="n">
        <v>0.5288</v>
      </c>
    </row>
    <row r="1302">
      <c r="A1302" s="10" t="inlineStr">
        <is>
          <t>PJ-2023-I</t>
        </is>
      </c>
      <c r="B1302" s="10" t="inlineStr">
        <is>
          <t>位置合わせ(MS学習値)／月内均等</t>
        </is>
      </c>
      <c r="C1302" s="10" t="inlineStr">
        <is>
          <t>2024-03</t>
        </is>
      </c>
      <c r="D1302" s="10" t="n">
        <v>11</v>
      </c>
      <c r="E1302" s="12" t="n">
        <v>8803.299999999999</v>
      </c>
      <c r="F1302" s="12" t="n">
        <v>13455.6</v>
      </c>
      <c r="G1302" s="12" t="n">
        <v>-4652.3</v>
      </c>
      <c r="H1302" s="13" t="n">
        <v>0.5877</v>
      </c>
      <c r="I1302" s="13" t="n">
        <v>0.6473</v>
      </c>
    </row>
    <row r="1303">
      <c r="A1303" s="10" t="inlineStr">
        <is>
          <t>PJ-2023-I</t>
        </is>
      </c>
      <c r="B1303" s="10" t="inlineStr">
        <is>
          <t>位置合わせ(MS学習値)／月内均等</t>
        </is>
      </c>
      <c r="C1303" s="10" t="inlineStr">
        <is>
          <t>2024-04</t>
        </is>
      </c>
      <c r="D1303" s="10" t="n">
        <v>12</v>
      </c>
      <c r="E1303" s="12" t="n">
        <v>8478.200000000001</v>
      </c>
      <c r="F1303" s="12" t="n">
        <v>15249</v>
      </c>
      <c r="G1303" s="12" t="n">
        <v>-6770.8</v>
      </c>
      <c r="H1303" s="13" t="n">
        <v>0.6623</v>
      </c>
      <c r="I1303" s="13" t="n">
        <v>0.7816</v>
      </c>
    </row>
    <row r="1304">
      <c r="A1304" s="10" t="inlineStr">
        <is>
          <t>PJ-2023-I</t>
        </is>
      </c>
      <c r="B1304" s="10" t="inlineStr">
        <is>
          <t>位置合わせ(MS学習値)／月内均等</t>
        </is>
      </c>
      <c r="C1304" s="10" t="inlineStr">
        <is>
          <t>2024-05</t>
        </is>
      </c>
      <c r="D1304" s="10" t="n">
        <v>13</v>
      </c>
      <c r="E1304" s="12" t="n">
        <v>9050.9</v>
      </c>
      <c r="F1304" s="12" t="n">
        <v>6881.4</v>
      </c>
      <c r="G1304" s="12" t="n">
        <v>2169.5</v>
      </c>
      <c r="H1304" s="13" t="n">
        <v>0.742</v>
      </c>
      <c r="I1304" s="13" t="n">
        <v>0.8421999999999999</v>
      </c>
    </row>
    <row r="1305">
      <c r="A1305" s="10" t="inlineStr">
        <is>
          <t>PJ-2023-I</t>
        </is>
      </c>
      <c r="B1305" s="10" t="inlineStr">
        <is>
          <t>位置合わせ(MS学習値)／月内均等</t>
        </is>
      </c>
      <c r="C1305" s="10" t="inlineStr">
        <is>
          <t>2024-06</t>
        </is>
      </c>
      <c r="D1305" s="10" t="n">
        <v>14</v>
      </c>
      <c r="E1305" s="12" t="n">
        <v>8573.700000000001</v>
      </c>
      <c r="F1305" s="12" t="n">
        <v>5543.4</v>
      </c>
      <c r="G1305" s="12" t="n">
        <v>3030.3</v>
      </c>
      <c r="H1305" s="13" t="n">
        <v>0.8175</v>
      </c>
      <c r="I1305" s="13" t="n">
        <v>0.8911</v>
      </c>
    </row>
    <row r="1306">
      <c r="A1306" s="10" t="inlineStr">
        <is>
          <t>PJ-2023-I</t>
        </is>
      </c>
      <c r="B1306" s="10" t="inlineStr">
        <is>
          <t>位置合わせ(MS学習値)／月内均等</t>
        </is>
      </c>
      <c r="C1306" s="10" t="inlineStr">
        <is>
          <t>2024-07</t>
        </is>
      </c>
      <c r="D1306" s="10" t="n">
        <v>15</v>
      </c>
      <c r="E1306" s="12" t="n">
        <v>7555.9</v>
      </c>
      <c r="F1306" s="12" t="n">
        <v>3845</v>
      </c>
      <c r="G1306" s="12" t="n">
        <v>3710.9</v>
      </c>
      <c r="H1306" s="13" t="n">
        <v>0.8841</v>
      </c>
      <c r="I1306" s="13" t="n">
        <v>0.9249000000000001</v>
      </c>
    </row>
    <row r="1307">
      <c r="A1307" s="10" t="inlineStr">
        <is>
          <t>PJ-2023-I</t>
        </is>
      </c>
      <c r="B1307" s="10" t="inlineStr">
        <is>
          <t>位置合わせ(MS学習値)／月内均等</t>
        </is>
      </c>
      <c r="C1307" s="10" t="inlineStr">
        <is>
          <t>2024-08</t>
        </is>
      </c>
      <c r="D1307" s="10" t="n">
        <v>16</v>
      </c>
      <c r="E1307" s="12" t="n">
        <v>6157.8</v>
      </c>
      <c r="F1307" s="12" t="n">
        <v>3094</v>
      </c>
      <c r="G1307" s="12" t="n">
        <v>3063.8</v>
      </c>
      <c r="H1307" s="13" t="n">
        <v>0.9383</v>
      </c>
      <c r="I1307" s="13" t="n">
        <v>0.9522</v>
      </c>
    </row>
    <row r="1308">
      <c r="A1308" s="10" t="inlineStr">
        <is>
          <t>PJ-2023-I</t>
        </is>
      </c>
      <c r="B1308" s="10" t="inlineStr">
        <is>
          <t>位置合わせ(MS学習値)／月内均等</t>
        </is>
      </c>
      <c r="C1308" s="10" t="inlineStr">
        <is>
          <t>2024-09</t>
        </is>
      </c>
      <c r="D1308" s="10" t="n">
        <v>17</v>
      </c>
      <c r="E1308" s="12" t="n">
        <v>4553</v>
      </c>
      <c r="F1308" s="12" t="n">
        <v>3246</v>
      </c>
      <c r="G1308" s="12" t="n">
        <v>1307</v>
      </c>
      <c r="H1308" s="13" t="n">
        <v>0.9784</v>
      </c>
      <c r="I1308" s="13" t="n">
        <v>0.9808</v>
      </c>
    </row>
    <row r="1309">
      <c r="A1309" s="10" t="inlineStr">
        <is>
          <t>PJ-2023-I</t>
        </is>
      </c>
      <c r="B1309" s="10" t="inlineStr">
        <is>
          <t>位置合わせ(MS学習値)／月内均等</t>
        </is>
      </c>
      <c r="C1309" s="10" t="inlineStr">
        <is>
          <t>2024-10</t>
        </is>
      </c>
      <c r="D1309" s="10" t="n">
        <v>18</v>
      </c>
      <c r="E1309" s="12" t="n">
        <v>2450.7</v>
      </c>
      <c r="F1309" s="12" t="n">
        <v>2184.9</v>
      </c>
      <c r="G1309" s="12" t="n">
        <v>265.8</v>
      </c>
      <c r="H1309" s="13" t="n">
        <v>1</v>
      </c>
      <c r="I1309" s="13" t="n">
        <v>1</v>
      </c>
    </row>
    <row r="1310">
      <c r="A1310" s="10" t="inlineStr">
        <is>
          <t>PJ-2023-I</t>
        </is>
      </c>
      <c r="B1310" s="10" t="inlineStr">
        <is>
          <t>位置合わせ(MS指定)／月内均等</t>
        </is>
      </c>
      <c r="C1310" s="10" t="inlineStr">
        <is>
          <t>2023-05</t>
        </is>
      </c>
      <c r="D1310" s="10" t="n">
        <v>1</v>
      </c>
      <c r="E1310" s="12" t="n">
        <v>3022</v>
      </c>
      <c r="F1310" s="12" t="n">
        <v>1057.9</v>
      </c>
      <c r="G1310" s="12" t="n">
        <v>1964.1</v>
      </c>
      <c r="H1310" s="13" t="n">
        <v>0.0266</v>
      </c>
      <c r="I1310" s="13" t="n">
        <v>0.009299999999999999</v>
      </c>
    </row>
    <row r="1311">
      <c r="A1311" s="10" t="inlineStr">
        <is>
          <t>PJ-2023-I</t>
        </is>
      </c>
      <c r="B1311" s="10" t="inlineStr">
        <is>
          <t>位置合わせ(MS指定)／月内均等</t>
        </is>
      </c>
      <c r="C1311" s="10" t="inlineStr">
        <is>
          <t>2023-06</t>
        </is>
      </c>
      <c r="D1311" s="10" t="n">
        <v>2</v>
      </c>
      <c r="E1311" s="12" t="n">
        <v>3772.9</v>
      </c>
      <c r="F1311" s="12" t="n">
        <v>2017.9</v>
      </c>
      <c r="G1311" s="12" t="n">
        <v>1755</v>
      </c>
      <c r="H1311" s="13" t="n">
        <v>0.0598</v>
      </c>
      <c r="I1311" s="13" t="n">
        <v>0.0271</v>
      </c>
    </row>
    <row r="1312">
      <c r="A1312" s="10" t="inlineStr">
        <is>
          <t>PJ-2023-I</t>
        </is>
      </c>
      <c r="B1312" s="10" t="inlineStr">
        <is>
          <t>位置合わせ(MS指定)／月内均等</t>
        </is>
      </c>
      <c r="C1312" s="10" t="inlineStr">
        <is>
          <t>2023-07</t>
        </is>
      </c>
      <c r="D1312" s="10" t="n">
        <v>3</v>
      </c>
      <c r="E1312" s="12" t="n">
        <v>4439.4</v>
      </c>
      <c r="F1312" s="12" t="n">
        <v>2934.1</v>
      </c>
      <c r="G1312" s="12" t="n">
        <v>1505.3</v>
      </c>
      <c r="H1312" s="13" t="n">
        <v>0.0989</v>
      </c>
      <c r="I1312" s="13" t="n">
        <v>0.0529</v>
      </c>
    </row>
    <row r="1313">
      <c r="A1313" s="10" t="inlineStr">
        <is>
          <t>PJ-2023-I</t>
        </is>
      </c>
      <c r="B1313" s="10" t="inlineStr">
        <is>
          <t>位置合わせ(MS指定)／月内均等</t>
        </is>
      </c>
      <c r="C1313" s="10" t="inlineStr">
        <is>
          <t>2023-08</t>
        </is>
      </c>
      <c r="D1313" s="10" t="n">
        <v>4</v>
      </c>
      <c r="E1313" s="12" t="n">
        <v>4774.5</v>
      </c>
      <c r="F1313" s="12" t="n">
        <v>3879.4</v>
      </c>
      <c r="G1313" s="12" t="n">
        <v>895.1</v>
      </c>
      <c r="H1313" s="13" t="n">
        <v>0.141</v>
      </c>
      <c r="I1313" s="13" t="n">
        <v>0.0871</v>
      </c>
    </row>
    <row r="1314">
      <c r="A1314" s="10" t="inlineStr">
        <is>
          <t>PJ-2023-I</t>
        </is>
      </c>
      <c r="B1314" s="10" t="inlineStr">
        <is>
          <t>位置合わせ(MS指定)／月内均等</t>
        </is>
      </c>
      <c r="C1314" s="10" t="inlineStr">
        <is>
          <t>2023-09</t>
        </is>
      </c>
      <c r="D1314" s="10" t="n">
        <v>5</v>
      </c>
      <c r="E1314" s="12" t="n">
        <v>5338.4</v>
      </c>
      <c r="F1314" s="12" t="n">
        <v>4638.5</v>
      </c>
      <c r="G1314" s="12" t="n">
        <v>699.9</v>
      </c>
      <c r="H1314" s="13" t="n">
        <v>0.188</v>
      </c>
      <c r="I1314" s="13" t="n">
        <v>0.1279</v>
      </c>
    </row>
    <row r="1315">
      <c r="A1315" s="10" t="inlineStr">
        <is>
          <t>PJ-2023-I</t>
        </is>
      </c>
      <c r="B1315" s="10" t="inlineStr">
        <is>
          <t>位置合わせ(MS指定)／月内均等</t>
        </is>
      </c>
      <c r="C1315" s="10" t="inlineStr">
        <is>
          <t>2023-10</t>
        </is>
      </c>
      <c r="D1315" s="10" t="n">
        <v>6</v>
      </c>
      <c r="E1315" s="12" t="n">
        <v>6782.7</v>
      </c>
      <c r="F1315" s="12" t="n">
        <v>5612.3</v>
      </c>
      <c r="G1315" s="12" t="n">
        <v>1170.4</v>
      </c>
      <c r="H1315" s="13" t="n">
        <v>0.2477</v>
      </c>
      <c r="I1315" s="13" t="n">
        <v>0.1774</v>
      </c>
    </row>
    <row r="1316">
      <c r="A1316" s="10" t="inlineStr">
        <is>
          <t>PJ-2023-I</t>
        </is>
      </c>
      <c r="B1316" s="10" t="inlineStr">
        <is>
          <t>位置合わせ(MS指定)／月内均等</t>
        </is>
      </c>
      <c r="C1316" s="10" t="inlineStr">
        <is>
          <t>2023-11</t>
        </is>
      </c>
      <c r="D1316" s="10" t="n">
        <v>7</v>
      </c>
      <c r="E1316" s="12" t="n">
        <v>7483.8</v>
      </c>
      <c r="F1316" s="12" t="n">
        <v>6590</v>
      </c>
      <c r="G1316" s="12" t="n">
        <v>893.8</v>
      </c>
      <c r="H1316" s="13" t="n">
        <v>0.3136</v>
      </c>
      <c r="I1316" s="13" t="n">
        <v>0.2354</v>
      </c>
    </row>
    <row r="1317">
      <c r="A1317" s="10" t="inlineStr">
        <is>
          <t>PJ-2023-I</t>
        </is>
      </c>
      <c r="B1317" s="10" t="inlineStr">
        <is>
          <t>位置合わせ(MS指定)／月内均等</t>
        </is>
      </c>
      <c r="C1317" s="10" t="inlineStr">
        <is>
          <t>2023-12</t>
        </is>
      </c>
      <c r="D1317" s="10" t="n">
        <v>8</v>
      </c>
      <c r="E1317" s="12" t="n">
        <v>8722.4</v>
      </c>
      <c r="F1317" s="12" t="n">
        <v>8421.299999999999</v>
      </c>
      <c r="G1317" s="12" t="n">
        <v>301.1</v>
      </c>
      <c r="H1317" s="13" t="n">
        <v>0.3905</v>
      </c>
      <c r="I1317" s="13" t="n">
        <v>0.3096</v>
      </c>
    </row>
    <row r="1318">
      <c r="A1318" s="10" t="inlineStr">
        <is>
          <t>PJ-2023-I</t>
        </is>
      </c>
      <c r="B1318" s="10" t="inlineStr">
        <is>
          <t>位置合わせ(MS指定)／月内均等</t>
        </is>
      </c>
      <c r="C1318" s="10" t="inlineStr">
        <is>
          <t>2024-01</t>
        </is>
      </c>
      <c r="D1318" s="10" t="n">
        <v>9</v>
      </c>
      <c r="E1318" s="12" t="n">
        <v>9865.799999999999</v>
      </c>
      <c r="F1318" s="12" t="n">
        <v>11235.7</v>
      </c>
      <c r="G1318" s="12" t="n">
        <v>-1369.9</v>
      </c>
      <c r="H1318" s="13" t="n">
        <v>0.4774</v>
      </c>
      <c r="I1318" s="13" t="n">
        <v>0.4085</v>
      </c>
    </row>
    <row r="1319">
      <c r="A1319" s="10" t="inlineStr">
        <is>
          <t>PJ-2023-I</t>
        </is>
      </c>
      <c r="B1319" s="10" t="inlineStr">
        <is>
          <t>位置合わせ(MS指定)／月内均等</t>
        </is>
      </c>
      <c r="C1319" s="10" t="inlineStr">
        <is>
          <t>2024-02</t>
        </is>
      </c>
      <c r="D1319" s="10" t="n">
        <v>10</v>
      </c>
      <c r="E1319" s="12" t="n">
        <v>9109.5</v>
      </c>
      <c r="F1319" s="12" t="n">
        <v>13660.8</v>
      </c>
      <c r="G1319" s="12" t="n">
        <v>-4551.3</v>
      </c>
      <c r="H1319" s="13" t="n">
        <v>0.5576</v>
      </c>
      <c r="I1319" s="13" t="n">
        <v>0.5288</v>
      </c>
    </row>
    <row r="1320">
      <c r="A1320" s="10" t="inlineStr">
        <is>
          <t>PJ-2023-I</t>
        </is>
      </c>
      <c r="B1320" s="10" t="inlineStr">
        <is>
          <t>位置合わせ(MS指定)／月内均等</t>
        </is>
      </c>
      <c r="C1320" s="10" t="inlineStr">
        <is>
          <t>2024-03</t>
        </is>
      </c>
      <c r="D1320" s="10" t="n">
        <v>11</v>
      </c>
      <c r="E1320" s="12" t="n">
        <v>9612.9</v>
      </c>
      <c r="F1320" s="12" t="n">
        <v>13455.6</v>
      </c>
      <c r="G1320" s="12" t="n">
        <v>-3842.7</v>
      </c>
      <c r="H1320" s="13" t="n">
        <v>0.6422</v>
      </c>
      <c r="I1320" s="13" t="n">
        <v>0.6473</v>
      </c>
    </row>
    <row r="1321">
      <c r="A1321" s="10" t="inlineStr">
        <is>
          <t>PJ-2023-I</t>
        </is>
      </c>
      <c r="B1321" s="10" t="inlineStr">
        <is>
          <t>位置合わせ(MS指定)／月内均等</t>
        </is>
      </c>
      <c r="C1321" s="10" t="inlineStr">
        <is>
          <t>2024-04</t>
        </is>
      </c>
      <c r="D1321" s="10" t="n">
        <v>12</v>
      </c>
      <c r="E1321" s="12" t="n">
        <v>9585.6</v>
      </c>
      <c r="F1321" s="12" t="n">
        <v>15249</v>
      </c>
      <c r="G1321" s="12" t="n">
        <v>-5663.4</v>
      </c>
      <c r="H1321" s="13" t="n">
        <v>0.7267</v>
      </c>
      <c r="I1321" s="13" t="n">
        <v>0.7816</v>
      </c>
    </row>
    <row r="1322">
      <c r="A1322" s="10" t="inlineStr">
        <is>
          <t>PJ-2023-I</t>
        </is>
      </c>
      <c r="B1322" s="10" t="inlineStr">
        <is>
          <t>位置合わせ(MS指定)／月内均等</t>
        </is>
      </c>
      <c r="C1322" s="10" t="inlineStr">
        <is>
          <t>2024-05</t>
        </is>
      </c>
      <c r="D1322" s="10" t="n">
        <v>13</v>
      </c>
      <c r="E1322" s="12" t="n">
        <v>8516.799999999999</v>
      </c>
      <c r="F1322" s="12" t="n">
        <v>6881.4</v>
      </c>
      <c r="G1322" s="12" t="n">
        <v>1635.4</v>
      </c>
      <c r="H1322" s="13" t="n">
        <v>0.8017</v>
      </c>
      <c r="I1322" s="13" t="n">
        <v>0.8421999999999999</v>
      </c>
    </row>
    <row r="1323">
      <c r="A1323" s="10" t="inlineStr">
        <is>
          <t>PJ-2023-I</t>
        </is>
      </c>
      <c r="B1323" s="10" t="inlineStr">
        <is>
          <t>位置合わせ(MS指定)／月内均等</t>
        </is>
      </c>
      <c r="C1323" s="10" t="inlineStr">
        <is>
          <t>2024-06</t>
        </is>
      </c>
      <c r="D1323" s="10" t="n">
        <v>14</v>
      </c>
      <c r="E1323" s="12" t="n">
        <v>5797.4</v>
      </c>
      <c r="F1323" s="12" t="n">
        <v>5543.4</v>
      </c>
      <c r="G1323" s="12" t="n">
        <v>254</v>
      </c>
      <c r="H1323" s="13" t="n">
        <v>0.8527</v>
      </c>
      <c r="I1323" s="13" t="n">
        <v>0.8911</v>
      </c>
    </row>
    <row r="1324">
      <c r="A1324" s="10" t="inlineStr">
        <is>
          <t>PJ-2023-I</t>
        </is>
      </c>
      <c r="B1324" s="10" t="inlineStr">
        <is>
          <t>位置合わせ(MS指定)／月内均等</t>
        </is>
      </c>
      <c r="C1324" s="10" t="inlineStr">
        <is>
          <t>2024-07</t>
        </is>
      </c>
      <c r="D1324" s="10" t="n">
        <v>15</v>
      </c>
      <c r="E1324" s="12" t="n">
        <v>5461.7</v>
      </c>
      <c r="F1324" s="12" t="n">
        <v>3845</v>
      </c>
      <c r="G1324" s="12" t="n">
        <v>1616.7</v>
      </c>
      <c r="H1324" s="13" t="n">
        <v>0.9008</v>
      </c>
      <c r="I1324" s="13" t="n">
        <v>0.9249000000000001</v>
      </c>
    </row>
    <row r="1325">
      <c r="A1325" s="10" t="inlineStr">
        <is>
          <t>PJ-2023-I</t>
        </is>
      </c>
      <c r="B1325" s="10" t="inlineStr">
        <is>
          <t>位置合わせ(MS指定)／月内均等</t>
        </is>
      </c>
      <c r="C1325" s="10" t="inlineStr">
        <is>
          <t>2024-08</t>
        </is>
      </c>
      <c r="D1325" s="10" t="n">
        <v>16</v>
      </c>
      <c r="E1325" s="12" t="n">
        <v>4529.3</v>
      </c>
      <c r="F1325" s="12" t="n">
        <v>3094</v>
      </c>
      <c r="G1325" s="12" t="n">
        <v>1435.3</v>
      </c>
      <c r="H1325" s="13" t="n">
        <v>0.9407</v>
      </c>
      <c r="I1325" s="13" t="n">
        <v>0.9522</v>
      </c>
    </row>
    <row r="1326">
      <c r="A1326" s="10" t="inlineStr">
        <is>
          <t>PJ-2023-I</t>
        </is>
      </c>
      <c r="B1326" s="10" t="inlineStr">
        <is>
          <t>位置合わせ(MS指定)／月内均等</t>
        </is>
      </c>
      <c r="C1326" s="10" t="inlineStr">
        <is>
          <t>2024-09</t>
        </is>
      </c>
      <c r="D1326" s="10" t="n">
        <v>17</v>
      </c>
      <c r="E1326" s="12" t="n">
        <v>4164.7</v>
      </c>
      <c r="F1326" s="12" t="n">
        <v>3246</v>
      </c>
      <c r="G1326" s="12" t="n">
        <v>918.7</v>
      </c>
      <c r="H1326" s="13" t="n">
        <v>0.9774</v>
      </c>
      <c r="I1326" s="13" t="n">
        <v>0.9808</v>
      </c>
    </row>
    <row r="1327">
      <c r="A1327" s="10" t="inlineStr">
        <is>
          <t>PJ-2023-I</t>
        </is>
      </c>
      <c r="B1327" s="10" t="inlineStr">
        <is>
          <t>位置合わせ(MS指定)／月内均等</t>
        </is>
      </c>
      <c r="C1327" s="10" t="inlineStr">
        <is>
          <t>2024-10</t>
        </is>
      </c>
      <c r="D1327" s="10" t="n">
        <v>18</v>
      </c>
      <c r="E1327" s="12" t="n">
        <v>2567.5</v>
      </c>
      <c r="F1327" s="12" t="n">
        <v>2184.9</v>
      </c>
      <c r="G1327" s="12" t="n">
        <v>382.6</v>
      </c>
      <c r="H1327" s="13" t="n">
        <v>1</v>
      </c>
      <c r="I1327" s="13" t="n">
        <v>1</v>
      </c>
    </row>
    <row r="1328">
      <c r="A1328" s="10" t="inlineStr">
        <is>
          <t>PJ-2023-I</t>
        </is>
      </c>
      <c r="B1328" s="10" t="inlineStr">
        <is>
          <t>素朴版／単調補間</t>
        </is>
      </c>
      <c r="C1328" s="10" t="inlineStr">
        <is>
          <t>2023-05</t>
        </is>
      </c>
      <c r="D1328" s="10" t="n">
        <v>1</v>
      </c>
      <c r="E1328" s="12" t="n">
        <v>2864.7</v>
      </c>
      <c r="F1328" s="12" t="n">
        <v>1057.9</v>
      </c>
      <c r="G1328" s="12" t="n">
        <v>1806.8</v>
      </c>
      <c r="H1328" s="13" t="n">
        <v>0.0252</v>
      </c>
      <c r="I1328" s="13" t="n">
        <v>0.009299999999999999</v>
      </c>
    </row>
    <row r="1329">
      <c r="A1329" s="10" t="inlineStr">
        <is>
          <t>PJ-2023-I</t>
        </is>
      </c>
      <c r="B1329" s="10" t="inlineStr">
        <is>
          <t>素朴版／単調補間</t>
        </is>
      </c>
      <c r="C1329" s="10" t="inlineStr">
        <is>
          <t>2023-06</t>
        </is>
      </c>
      <c r="D1329" s="10" t="n">
        <v>2</v>
      </c>
      <c r="E1329" s="12" t="n">
        <v>3559.4</v>
      </c>
      <c r="F1329" s="12" t="n">
        <v>2017.9</v>
      </c>
      <c r="G1329" s="12" t="n">
        <v>1541.5</v>
      </c>
      <c r="H1329" s="13" t="n">
        <v>0.0566</v>
      </c>
      <c r="I1329" s="13" t="n">
        <v>0.0271</v>
      </c>
    </row>
    <row r="1330">
      <c r="A1330" s="10" t="inlineStr">
        <is>
          <t>PJ-2023-I</t>
        </is>
      </c>
      <c r="B1330" s="10" t="inlineStr">
        <is>
          <t>素朴版／単調補間</t>
        </is>
      </c>
      <c r="C1330" s="10" t="inlineStr">
        <is>
          <t>2023-07</t>
        </is>
      </c>
      <c r="D1330" s="10" t="n">
        <v>3</v>
      </c>
      <c r="E1330" s="12" t="n">
        <v>4250.5</v>
      </c>
      <c r="F1330" s="12" t="n">
        <v>2934.1</v>
      </c>
      <c r="G1330" s="12" t="n">
        <v>1316.4</v>
      </c>
      <c r="H1330" s="13" t="n">
        <v>0.094</v>
      </c>
      <c r="I1330" s="13" t="n">
        <v>0.0529</v>
      </c>
    </row>
    <row r="1331">
      <c r="A1331" s="10" t="inlineStr">
        <is>
          <t>PJ-2023-I</t>
        </is>
      </c>
      <c r="B1331" s="10" t="inlineStr">
        <is>
          <t>素朴版／単調補間</t>
        </is>
      </c>
      <c r="C1331" s="10" t="inlineStr">
        <is>
          <t>2023-08</t>
        </is>
      </c>
      <c r="D1331" s="10" t="n">
        <v>4</v>
      </c>
      <c r="E1331" s="12" t="n">
        <v>4500.8</v>
      </c>
      <c r="F1331" s="12" t="n">
        <v>3879.4</v>
      </c>
      <c r="G1331" s="12" t="n">
        <v>621.4</v>
      </c>
      <c r="H1331" s="13" t="n">
        <v>0.1336</v>
      </c>
      <c r="I1331" s="13" t="n">
        <v>0.0871</v>
      </c>
    </row>
    <row r="1332">
      <c r="A1332" s="10" t="inlineStr">
        <is>
          <t>PJ-2023-I</t>
        </is>
      </c>
      <c r="B1332" s="10" t="inlineStr">
        <is>
          <t>素朴版／単調補間</t>
        </is>
      </c>
      <c r="C1332" s="10" t="inlineStr">
        <is>
          <t>2023-09</t>
        </is>
      </c>
      <c r="D1332" s="10" t="n">
        <v>5</v>
      </c>
      <c r="E1332" s="12" t="n">
        <v>5060.4</v>
      </c>
      <c r="F1332" s="12" t="n">
        <v>4638.5</v>
      </c>
      <c r="G1332" s="12" t="n">
        <v>421.9</v>
      </c>
      <c r="H1332" s="13" t="n">
        <v>0.1782</v>
      </c>
      <c r="I1332" s="13" t="n">
        <v>0.1279</v>
      </c>
    </row>
    <row r="1333">
      <c r="A1333" s="10" t="inlineStr">
        <is>
          <t>PJ-2023-I</t>
        </is>
      </c>
      <c r="B1333" s="10" t="inlineStr">
        <is>
          <t>素朴版／単調補間</t>
        </is>
      </c>
      <c r="C1333" s="10" t="inlineStr">
        <is>
          <t>2023-10</t>
        </is>
      </c>
      <c r="D1333" s="10" t="n">
        <v>6</v>
      </c>
      <c r="E1333" s="12" t="n">
        <v>6692.7</v>
      </c>
      <c r="F1333" s="12" t="n">
        <v>5612.3</v>
      </c>
      <c r="G1333" s="12" t="n">
        <v>1080.4</v>
      </c>
      <c r="H1333" s="13" t="n">
        <v>0.2372</v>
      </c>
      <c r="I1333" s="13" t="n">
        <v>0.1774</v>
      </c>
    </row>
    <row r="1334">
      <c r="A1334" s="10" t="inlineStr">
        <is>
          <t>PJ-2023-I</t>
        </is>
      </c>
      <c r="B1334" s="10" t="inlineStr">
        <is>
          <t>素朴版／単調補間</t>
        </is>
      </c>
      <c r="C1334" s="10" t="inlineStr">
        <is>
          <t>2023-11</t>
        </is>
      </c>
      <c r="D1334" s="10" t="n">
        <v>7</v>
      </c>
      <c r="E1334" s="12" t="n">
        <v>7330.4</v>
      </c>
      <c r="F1334" s="12" t="n">
        <v>6590</v>
      </c>
      <c r="G1334" s="12" t="n">
        <v>740.4</v>
      </c>
      <c r="H1334" s="13" t="n">
        <v>0.3017</v>
      </c>
      <c r="I1334" s="13" t="n">
        <v>0.2354</v>
      </c>
    </row>
    <row r="1335">
      <c r="A1335" s="10" t="inlineStr">
        <is>
          <t>PJ-2023-I</t>
        </is>
      </c>
      <c r="B1335" s="10" t="inlineStr">
        <is>
          <t>素朴版／単調補間</t>
        </is>
      </c>
      <c r="C1335" s="10" t="inlineStr">
        <is>
          <t>2023-12</t>
        </is>
      </c>
      <c r="D1335" s="10" t="n">
        <v>8</v>
      </c>
      <c r="E1335" s="12" t="n">
        <v>8152.2</v>
      </c>
      <c r="F1335" s="12" t="n">
        <v>8421.299999999999</v>
      </c>
      <c r="G1335" s="12" t="n">
        <v>-269.1</v>
      </c>
      <c r="H1335" s="13" t="n">
        <v>0.3735</v>
      </c>
      <c r="I1335" s="13" t="n">
        <v>0.3096</v>
      </c>
    </row>
    <row r="1336">
      <c r="A1336" s="10" t="inlineStr">
        <is>
          <t>PJ-2023-I</t>
        </is>
      </c>
      <c r="B1336" s="10" t="inlineStr">
        <is>
          <t>素朴版／単調補間</t>
        </is>
      </c>
      <c r="C1336" s="10" t="inlineStr">
        <is>
          <t>2024-01</t>
        </is>
      </c>
      <c r="D1336" s="10" t="n">
        <v>9</v>
      </c>
      <c r="E1336" s="12" t="n">
        <v>7174.2</v>
      </c>
      <c r="F1336" s="12" t="n">
        <v>11235.7</v>
      </c>
      <c r="G1336" s="12" t="n">
        <v>-4061.5</v>
      </c>
      <c r="H1336" s="13" t="n">
        <v>0.4367</v>
      </c>
      <c r="I1336" s="13" t="n">
        <v>0.4085</v>
      </c>
    </row>
    <row r="1337">
      <c r="A1337" s="10" t="inlineStr">
        <is>
          <t>PJ-2023-I</t>
        </is>
      </c>
      <c r="B1337" s="10" t="inlineStr">
        <is>
          <t>素朴版／単調補間</t>
        </is>
      </c>
      <c r="C1337" s="10" t="inlineStr">
        <is>
          <t>2024-02</t>
        </is>
      </c>
      <c r="D1337" s="10" t="n">
        <v>10</v>
      </c>
      <c r="E1337" s="12" t="n">
        <v>7515.3</v>
      </c>
      <c r="F1337" s="12" t="n">
        <v>13660.8</v>
      </c>
      <c r="G1337" s="12" t="n">
        <v>-6145.5</v>
      </c>
      <c r="H1337" s="13" t="n">
        <v>0.5029</v>
      </c>
      <c r="I1337" s="13" t="n">
        <v>0.5288</v>
      </c>
    </row>
    <row r="1338">
      <c r="A1338" s="10" t="inlineStr">
        <is>
          <t>PJ-2023-I</t>
        </is>
      </c>
      <c r="B1338" s="10" t="inlineStr">
        <is>
          <t>素朴版／単調補間</t>
        </is>
      </c>
      <c r="C1338" s="10" t="inlineStr">
        <is>
          <t>2024-03</t>
        </is>
      </c>
      <c r="D1338" s="10" t="n">
        <v>11</v>
      </c>
      <c r="E1338" s="12" t="n">
        <v>8734.1</v>
      </c>
      <c r="F1338" s="12" t="n">
        <v>13455.6</v>
      </c>
      <c r="G1338" s="12" t="n">
        <v>-4721.5</v>
      </c>
      <c r="H1338" s="13" t="n">
        <v>0.5798</v>
      </c>
      <c r="I1338" s="13" t="n">
        <v>0.6473</v>
      </c>
    </row>
    <row r="1339">
      <c r="A1339" s="10" t="inlineStr">
        <is>
          <t>PJ-2023-I</t>
        </is>
      </c>
      <c r="B1339" s="10" t="inlineStr">
        <is>
          <t>素朴版／単調補間</t>
        </is>
      </c>
      <c r="C1339" s="10" t="inlineStr">
        <is>
          <t>2024-04</t>
        </is>
      </c>
      <c r="D1339" s="10" t="n">
        <v>12</v>
      </c>
      <c r="E1339" s="12" t="n">
        <v>8916.4</v>
      </c>
      <c r="F1339" s="12" t="n">
        <v>15249</v>
      </c>
      <c r="G1339" s="12" t="n">
        <v>-6332.6</v>
      </c>
      <c r="H1339" s="13" t="n">
        <v>0.6583</v>
      </c>
      <c r="I1339" s="13" t="n">
        <v>0.7816</v>
      </c>
    </row>
    <row r="1340">
      <c r="A1340" s="10" t="inlineStr">
        <is>
          <t>PJ-2023-I</t>
        </is>
      </c>
      <c r="B1340" s="10" t="inlineStr">
        <is>
          <t>素朴版／単調補間</t>
        </is>
      </c>
      <c r="C1340" s="10" t="inlineStr">
        <is>
          <t>2024-05</t>
        </is>
      </c>
      <c r="D1340" s="10" t="n">
        <v>13</v>
      </c>
      <c r="E1340" s="12" t="n">
        <v>8849.4</v>
      </c>
      <c r="F1340" s="12" t="n">
        <v>6881.4</v>
      </c>
      <c r="G1340" s="12" t="n">
        <v>1968</v>
      </c>
      <c r="H1340" s="13" t="n">
        <v>0.7363</v>
      </c>
      <c r="I1340" s="13" t="n">
        <v>0.8421999999999999</v>
      </c>
    </row>
    <row r="1341">
      <c r="A1341" s="10" t="inlineStr">
        <is>
          <t>PJ-2023-I</t>
        </is>
      </c>
      <c r="B1341" s="10" t="inlineStr">
        <is>
          <t>素朴版／単調補間</t>
        </is>
      </c>
      <c r="C1341" s="10" t="inlineStr">
        <is>
          <t>2024-06</t>
        </is>
      </c>
      <c r="D1341" s="10" t="n">
        <v>14</v>
      </c>
      <c r="E1341" s="12" t="n">
        <v>8153.3</v>
      </c>
      <c r="F1341" s="12" t="n">
        <v>5543.4</v>
      </c>
      <c r="G1341" s="12" t="n">
        <v>2609.9</v>
      </c>
      <c r="H1341" s="13" t="n">
        <v>0.8081</v>
      </c>
      <c r="I1341" s="13" t="n">
        <v>0.8911</v>
      </c>
    </row>
    <row r="1342">
      <c r="A1342" s="10" t="inlineStr">
        <is>
          <t>PJ-2023-I</t>
        </is>
      </c>
      <c r="B1342" s="10" t="inlineStr">
        <is>
          <t>素朴版／単調補間</t>
        </is>
      </c>
      <c r="C1342" s="10" t="inlineStr">
        <is>
          <t>2024-07</t>
        </is>
      </c>
      <c r="D1342" s="10" t="n">
        <v>15</v>
      </c>
      <c r="E1342" s="12" t="n">
        <v>8596.1</v>
      </c>
      <c r="F1342" s="12" t="n">
        <v>3845</v>
      </c>
      <c r="G1342" s="12" t="n">
        <v>4751.1</v>
      </c>
      <c r="H1342" s="13" t="n">
        <v>0.8838</v>
      </c>
      <c r="I1342" s="13" t="n">
        <v>0.9249000000000001</v>
      </c>
    </row>
    <row r="1343">
      <c r="A1343" s="10" t="inlineStr">
        <is>
          <t>PJ-2023-I</t>
        </is>
      </c>
      <c r="B1343" s="10" t="inlineStr">
        <is>
          <t>素朴版／単調補間</t>
        </is>
      </c>
      <c r="C1343" s="10" t="inlineStr">
        <is>
          <t>2024-08</t>
        </is>
      </c>
      <c r="D1343" s="10" t="n">
        <v>16</v>
      </c>
      <c r="E1343" s="12" t="n">
        <v>6396.5</v>
      </c>
      <c r="F1343" s="12" t="n">
        <v>3094</v>
      </c>
      <c r="G1343" s="12" t="n">
        <v>3302.5</v>
      </c>
      <c r="H1343" s="13" t="n">
        <v>0.9401</v>
      </c>
      <c r="I1343" s="13" t="n">
        <v>0.9522</v>
      </c>
    </row>
    <row r="1344">
      <c r="A1344" s="10" t="inlineStr">
        <is>
          <t>PJ-2023-I</t>
        </is>
      </c>
      <c r="B1344" s="10" t="inlineStr">
        <is>
          <t>素朴版／単調補間</t>
        </is>
      </c>
      <c r="C1344" s="10" t="inlineStr">
        <is>
          <t>2024-09</t>
        </is>
      </c>
      <c r="D1344" s="10" t="n">
        <v>17</v>
      </c>
      <c r="E1344" s="12" t="n">
        <v>4383.9</v>
      </c>
      <c r="F1344" s="12" t="n">
        <v>3246</v>
      </c>
      <c r="G1344" s="12" t="n">
        <v>1137.9</v>
      </c>
      <c r="H1344" s="13" t="n">
        <v>0.9787</v>
      </c>
      <c r="I1344" s="13" t="n">
        <v>0.9808</v>
      </c>
    </row>
    <row r="1345">
      <c r="A1345" s="10" t="inlineStr">
        <is>
          <t>PJ-2023-I</t>
        </is>
      </c>
      <c r="B1345" s="10" t="inlineStr">
        <is>
          <t>素朴版／単調補間</t>
        </is>
      </c>
      <c r="C1345" s="10" t="inlineStr">
        <is>
          <t>2024-10</t>
        </is>
      </c>
      <c r="D1345" s="10" t="n">
        <v>18</v>
      </c>
      <c r="E1345" s="12" t="n">
        <v>2416.8</v>
      </c>
      <c r="F1345" s="12" t="n">
        <v>2184.9</v>
      </c>
      <c r="G1345" s="12" t="n">
        <v>231.9</v>
      </c>
      <c r="H1345" s="13" t="n">
        <v>1</v>
      </c>
      <c r="I1345" s="13" t="n">
        <v>1</v>
      </c>
    </row>
    <row r="1346">
      <c r="A1346" s="10" t="inlineStr">
        <is>
          <t>PJ-2023-I</t>
        </is>
      </c>
      <c r="B1346" s="10" t="inlineStr">
        <is>
          <t>位置合わせ(MS学習値)／単調補間</t>
        </is>
      </c>
      <c r="C1346" s="10" t="inlineStr">
        <is>
          <t>2023-05</t>
        </is>
      </c>
      <c r="D1346" s="10" t="n">
        <v>1</v>
      </c>
      <c r="E1346" s="12" t="n">
        <v>2827.7</v>
      </c>
      <c r="F1346" s="12" t="n">
        <v>1057.9</v>
      </c>
      <c r="G1346" s="12" t="n">
        <v>1769.8</v>
      </c>
      <c r="H1346" s="13" t="n">
        <v>0.0249</v>
      </c>
      <c r="I1346" s="13" t="n">
        <v>0.009299999999999999</v>
      </c>
    </row>
    <row r="1347">
      <c r="A1347" s="10" t="inlineStr">
        <is>
          <t>PJ-2023-I</t>
        </is>
      </c>
      <c r="B1347" s="10" t="inlineStr">
        <is>
          <t>位置合わせ(MS学習値)／単調補間</t>
        </is>
      </c>
      <c r="C1347" s="10" t="inlineStr">
        <is>
          <t>2023-06</t>
        </is>
      </c>
      <c r="D1347" s="10" t="n">
        <v>2</v>
      </c>
      <c r="E1347" s="12" t="n">
        <v>3518.3</v>
      </c>
      <c r="F1347" s="12" t="n">
        <v>2017.9</v>
      </c>
      <c r="G1347" s="12" t="n">
        <v>1500.4</v>
      </c>
      <c r="H1347" s="13" t="n">
        <v>0.0559</v>
      </c>
      <c r="I1347" s="13" t="n">
        <v>0.0271</v>
      </c>
    </row>
    <row r="1348">
      <c r="A1348" s="10" t="inlineStr">
        <is>
          <t>PJ-2023-I</t>
        </is>
      </c>
      <c r="B1348" s="10" t="inlineStr">
        <is>
          <t>位置合わせ(MS学習値)／単調補間</t>
        </is>
      </c>
      <c r="C1348" s="10" t="inlineStr">
        <is>
          <t>2023-07</t>
        </is>
      </c>
      <c r="D1348" s="10" t="n">
        <v>3</v>
      </c>
      <c r="E1348" s="12" t="n">
        <v>4176.3</v>
      </c>
      <c r="F1348" s="12" t="n">
        <v>2934.1</v>
      </c>
      <c r="G1348" s="12" t="n">
        <v>1242.2</v>
      </c>
      <c r="H1348" s="13" t="n">
        <v>0.0927</v>
      </c>
      <c r="I1348" s="13" t="n">
        <v>0.0529</v>
      </c>
    </row>
    <row r="1349">
      <c r="A1349" s="10" t="inlineStr">
        <is>
          <t>PJ-2023-I</t>
        </is>
      </c>
      <c r="B1349" s="10" t="inlineStr">
        <is>
          <t>位置合わせ(MS学習値)／単調補間</t>
        </is>
      </c>
      <c r="C1349" s="10" t="inlineStr">
        <is>
          <t>2023-08</t>
        </is>
      </c>
      <c r="D1349" s="10" t="n">
        <v>4</v>
      </c>
      <c r="E1349" s="12" t="n">
        <v>4425.2</v>
      </c>
      <c r="F1349" s="12" t="n">
        <v>3879.4</v>
      </c>
      <c r="G1349" s="12" t="n">
        <v>545.8</v>
      </c>
      <c r="H1349" s="13" t="n">
        <v>0.1316</v>
      </c>
      <c r="I1349" s="13" t="n">
        <v>0.0871</v>
      </c>
    </row>
    <row r="1350">
      <c r="A1350" s="10" t="inlineStr">
        <is>
          <t>PJ-2023-I</t>
        </is>
      </c>
      <c r="B1350" s="10" t="inlineStr">
        <is>
          <t>位置合わせ(MS学習値)／単調補間</t>
        </is>
      </c>
      <c r="C1350" s="10" t="inlineStr">
        <is>
          <t>2023-09</t>
        </is>
      </c>
      <c r="D1350" s="10" t="n">
        <v>5</v>
      </c>
      <c r="E1350" s="12" t="n">
        <v>4873.9</v>
      </c>
      <c r="F1350" s="12" t="n">
        <v>4638.5</v>
      </c>
      <c r="G1350" s="12" t="n">
        <v>235.4</v>
      </c>
      <c r="H1350" s="13" t="n">
        <v>0.1746</v>
      </c>
      <c r="I1350" s="13" t="n">
        <v>0.1279</v>
      </c>
    </row>
    <row r="1351">
      <c r="A1351" s="10" t="inlineStr">
        <is>
          <t>PJ-2023-I</t>
        </is>
      </c>
      <c r="B1351" s="10" t="inlineStr">
        <is>
          <t>位置合わせ(MS学習値)／単調補間</t>
        </is>
      </c>
      <c r="C1351" s="10" t="inlineStr">
        <is>
          <t>2023-10</t>
        </is>
      </c>
      <c r="D1351" s="10" t="n">
        <v>6</v>
      </c>
      <c r="E1351" s="12" t="n">
        <v>6031</v>
      </c>
      <c r="F1351" s="12" t="n">
        <v>5612.3</v>
      </c>
      <c r="G1351" s="12" t="n">
        <v>418.7</v>
      </c>
      <c r="H1351" s="13" t="n">
        <v>0.2277</v>
      </c>
      <c r="I1351" s="13" t="n">
        <v>0.1774</v>
      </c>
    </row>
    <row r="1352">
      <c r="A1352" s="10" t="inlineStr">
        <is>
          <t>PJ-2023-I</t>
        </is>
      </c>
      <c r="B1352" s="10" t="inlineStr">
        <is>
          <t>位置合わせ(MS学習値)／単調補間</t>
        </is>
      </c>
      <c r="C1352" s="10" t="inlineStr">
        <is>
          <t>2023-11</t>
        </is>
      </c>
      <c r="D1352" s="10" t="n">
        <v>7</v>
      </c>
      <c r="E1352" s="12" t="n">
        <v>6861.4</v>
      </c>
      <c r="F1352" s="12" t="n">
        <v>6590</v>
      </c>
      <c r="G1352" s="12" t="n">
        <v>271.4</v>
      </c>
      <c r="H1352" s="13" t="n">
        <v>0.2881</v>
      </c>
      <c r="I1352" s="13" t="n">
        <v>0.2354</v>
      </c>
    </row>
    <row r="1353">
      <c r="A1353" s="10" t="inlineStr">
        <is>
          <t>PJ-2023-I</t>
        </is>
      </c>
      <c r="B1353" s="10" t="inlineStr">
        <is>
          <t>位置合わせ(MS学習値)／単調補間</t>
        </is>
      </c>
      <c r="C1353" s="10" t="inlineStr">
        <is>
          <t>2023-12</t>
        </is>
      </c>
      <c r="D1353" s="10" t="n">
        <v>8</v>
      </c>
      <c r="E1353" s="12" t="n">
        <v>7876.9</v>
      </c>
      <c r="F1353" s="12" t="n">
        <v>8421.299999999999</v>
      </c>
      <c r="G1353" s="12" t="n">
        <v>-544.4</v>
      </c>
      <c r="H1353" s="13" t="n">
        <v>0.3575</v>
      </c>
      <c r="I1353" s="13" t="n">
        <v>0.3096</v>
      </c>
    </row>
    <row r="1354">
      <c r="A1354" s="10" t="inlineStr">
        <is>
          <t>PJ-2023-I</t>
        </is>
      </c>
      <c r="B1354" s="10" t="inlineStr">
        <is>
          <t>位置合わせ(MS学習値)／単調補間</t>
        </is>
      </c>
      <c r="C1354" s="10" t="inlineStr">
        <is>
          <t>2024-01</t>
        </is>
      </c>
      <c r="D1354" s="10" t="n">
        <v>9</v>
      </c>
      <c r="E1354" s="12" t="n">
        <v>8890.6</v>
      </c>
      <c r="F1354" s="12" t="n">
        <v>11235.7</v>
      </c>
      <c r="G1354" s="12" t="n">
        <v>-2345.1</v>
      </c>
      <c r="H1354" s="13" t="n">
        <v>0.4358</v>
      </c>
      <c r="I1354" s="13" t="n">
        <v>0.4085</v>
      </c>
    </row>
    <row r="1355">
      <c r="A1355" s="10" t="inlineStr">
        <is>
          <t>PJ-2023-I</t>
        </is>
      </c>
      <c r="B1355" s="10" t="inlineStr">
        <is>
          <t>位置合わせ(MS学習値)／単調補間</t>
        </is>
      </c>
      <c r="C1355" s="10" t="inlineStr">
        <is>
          <t>2024-02</t>
        </is>
      </c>
      <c r="D1355" s="10" t="n">
        <v>10</v>
      </c>
      <c r="E1355" s="12" t="n">
        <v>8394.200000000001</v>
      </c>
      <c r="F1355" s="12" t="n">
        <v>13660.8</v>
      </c>
      <c r="G1355" s="12" t="n">
        <v>-5266.6</v>
      </c>
      <c r="H1355" s="13" t="n">
        <v>0.5097</v>
      </c>
      <c r="I1355" s="13" t="n">
        <v>0.5288</v>
      </c>
    </row>
    <row r="1356">
      <c r="A1356" s="10" t="inlineStr">
        <is>
          <t>PJ-2023-I</t>
        </is>
      </c>
      <c r="B1356" s="10" t="inlineStr">
        <is>
          <t>位置合わせ(MS学習値)／単調補間</t>
        </is>
      </c>
      <c r="C1356" s="10" t="inlineStr">
        <is>
          <t>2024-03</t>
        </is>
      </c>
      <c r="D1356" s="10" t="n">
        <v>11</v>
      </c>
      <c r="E1356" s="12" t="n">
        <v>8840.700000000001</v>
      </c>
      <c r="F1356" s="12" t="n">
        <v>13455.6</v>
      </c>
      <c r="G1356" s="12" t="n">
        <v>-4614.9</v>
      </c>
      <c r="H1356" s="13" t="n">
        <v>0.5876</v>
      </c>
      <c r="I1356" s="13" t="n">
        <v>0.6473</v>
      </c>
    </row>
    <row r="1357">
      <c r="A1357" s="10" t="inlineStr">
        <is>
          <t>PJ-2023-I</t>
        </is>
      </c>
      <c r="B1357" s="10" t="inlineStr">
        <is>
          <t>位置合わせ(MS学習値)／単調補間</t>
        </is>
      </c>
      <c r="C1357" s="10" t="inlineStr">
        <is>
          <t>2024-04</t>
        </is>
      </c>
      <c r="D1357" s="10" t="n">
        <v>12</v>
      </c>
      <c r="E1357" s="12" t="n">
        <v>8530</v>
      </c>
      <c r="F1357" s="12" t="n">
        <v>15249</v>
      </c>
      <c r="G1357" s="12" t="n">
        <v>-6719</v>
      </c>
      <c r="H1357" s="13" t="n">
        <v>0.6627</v>
      </c>
      <c r="I1357" s="13" t="n">
        <v>0.7816</v>
      </c>
    </row>
    <row r="1358">
      <c r="A1358" s="10" t="inlineStr">
        <is>
          <t>PJ-2023-I</t>
        </is>
      </c>
      <c r="B1358" s="10" t="inlineStr">
        <is>
          <t>位置合わせ(MS学習値)／単調補間</t>
        </is>
      </c>
      <c r="C1358" s="10" t="inlineStr">
        <is>
          <t>2024-05</t>
        </is>
      </c>
      <c r="D1358" s="10" t="n">
        <v>13</v>
      </c>
      <c r="E1358" s="12" t="n">
        <v>9048.6</v>
      </c>
      <c r="F1358" s="12" t="n">
        <v>6881.4</v>
      </c>
      <c r="G1358" s="12" t="n">
        <v>2167.2</v>
      </c>
      <c r="H1358" s="13" t="n">
        <v>0.7423999999999999</v>
      </c>
      <c r="I1358" s="13" t="n">
        <v>0.8421999999999999</v>
      </c>
    </row>
    <row r="1359">
      <c r="A1359" s="10" t="inlineStr">
        <is>
          <t>PJ-2023-I</t>
        </is>
      </c>
      <c r="B1359" s="10" t="inlineStr">
        <is>
          <t>位置合わせ(MS学習値)／単調補間</t>
        </is>
      </c>
      <c r="C1359" s="10" t="inlineStr">
        <is>
          <t>2024-06</t>
        </is>
      </c>
      <c r="D1359" s="10" t="n">
        <v>14</v>
      </c>
      <c r="E1359" s="12" t="n">
        <v>8617.200000000001</v>
      </c>
      <c r="F1359" s="12" t="n">
        <v>5543.4</v>
      </c>
      <c r="G1359" s="12" t="n">
        <v>3073.8</v>
      </c>
      <c r="H1359" s="13" t="n">
        <v>0.8183</v>
      </c>
      <c r="I1359" s="13" t="n">
        <v>0.8911</v>
      </c>
    </row>
    <row r="1360">
      <c r="A1360" s="10" t="inlineStr">
        <is>
          <t>PJ-2023-I</t>
        </is>
      </c>
      <c r="B1360" s="10" t="inlineStr">
        <is>
          <t>位置合わせ(MS学習値)／単調補間</t>
        </is>
      </c>
      <c r="C1360" s="10" t="inlineStr">
        <is>
          <t>2024-07</t>
        </is>
      </c>
      <c r="D1360" s="10" t="n">
        <v>15</v>
      </c>
      <c r="E1360" s="12" t="n">
        <v>7663</v>
      </c>
      <c r="F1360" s="12" t="n">
        <v>3845</v>
      </c>
      <c r="G1360" s="12" t="n">
        <v>3818</v>
      </c>
      <c r="H1360" s="13" t="n">
        <v>0.8858</v>
      </c>
      <c r="I1360" s="13" t="n">
        <v>0.9249000000000001</v>
      </c>
    </row>
    <row r="1361">
      <c r="A1361" s="10" t="inlineStr">
        <is>
          <t>PJ-2023-I</t>
        </is>
      </c>
      <c r="B1361" s="10" t="inlineStr">
        <is>
          <t>位置合わせ(MS学習値)／単調補間</t>
        </is>
      </c>
      <c r="C1361" s="10" t="inlineStr">
        <is>
          <t>2024-08</t>
        </is>
      </c>
      <c r="D1361" s="10" t="n">
        <v>16</v>
      </c>
      <c r="E1361" s="12" t="n">
        <v>6078.8</v>
      </c>
      <c r="F1361" s="12" t="n">
        <v>3094</v>
      </c>
      <c r="G1361" s="12" t="n">
        <v>2984.8</v>
      </c>
      <c r="H1361" s="13" t="n">
        <v>0.9393</v>
      </c>
      <c r="I1361" s="13" t="n">
        <v>0.9522</v>
      </c>
    </row>
    <row r="1362">
      <c r="A1362" s="10" t="inlineStr">
        <is>
          <t>PJ-2023-I</t>
        </is>
      </c>
      <c r="B1362" s="10" t="inlineStr">
        <is>
          <t>位置合わせ(MS学習値)／単調補間</t>
        </is>
      </c>
      <c r="C1362" s="10" t="inlineStr">
        <is>
          <t>2024-09</t>
        </is>
      </c>
      <c r="D1362" s="10" t="n">
        <v>17</v>
      </c>
      <c r="E1362" s="12" t="n">
        <v>4525.2</v>
      </c>
      <c r="F1362" s="12" t="n">
        <v>3246</v>
      </c>
      <c r="G1362" s="12" t="n">
        <v>1279.2</v>
      </c>
      <c r="H1362" s="13" t="n">
        <v>0.9791</v>
      </c>
      <c r="I1362" s="13" t="n">
        <v>0.9808</v>
      </c>
    </row>
    <row r="1363">
      <c r="A1363" s="10" t="inlineStr">
        <is>
          <t>PJ-2023-I</t>
        </is>
      </c>
      <c r="B1363" s="10" t="inlineStr">
        <is>
          <t>位置合わせ(MS学習値)／単調補間</t>
        </is>
      </c>
      <c r="C1363" s="10" t="inlineStr">
        <is>
          <t>2024-10</t>
        </is>
      </c>
      <c r="D1363" s="10" t="n">
        <v>18</v>
      </c>
      <c r="E1363" s="12" t="n">
        <v>2368.2</v>
      </c>
      <c r="F1363" s="12" t="n">
        <v>2184.9</v>
      </c>
      <c r="G1363" s="12" t="n">
        <v>183.3</v>
      </c>
      <c r="H1363" s="13" t="n">
        <v>1</v>
      </c>
      <c r="I1363" s="13" t="n">
        <v>1</v>
      </c>
    </row>
    <row r="1364">
      <c r="A1364" s="10" t="inlineStr">
        <is>
          <t>PJ-2023-I</t>
        </is>
      </c>
      <c r="B1364" s="10" t="inlineStr">
        <is>
          <t>位置合わせ(MS指定)／単調補間</t>
        </is>
      </c>
      <c r="C1364" s="10" t="inlineStr">
        <is>
          <t>2023-05</t>
        </is>
      </c>
      <c r="D1364" s="10" t="n">
        <v>1</v>
      </c>
      <c r="E1364" s="12" t="n">
        <v>3002.8</v>
      </c>
      <c r="F1364" s="12" t="n">
        <v>1057.9</v>
      </c>
      <c r="G1364" s="12" t="n">
        <v>1944.9</v>
      </c>
      <c r="H1364" s="13" t="n">
        <v>0.0264</v>
      </c>
      <c r="I1364" s="13" t="n">
        <v>0.009299999999999999</v>
      </c>
    </row>
    <row r="1365">
      <c r="A1365" s="10" t="inlineStr">
        <is>
          <t>PJ-2023-I</t>
        </is>
      </c>
      <c r="B1365" s="10" t="inlineStr">
        <is>
          <t>位置合わせ(MS指定)／単調補間</t>
        </is>
      </c>
      <c r="C1365" s="10" t="inlineStr">
        <is>
          <t>2023-06</t>
        </is>
      </c>
      <c r="D1365" s="10" t="n">
        <v>2</v>
      </c>
      <c r="E1365" s="12" t="n">
        <v>3771.1</v>
      </c>
      <c r="F1365" s="12" t="n">
        <v>2017.9</v>
      </c>
      <c r="G1365" s="12" t="n">
        <v>1753.2</v>
      </c>
      <c r="H1365" s="13" t="n">
        <v>0.0597</v>
      </c>
      <c r="I1365" s="13" t="n">
        <v>0.0271</v>
      </c>
    </row>
    <row r="1366">
      <c r="A1366" s="10" t="inlineStr">
        <is>
          <t>PJ-2023-I</t>
        </is>
      </c>
      <c r="B1366" s="10" t="inlineStr">
        <is>
          <t>位置合わせ(MS指定)／単調補間</t>
        </is>
      </c>
      <c r="C1366" s="10" t="inlineStr">
        <is>
          <t>2023-07</t>
        </is>
      </c>
      <c r="D1366" s="10" t="n">
        <v>3</v>
      </c>
      <c r="E1366" s="12" t="n">
        <v>4441.8</v>
      </c>
      <c r="F1366" s="12" t="n">
        <v>2934.1</v>
      </c>
      <c r="G1366" s="12" t="n">
        <v>1507.7</v>
      </c>
      <c r="H1366" s="13" t="n">
        <v>0.0988</v>
      </c>
      <c r="I1366" s="13" t="n">
        <v>0.0529</v>
      </c>
    </row>
    <row r="1367">
      <c r="A1367" s="10" t="inlineStr">
        <is>
          <t>PJ-2023-I</t>
        </is>
      </c>
      <c r="B1367" s="10" t="inlineStr">
        <is>
          <t>位置合わせ(MS指定)／単調補間</t>
        </is>
      </c>
      <c r="C1367" s="10" t="inlineStr">
        <is>
          <t>2023-08</t>
        </is>
      </c>
      <c r="D1367" s="10" t="n">
        <v>4</v>
      </c>
      <c r="E1367" s="12" t="n">
        <v>4761.1</v>
      </c>
      <c r="F1367" s="12" t="n">
        <v>3879.4</v>
      </c>
      <c r="G1367" s="12" t="n">
        <v>881.7</v>
      </c>
      <c r="H1367" s="13" t="n">
        <v>0.1407</v>
      </c>
      <c r="I1367" s="13" t="n">
        <v>0.0871</v>
      </c>
    </row>
    <row r="1368">
      <c r="A1368" s="10" t="inlineStr">
        <is>
          <t>PJ-2023-I</t>
        </is>
      </c>
      <c r="B1368" s="10" t="inlineStr">
        <is>
          <t>位置合わせ(MS指定)／単調補間</t>
        </is>
      </c>
      <c r="C1368" s="10" t="inlineStr">
        <is>
          <t>2023-09</t>
        </is>
      </c>
      <c r="D1368" s="10" t="n">
        <v>5</v>
      </c>
      <c r="E1368" s="12" t="n">
        <v>5332.2</v>
      </c>
      <c r="F1368" s="12" t="n">
        <v>4638.5</v>
      </c>
      <c r="G1368" s="12" t="n">
        <v>693.7</v>
      </c>
      <c r="H1368" s="13" t="n">
        <v>0.1877</v>
      </c>
      <c r="I1368" s="13" t="n">
        <v>0.1279</v>
      </c>
    </row>
    <row r="1369">
      <c r="A1369" s="10" t="inlineStr">
        <is>
          <t>PJ-2023-I</t>
        </is>
      </c>
      <c r="B1369" s="10" t="inlineStr">
        <is>
          <t>位置合わせ(MS指定)／単調補間</t>
        </is>
      </c>
      <c r="C1369" s="10" t="inlineStr">
        <is>
          <t>2023-10</t>
        </is>
      </c>
      <c r="D1369" s="10" t="n">
        <v>6</v>
      </c>
      <c r="E1369" s="12" t="n">
        <v>6802.9</v>
      </c>
      <c r="F1369" s="12" t="n">
        <v>5612.3</v>
      </c>
      <c r="G1369" s="12" t="n">
        <v>1190.6</v>
      </c>
      <c r="H1369" s="13" t="n">
        <v>0.2476</v>
      </c>
      <c r="I1369" s="13" t="n">
        <v>0.1774</v>
      </c>
    </row>
    <row r="1370">
      <c r="A1370" s="10" t="inlineStr">
        <is>
          <t>PJ-2023-I</t>
        </is>
      </c>
      <c r="B1370" s="10" t="inlineStr">
        <is>
          <t>位置合わせ(MS指定)／単調補間</t>
        </is>
      </c>
      <c r="C1370" s="10" t="inlineStr">
        <is>
          <t>2023-11</t>
        </is>
      </c>
      <c r="D1370" s="10" t="n">
        <v>7</v>
      </c>
      <c r="E1370" s="12" t="n">
        <v>7486.1</v>
      </c>
      <c r="F1370" s="12" t="n">
        <v>6590</v>
      </c>
      <c r="G1370" s="12" t="n">
        <v>896.1</v>
      </c>
      <c r="H1370" s="13" t="n">
        <v>0.3135</v>
      </c>
      <c r="I1370" s="13" t="n">
        <v>0.2354</v>
      </c>
    </row>
    <row r="1371">
      <c r="A1371" s="10" t="inlineStr">
        <is>
          <t>PJ-2023-I</t>
        </is>
      </c>
      <c r="B1371" s="10" t="inlineStr">
        <is>
          <t>位置合わせ(MS指定)／単調補間</t>
        </is>
      </c>
      <c r="C1371" s="10" t="inlineStr">
        <is>
          <t>2023-12</t>
        </is>
      </c>
      <c r="D1371" s="10" t="n">
        <v>8</v>
      </c>
      <c r="E1371" s="12" t="n">
        <v>8732.299999999999</v>
      </c>
      <c r="F1371" s="12" t="n">
        <v>8421.299999999999</v>
      </c>
      <c r="G1371" s="12" t="n">
        <v>311</v>
      </c>
      <c r="H1371" s="13" t="n">
        <v>0.3904</v>
      </c>
      <c r="I1371" s="13" t="n">
        <v>0.3096</v>
      </c>
    </row>
    <row r="1372">
      <c r="A1372" s="10" t="inlineStr">
        <is>
          <t>PJ-2023-I</t>
        </is>
      </c>
      <c r="B1372" s="10" t="inlineStr">
        <is>
          <t>位置合わせ(MS指定)／単調補間</t>
        </is>
      </c>
      <c r="C1372" s="10" t="inlineStr">
        <is>
          <t>2024-01</t>
        </is>
      </c>
      <c r="D1372" s="10" t="n">
        <v>9</v>
      </c>
      <c r="E1372" s="12" t="n">
        <v>9800</v>
      </c>
      <c r="F1372" s="12" t="n">
        <v>11235.7</v>
      </c>
      <c r="G1372" s="12" t="n">
        <v>-1435.7</v>
      </c>
      <c r="H1372" s="13" t="n">
        <v>0.4767</v>
      </c>
      <c r="I1372" s="13" t="n">
        <v>0.4085</v>
      </c>
    </row>
    <row r="1373">
      <c r="A1373" s="10" t="inlineStr">
        <is>
          <t>PJ-2023-I</t>
        </is>
      </c>
      <c r="B1373" s="10" t="inlineStr">
        <is>
          <t>位置合わせ(MS指定)／単調補間</t>
        </is>
      </c>
      <c r="C1373" s="10" t="inlineStr">
        <is>
          <t>2024-02</t>
        </is>
      </c>
      <c r="D1373" s="10" t="n">
        <v>10</v>
      </c>
      <c r="E1373" s="12" t="n">
        <v>9117.4</v>
      </c>
      <c r="F1373" s="12" t="n">
        <v>13660.8</v>
      </c>
      <c r="G1373" s="12" t="n">
        <v>-4543.4</v>
      </c>
      <c r="H1373" s="13" t="n">
        <v>0.5570000000000001</v>
      </c>
      <c r="I1373" s="13" t="n">
        <v>0.5288</v>
      </c>
    </row>
    <row r="1374">
      <c r="A1374" s="10" t="inlineStr">
        <is>
          <t>PJ-2023-I</t>
        </is>
      </c>
      <c r="B1374" s="10" t="inlineStr">
        <is>
          <t>位置合わせ(MS指定)／単調補間</t>
        </is>
      </c>
      <c r="C1374" s="10" t="inlineStr">
        <is>
          <t>2024-03</t>
        </is>
      </c>
      <c r="D1374" s="10" t="n">
        <v>11</v>
      </c>
      <c r="E1374" s="12" t="n">
        <v>9731.5</v>
      </c>
      <c r="F1374" s="12" t="n">
        <v>13455.6</v>
      </c>
      <c r="G1374" s="12" t="n">
        <v>-3724.1</v>
      </c>
      <c r="H1374" s="13" t="n">
        <v>0.6427</v>
      </c>
      <c r="I1374" s="13" t="n">
        <v>0.6473</v>
      </c>
    </row>
    <row r="1375">
      <c r="A1375" s="10" t="inlineStr">
        <is>
          <t>PJ-2023-I</t>
        </is>
      </c>
      <c r="B1375" s="10" t="inlineStr">
        <is>
          <t>位置合わせ(MS指定)／単調補間</t>
        </is>
      </c>
      <c r="C1375" s="10" t="inlineStr">
        <is>
          <t>2024-04</t>
        </is>
      </c>
      <c r="D1375" s="10" t="n">
        <v>12</v>
      </c>
      <c r="E1375" s="12" t="n">
        <v>9558.1</v>
      </c>
      <c r="F1375" s="12" t="n">
        <v>15249</v>
      </c>
      <c r="G1375" s="12" t="n">
        <v>-5690.9</v>
      </c>
      <c r="H1375" s="13" t="n">
        <v>0.7269</v>
      </c>
      <c r="I1375" s="13" t="n">
        <v>0.7816</v>
      </c>
    </row>
    <row r="1376">
      <c r="A1376" s="10" t="inlineStr">
        <is>
          <t>PJ-2023-I</t>
        </is>
      </c>
      <c r="B1376" s="10" t="inlineStr">
        <is>
          <t>位置合わせ(MS指定)／単調補間</t>
        </is>
      </c>
      <c r="C1376" s="10" t="inlineStr">
        <is>
          <t>2024-05</t>
        </is>
      </c>
      <c r="D1376" s="10" t="n">
        <v>13</v>
      </c>
      <c r="E1376" s="12" t="n">
        <v>8600.200000000001</v>
      </c>
      <c r="F1376" s="12" t="n">
        <v>6881.4</v>
      </c>
      <c r="G1376" s="12" t="n">
        <v>1718.8</v>
      </c>
      <c r="H1376" s="13" t="n">
        <v>0.8026</v>
      </c>
      <c r="I1376" s="13" t="n">
        <v>0.8421999999999999</v>
      </c>
    </row>
    <row r="1377">
      <c r="A1377" s="10" t="inlineStr">
        <is>
          <t>PJ-2023-I</t>
        </is>
      </c>
      <c r="B1377" s="10" t="inlineStr">
        <is>
          <t>位置合わせ(MS指定)／単調補間</t>
        </is>
      </c>
      <c r="C1377" s="10" t="inlineStr">
        <is>
          <t>2024-06</t>
        </is>
      </c>
      <c r="D1377" s="10" t="n">
        <v>14</v>
      </c>
      <c r="E1377" s="12" t="n">
        <v>5819.9</v>
      </c>
      <c r="F1377" s="12" t="n">
        <v>5543.4</v>
      </c>
      <c r="G1377" s="12" t="n">
        <v>276.5</v>
      </c>
      <c r="H1377" s="13" t="n">
        <v>0.8539</v>
      </c>
      <c r="I1377" s="13" t="n">
        <v>0.8911</v>
      </c>
    </row>
    <row r="1378">
      <c r="A1378" s="10" t="inlineStr">
        <is>
          <t>PJ-2023-I</t>
        </is>
      </c>
      <c r="B1378" s="10" t="inlineStr">
        <is>
          <t>位置合わせ(MS指定)／単調補間</t>
        </is>
      </c>
      <c r="C1378" s="10" t="inlineStr">
        <is>
          <t>2024-07</t>
        </is>
      </c>
      <c r="D1378" s="10" t="n">
        <v>15</v>
      </c>
      <c r="E1378" s="12" t="n">
        <v>5542.8</v>
      </c>
      <c r="F1378" s="12" t="n">
        <v>3845</v>
      </c>
      <c r="G1378" s="12" t="n">
        <v>1697.8</v>
      </c>
      <c r="H1378" s="13" t="n">
        <v>0.9026999999999999</v>
      </c>
      <c r="I1378" s="13" t="n">
        <v>0.9249000000000001</v>
      </c>
    </row>
    <row r="1379">
      <c r="A1379" s="10" t="inlineStr">
        <is>
          <t>PJ-2023-I</t>
        </is>
      </c>
      <c r="B1379" s="10" t="inlineStr">
        <is>
          <t>位置合わせ(MS指定)／単調補間</t>
        </is>
      </c>
      <c r="C1379" s="10" t="inlineStr">
        <is>
          <t>2024-08</t>
        </is>
      </c>
      <c r="D1379" s="10" t="n">
        <v>16</v>
      </c>
      <c r="E1379" s="12" t="n">
        <v>4434.5</v>
      </c>
      <c r="F1379" s="12" t="n">
        <v>3094</v>
      </c>
      <c r="G1379" s="12" t="n">
        <v>1340.5</v>
      </c>
      <c r="H1379" s="13" t="n">
        <v>0.9418</v>
      </c>
      <c r="I1379" s="13" t="n">
        <v>0.9522</v>
      </c>
    </row>
    <row r="1380">
      <c r="A1380" s="10" t="inlineStr">
        <is>
          <t>PJ-2023-I</t>
        </is>
      </c>
      <c r="B1380" s="10" t="inlineStr">
        <is>
          <t>位置合わせ(MS指定)／単調補間</t>
        </is>
      </c>
      <c r="C1380" s="10" t="inlineStr">
        <is>
          <t>2024-09</t>
        </is>
      </c>
      <c r="D1380" s="10" t="n">
        <v>17</v>
      </c>
      <c r="E1380" s="12" t="n">
        <v>4128.5</v>
      </c>
      <c r="F1380" s="12" t="n">
        <v>3246</v>
      </c>
      <c r="G1380" s="12" t="n">
        <v>882.5</v>
      </c>
      <c r="H1380" s="13" t="n">
        <v>0.9781</v>
      </c>
      <c r="I1380" s="13" t="n">
        <v>0.9808</v>
      </c>
    </row>
    <row r="1381">
      <c r="A1381" s="10" t="inlineStr">
        <is>
          <t>PJ-2023-I</t>
        </is>
      </c>
      <c r="B1381" s="10" t="inlineStr">
        <is>
          <t>位置合わせ(MS指定)／単調補間</t>
        </is>
      </c>
      <c r="C1381" s="10" t="inlineStr">
        <is>
          <t>2024-10</t>
        </is>
      </c>
      <c r="D1381" s="10" t="n">
        <v>18</v>
      </c>
      <c r="E1381" s="12" t="n">
        <v>2484.1</v>
      </c>
      <c r="F1381" s="12" t="n">
        <v>2184.9</v>
      </c>
      <c r="G1381" s="12" t="n">
        <v>299.2</v>
      </c>
      <c r="H1381" s="13" t="n">
        <v>1</v>
      </c>
      <c r="I1381" s="13" t="n">
        <v>1</v>
      </c>
    </row>
    <row r="1382">
      <c r="A1382" s="10" t="inlineStr">
        <is>
          <t>PJ-2024-J</t>
        </is>
      </c>
      <c r="B1382" s="10" t="inlineStr">
        <is>
          <t>素朴版／月内均等</t>
        </is>
      </c>
      <c r="C1382" s="10" t="inlineStr">
        <is>
          <t>2024-01</t>
        </is>
      </c>
      <c r="D1382" s="10" t="n">
        <v>1</v>
      </c>
      <c r="E1382" s="12" t="n">
        <v>5031.5</v>
      </c>
      <c r="F1382" s="12" t="n">
        <v>348</v>
      </c>
      <c r="G1382" s="12" t="n">
        <v>4683.5</v>
      </c>
      <c r="H1382" s="13" t="n">
        <v>0.0145</v>
      </c>
      <c r="I1382" s="13" t="n">
        <v>0.001</v>
      </c>
    </row>
    <row r="1383">
      <c r="A1383" s="10" t="inlineStr">
        <is>
          <t>PJ-2024-J</t>
        </is>
      </c>
      <c r="B1383" s="10" t="inlineStr">
        <is>
          <t>素朴版／月内均等</t>
        </is>
      </c>
      <c r="C1383" s="10" t="inlineStr">
        <is>
          <t>2024-02</t>
        </is>
      </c>
      <c r="D1383" s="10" t="n">
        <v>2</v>
      </c>
      <c r="E1383" s="12" t="n">
        <v>5710.3</v>
      </c>
      <c r="F1383" s="12" t="n">
        <v>930.5</v>
      </c>
      <c r="G1383" s="12" t="n">
        <v>4779.8</v>
      </c>
      <c r="H1383" s="13" t="n">
        <v>0.031</v>
      </c>
      <c r="I1383" s="13" t="n">
        <v>0.0037</v>
      </c>
    </row>
    <row r="1384">
      <c r="A1384" s="10" t="inlineStr">
        <is>
          <t>PJ-2024-J</t>
        </is>
      </c>
      <c r="B1384" s="10" t="inlineStr">
        <is>
          <t>素朴版／月内均等</t>
        </is>
      </c>
      <c r="C1384" s="10" t="inlineStr">
        <is>
          <t>2024-03</t>
        </is>
      </c>
      <c r="D1384" s="10" t="n">
        <v>3</v>
      </c>
      <c r="E1384" s="12" t="n">
        <v>7043.5</v>
      </c>
      <c r="F1384" s="12" t="n">
        <v>1612.9</v>
      </c>
      <c r="G1384" s="12" t="n">
        <v>5430.6</v>
      </c>
      <c r="H1384" s="13" t="n">
        <v>0.0514</v>
      </c>
      <c r="I1384" s="13" t="n">
        <v>0.008399999999999999</v>
      </c>
    </row>
    <row r="1385">
      <c r="A1385" s="10" t="inlineStr">
        <is>
          <t>PJ-2024-J</t>
        </is>
      </c>
      <c r="B1385" s="10" t="inlineStr">
        <is>
          <t>素朴版／月内均等</t>
        </is>
      </c>
      <c r="C1385" s="10" t="inlineStr">
        <is>
          <t>2024-04</t>
        </is>
      </c>
      <c r="D1385" s="10" t="n">
        <v>4</v>
      </c>
      <c r="E1385" s="12" t="n">
        <v>7333.8</v>
      </c>
      <c r="F1385" s="12" t="n">
        <v>2251.7</v>
      </c>
      <c r="G1385" s="12" t="n">
        <v>5082.1</v>
      </c>
      <c r="H1385" s="13" t="n">
        <v>0.0726</v>
      </c>
      <c r="I1385" s="13" t="n">
        <v>0.0149</v>
      </c>
    </row>
    <row r="1386">
      <c r="A1386" s="10" t="inlineStr">
        <is>
          <t>PJ-2024-J</t>
        </is>
      </c>
      <c r="B1386" s="10" t="inlineStr">
        <is>
          <t>素朴版／月内均等</t>
        </is>
      </c>
      <c r="C1386" s="10" t="inlineStr">
        <is>
          <t>2024-05</t>
        </is>
      </c>
      <c r="D1386" s="10" t="n">
        <v>5</v>
      </c>
      <c r="E1386" s="12" t="n">
        <v>8286.299999999999</v>
      </c>
      <c r="F1386" s="12" t="n">
        <v>2953</v>
      </c>
      <c r="G1386" s="12" t="n">
        <v>5333.3</v>
      </c>
      <c r="H1386" s="13" t="n">
        <v>0.0965</v>
      </c>
      <c r="I1386" s="13" t="n">
        <v>0.0234</v>
      </c>
    </row>
    <row r="1387">
      <c r="A1387" s="10" t="inlineStr">
        <is>
          <t>PJ-2024-J</t>
        </is>
      </c>
      <c r="B1387" s="10" t="inlineStr">
        <is>
          <t>素朴版／月内均等</t>
        </is>
      </c>
      <c r="C1387" s="10" t="inlineStr">
        <is>
          <t>2024-06</t>
        </is>
      </c>
      <c r="D1387" s="10" t="n">
        <v>6</v>
      </c>
      <c r="E1387" s="12" t="n">
        <v>8230.4</v>
      </c>
      <c r="F1387" s="12" t="n">
        <v>3308.8</v>
      </c>
      <c r="G1387" s="12" t="n">
        <v>4921.6</v>
      </c>
      <c r="H1387" s="13" t="n">
        <v>0.1203</v>
      </c>
      <c r="I1387" s="13" t="n">
        <v>0.033</v>
      </c>
    </row>
    <row r="1388">
      <c r="A1388" s="10" t="inlineStr">
        <is>
          <t>PJ-2024-J</t>
        </is>
      </c>
      <c r="B1388" s="10" t="inlineStr">
        <is>
          <t>素朴版／月内均等</t>
        </is>
      </c>
      <c r="C1388" s="10" t="inlineStr">
        <is>
          <t>2024-07</t>
        </is>
      </c>
      <c r="D1388" s="10" t="n">
        <v>7</v>
      </c>
      <c r="E1388" s="12" t="n">
        <v>9063.299999999999</v>
      </c>
      <c r="F1388" s="12" t="n">
        <v>4157.3</v>
      </c>
      <c r="G1388" s="12" t="n">
        <v>4906</v>
      </c>
      <c r="H1388" s="13" t="n">
        <v>0.1465</v>
      </c>
      <c r="I1388" s="13" t="n">
        <v>0.045</v>
      </c>
    </row>
    <row r="1389">
      <c r="A1389" s="10" t="inlineStr">
        <is>
          <t>PJ-2024-J</t>
        </is>
      </c>
      <c r="B1389" s="10" t="inlineStr">
        <is>
          <t>素朴版／月内均等</t>
        </is>
      </c>
      <c r="C1389" s="10" t="inlineStr">
        <is>
          <t>2024-08</t>
        </is>
      </c>
      <c r="D1389" s="10" t="n">
        <v>8</v>
      </c>
      <c r="E1389" s="12" t="n">
        <v>9927.200000000001</v>
      </c>
      <c r="F1389" s="12" t="n">
        <v>5704.7</v>
      </c>
      <c r="G1389" s="12" t="n">
        <v>4222.5</v>
      </c>
      <c r="H1389" s="13" t="n">
        <v>0.1752</v>
      </c>
      <c r="I1389" s="13" t="n">
        <v>0.0615</v>
      </c>
    </row>
    <row r="1390">
      <c r="A1390" s="10" t="inlineStr">
        <is>
          <t>PJ-2024-J</t>
        </is>
      </c>
      <c r="B1390" s="10" t="inlineStr">
        <is>
          <t>素朴版／月内均等</t>
        </is>
      </c>
      <c r="C1390" s="10" t="inlineStr">
        <is>
          <t>2024-09</t>
        </is>
      </c>
      <c r="D1390" s="10" t="n">
        <v>9</v>
      </c>
      <c r="E1390" s="12" t="n">
        <v>11317.3</v>
      </c>
      <c r="F1390" s="12" t="n">
        <v>6443.3</v>
      </c>
      <c r="G1390" s="12" t="n">
        <v>4874</v>
      </c>
      <c r="H1390" s="13" t="n">
        <v>0.2079</v>
      </c>
      <c r="I1390" s="13" t="n">
        <v>0.0801</v>
      </c>
    </row>
    <row r="1391">
      <c r="A1391" s="10" t="inlineStr">
        <is>
          <t>PJ-2024-J</t>
        </is>
      </c>
      <c r="B1391" s="10" t="inlineStr">
        <is>
          <t>素朴版／月内均等</t>
        </is>
      </c>
      <c r="C1391" s="10" t="inlineStr">
        <is>
          <t>2024-10</t>
        </is>
      </c>
      <c r="D1391" s="10" t="n">
        <v>10</v>
      </c>
      <c r="E1391" s="12" t="n">
        <v>12868</v>
      </c>
      <c r="F1391" s="12" t="n">
        <v>7892.9</v>
      </c>
      <c r="G1391" s="12" t="n">
        <v>4975.1</v>
      </c>
      <c r="H1391" s="13" t="n">
        <v>0.2451</v>
      </c>
      <c r="I1391" s="13" t="n">
        <v>0.1029</v>
      </c>
    </row>
    <row r="1392">
      <c r="A1392" s="10" t="inlineStr">
        <is>
          <t>PJ-2024-J</t>
        </is>
      </c>
      <c r="B1392" s="10" t="inlineStr">
        <is>
          <t>素朴版／月内均等</t>
        </is>
      </c>
      <c r="C1392" s="10" t="inlineStr">
        <is>
          <t>2024-11</t>
        </is>
      </c>
      <c r="D1392" s="10" t="n">
        <v>11</v>
      </c>
      <c r="E1392" s="12" t="n">
        <v>13600.9</v>
      </c>
      <c r="F1392" s="12" t="n">
        <v>9044.6</v>
      </c>
      <c r="G1392" s="12" t="n">
        <v>4556.3</v>
      </c>
      <c r="H1392" s="13" t="n">
        <v>0.2844</v>
      </c>
      <c r="I1392" s="13" t="n">
        <v>0.129</v>
      </c>
    </row>
    <row r="1393">
      <c r="A1393" s="10" t="inlineStr">
        <is>
          <t>PJ-2024-J</t>
        </is>
      </c>
      <c r="B1393" s="10" t="inlineStr">
        <is>
          <t>素朴版／月内均等</t>
        </is>
      </c>
      <c r="C1393" s="10" t="inlineStr">
        <is>
          <t>2024-12</t>
        </is>
      </c>
      <c r="D1393" s="10" t="n">
        <v>12</v>
      </c>
      <c r="E1393" s="12" t="n">
        <v>15198.9</v>
      </c>
      <c r="F1393" s="12" t="n">
        <v>9905.1</v>
      </c>
      <c r="G1393" s="12" t="n">
        <v>5293.8</v>
      </c>
      <c r="H1393" s="13" t="n">
        <v>0.3283</v>
      </c>
      <c r="I1393" s="13" t="n">
        <v>0.1577</v>
      </c>
    </row>
    <row r="1394">
      <c r="A1394" s="10" t="inlineStr">
        <is>
          <t>PJ-2024-J</t>
        </is>
      </c>
      <c r="B1394" s="10" t="inlineStr">
        <is>
          <t>素朴版／月内均等</t>
        </is>
      </c>
      <c r="C1394" s="10" t="inlineStr">
        <is>
          <t>2025-01</t>
        </is>
      </c>
      <c r="D1394" s="10" t="n">
        <v>13</v>
      </c>
      <c r="E1394" s="12" t="n">
        <v>15355.1</v>
      </c>
      <c r="F1394" s="12" t="n">
        <v>10668.8</v>
      </c>
      <c r="G1394" s="12" t="n">
        <v>4686.3</v>
      </c>
      <c r="H1394" s="13" t="n">
        <v>0.3727</v>
      </c>
      <c r="I1394" s="13" t="n">
        <v>0.1885</v>
      </c>
    </row>
    <row r="1395">
      <c r="A1395" s="10" t="inlineStr">
        <is>
          <t>PJ-2024-J</t>
        </is>
      </c>
      <c r="B1395" s="10" t="inlineStr">
        <is>
          <t>素朴版／月内均等</t>
        </is>
      </c>
      <c r="C1395" s="10" t="inlineStr">
        <is>
          <t>2025-02</t>
        </is>
      </c>
      <c r="D1395" s="10" t="n">
        <v>14</v>
      </c>
      <c r="E1395" s="12" t="n">
        <v>12950.5</v>
      </c>
      <c r="F1395" s="12" t="n">
        <v>10918.3</v>
      </c>
      <c r="G1395" s="12" t="n">
        <v>2032.2</v>
      </c>
      <c r="H1395" s="13" t="n">
        <v>0.4101</v>
      </c>
      <c r="I1395" s="13" t="n">
        <v>0.22</v>
      </c>
    </row>
    <row r="1396">
      <c r="A1396" s="10" t="inlineStr">
        <is>
          <t>PJ-2024-J</t>
        </is>
      </c>
      <c r="B1396" s="10" t="inlineStr">
        <is>
          <t>素朴版／月内均等</t>
        </is>
      </c>
      <c r="C1396" s="10" t="inlineStr">
        <is>
          <t>2025-03</t>
        </is>
      </c>
      <c r="D1396" s="10" t="n">
        <v>15</v>
      </c>
      <c r="E1396" s="12" t="n">
        <v>13769.8</v>
      </c>
      <c r="F1396" s="12" t="n">
        <v>13702.5</v>
      </c>
      <c r="G1396" s="12" t="n">
        <v>67.3</v>
      </c>
      <c r="H1396" s="13" t="n">
        <v>0.4499</v>
      </c>
      <c r="I1396" s="13" t="n">
        <v>0.2596</v>
      </c>
    </row>
    <row r="1397">
      <c r="A1397" s="10" t="inlineStr">
        <is>
          <t>PJ-2024-J</t>
        </is>
      </c>
      <c r="B1397" s="10" t="inlineStr">
        <is>
          <t>素朴版／月内均等</t>
        </is>
      </c>
      <c r="C1397" s="10" t="inlineStr">
        <is>
          <t>2025-04</t>
        </is>
      </c>
      <c r="D1397" s="10" t="n">
        <v>16</v>
      </c>
      <c r="E1397" s="12" t="n">
        <v>14872.4</v>
      </c>
      <c r="F1397" s="12" t="n">
        <v>18909.3</v>
      </c>
      <c r="G1397" s="12" t="n">
        <v>-4036.9</v>
      </c>
      <c r="H1397" s="13" t="n">
        <v>0.4929</v>
      </c>
      <c r="I1397" s="13" t="n">
        <v>0.3143</v>
      </c>
    </row>
    <row r="1398">
      <c r="A1398" s="10" t="inlineStr">
        <is>
          <t>PJ-2024-J</t>
        </is>
      </c>
      <c r="B1398" s="10" t="inlineStr">
        <is>
          <t>素朴版／月内均等</t>
        </is>
      </c>
      <c r="C1398" s="10" t="inlineStr">
        <is>
          <t>2025-05</t>
        </is>
      </c>
      <c r="D1398" s="10" t="n">
        <v>17</v>
      </c>
      <c r="E1398" s="12" t="n">
        <v>15069.1</v>
      </c>
      <c r="F1398" s="12" t="n">
        <v>26126.9</v>
      </c>
      <c r="G1398" s="12" t="n">
        <v>-11057.8</v>
      </c>
      <c r="H1398" s="13" t="n">
        <v>0.5365</v>
      </c>
      <c r="I1398" s="13" t="n">
        <v>0.3898</v>
      </c>
    </row>
    <row r="1399">
      <c r="A1399" s="10" t="inlineStr">
        <is>
          <t>PJ-2024-J</t>
        </is>
      </c>
      <c r="B1399" s="10" t="inlineStr">
        <is>
          <t>素朴版／月内均等</t>
        </is>
      </c>
      <c r="C1399" s="10" t="inlineStr">
        <is>
          <t>2025-06</t>
        </is>
      </c>
      <c r="D1399" s="10" t="n">
        <v>18</v>
      </c>
      <c r="E1399" s="12" t="n">
        <v>15110</v>
      </c>
      <c r="F1399" s="12" t="n">
        <v>31246.9</v>
      </c>
      <c r="G1399" s="12" t="n">
        <v>-16136.9</v>
      </c>
      <c r="H1399" s="13" t="n">
        <v>0.5800999999999999</v>
      </c>
      <c r="I1399" s="13" t="n">
        <v>0.4801</v>
      </c>
    </row>
    <row r="1400">
      <c r="A1400" s="10" t="inlineStr">
        <is>
          <t>PJ-2024-J</t>
        </is>
      </c>
      <c r="B1400" s="10" t="inlineStr">
        <is>
          <t>素朴版／月内均等</t>
        </is>
      </c>
      <c r="C1400" s="10" t="inlineStr">
        <is>
          <t>2025-07</t>
        </is>
      </c>
      <c r="D1400" s="10" t="n">
        <v>19</v>
      </c>
      <c r="E1400" s="12" t="n">
        <v>16681.1</v>
      </c>
      <c r="F1400" s="12" t="n">
        <v>28601.2</v>
      </c>
      <c r="G1400" s="12" t="n">
        <v>-11920.1</v>
      </c>
      <c r="H1400" s="13" t="n">
        <v>0.6284</v>
      </c>
      <c r="I1400" s="13" t="n">
        <v>0.5628</v>
      </c>
    </row>
    <row r="1401">
      <c r="A1401" s="10" t="inlineStr">
        <is>
          <t>PJ-2024-J</t>
        </is>
      </c>
      <c r="B1401" s="10" t="inlineStr">
        <is>
          <t>素朴版／月内均等</t>
        </is>
      </c>
      <c r="C1401" s="10" t="inlineStr">
        <is>
          <t>2025-08</t>
        </is>
      </c>
      <c r="D1401" s="10" t="n">
        <v>20</v>
      </c>
      <c r="E1401" s="12" t="n">
        <v>16671.9</v>
      </c>
      <c r="F1401" s="12" t="n">
        <v>25939.3</v>
      </c>
      <c r="G1401" s="12" t="n">
        <v>-9267.4</v>
      </c>
      <c r="H1401" s="13" t="n">
        <v>0.6765</v>
      </c>
      <c r="I1401" s="13" t="n">
        <v>0.6377</v>
      </c>
    </row>
    <row r="1402">
      <c r="A1402" s="10" t="inlineStr">
        <is>
          <t>PJ-2024-J</t>
        </is>
      </c>
      <c r="B1402" s="10" t="inlineStr">
        <is>
          <t>素朴版／月内均等</t>
        </is>
      </c>
      <c r="C1402" s="10" t="inlineStr">
        <is>
          <t>2025-09</t>
        </is>
      </c>
      <c r="D1402" s="10" t="n">
        <v>21</v>
      </c>
      <c r="E1402" s="12" t="n">
        <v>14995.1</v>
      </c>
      <c r="F1402" s="12" t="n">
        <v>20944.7</v>
      </c>
      <c r="G1402" s="12" t="n">
        <v>-5949.6</v>
      </c>
      <c r="H1402" s="13" t="n">
        <v>0.7199</v>
      </c>
      <c r="I1402" s="13" t="n">
        <v>0.6983</v>
      </c>
    </row>
    <row r="1403">
      <c r="A1403" s="10" t="inlineStr">
        <is>
          <t>PJ-2024-J</t>
        </is>
      </c>
      <c r="B1403" s="10" t="inlineStr">
        <is>
          <t>素朴版／月内均等</t>
        </is>
      </c>
      <c r="C1403" s="10" t="inlineStr">
        <is>
          <t>2025-10</t>
        </is>
      </c>
      <c r="D1403" s="10" t="n">
        <v>22</v>
      </c>
      <c r="E1403" s="12" t="n">
        <v>15350.6</v>
      </c>
      <c r="F1403" s="12" t="n">
        <v>14367.8</v>
      </c>
      <c r="G1403" s="12" t="n">
        <v>982.8</v>
      </c>
      <c r="H1403" s="13" t="n">
        <v>0.7642</v>
      </c>
      <c r="I1403" s="13" t="n">
        <v>0.7398</v>
      </c>
    </row>
    <row r="1404">
      <c r="A1404" s="10" t="inlineStr">
        <is>
          <t>PJ-2024-J</t>
        </is>
      </c>
      <c r="B1404" s="10" t="inlineStr">
        <is>
          <t>素朴版／月内均等</t>
        </is>
      </c>
      <c r="C1404" s="10" t="inlineStr">
        <is>
          <t>2025-11</t>
        </is>
      </c>
      <c r="D1404" s="10" t="n">
        <v>23</v>
      </c>
      <c r="E1404" s="12" t="n">
        <v>14255.1</v>
      </c>
      <c r="F1404" s="12" t="n">
        <v>16461.6</v>
      </c>
      <c r="G1404" s="12" t="n">
        <v>-2206.5</v>
      </c>
      <c r="H1404" s="13" t="n">
        <v>0.8054</v>
      </c>
      <c r="I1404" s="13" t="n">
        <v>0.7874</v>
      </c>
    </row>
    <row r="1405">
      <c r="A1405" s="10" t="inlineStr">
        <is>
          <t>PJ-2024-J</t>
        </is>
      </c>
      <c r="B1405" s="10" t="inlineStr">
        <is>
          <t>素朴版／月内均等</t>
        </is>
      </c>
      <c r="C1405" s="10" t="inlineStr">
        <is>
          <t>2025-12</t>
        </is>
      </c>
      <c r="D1405" s="10" t="n">
        <v>24</v>
      </c>
      <c r="E1405" s="12" t="n">
        <v>15124.2</v>
      </c>
      <c r="F1405" s="12" t="n">
        <v>17876.1</v>
      </c>
      <c r="G1405" s="12" t="n">
        <v>-2751.9</v>
      </c>
      <c r="H1405" s="13" t="n">
        <v>0.8491</v>
      </c>
      <c r="I1405" s="13" t="n">
        <v>0.839</v>
      </c>
    </row>
    <row r="1406">
      <c r="A1406" s="10" t="inlineStr">
        <is>
          <t>PJ-2024-J</t>
        </is>
      </c>
      <c r="B1406" s="10" t="inlineStr">
        <is>
          <t>素朴版／月内均等</t>
        </is>
      </c>
      <c r="C1406" s="10" t="inlineStr">
        <is>
          <t>2026-01</t>
        </is>
      </c>
      <c r="D1406" s="10" t="n">
        <v>25</v>
      </c>
      <c r="E1406" s="12" t="n">
        <v>14059</v>
      </c>
      <c r="F1406" s="12" t="n">
        <v>14931.3</v>
      </c>
      <c r="G1406" s="12" t="n">
        <v>-872.3</v>
      </c>
      <c r="H1406" s="13" t="n">
        <v>0.8898</v>
      </c>
      <c r="I1406" s="13" t="n">
        <v>0.8822</v>
      </c>
    </row>
    <row r="1407">
      <c r="A1407" s="10" t="inlineStr">
        <is>
          <t>PJ-2024-J</t>
        </is>
      </c>
      <c r="B1407" s="10" t="inlineStr">
        <is>
          <t>素朴版／月内均等</t>
        </is>
      </c>
      <c r="C1407" s="10" t="inlineStr">
        <is>
          <t>2026-02</t>
        </is>
      </c>
      <c r="D1407" s="10" t="n">
        <v>26</v>
      </c>
      <c r="E1407" s="12" t="n">
        <v>10912.7</v>
      </c>
      <c r="F1407" s="12" t="n">
        <v>10014.8</v>
      </c>
      <c r="G1407" s="12" t="n">
        <v>897.9</v>
      </c>
      <c r="H1407" s="13" t="n">
        <v>0.9213</v>
      </c>
      <c r="I1407" s="13" t="n">
        <v>0.9111</v>
      </c>
    </row>
    <row r="1408">
      <c r="A1408" s="10" t="inlineStr">
        <is>
          <t>PJ-2024-J</t>
        </is>
      </c>
      <c r="B1408" s="10" t="inlineStr">
        <is>
          <t>素朴版／月内均等</t>
        </is>
      </c>
      <c r="C1408" s="10" t="inlineStr">
        <is>
          <t>2026-03</t>
        </is>
      </c>
      <c r="D1408" s="10" t="n">
        <v>27</v>
      </c>
      <c r="E1408" s="12" t="n">
        <v>9709.700000000001</v>
      </c>
      <c r="F1408" s="12" t="n">
        <v>9594.1</v>
      </c>
      <c r="G1408" s="12" t="n">
        <v>115.6</v>
      </c>
      <c r="H1408" s="13" t="n">
        <v>0.9494</v>
      </c>
      <c r="I1408" s="13" t="n">
        <v>0.9389</v>
      </c>
    </row>
    <row r="1409">
      <c r="A1409" s="10" t="inlineStr">
        <is>
          <t>PJ-2024-J</t>
        </is>
      </c>
      <c r="B1409" s="10" t="inlineStr">
        <is>
          <t>素朴版／月内均等</t>
        </is>
      </c>
      <c r="C1409" s="10" t="inlineStr">
        <is>
          <t>2026-04</t>
        </is>
      </c>
      <c r="D1409" s="10" t="n">
        <v>28</v>
      </c>
      <c r="E1409" s="12" t="n">
        <v>8009.9</v>
      </c>
      <c r="F1409" s="12" t="n">
        <v>7976.6</v>
      </c>
      <c r="G1409" s="12" t="n">
        <v>33.3</v>
      </c>
      <c r="H1409" s="13" t="n">
        <v>0.9725</v>
      </c>
      <c r="I1409" s="13" t="n">
        <v>0.9619</v>
      </c>
    </row>
    <row r="1410">
      <c r="A1410" s="10" t="inlineStr">
        <is>
          <t>PJ-2024-J</t>
        </is>
      </c>
      <c r="B1410" s="10" t="inlineStr">
        <is>
          <t>素朴版／月内均等</t>
        </is>
      </c>
      <c r="C1410" s="10" t="inlineStr">
        <is>
          <t>2026-05</t>
        </is>
      </c>
      <c r="D1410" s="10" t="n">
        <v>29</v>
      </c>
      <c r="E1410" s="12" t="n">
        <v>5800.7</v>
      </c>
      <c r="F1410" s="12" t="n">
        <v>10449.5</v>
      </c>
      <c r="G1410" s="12" t="n">
        <v>-4648.8</v>
      </c>
      <c r="H1410" s="13" t="n">
        <v>0.9893</v>
      </c>
      <c r="I1410" s="13" t="n">
        <v>0.9921</v>
      </c>
    </row>
    <row r="1411">
      <c r="A1411" s="10" t="inlineStr">
        <is>
          <t>PJ-2024-J</t>
        </is>
      </c>
      <c r="B1411" s="10" t="inlineStr">
        <is>
          <t>素朴版／月内均等</t>
        </is>
      </c>
      <c r="C1411" s="10" t="inlineStr">
        <is>
          <t>2026-06</t>
        </is>
      </c>
      <c r="D1411" s="10" t="n">
        <v>30</v>
      </c>
      <c r="E1411" s="12" t="n">
        <v>3706.7</v>
      </c>
      <c r="F1411" s="12" t="n">
        <v>2732.1</v>
      </c>
      <c r="G1411" s="12" t="n">
        <v>974.6</v>
      </c>
      <c r="H1411" s="13" t="n">
        <v>1</v>
      </c>
      <c r="I1411" s="13" t="n">
        <v>1</v>
      </c>
    </row>
    <row r="1412">
      <c r="A1412" s="10" t="inlineStr">
        <is>
          <t>PJ-2024-J</t>
        </is>
      </c>
      <c r="B1412" s="10" t="inlineStr">
        <is>
          <t>位置合わせ(MS学習値)／月内均等</t>
        </is>
      </c>
      <c r="C1412" s="10" t="inlineStr">
        <is>
          <t>2024-01</t>
        </is>
      </c>
      <c r="D1412" s="10" t="n">
        <v>1</v>
      </c>
      <c r="E1412" s="12" t="n">
        <v>5041.8</v>
      </c>
      <c r="F1412" s="12" t="n">
        <v>348</v>
      </c>
      <c r="G1412" s="12" t="n">
        <v>4693.8</v>
      </c>
      <c r="H1412" s="13" t="n">
        <v>0.0146</v>
      </c>
      <c r="I1412" s="13" t="n">
        <v>0.001</v>
      </c>
    </row>
    <row r="1413">
      <c r="A1413" s="10" t="inlineStr">
        <is>
          <t>PJ-2024-J</t>
        </is>
      </c>
      <c r="B1413" s="10" t="inlineStr">
        <is>
          <t>位置合わせ(MS学習値)／月内均等</t>
        </is>
      </c>
      <c r="C1413" s="10" t="inlineStr">
        <is>
          <t>2024-02</t>
        </is>
      </c>
      <c r="D1413" s="10" t="n">
        <v>2</v>
      </c>
      <c r="E1413" s="12" t="n">
        <v>5616.6</v>
      </c>
      <c r="F1413" s="12" t="n">
        <v>930.5</v>
      </c>
      <c r="G1413" s="12" t="n">
        <v>4686.1</v>
      </c>
      <c r="H1413" s="13" t="n">
        <v>0.0308</v>
      </c>
      <c r="I1413" s="13" t="n">
        <v>0.0037</v>
      </c>
    </row>
    <row r="1414">
      <c r="A1414" s="10" t="inlineStr">
        <is>
          <t>PJ-2024-J</t>
        </is>
      </c>
      <c r="B1414" s="10" t="inlineStr">
        <is>
          <t>位置合わせ(MS学習値)／月内均等</t>
        </is>
      </c>
      <c r="C1414" s="10" t="inlineStr">
        <is>
          <t>2024-03</t>
        </is>
      </c>
      <c r="D1414" s="10" t="n">
        <v>3</v>
      </c>
      <c r="E1414" s="12" t="n">
        <v>7008.9</v>
      </c>
      <c r="F1414" s="12" t="n">
        <v>1612.9</v>
      </c>
      <c r="G1414" s="12" t="n">
        <v>5396</v>
      </c>
      <c r="H1414" s="13" t="n">
        <v>0.0511</v>
      </c>
      <c r="I1414" s="13" t="n">
        <v>0.008399999999999999</v>
      </c>
    </row>
    <row r="1415">
      <c r="A1415" s="10" t="inlineStr">
        <is>
          <t>PJ-2024-J</t>
        </is>
      </c>
      <c r="B1415" s="10" t="inlineStr">
        <is>
          <t>位置合わせ(MS学習値)／月内均等</t>
        </is>
      </c>
      <c r="C1415" s="10" t="inlineStr">
        <is>
          <t>2024-04</t>
        </is>
      </c>
      <c r="D1415" s="10" t="n">
        <v>4</v>
      </c>
      <c r="E1415" s="12" t="n">
        <v>7248.5</v>
      </c>
      <c r="F1415" s="12" t="n">
        <v>2251.7</v>
      </c>
      <c r="G1415" s="12" t="n">
        <v>4996.8</v>
      </c>
      <c r="H1415" s="13" t="n">
        <v>0.07199999999999999</v>
      </c>
      <c r="I1415" s="13" t="n">
        <v>0.0149</v>
      </c>
    </row>
    <row r="1416">
      <c r="A1416" s="10" t="inlineStr">
        <is>
          <t>PJ-2024-J</t>
        </is>
      </c>
      <c r="B1416" s="10" t="inlineStr">
        <is>
          <t>位置合わせ(MS学習値)／月内均等</t>
        </is>
      </c>
      <c r="C1416" s="10" t="inlineStr">
        <is>
          <t>2024-05</t>
        </is>
      </c>
      <c r="D1416" s="10" t="n">
        <v>5</v>
      </c>
      <c r="E1416" s="12" t="n">
        <v>8101.1</v>
      </c>
      <c r="F1416" s="12" t="n">
        <v>2953</v>
      </c>
      <c r="G1416" s="12" t="n">
        <v>5148.1</v>
      </c>
      <c r="H1416" s="13" t="n">
        <v>0.0954</v>
      </c>
      <c r="I1416" s="13" t="n">
        <v>0.0234</v>
      </c>
    </row>
    <row r="1417">
      <c r="A1417" s="10" t="inlineStr">
        <is>
          <t>PJ-2024-J</t>
        </is>
      </c>
      <c r="B1417" s="10" t="inlineStr">
        <is>
          <t>位置合わせ(MS学習値)／月内均等</t>
        </is>
      </c>
      <c r="C1417" s="10" t="inlineStr">
        <is>
          <t>2024-06</t>
        </is>
      </c>
      <c r="D1417" s="10" t="n">
        <v>6</v>
      </c>
      <c r="E1417" s="12" t="n">
        <v>8181.8</v>
      </c>
      <c r="F1417" s="12" t="n">
        <v>3308.8</v>
      </c>
      <c r="G1417" s="12" t="n">
        <v>4873</v>
      </c>
      <c r="H1417" s="13" t="n">
        <v>0.1191</v>
      </c>
      <c r="I1417" s="13" t="n">
        <v>0.033</v>
      </c>
    </row>
    <row r="1418">
      <c r="A1418" s="10" t="inlineStr">
        <is>
          <t>PJ-2024-J</t>
        </is>
      </c>
      <c r="B1418" s="10" t="inlineStr">
        <is>
          <t>位置合わせ(MS学習値)／月内均等</t>
        </is>
      </c>
      <c r="C1418" s="10" t="inlineStr">
        <is>
          <t>2024-07</t>
        </is>
      </c>
      <c r="D1418" s="10" t="n">
        <v>7</v>
      </c>
      <c r="E1418" s="12" t="n">
        <v>8786.700000000001</v>
      </c>
      <c r="F1418" s="12" t="n">
        <v>4157.3</v>
      </c>
      <c r="G1418" s="12" t="n">
        <v>4629.4</v>
      </c>
      <c r="H1418" s="13" t="n">
        <v>0.1445</v>
      </c>
      <c r="I1418" s="13" t="n">
        <v>0.045</v>
      </c>
    </row>
    <row r="1419">
      <c r="A1419" s="10" t="inlineStr">
        <is>
          <t>PJ-2024-J</t>
        </is>
      </c>
      <c r="B1419" s="10" t="inlineStr">
        <is>
          <t>位置合わせ(MS学習値)／月内均等</t>
        </is>
      </c>
      <c r="C1419" s="10" t="inlineStr">
        <is>
          <t>2024-08</t>
        </is>
      </c>
      <c r="D1419" s="10" t="n">
        <v>8</v>
      </c>
      <c r="E1419" s="12" t="n">
        <v>9746.1</v>
      </c>
      <c r="F1419" s="12" t="n">
        <v>5704.7</v>
      </c>
      <c r="G1419" s="12" t="n">
        <v>4041.4</v>
      </c>
      <c r="H1419" s="13" t="n">
        <v>0.1726</v>
      </c>
      <c r="I1419" s="13" t="n">
        <v>0.0615</v>
      </c>
    </row>
    <row r="1420">
      <c r="A1420" s="10" t="inlineStr">
        <is>
          <t>PJ-2024-J</t>
        </is>
      </c>
      <c r="B1420" s="10" t="inlineStr">
        <is>
          <t>位置合わせ(MS学習値)／月内均等</t>
        </is>
      </c>
      <c r="C1420" s="10" t="inlineStr">
        <is>
          <t>2024-09</t>
        </is>
      </c>
      <c r="D1420" s="10" t="n">
        <v>9</v>
      </c>
      <c r="E1420" s="12" t="n">
        <v>10083.6</v>
      </c>
      <c r="F1420" s="12" t="n">
        <v>6443.3</v>
      </c>
      <c r="G1420" s="12" t="n">
        <v>3640.3</v>
      </c>
      <c r="H1420" s="13" t="n">
        <v>0.2018</v>
      </c>
      <c r="I1420" s="13" t="n">
        <v>0.0801</v>
      </c>
    </row>
    <row r="1421">
      <c r="A1421" s="10" t="inlineStr">
        <is>
          <t>PJ-2024-J</t>
        </is>
      </c>
      <c r="B1421" s="10" t="inlineStr">
        <is>
          <t>位置合わせ(MS学習値)／月内均等</t>
        </is>
      </c>
      <c r="C1421" s="10" t="inlineStr">
        <is>
          <t>2024-10</t>
        </is>
      </c>
      <c r="D1421" s="10" t="n">
        <v>10</v>
      </c>
      <c r="E1421" s="12" t="n">
        <v>12059.5</v>
      </c>
      <c r="F1421" s="12" t="n">
        <v>7892.9</v>
      </c>
      <c r="G1421" s="12" t="n">
        <v>4166.6</v>
      </c>
      <c r="H1421" s="13" t="n">
        <v>0.2366</v>
      </c>
      <c r="I1421" s="13" t="n">
        <v>0.1029</v>
      </c>
    </row>
    <row r="1422">
      <c r="A1422" s="10" t="inlineStr">
        <is>
          <t>PJ-2024-J</t>
        </is>
      </c>
      <c r="B1422" s="10" t="inlineStr">
        <is>
          <t>位置合わせ(MS学習値)／月内均等</t>
        </is>
      </c>
      <c r="C1422" s="10" t="inlineStr">
        <is>
          <t>2024-11</t>
        </is>
      </c>
      <c r="D1422" s="10" t="n">
        <v>11</v>
      </c>
      <c r="E1422" s="12" t="n">
        <v>12736.2</v>
      </c>
      <c r="F1422" s="12" t="n">
        <v>9044.6</v>
      </c>
      <c r="G1422" s="12" t="n">
        <v>3691.6</v>
      </c>
      <c r="H1422" s="13" t="n">
        <v>0.2734</v>
      </c>
      <c r="I1422" s="13" t="n">
        <v>0.129</v>
      </c>
    </row>
    <row r="1423">
      <c r="A1423" s="10" t="inlineStr">
        <is>
          <t>PJ-2024-J</t>
        </is>
      </c>
      <c r="B1423" s="10" t="inlineStr">
        <is>
          <t>位置合わせ(MS学習値)／月内均等</t>
        </is>
      </c>
      <c r="C1423" s="10" t="inlineStr">
        <is>
          <t>2024-12</t>
        </is>
      </c>
      <c r="D1423" s="10" t="n">
        <v>12</v>
      </c>
      <c r="E1423" s="12" t="n">
        <v>13914.4</v>
      </c>
      <c r="F1423" s="12" t="n">
        <v>9905.1</v>
      </c>
      <c r="G1423" s="12" t="n">
        <v>4009.3</v>
      </c>
      <c r="H1423" s="13" t="n">
        <v>0.3136</v>
      </c>
      <c r="I1423" s="13" t="n">
        <v>0.1577</v>
      </c>
    </row>
    <row r="1424">
      <c r="A1424" s="10" t="inlineStr">
        <is>
          <t>PJ-2024-J</t>
        </is>
      </c>
      <c r="B1424" s="10" t="inlineStr">
        <is>
          <t>位置合わせ(MS学習値)／月内均等</t>
        </is>
      </c>
      <c r="C1424" s="10" t="inlineStr">
        <is>
          <t>2025-01</t>
        </is>
      </c>
      <c r="D1424" s="10" t="n">
        <v>13</v>
      </c>
      <c r="E1424" s="12" t="n">
        <v>15089.8</v>
      </c>
      <c r="F1424" s="12" t="n">
        <v>10668.8</v>
      </c>
      <c r="G1424" s="12" t="n">
        <v>4421</v>
      </c>
      <c r="H1424" s="13" t="n">
        <v>0.3573</v>
      </c>
      <c r="I1424" s="13" t="n">
        <v>0.1885</v>
      </c>
    </row>
    <row r="1425">
      <c r="A1425" s="10" t="inlineStr">
        <is>
          <t>PJ-2024-J</t>
        </is>
      </c>
      <c r="B1425" s="10" t="inlineStr">
        <is>
          <t>位置合わせ(MS学習値)／月内均等</t>
        </is>
      </c>
      <c r="C1425" s="10" t="inlineStr">
        <is>
          <t>2025-02</t>
        </is>
      </c>
      <c r="D1425" s="10" t="n">
        <v>14</v>
      </c>
      <c r="E1425" s="12" t="n">
        <v>14193.1</v>
      </c>
      <c r="F1425" s="12" t="n">
        <v>10918.3</v>
      </c>
      <c r="G1425" s="12" t="n">
        <v>3274.8</v>
      </c>
      <c r="H1425" s="13" t="n">
        <v>0.3983</v>
      </c>
      <c r="I1425" s="13" t="n">
        <v>0.22</v>
      </c>
    </row>
    <row r="1426">
      <c r="A1426" s="10" t="inlineStr">
        <is>
          <t>PJ-2024-J</t>
        </is>
      </c>
      <c r="B1426" s="10" t="inlineStr">
        <is>
          <t>位置合わせ(MS学習値)／月内均等</t>
        </is>
      </c>
      <c r="C1426" s="10" t="inlineStr">
        <is>
          <t>2025-03</t>
        </is>
      </c>
      <c r="D1426" s="10" t="n">
        <v>15</v>
      </c>
      <c r="E1426" s="12" t="n">
        <v>17362.3</v>
      </c>
      <c r="F1426" s="12" t="n">
        <v>13702.5</v>
      </c>
      <c r="G1426" s="12" t="n">
        <v>3659.8</v>
      </c>
      <c r="H1426" s="13" t="n">
        <v>0.4485</v>
      </c>
      <c r="I1426" s="13" t="n">
        <v>0.2596</v>
      </c>
    </row>
    <row r="1427">
      <c r="A1427" s="10" t="inlineStr">
        <is>
          <t>PJ-2024-J</t>
        </is>
      </c>
      <c r="B1427" s="10" t="inlineStr">
        <is>
          <t>位置合わせ(MS学習値)／月内均等</t>
        </is>
      </c>
      <c r="C1427" s="10" t="inlineStr">
        <is>
          <t>2025-04</t>
        </is>
      </c>
      <c r="D1427" s="10" t="n">
        <v>16</v>
      </c>
      <c r="E1427" s="12" t="n">
        <v>15958.1</v>
      </c>
      <c r="F1427" s="12" t="n">
        <v>18909.3</v>
      </c>
      <c r="G1427" s="12" t="n">
        <v>-2951.2</v>
      </c>
      <c r="H1427" s="13" t="n">
        <v>0.4946</v>
      </c>
      <c r="I1427" s="13" t="n">
        <v>0.3143</v>
      </c>
    </row>
    <row r="1428">
      <c r="A1428" s="10" t="inlineStr">
        <is>
          <t>PJ-2024-J</t>
        </is>
      </c>
      <c r="B1428" s="10" t="inlineStr">
        <is>
          <t>位置合わせ(MS学習値)／月内均等</t>
        </is>
      </c>
      <c r="C1428" s="10" t="inlineStr">
        <is>
          <t>2025-05</t>
        </is>
      </c>
      <c r="D1428" s="10" t="n">
        <v>17</v>
      </c>
      <c r="E1428" s="12" t="n">
        <v>16521</v>
      </c>
      <c r="F1428" s="12" t="n">
        <v>26126.9</v>
      </c>
      <c r="G1428" s="12" t="n">
        <v>-9605.9</v>
      </c>
      <c r="H1428" s="13" t="n">
        <v>0.5423</v>
      </c>
      <c r="I1428" s="13" t="n">
        <v>0.3898</v>
      </c>
    </row>
    <row r="1429">
      <c r="A1429" s="10" t="inlineStr">
        <is>
          <t>PJ-2024-J</t>
        </is>
      </c>
      <c r="B1429" s="10" t="inlineStr">
        <is>
          <t>位置合わせ(MS学習値)／月内均等</t>
        </is>
      </c>
      <c r="C1429" s="10" t="inlineStr">
        <is>
          <t>2025-06</t>
        </is>
      </c>
      <c r="D1429" s="10" t="n">
        <v>18</v>
      </c>
      <c r="E1429" s="12" t="n">
        <v>15446.5</v>
      </c>
      <c r="F1429" s="12" t="n">
        <v>31246.9</v>
      </c>
      <c r="G1429" s="12" t="n">
        <v>-15800.4</v>
      </c>
      <c r="H1429" s="13" t="n">
        <v>0.587</v>
      </c>
      <c r="I1429" s="13" t="n">
        <v>0.4801</v>
      </c>
    </row>
    <row r="1430">
      <c r="A1430" s="10" t="inlineStr">
        <is>
          <t>PJ-2024-J</t>
        </is>
      </c>
      <c r="B1430" s="10" t="inlineStr">
        <is>
          <t>位置合わせ(MS学習値)／月内均等</t>
        </is>
      </c>
      <c r="C1430" s="10" t="inlineStr">
        <is>
          <t>2025-07</t>
        </is>
      </c>
      <c r="D1430" s="10" t="n">
        <v>19</v>
      </c>
      <c r="E1430" s="12" t="n">
        <v>15760.3</v>
      </c>
      <c r="F1430" s="12" t="n">
        <v>28601.2</v>
      </c>
      <c r="G1430" s="12" t="n">
        <v>-12840.9</v>
      </c>
      <c r="H1430" s="13" t="n">
        <v>0.6325</v>
      </c>
      <c r="I1430" s="13" t="n">
        <v>0.5628</v>
      </c>
    </row>
    <row r="1431">
      <c r="A1431" s="10" t="inlineStr">
        <is>
          <t>PJ-2024-J</t>
        </is>
      </c>
      <c r="B1431" s="10" t="inlineStr">
        <is>
          <t>位置合わせ(MS学習値)／月内均等</t>
        </is>
      </c>
      <c r="C1431" s="10" t="inlineStr">
        <is>
          <t>2025-08</t>
        </is>
      </c>
      <c r="D1431" s="10" t="n">
        <v>20</v>
      </c>
      <c r="E1431" s="12" t="n">
        <v>16238.9</v>
      </c>
      <c r="F1431" s="12" t="n">
        <v>25939.3</v>
      </c>
      <c r="G1431" s="12" t="n">
        <v>-9700.4</v>
      </c>
      <c r="H1431" s="13" t="n">
        <v>0.6794</v>
      </c>
      <c r="I1431" s="13" t="n">
        <v>0.6377</v>
      </c>
    </row>
    <row r="1432">
      <c r="A1432" s="10" t="inlineStr">
        <is>
          <t>PJ-2024-J</t>
        </is>
      </c>
      <c r="B1432" s="10" t="inlineStr">
        <is>
          <t>位置合わせ(MS学習値)／月内均等</t>
        </is>
      </c>
      <c r="C1432" s="10" t="inlineStr">
        <is>
          <t>2025-09</t>
        </is>
      </c>
      <c r="D1432" s="10" t="n">
        <v>21</v>
      </c>
      <c r="E1432" s="12" t="n">
        <v>16529.3</v>
      </c>
      <c r="F1432" s="12" t="n">
        <v>20944.7</v>
      </c>
      <c r="G1432" s="12" t="n">
        <v>-4415.4</v>
      </c>
      <c r="H1432" s="13" t="n">
        <v>0.7272</v>
      </c>
      <c r="I1432" s="13" t="n">
        <v>0.6983</v>
      </c>
    </row>
    <row r="1433">
      <c r="A1433" s="10" t="inlineStr">
        <is>
          <t>PJ-2024-J</t>
        </is>
      </c>
      <c r="B1433" s="10" t="inlineStr">
        <is>
          <t>位置合わせ(MS学習値)／月内均等</t>
        </is>
      </c>
      <c r="C1433" s="10" t="inlineStr">
        <is>
          <t>2025-10</t>
        </is>
      </c>
      <c r="D1433" s="10" t="n">
        <v>22</v>
      </c>
      <c r="E1433" s="12" t="n">
        <v>16504.5</v>
      </c>
      <c r="F1433" s="12" t="n">
        <v>14367.8</v>
      </c>
      <c r="G1433" s="12" t="n">
        <v>2136.7</v>
      </c>
      <c r="H1433" s="13" t="n">
        <v>0.7749</v>
      </c>
      <c r="I1433" s="13" t="n">
        <v>0.7398</v>
      </c>
    </row>
    <row r="1434">
      <c r="A1434" s="10" t="inlineStr">
        <is>
          <t>PJ-2024-J</t>
        </is>
      </c>
      <c r="B1434" s="10" t="inlineStr">
        <is>
          <t>位置合わせ(MS学習値)／月内均等</t>
        </is>
      </c>
      <c r="C1434" s="10" t="inlineStr">
        <is>
          <t>2025-11</t>
        </is>
      </c>
      <c r="D1434" s="10" t="n">
        <v>23</v>
      </c>
      <c r="E1434" s="12" t="n">
        <v>15248.3</v>
      </c>
      <c r="F1434" s="12" t="n">
        <v>16461.6</v>
      </c>
      <c r="G1434" s="12" t="n">
        <v>-1213.3</v>
      </c>
      <c r="H1434" s="13" t="n">
        <v>0.819</v>
      </c>
      <c r="I1434" s="13" t="n">
        <v>0.7874</v>
      </c>
    </row>
    <row r="1435">
      <c r="A1435" s="10" t="inlineStr">
        <is>
          <t>PJ-2024-J</t>
        </is>
      </c>
      <c r="B1435" s="10" t="inlineStr">
        <is>
          <t>位置合わせ(MS学習値)／月内均等</t>
        </is>
      </c>
      <c r="C1435" s="10" t="inlineStr">
        <is>
          <t>2025-12</t>
        </is>
      </c>
      <c r="D1435" s="10" t="n">
        <v>24</v>
      </c>
      <c r="E1435" s="12" t="n">
        <v>13583.6</v>
      </c>
      <c r="F1435" s="12" t="n">
        <v>17876.1</v>
      </c>
      <c r="G1435" s="12" t="n">
        <v>-4292.5</v>
      </c>
      <c r="H1435" s="13" t="n">
        <v>0.8582</v>
      </c>
      <c r="I1435" s="13" t="n">
        <v>0.839</v>
      </c>
    </row>
    <row r="1436">
      <c r="A1436" s="10" t="inlineStr">
        <is>
          <t>PJ-2024-J</t>
        </is>
      </c>
      <c r="B1436" s="10" t="inlineStr">
        <is>
          <t>位置合わせ(MS学習値)／月内均等</t>
        </is>
      </c>
      <c r="C1436" s="10" t="inlineStr">
        <is>
          <t>2026-01</t>
        </is>
      </c>
      <c r="D1436" s="10" t="n">
        <v>25</v>
      </c>
      <c r="E1436" s="12" t="n">
        <v>12034.1</v>
      </c>
      <c r="F1436" s="12" t="n">
        <v>14931.3</v>
      </c>
      <c r="G1436" s="12" t="n">
        <v>-2897.2</v>
      </c>
      <c r="H1436" s="13" t="n">
        <v>0.893</v>
      </c>
      <c r="I1436" s="13" t="n">
        <v>0.8822</v>
      </c>
    </row>
    <row r="1437">
      <c r="A1437" s="10" t="inlineStr">
        <is>
          <t>PJ-2024-J</t>
        </is>
      </c>
      <c r="B1437" s="10" t="inlineStr">
        <is>
          <t>位置合わせ(MS学習値)／月内均等</t>
        </is>
      </c>
      <c r="C1437" s="10" t="inlineStr">
        <is>
          <t>2026-02</t>
        </is>
      </c>
      <c r="D1437" s="10" t="n">
        <v>26</v>
      </c>
      <c r="E1437" s="12" t="n">
        <v>10029.5</v>
      </c>
      <c r="F1437" s="12" t="n">
        <v>10014.8</v>
      </c>
      <c r="G1437" s="12" t="n">
        <v>14.7</v>
      </c>
      <c r="H1437" s="13" t="n">
        <v>0.922</v>
      </c>
      <c r="I1437" s="13" t="n">
        <v>0.9111</v>
      </c>
    </row>
    <row r="1438">
      <c r="A1438" s="10" t="inlineStr">
        <is>
          <t>PJ-2024-J</t>
        </is>
      </c>
      <c r="B1438" s="10" t="inlineStr">
        <is>
          <t>位置合わせ(MS学習値)／月内均等</t>
        </is>
      </c>
      <c r="C1438" s="10" t="inlineStr">
        <is>
          <t>2026-03</t>
        </is>
      </c>
      <c r="D1438" s="10" t="n">
        <v>27</v>
      </c>
      <c r="E1438" s="12" t="n">
        <v>9296.5</v>
      </c>
      <c r="F1438" s="12" t="n">
        <v>9594.1</v>
      </c>
      <c r="G1438" s="12" t="n">
        <v>-297.6</v>
      </c>
      <c r="H1438" s="13" t="n">
        <v>0.9489</v>
      </c>
      <c r="I1438" s="13" t="n">
        <v>0.9389</v>
      </c>
    </row>
    <row r="1439">
      <c r="A1439" s="10" t="inlineStr">
        <is>
          <t>PJ-2024-J</t>
        </is>
      </c>
      <c r="B1439" s="10" t="inlineStr">
        <is>
          <t>位置合わせ(MS学習値)／月内均等</t>
        </is>
      </c>
      <c r="C1439" s="10" t="inlineStr">
        <is>
          <t>2026-04</t>
        </is>
      </c>
      <c r="D1439" s="10" t="n">
        <v>28</v>
      </c>
      <c r="E1439" s="12" t="n">
        <v>8227</v>
      </c>
      <c r="F1439" s="12" t="n">
        <v>7976.6</v>
      </c>
      <c r="G1439" s="12" t="n">
        <v>250.4</v>
      </c>
      <c r="H1439" s="13" t="n">
        <v>0.9726</v>
      </c>
      <c r="I1439" s="13" t="n">
        <v>0.9619</v>
      </c>
    </row>
    <row r="1440">
      <c r="A1440" s="10" t="inlineStr">
        <is>
          <t>PJ-2024-J</t>
        </is>
      </c>
      <c r="B1440" s="10" t="inlineStr">
        <is>
          <t>位置合わせ(MS学習値)／月内均等</t>
        </is>
      </c>
      <c r="C1440" s="10" t="inlineStr">
        <is>
          <t>2026-05</t>
        </is>
      </c>
      <c r="D1440" s="10" t="n">
        <v>29</v>
      </c>
      <c r="E1440" s="12" t="n">
        <v>5769.7</v>
      </c>
      <c r="F1440" s="12" t="n">
        <v>10449.5</v>
      </c>
      <c r="G1440" s="12" t="n">
        <v>-4679.8</v>
      </c>
      <c r="H1440" s="13" t="n">
        <v>0.9893</v>
      </c>
      <c r="I1440" s="13" t="n">
        <v>0.9921</v>
      </c>
    </row>
    <row r="1441">
      <c r="A1441" s="10" t="inlineStr">
        <is>
          <t>PJ-2024-J</t>
        </is>
      </c>
      <c r="B1441" s="10" t="inlineStr">
        <is>
          <t>位置合わせ(MS学習値)／月内均等</t>
        </is>
      </c>
      <c r="C1441" s="10" t="inlineStr">
        <is>
          <t>2026-06</t>
        </is>
      </c>
      <c r="D1441" s="10" t="n">
        <v>30</v>
      </c>
      <c r="E1441" s="12" t="n">
        <v>3697</v>
      </c>
      <c r="F1441" s="12" t="n">
        <v>2732.1</v>
      </c>
      <c r="G1441" s="12" t="n">
        <v>964.9</v>
      </c>
      <c r="H1441" s="13" t="n">
        <v>1</v>
      </c>
      <c r="I1441" s="13" t="n">
        <v>1</v>
      </c>
    </row>
    <row r="1442">
      <c r="A1442" s="10" t="inlineStr">
        <is>
          <t>PJ-2024-J</t>
        </is>
      </c>
      <c r="B1442" s="10" t="inlineStr">
        <is>
          <t>位置合わせ(MS指定)／月内均等</t>
        </is>
      </c>
      <c r="C1442" s="10" t="inlineStr">
        <is>
          <t>2024-01</t>
        </is>
      </c>
      <c r="D1442" s="10" t="n">
        <v>1</v>
      </c>
      <c r="E1442" s="12" t="n">
        <v>4841.2</v>
      </c>
      <c r="F1442" s="12" t="n">
        <v>348</v>
      </c>
      <c r="G1442" s="12" t="n">
        <v>4493.2</v>
      </c>
      <c r="H1442" s="13" t="n">
        <v>0.014</v>
      </c>
      <c r="I1442" s="13" t="n">
        <v>0.001</v>
      </c>
    </row>
    <row r="1443">
      <c r="A1443" s="10" t="inlineStr">
        <is>
          <t>PJ-2024-J</t>
        </is>
      </c>
      <c r="B1443" s="10" t="inlineStr">
        <is>
          <t>位置合わせ(MS指定)／月内均等</t>
        </is>
      </c>
      <c r="C1443" s="10" t="inlineStr">
        <is>
          <t>2024-02</t>
        </is>
      </c>
      <c r="D1443" s="10" t="n">
        <v>2</v>
      </c>
      <c r="E1443" s="12" t="n">
        <v>5303.9</v>
      </c>
      <c r="F1443" s="12" t="n">
        <v>930.5</v>
      </c>
      <c r="G1443" s="12" t="n">
        <v>4373.4</v>
      </c>
      <c r="H1443" s="13" t="n">
        <v>0.0293</v>
      </c>
      <c r="I1443" s="13" t="n">
        <v>0.0037</v>
      </c>
    </row>
    <row r="1444">
      <c r="A1444" s="10" t="inlineStr">
        <is>
          <t>PJ-2024-J</t>
        </is>
      </c>
      <c r="B1444" s="10" t="inlineStr">
        <is>
          <t>位置合わせ(MS指定)／月内均等</t>
        </is>
      </c>
      <c r="C1444" s="10" t="inlineStr">
        <is>
          <t>2024-03</t>
        </is>
      </c>
      <c r="D1444" s="10" t="n">
        <v>3</v>
      </c>
      <c r="E1444" s="12" t="n">
        <v>6646</v>
      </c>
      <c r="F1444" s="12" t="n">
        <v>1612.9</v>
      </c>
      <c r="G1444" s="12" t="n">
        <v>5033.1</v>
      </c>
      <c r="H1444" s="13" t="n">
        <v>0.0485</v>
      </c>
      <c r="I1444" s="13" t="n">
        <v>0.008399999999999999</v>
      </c>
    </row>
    <row r="1445">
      <c r="A1445" s="10" t="inlineStr">
        <is>
          <t>PJ-2024-J</t>
        </is>
      </c>
      <c r="B1445" s="10" t="inlineStr">
        <is>
          <t>位置合わせ(MS指定)／月内均等</t>
        </is>
      </c>
      <c r="C1445" s="10" t="inlineStr">
        <is>
          <t>2024-04</t>
        </is>
      </c>
      <c r="D1445" s="10" t="n">
        <v>4</v>
      </c>
      <c r="E1445" s="12" t="n">
        <v>6879.8</v>
      </c>
      <c r="F1445" s="12" t="n">
        <v>2251.7</v>
      </c>
      <c r="G1445" s="12" t="n">
        <v>4628.1</v>
      </c>
      <c r="H1445" s="13" t="n">
        <v>0.0684</v>
      </c>
      <c r="I1445" s="13" t="n">
        <v>0.0149</v>
      </c>
    </row>
    <row r="1446">
      <c r="A1446" s="10" t="inlineStr">
        <is>
          <t>PJ-2024-J</t>
        </is>
      </c>
      <c r="B1446" s="10" t="inlineStr">
        <is>
          <t>位置合わせ(MS指定)／月内均等</t>
        </is>
      </c>
      <c r="C1446" s="10" t="inlineStr">
        <is>
          <t>2024-05</t>
        </is>
      </c>
      <c r="D1446" s="10" t="n">
        <v>5</v>
      </c>
      <c r="E1446" s="12" t="n">
        <v>7768.8</v>
      </c>
      <c r="F1446" s="12" t="n">
        <v>2953</v>
      </c>
      <c r="G1446" s="12" t="n">
        <v>4815.8</v>
      </c>
      <c r="H1446" s="13" t="n">
        <v>0.09089999999999999</v>
      </c>
      <c r="I1446" s="13" t="n">
        <v>0.0234</v>
      </c>
    </row>
    <row r="1447">
      <c r="A1447" s="10" t="inlineStr">
        <is>
          <t>PJ-2024-J</t>
        </is>
      </c>
      <c r="B1447" s="10" t="inlineStr">
        <is>
          <t>位置合わせ(MS指定)／月内均等</t>
        </is>
      </c>
      <c r="C1447" s="10" t="inlineStr">
        <is>
          <t>2024-06</t>
        </is>
      </c>
      <c r="D1447" s="10" t="n">
        <v>6</v>
      </c>
      <c r="E1447" s="12" t="n">
        <v>7657.7</v>
      </c>
      <c r="F1447" s="12" t="n">
        <v>3308.8</v>
      </c>
      <c r="G1447" s="12" t="n">
        <v>4348.9</v>
      </c>
      <c r="H1447" s="13" t="n">
        <v>0.113</v>
      </c>
      <c r="I1447" s="13" t="n">
        <v>0.033</v>
      </c>
    </row>
    <row r="1448">
      <c r="A1448" s="10" t="inlineStr">
        <is>
          <t>PJ-2024-J</t>
        </is>
      </c>
      <c r="B1448" s="10" t="inlineStr">
        <is>
          <t>位置合わせ(MS指定)／月内均等</t>
        </is>
      </c>
      <c r="C1448" s="10" t="inlineStr">
        <is>
          <t>2024-07</t>
        </is>
      </c>
      <c r="D1448" s="10" t="n">
        <v>7</v>
      </c>
      <c r="E1448" s="12" t="n">
        <v>8355.799999999999</v>
      </c>
      <c r="F1448" s="12" t="n">
        <v>4157.3</v>
      </c>
      <c r="G1448" s="12" t="n">
        <v>4198.5</v>
      </c>
      <c r="H1448" s="13" t="n">
        <v>0.1371</v>
      </c>
      <c r="I1448" s="13" t="n">
        <v>0.045</v>
      </c>
    </row>
    <row r="1449">
      <c r="A1449" s="10" t="inlineStr">
        <is>
          <t>PJ-2024-J</t>
        </is>
      </c>
      <c r="B1449" s="10" t="inlineStr">
        <is>
          <t>位置合わせ(MS指定)／月内均等</t>
        </is>
      </c>
      <c r="C1449" s="10" t="inlineStr">
        <is>
          <t>2024-08</t>
        </is>
      </c>
      <c r="D1449" s="10" t="n">
        <v>8</v>
      </c>
      <c r="E1449" s="12" t="n">
        <v>9052.299999999999</v>
      </c>
      <c r="F1449" s="12" t="n">
        <v>5704.7</v>
      </c>
      <c r="G1449" s="12" t="n">
        <v>3347.6</v>
      </c>
      <c r="H1449" s="13" t="n">
        <v>0.1633</v>
      </c>
      <c r="I1449" s="13" t="n">
        <v>0.0615</v>
      </c>
    </row>
    <row r="1450">
      <c r="A1450" s="10" t="inlineStr">
        <is>
          <t>PJ-2024-J</t>
        </is>
      </c>
      <c r="B1450" s="10" t="inlineStr">
        <is>
          <t>位置合わせ(MS指定)／月内均等</t>
        </is>
      </c>
      <c r="C1450" s="10" t="inlineStr">
        <is>
          <t>2024-09</t>
        </is>
      </c>
      <c r="D1450" s="10" t="n">
        <v>9</v>
      </c>
      <c r="E1450" s="12" t="n">
        <v>9336.200000000001</v>
      </c>
      <c r="F1450" s="12" t="n">
        <v>6443.3</v>
      </c>
      <c r="G1450" s="12" t="n">
        <v>2892.9</v>
      </c>
      <c r="H1450" s="13" t="n">
        <v>0.1903</v>
      </c>
      <c r="I1450" s="13" t="n">
        <v>0.0801</v>
      </c>
    </row>
    <row r="1451">
      <c r="A1451" s="10" t="inlineStr">
        <is>
          <t>PJ-2024-J</t>
        </is>
      </c>
      <c r="B1451" s="10" t="inlineStr">
        <is>
          <t>位置合わせ(MS指定)／月内均等</t>
        </is>
      </c>
      <c r="C1451" s="10" t="inlineStr">
        <is>
          <t>2024-10</t>
        </is>
      </c>
      <c r="D1451" s="10" t="n">
        <v>10</v>
      </c>
      <c r="E1451" s="12" t="n">
        <v>10939.4</v>
      </c>
      <c r="F1451" s="12" t="n">
        <v>7892.9</v>
      </c>
      <c r="G1451" s="12" t="n">
        <v>3046.5</v>
      </c>
      <c r="H1451" s="13" t="n">
        <v>0.2219</v>
      </c>
      <c r="I1451" s="13" t="n">
        <v>0.1029</v>
      </c>
    </row>
    <row r="1452">
      <c r="A1452" s="10" t="inlineStr">
        <is>
          <t>PJ-2024-J</t>
        </is>
      </c>
      <c r="B1452" s="10" t="inlineStr">
        <is>
          <t>位置合わせ(MS指定)／月内均等</t>
        </is>
      </c>
      <c r="C1452" s="10" t="inlineStr">
        <is>
          <t>2024-11</t>
        </is>
      </c>
      <c r="D1452" s="10" t="n">
        <v>11</v>
      </c>
      <c r="E1452" s="12" t="n">
        <v>11869.2</v>
      </c>
      <c r="F1452" s="12" t="n">
        <v>9044.6</v>
      </c>
      <c r="G1452" s="12" t="n">
        <v>2824.6</v>
      </c>
      <c r="H1452" s="13" t="n">
        <v>0.2562</v>
      </c>
      <c r="I1452" s="13" t="n">
        <v>0.129</v>
      </c>
    </row>
    <row r="1453">
      <c r="A1453" s="10" t="inlineStr">
        <is>
          <t>PJ-2024-J</t>
        </is>
      </c>
      <c r="B1453" s="10" t="inlineStr">
        <is>
          <t>位置合わせ(MS指定)／月内均等</t>
        </is>
      </c>
      <c r="C1453" s="10" t="inlineStr">
        <is>
          <t>2024-12</t>
        </is>
      </c>
      <c r="D1453" s="10" t="n">
        <v>12</v>
      </c>
      <c r="E1453" s="12" t="n">
        <v>13043.7</v>
      </c>
      <c r="F1453" s="12" t="n">
        <v>9905.1</v>
      </c>
      <c r="G1453" s="12" t="n">
        <v>3138.6</v>
      </c>
      <c r="H1453" s="13" t="n">
        <v>0.2939</v>
      </c>
      <c r="I1453" s="13" t="n">
        <v>0.1577</v>
      </c>
    </row>
    <row r="1454">
      <c r="A1454" s="10" t="inlineStr">
        <is>
          <t>PJ-2024-J</t>
        </is>
      </c>
      <c r="B1454" s="10" t="inlineStr">
        <is>
          <t>位置合わせ(MS指定)／月内均等</t>
        </is>
      </c>
      <c r="C1454" s="10" t="inlineStr">
        <is>
          <t>2025-01</t>
        </is>
      </c>
      <c r="D1454" s="10" t="n">
        <v>13</v>
      </c>
      <c r="E1454" s="12" t="n">
        <v>13934.1</v>
      </c>
      <c r="F1454" s="12" t="n">
        <v>10668.8</v>
      </c>
      <c r="G1454" s="12" t="n">
        <v>3265.3</v>
      </c>
      <c r="H1454" s="13" t="n">
        <v>0.3342</v>
      </c>
      <c r="I1454" s="13" t="n">
        <v>0.1885</v>
      </c>
    </row>
    <row r="1455">
      <c r="A1455" s="10" t="inlineStr">
        <is>
          <t>PJ-2024-J</t>
        </is>
      </c>
      <c r="B1455" s="10" t="inlineStr">
        <is>
          <t>位置合わせ(MS指定)／月内均等</t>
        </is>
      </c>
      <c r="C1455" s="10" t="inlineStr">
        <is>
          <t>2025-02</t>
        </is>
      </c>
      <c r="D1455" s="10" t="n">
        <v>14</v>
      </c>
      <c r="E1455" s="12" t="n">
        <v>13285</v>
      </c>
      <c r="F1455" s="12" t="n">
        <v>10918.3</v>
      </c>
      <c r="G1455" s="12" t="n">
        <v>2366.7</v>
      </c>
      <c r="H1455" s="13" t="n">
        <v>0.3726</v>
      </c>
      <c r="I1455" s="13" t="n">
        <v>0.22</v>
      </c>
    </row>
    <row r="1456">
      <c r="A1456" s="10" t="inlineStr">
        <is>
          <t>PJ-2024-J</t>
        </is>
      </c>
      <c r="B1456" s="10" t="inlineStr">
        <is>
          <t>位置合わせ(MS指定)／月内均等</t>
        </is>
      </c>
      <c r="C1456" s="10" t="inlineStr">
        <is>
          <t>2025-03</t>
        </is>
      </c>
      <c r="D1456" s="10" t="n">
        <v>15</v>
      </c>
      <c r="E1456" s="12" t="n">
        <v>15995.7</v>
      </c>
      <c r="F1456" s="12" t="n">
        <v>13702.5</v>
      </c>
      <c r="G1456" s="12" t="n">
        <v>2293.2</v>
      </c>
      <c r="H1456" s="13" t="n">
        <v>0.4188</v>
      </c>
      <c r="I1456" s="13" t="n">
        <v>0.2596</v>
      </c>
    </row>
    <row r="1457">
      <c r="A1457" s="10" t="inlineStr">
        <is>
          <t>PJ-2024-J</t>
        </is>
      </c>
      <c r="B1457" s="10" t="inlineStr">
        <is>
          <t>位置合わせ(MS指定)／月内均等</t>
        </is>
      </c>
      <c r="C1457" s="10" t="inlineStr">
        <is>
          <t>2025-04</t>
        </is>
      </c>
      <c r="D1457" s="10" t="n">
        <v>16</v>
      </c>
      <c r="E1457" s="12" t="n">
        <v>20115.8</v>
      </c>
      <c r="F1457" s="12" t="n">
        <v>18909.3</v>
      </c>
      <c r="G1457" s="12" t="n">
        <v>1206.5</v>
      </c>
      <c r="H1457" s="13" t="n">
        <v>0.4769</v>
      </c>
      <c r="I1457" s="13" t="n">
        <v>0.3143</v>
      </c>
    </row>
    <row r="1458">
      <c r="A1458" s="10" t="inlineStr">
        <is>
          <t>PJ-2024-J</t>
        </is>
      </c>
      <c r="B1458" s="10" t="inlineStr">
        <is>
          <t>位置合わせ(MS指定)／月内均等</t>
        </is>
      </c>
      <c r="C1458" s="10" t="inlineStr">
        <is>
          <t>2025-05</t>
        </is>
      </c>
      <c r="D1458" s="10" t="n">
        <v>17</v>
      </c>
      <c r="E1458" s="12" t="n">
        <v>24431.6</v>
      </c>
      <c r="F1458" s="12" t="n">
        <v>26126.9</v>
      </c>
      <c r="G1458" s="12" t="n">
        <v>-1695.3</v>
      </c>
      <c r="H1458" s="13" t="n">
        <v>0.5475</v>
      </c>
      <c r="I1458" s="13" t="n">
        <v>0.3898</v>
      </c>
    </row>
    <row r="1459">
      <c r="A1459" s="10" t="inlineStr">
        <is>
          <t>PJ-2024-J</t>
        </is>
      </c>
      <c r="B1459" s="10" t="inlineStr">
        <is>
          <t>位置合わせ(MS指定)／月内均等</t>
        </is>
      </c>
      <c r="C1459" s="10" t="inlineStr">
        <is>
          <t>2025-06</t>
        </is>
      </c>
      <c r="D1459" s="10" t="n">
        <v>18</v>
      </c>
      <c r="E1459" s="12" t="n">
        <v>22843.1</v>
      </c>
      <c r="F1459" s="12" t="n">
        <v>31246.9</v>
      </c>
      <c r="G1459" s="12" t="n">
        <v>-8403.799999999999</v>
      </c>
      <c r="H1459" s="13" t="n">
        <v>0.6136</v>
      </c>
      <c r="I1459" s="13" t="n">
        <v>0.4801</v>
      </c>
    </row>
    <row r="1460">
      <c r="A1460" s="10" t="inlineStr">
        <is>
          <t>PJ-2024-J</t>
        </is>
      </c>
      <c r="B1460" s="10" t="inlineStr">
        <is>
          <t>位置合わせ(MS指定)／月内均等</t>
        </is>
      </c>
      <c r="C1460" s="10" t="inlineStr">
        <is>
          <t>2025-07</t>
        </is>
      </c>
      <c r="D1460" s="10" t="n">
        <v>19</v>
      </c>
      <c r="E1460" s="12" t="n">
        <v>23775</v>
      </c>
      <c r="F1460" s="12" t="n">
        <v>28601.2</v>
      </c>
      <c r="G1460" s="12" t="n">
        <v>-4826.2</v>
      </c>
      <c r="H1460" s="13" t="n">
        <v>0.6823</v>
      </c>
      <c r="I1460" s="13" t="n">
        <v>0.5628</v>
      </c>
    </row>
    <row r="1461">
      <c r="A1461" s="10" t="inlineStr">
        <is>
          <t>PJ-2024-J</t>
        </is>
      </c>
      <c r="B1461" s="10" t="inlineStr">
        <is>
          <t>位置合わせ(MS指定)／月内均等</t>
        </is>
      </c>
      <c r="C1461" s="10" t="inlineStr">
        <is>
          <t>2025-08</t>
        </is>
      </c>
      <c r="D1461" s="10" t="n">
        <v>20</v>
      </c>
      <c r="E1461" s="12" t="n">
        <v>25034.6</v>
      </c>
      <c r="F1461" s="12" t="n">
        <v>25939.3</v>
      </c>
      <c r="G1461" s="12" t="n">
        <v>-904.7</v>
      </c>
      <c r="H1461" s="13" t="n">
        <v>0.7546</v>
      </c>
      <c r="I1461" s="13" t="n">
        <v>0.6377</v>
      </c>
    </row>
    <row r="1462">
      <c r="A1462" s="10" t="inlineStr">
        <is>
          <t>PJ-2024-J</t>
        </is>
      </c>
      <c r="B1462" s="10" t="inlineStr">
        <is>
          <t>位置合わせ(MS指定)／月内均等</t>
        </is>
      </c>
      <c r="C1462" s="10" t="inlineStr">
        <is>
          <t>2025-09</t>
        </is>
      </c>
      <c r="D1462" s="10" t="n">
        <v>21</v>
      </c>
      <c r="E1462" s="12" t="n">
        <v>17234.7</v>
      </c>
      <c r="F1462" s="12" t="n">
        <v>20944.7</v>
      </c>
      <c r="G1462" s="12" t="n">
        <v>-3710</v>
      </c>
      <c r="H1462" s="13" t="n">
        <v>0.8044</v>
      </c>
      <c r="I1462" s="13" t="n">
        <v>0.6983</v>
      </c>
    </row>
    <row r="1463">
      <c r="A1463" s="10" t="inlineStr">
        <is>
          <t>PJ-2024-J</t>
        </is>
      </c>
      <c r="B1463" s="10" t="inlineStr">
        <is>
          <t>位置合わせ(MS指定)／月内均等</t>
        </is>
      </c>
      <c r="C1463" s="10" t="inlineStr">
        <is>
          <t>2025-10</t>
        </is>
      </c>
      <c r="D1463" s="10" t="n">
        <v>22</v>
      </c>
      <c r="E1463" s="12" t="n">
        <v>10429.4</v>
      </c>
      <c r="F1463" s="12" t="n">
        <v>14367.8</v>
      </c>
      <c r="G1463" s="12" t="n">
        <v>-3938.4</v>
      </c>
      <c r="H1463" s="13" t="n">
        <v>0.8346</v>
      </c>
      <c r="I1463" s="13" t="n">
        <v>0.7398</v>
      </c>
    </row>
    <row r="1464">
      <c r="A1464" s="10" t="inlineStr">
        <is>
          <t>PJ-2024-J</t>
        </is>
      </c>
      <c r="B1464" s="10" t="inlineStr">
        <is>
          <t>位置合わせ(MS指定)／月内均等</t>
        </is>
      </c>
      <c r="C1464" s="10" t="inlineStr">
        <is>
          <t>2025-11</t>
        </is>
      </c>
      <c r="D1464" s="10" t="n">
        <v>23</v>
      </c>
      <c r="E1464" s="12" t="n">
        <v>9279.799999999999</v>
      </c>
      <c r="F1464" s="12" t="n">
        <v>16461.6</v>
      </c>
      <c r="G1464" s="12" t="n">
        <v>-7181.8</v>
      </c>
      <c r="H1464" s="13" t="n">
        <v>0.8614000000000001</v>
      </c>
      <c r="I1464" s="13" t="n">
        <v>0.7874</v>
      </c>
    </row>
    <row r="1465">
      <c r="A1465" s="10" t="inlineStr">
        <is>
          <t>PJ-2024-J</t>
        </is>
      </c>
      <c r="B1465" s="10" t="inlineStr">
        <is>
          <t>位置合わせ(MS指定)／月内均等</t>
        </is>
      </c>
      <c r="C1465" s="10" t="inlineStr">
        <is>
          <t>2025-12</t>
        </is>
      </c>
      <c r="D1465" s="10" t="n">
        <v>24</v>
      </c>
      <c r="E1465" s="12" t="n">
        <v>8906</v>
      </c>
      <c r="F1465" s="12" t="n">
        <v>17876.1</v>
      </c>
      <c r="G1465" s="12" t="n">
        <v>-8970.1</v>
      </c>
      <c r="H1465" s="13" t="n">
        <v>0.8871</v>
      </c>
      <c r="I1465" s="13" t="n">
        <v>0.839</v>
      </c>
    </row>
    <row r="1466">
      <c r="A1466" s="10" t="inlineStr">
        <is>
          <t>PJ-2024-J</t>
        </is>
      </c>
      <c r="B1466" s="10" t="inlineStr">
        <is>
          <t>位置合わせ(MS指定)／月内均等</t>
        </is>
      </c>
      <c r="C1466" s="10" t="inlineStr">
        <is>
          <t>2026-01</t>
        </is>
      </c>
      <c r="D1466" s="10" t="n">
        <v>25</v>
      </c>
      <c r="E1466" s="12" t="n">
        <v>8106.6</v>
      </c>
      <c r="F1466" s="12" t="n">
        <v>14931.3</v>
      </c>
      <c r="G1466" s="12" t="n">
        <v>-6824.7</v>
      </c>
      <c r="H1466" s="13" t="n">
        <v>0.9106</v>
      </c>
      <c r="I1466" s="13" t="n">
        <v>0.8822</v>
      </c>
    </row>
    <row r="1467">
      <c r="A1467" s="10" t="inlineStr">
        <is>
          <t>PJ-2024-J</t>
        </is>
      </c>
      <c r="B1467" s="10" t="inlineStr">
        <is>
          <t>位置合わせ(MS指定)／月内均等</t>
        </is>
      </c>
      <c r="C1467" s="10" t="inlineStr">
        <is>
          <t>2026-02</t>
        </is>
      </c>
      <c r="D1467" s="10" t="n">
        <v>26</v>
      </c>
      <c r="E1467" s="12" t="n">
        <v>6885</v>
      </c>
      <c r="F1467" s="12" t="n">
        <v>10014.8</v>
      </c>
      <c r="G1467" s="12" t="n">
        <v>-3129.8</v>
      </c>
      <c r="H1467" s="13" t="n">
        <v>0.9305</v>
      </c>
      <c r="I1467" s="13" t="n">
        <v>0.9111</v>
      </c>
    </row>
    <row r="1468">
      <c r="A1468" s="10" t="inlineStr">
        <is>
          <t>PJ-2024-J</t>
        </is>
      </c>
      <c r="B1468" s="10" t="inlineStr">
        <is>
          <t>位置合わせ(MS指定)／月内均等</t>
        </is>
      </c>
      <c r="C1468" s="10" t="inlineStr">
        <is>
          <t>2026-03</t>
        </is>
      </c>
      <c r="D1468" s="10" t="n">
        <v>27</v>
      </c>
      <c r="E1468" s="12" t="n">
        <v>6560.2</v>
      </c>
      <c r="F1468" s="12" t="n">
        <v>9594.1</v>
      </c>
      <c r="G1468" s="12" t="n">
        <v>-3033.9</v>
      </c>
      <c r="H1468" s="13" t="n">
        <v>0.9494</v>
      </c>
      <c r="I1468" s="13" t="n">
        <v>0.9389</v>
      </c>
    </row>
    <row r="1469">
      <c r="A1469" s="10" t="inlineStr">
        <is>
          <t>PJ-2024-J</t>
        </is>
      </c>
      <c r="B1469" s="10" t="inlineStr">
        <is>
          <t>位置合わせ(MS指定)／月内均等</t>
        </is>
      </c>
      <c r="C1469" s="10" t="inlineStr">
        <is>
          <t>2026-04</t>
        </is>
      </c>
      <c r="D1469" s="10" t="n">
        <v>28</v>
      </c>
      <c r="E1469" s="12" t="n">
        <v>7381.9</v>
      </c>
      <c r="F1469" s="12" t="n">
        <v>7976.6</v>
      </c>
      <c r="G1469" s="12" t="n">
        <v>-594.7</v>
      </c>
      <c r="H1469" s="13" t="n">
        <v>0.9707</v>
      </c>
      <c r="I1469" s="13" t="n">
        <v>0.9619</v>
      </c>
    </row>
    <row r="1470">
      <c r="A1470" s="10" t="inlineStr">
        <is>
          <t>PJ-2024-J</t>
        </is>
      </c>
      <c r="B1470" s="10" t="inlineStr">
        <is>
          <t>位置合わせ(MS指定)／月内均等</t>
        </is>
      </c>
      <c r="C1470" s="10" t="inlineStr">
        <is>
          <t>2026-05</t>
        </is>
      </c>
      <c r="D1470" s="10" t="n">
        <v>29</v>
      </c>
      <c r="E1470" s="12" t="n">
        <v>6260.4</v>
      </c>
      <c r="F1470" s="12" t="n">
        <v>10449.5</v>
      </c>
      <c r="G1470" s="12" t="n">
        <v>-4189.1</v>
      </c>
      <c r="H1470" s="13" t="n">
        <v>0.9888</v>
      </c>
      <c r="I1470" s="13" t="n">
        <v>0.9921</v>
      </c>
    </row>
    <row r="1471">
      <c r="A1471" s="10" t="inlineStr">
        <is>
          <t>PJ-2024-J</t>
        </is>
      </c>
      <c r="B1471" s="10" t="inlineStr">
        <is>
          <t>位置合わせ(MS指定)／月内均等</t>
        </is>
      </c>
      <c r="C1471" s="10" t="inlineStr">
        <is>
          <t>2026-06</t>
        </is>
      </c>
      <c r="D1471" s="10" t="n">
        <v>30</v>
      </c>
      <c r="E1471" s="12" t="n">
        <v>3861.8</v>
      </c>
      <c r="F1471" s="12" t="n">
        <v>2732.1</v>
      </c>
      <c r="G1471" s="12" t="n">
        <v>1129.7</v>
      </c>
      <c r="H1471" s="13" t="n">
        <v>1</v>
      </c>
      <c r="I1471" s="13" t="n">
        <v>1</v>
      </c>
    </row>
    <row r="1472">
      <c r="A1472" s="10" t="inlineStr">
        <is>
          <t>PJ-2024-J</t>
        </is>
      </c>
      <c r="B1472" s="10" t="inlineStr">
        <is>
          <t>素朴版／単調補間</t>
        </is>
      </c>
      <c r="C1472" s="10" t="inlineStr">
        <is>
          <t>2024-01</t>
        </is>
      </c>
      <c r="D1472" s="10" t="n">
        <v>1</v>
      </c>
      <c r="E1472" s="12" t="n">
        <v>4899.1</v>
      </c>
      <c r="F1472" s="12" t="n">
        <v>348</v>
      </c>
      <c r="G1472" s="12" t="n">
        <v>4551.1</v>
      </c>
      <c r="H1472" s="13" t="n">
        <v>0.0142</v>
      </c>
      <c r="I1472" s="13" t="n">
        <v>0.001</v>
      </c>
    </row>
    <row r="1473">
      <c r="A1473" s="10" t="inlineStr">
        <is>
          <t>PJ-2024-J</t>
        </is>
      </c>
      <c r="B1473" s="10" t="inlineStr">
        <is>
          <t>素朴版／単調補間</t>
        </is>
      </c>
      <c r="C1473" s="10" t="inlineStr">
        <is>
          <t>2024-02</t>
        </is>
      </c>
      <c r="D1473" s="10" t="n">
        <v>2</v>
      </c>
      <c r="E1473" s="12" t="n">
        <v>5690.2</v>
      </c>
      <c r="F1473" s="12" t="n">
        <v>930.5</v>
      </c>
      <c r="G1473" s="12" t="n">
        <v>4759.7</v>
      </c>
      <c r="H1473" s="13" t="n">
        <v>0.0306</v>
      </c>
      <c r="I1473" s="13" t="n">
        <v>0.0037</v>
      </c>
    </row>
    <row r="1474">
      <c r="A1474" s="10" t="inlineStr">
        <is>
          <t>PJ-2024-J</t>
        </is>
      </c>
      <c r="B1474" s="10" t="inlineStr">
        <is>
          <t>素朴版／単調補間</t>
        </is>
      </c>
      <c r="C1474" s="10" t="inlineStr">
        <is>
          <t>2024-03</t>
        </is>
      </c>
      <c r="D1474" s="10" t="n">
        <v>3</v>
      </c>
      <c r="E1474" s="12" t="n">
        <v>7032.6</v>
      </c>
      <c r="F1474" s="12" t="n">
        <v>1612.9</v>
      </c>
      <c r="G1474" s="12" t="n">
        <v>5419.7</v>
      </c>
      <c r="H1474" s="13" t="n">
        <v>0.0509</v>
      </c>
      <c r="I1474" s="13" t="n">
        <v>0.008399999999999999</v>
      </c>
    </row>
    <row r="1475">
      <c r="A1475" s="10" t="inlineStr">
        <is>
          <t>PJ-2024-J</t>
        </is>
      </c>
      <c r="B1475" s="10" t="inlineStr">
        <is>
          <t>素朴版／単調補間</t>
        </is>
      </c>
      <c r="C1475" s="10" t="inlineStr">
        <is>
          <t>2024-04</t>
        </is>
      </c>
      <c r="D1475" s="10" t="n">
        <v>4</v>
      </c>
      <c r="E1475" s="12" t="n">
        <v>7345</v>
      </c>
      <c r="F1475" s="12" t="n">
        <v>2251.7</v>
      </c>
      <c r="G1475" s="12" t="n">
        <v>5093.3</v>
      </c>
      <c r="H1475" s="13" t="n">
        <v>0.0722</v>
      </c>
      <c r="I1475" s="13" t="n">
        <v>0.0149</v>
      </c>
    </row>
    <row r="1476">
      <c r="A1476" s="10" t="inlineStr">
        <is>
          <t>PJ-2024-J</t>
        </is>
      </c>
      <c r="B1476" s="10" t="inlineStr">
        <is>
          <t>素朴版／単調補間</t>
        </is>
      </c>
      <c r="C1476" s="10" t="inlineStr">
        <is>
          <t>2024-05</t>
        </is>
      </c>
      <c r="D1476" s="10" t="n">
        <v>5</v>
      </c>
      <c r="E1476" s="12" t="n">
        <v>8322.799999999999</v>
      </c>
      <c r="F1476" s="12" t="n">
        <v>2953</v>
      </c>
      <c r="G1476" s="12" t="n">
        <v>5369.8</v>
      </c>
      <c r="H1476" s="13" t="n">
        <v>0.09619999999999999</v>
      </c>
      <c r="I1476" s="13" t="n">
        <v>0.0234</v>
      </c>
    </row>
    <row r="1477">
      <c r="A1477" s="10" t="inlineStr">
        <is>
          <t>PJ-2024-J</t>
        </is>
      </c>
      <c r="B1477" s="10" t="inlineStr">
        <is>
          <t>素朴版／単調補間</t>
        </is>
      </c>
      <c r="C1477" s="10" t="inlineStr">
        <is>
          <t>2024-06</t>
        </is>
      </c>
      <c r="D1477" s="10" t="n">
        <v>6</v>
      </c>
      <c r="E1477" s="12" t="n">
        <v>8226.6</v>
      </c>
      <c r="F1477" s="12" t="n">
        <v>3308.8</v>
      </c>
      <c r="G1477" s="12" t="n">
        <v>4917.8</v>
      </c>
      <c r="H1477" s="13" t="n">
        <v>0.12</v>
      </c>
      <c r="I1477" s="13" t="n">
        <v>0.033</v>
      </c>
    </row>
    <row r="1478">
      <c r="A1478" s="10" t="inlineStr">
        <is>
          <t>PJ-2024-J</t>
        </is>
      </c>
      <c r="B1478" s="10" t="inlineStr">
        <is>
          <t>素朴版／単調補間</t>
        </is>
      </c>
      <c r="C1478" s="10" t="inlineStr">
        <is>
          <t>2024-07</t>
        </is>
      </c>
      <c r="D1478" s="10" t="n">
        <v>7</v>
      </c>
      <c r="E1478" s="12" t="n">
        <v>9000.200000000001</v>
      </c>
      <c r="F1478" s="12" t="n">
        <v>4157.3</v>
      </c>
      <c r="G1478" s="12" t="n">
        <v>4842.9</v>
      </c>
      <c r="H1478" s="13" t="n">
        <v>0.146</v>
      </c>
      <c r="I1478" s="13" t="n">
        <v>0.045</v>
      </c>
    </row>
    <row r="1479">
      <c r="A1479" s="10" t="inlineStr">
        <is>
          <t>PJ-2024-J</t>
        </is>
      </c>
      <c r="B1479" s="10" t="inlineStr">
        <is>
          <t>素朴版／単調補間</t>
        </is>
      </c>
      <c r="C1479" s="10" t="inlineStr">
        <is>
          <t>2024-08</t>
        </is>
      </c>
      <c r="D1479" s="10" t="n">
        <v>8</v>
      </c>
      <c r="E1479" s="12" t="n">
        <v>9913.200000000001</v>
      </c>
      <c r="F1479" s="12" t="n">
        <v>5704.7</v>
      </c>
      <c r="G1479" s="12" t="n">
        <v>4208.5</v>
      </c>
      <c r="H1479" s="13" t="n">
        <v>0.1746</v>
      </c>
      <c r="I1479" s="13" t="n">
        <v>0.0615</v>
      </c>
    </row>
    <row r="1480">
      <c r="A1480" s="10" t="inlineStr">
        <is>
          <t>PJ-2024-J</t>
        </is>
      </c>
      <c r="B1480" s="10" t="inlineStr">
        <is>
          <t>素朴版／単調補間</t>
        </is>
      </c>
      <c r="C1480" s="10" t="inlineStr">
        <is>
          <t>2024-09</t>
        </is>
      </c>
      <c r="D1480" s="10" t="n">
        <v>9</v>
      </c>
      <c r="E1480" s="12" t="n">
        <v>11304.8</v>
      </c>
      <c r="F1480" s="12" t="n">
        <v>6443.3</v>
      </c>
      <c r="G1480" s="12" t="n">
        <v>4861.5</v>
      </c>
      <c r="H1480" s="13" t="n">
        <v>0.2073</v>
      </c>
      <c r="I1480" s="13" t="n">
        <v>0.0801</v>
      </c>
    </row>
    <row r="1481">
      <c r="A1481" s="10" t="inlineStr">
        <is>
          <t>PJ-2024-J</t>
        </is>
      </c>
      <c r="B1481" s="10" t="inlineStr">
        <is>
          <t>素朴版／単調補間</t>
        </is>
      </c>
      <c r="C1481" s="10" t="inlineStr">
        <is>
          <t>2024-10</t>
        </is>
      </c>
      <c r="D1481" s="10" t="n">
        <v>10</v>
      </c>
      <c r="E1481" s="12" t="n">
        <v>12963.8</v>
      </c>
      <c r="F1481" s="12" t="n">
        <v>7892.9</v>
      </c>
      <c r="G1481" s="12" t="n">
        <v>5070.9</v>
      </c>
      <c r="H1481" s="13" t="n">
        <v>0.2448</v>
      </c>
      <c r="I1481" s="13" t="n">
        <v>0.1029</v>
      </c>
    </row>
    <row r="1482">
      <c r="A1482" s="10" t="inlineStr">
        <is>
          <t>PJ-2024-J</t>
        </is>
      </c>
      <c r="B1482" s="10" t="inlineStr">
        <is>
          <t>素朴版／単調補間</t>
        </is>
      </c>
      <c r="C1482" s="10" t="inlineStr">
        <is>
          <t>2024-11</t>
        </is>
      </c>
      <c r="D1482" s="10" t="n">
        <v>11</v>
      </c>
      <c r="E1482" s="12" t="n">
        <v>13499.6</v>
      </c>
      <c r="F1482" s="12" t="n">
        <v>9044.6</v>
      </c>
      <c r="G1482" s="12" t="n">
        <v>4455</v>
      </c>
      <c r="H1482" s="13" t="n">
        <v>0.2838</v>
      </c>
      <c r="I1482" s="13" t="n">
        <v>0.129</v>
      </c>
    </row>
    <row r="1483">
      <c r="A1483" s="10" t="inlineStr">
        <is>
          <t>PJ-2024-J</t>
        </is>
      </c>
      <c r="B1483" s="10" t="inlineStr">
        <is>
          <t>素朴版／単調補間</t>
        </is>
      </c>
      <c r="C1483" s="10" t="inlineStr">
        <is>
          <t>2024-12</t>
        </is>
      </c>
      <c r="D1483" s="10" t="n">
        <v>12</v>
      </c>
      <c r="E1483" s="12" t="n">
        <v>15387.3</v>
      </c>
      <c r="F1483" s="12" t="n">
        <v>9905.1</v>
      </c>
      <c r="G1483" s="12" t="n">
        <v>5482.2</v>
      </c>
      <c r="H1483" s="13" t="n">
        <v>0.3283</v>
      </c>
      <c r="I1483" s="13" t="n">
        <v>0.1577</v>
      </c>
    </row>
    <row r="1484">
      <c r="A1484" s="10" t="inlineStr">
        <is>
          <t>PJ-2024-J</t>
        </is>
      </c>
      <c r="B1484" s="10" t="inlineStr">
        <is>
          <t>素朴版／単調補間</t>
        </is>
      </c>
      <c r="C1484" s="10" t="inlineStr">
        <is>
          <t>2025-01</t>
        </is>
      </c>
      <c r="D1484" s="10" t="n">
        <v>13</v>
      </c>
      <c r="E1484" s="12" t="n">
        <v>15484.8</v>
      </c>
      <c r="F1484" s="12" t="n">
        <v>10668.8</v>
      </c>
      <c r="G1484" s="12" t="n">
        <v>4816</v>
      </c>
      <c r="H1484" s="13" t="n">
        <v>0.373</v>
      </c>
      <c r="I1484" s="13" t="n">
        <v>0.1885</v>
      </c>
    </row>
    <row r="1485">
      <c r="A1485" s="10" t="inlineStr">
        <is>
          <t>PJ-2024-J</t>
        </is>
      </c>
      <c r="B1485" s="10" t="inlineStr">
        <is>
          <t>素朴版／単調補間</t>
        </is>
      </c>
      <c r="C1485" s="10" t="inlineStr">
        <is>
          <t>2025-02</t>
        </is>
      </c>
      <c r="D1485" s="10" t="n">
        <v>14</v>
      </c>
      <c r="E1485" s="12" t="n">
        <v>12803</v>
      </c>
      <c r="F1485" s="12" t="n">
        <v>10918.3</v>
      </c>
      <c r="G1485" s="12" t="n">
        <v>1884.7</v>
      </c>
      <c r="H1485" s="13" t="n">
        <v>0.41</v>
      </c>
      <c r="I1485" s="13" t="n">
        <v>0.22</v>
      </c>
    </row>
    <row r="1486">
      <c r="A1486" s="10" t="inlineStr">
        <is>
          <t>PJ-2024-J</t>
        </is>
      </c>
      <c r="B1486" s="10" t="inlineStr">
        <is>
          <t>素朴版／単調補間</t>
        </is>
      </c>
      <c r="C1486" s="10" t="inlineStr">
        <is>
          <t>2025-03</t>
        </is>
      </c>
      <c r="D1486" s="10" t="n">
        <v>15</v>
      </c>
      <c r="E1486" s="12" t="n">
        <v>13803.8</v>
      </c>
      <c r="F1486" s="12" t="n">
        <v>13702.5</v>
      </c>
      <c r="G1486" s="12" t="n">
        <v>101.3</v>
      </c>
      <c r="H1486" s="13" t="n">
        <v>0.4499</v>
      </c>
      <c r="I1486" s="13" t="n">
        <v>0.2596</v>
      </c>
    </row>
    <row r="1487">
      <c r="A1487" s="10" t="inlineStr">
        <is>
          <t>PJ-2024-J</t>
        </is>
      </c>
      <c r="B1487" s="10" t="inlineStr">
        <is>
          <t>素朴版／単調補間</t>
        </is>
      </c>
      <c r="C1487" s="10" t="inlineStr">
        <is>
          <t>2025-04</t>
        </is>
      </c>
      <c r="D1487" s="10" t="n">
        <v>16</v>
      </c>
      <c r="E1487" s="12" t="n">
        <v>14796.2</v>
      </c>
      <c r="F1487" s="12" t="n">
        <v>18909.3</v>
      </c>
      <c r="G1487" s="12" t="n">
        <v>-4113.1</v>
      </c>
      <c r="H1487" s="13" t="n">
        <v>0.4927</v>
      </c>
      <c r="I1487" s="13" t="n">
        <v>0.3143</v>
      </c>
    </row>
    <row r="1488">
      <c r="A1488" s="10" t="inlineStr">
        <is>
          <t>PJ-2024-J</t>
        </is>
      </c>
      <c r="B1488" s="10" t="inlineStr">
        <is>
          <t>素朴版／単調補間</t>
        </is>
      </c>
      <c r="C1488" s="10" t="inlineStr">
        <is>
          <t>2025-05</t>
        </is>
      </c>
      <c r="D1488" s="10" t="n">
        <v>17</v>
      </c>
      <c r="E1488" s="12" t="n">
        <v>15080.4</v>
      </c>
      <c r="F1488" s="12" t="n">
        <v>26126.9</v>
      </c>
      <c r="G1488" s="12" t="n">
        <v>-11046.5</v>
      </c>
      <c r="H1488" s="13" t="n">
        <v>0.5363</v>
      </c>
      <c r="I1488" s="13" t="n">
        <v>0.3898</v>
      </c>
    </row>
    <row r="1489">
      <c r="A1489" s="10" t="inlineStr">
        <is>
          <t>PJ-2024-J</t>
        </is>
      </c>
      <c r="B1489" s="10" t="inlineStr">
        <is>
          <t>素朴版／単調補間</t>
        </is>
      </c>
      <c r="C1489" s="10" t="inlineStr">
        <is>
          <t>2025-06</t>
        </is>
      </c>
      <c r="D1489" s="10" t="n">
        <v>18</v>
      </c>
      <c r="E1489" s="12" t="n">
        <v>14722.3</v>
      </c>
      <c r="F1489" s="12" t="n">
        <v>31246.9</v>
      </c>
      <c r="G1489" s="12" t="n">
        <v>-16524.6</v>
      </c>
      <c r="H1489" s="13" t="n">
        <v>0.5788</v>
      </c>
      <c r="I1489" s="13" t="n">
        <v>0.4801</v>
      </c>
    </row>
    <row r="1490">
      <c r="A1490" s="10" t="inlineStr">
        <is>
          <t>PJ-2024-J</t>
        </is>
      </c>
      <c r="B1490" s="10" t="inlineStr">
        <is>
          <t>素朴版／単調補間</t>
        </is>
      </c>
      <c r="C1490" s="10" t="inlineStr">
        <is>
          <t>2025-07</t>
        </is>
      </c>
      <c r="D1490" s="10" t="n">
        <v>19</v>
      </c>
      <c r="E1490" s="12" t="n">
        <v>17078.7</v>
      </c>
      <c r="F1490" s="12" t="n">
        <v>28601.2</v>
      </c>
      <c r="G1490" s="12" t="n">
        <v>-11522.5</v>
      </c>
      <c r="H1490" s="13" t="n">
        <v>0.6282</v>
      </c>
      <c r="I1490" s="13" t="n">
        <v>0.5628</v>
      </c>
    </row>
    <row r="1491">
      <c r="A1491" s="10" t="inlineStr">
        <is>
          <t>PJ-2024-J</t>
        </is>
      </c>
      <c r="B1491" s="10" t="inlineStr">
        <is>
          <t>素朴版／単調補間</t>
        </is>
      </c>
      <c r="C1491" s="10" t="inlineStr">
        <is>
          <t>2025-08</t>
        </is>
      </c>
      <c r="D1491" s="10" t="n">
        <v>20</v>
      </c>
      <c r="E1491" s="12" t="n">
        <v>16717.4</v>
      </c>
      <c r="F1491" s="12" t="n">
        <v>25939.3</v>
      </c>
      <c r="G1491" s="12" t="n">
        <v>-9221.9</v>
      </c>
      <c r="H1491" s="13" t="n">
        <v>0.6765</v>
      </c>
      <c r="I1491" s="13" t="n">
        <v>0.6377</v>
      </c>
    </row>
    <row r="1492">
      <c r="A1492" s="10" t="inlineStr">
        <is>
          <t>PJ-2024-J</t>
        </is>
      </c>
      <c r="B1492" s="10" t="inlineStr">
        <is>
          <t>素朴版／単調補間</t>
        </is>
      </c>
      <c r="C1492" s="10" t="inlineStr">
        <is>
          <t>2025-09</t>
        </is>
      </c>
      <c r="D1492" s="10" t="n">
        <v>21</v>
      </c>
      <c r="E1492" s="12" t="n">
        <v>15263.4</v>
      </c>
      <c r="F1492" s="12" t="n">
        <v>20944.7</v>
      </c>
      <c r="G1492" s="12" t="n">
        <v>-5681.3</v>
      </c>
      <c r="H1492" s="13" t="n">
        <v>0.7206</v>
      </c>
      <c r="I1492" s="13" t="n">
        <v>0.6983</v>
      </c>
    </row>
    <row r="1493">
      <c r="A1493" s="10" t="inlineStr">
        <is>
          <t>PJ-2024-J</t>
        </is>
      </c>
      <c r="B1493" s="10" t="inlineStr">
        <is>
          <t>素朴版／単調補間</t>
        </is>
      </c>
      <c r="C1493" s="10" t="inlineStr">
        <is>
          <t>2025-10</t>
        </is>
      </c>
      <c r="D1493" s="10" t="n">
        <v>22</v>
      </c>
      <c r="E1493" s="12" t="n">
        <v>15169.9</v>
      </c>
      <c r="F1493" s="12" t="n">
        <v>14367.8</v>
      </c>
      <c r="G1493" s="12" t="n">
        <v>802.1</v>
      </c>
      <c r="H1493" s="13" t="n">
        <v>0.7644</v>
      </c>
      <c r="I1493" s="13" t="n">
        <v>0.7398</v>
      </c>
    </row>
    <row r="1494">
      <c r="A1494" s="10" t="inlineStr">
        <is>
          <t>PJ-2024-J</t>
        </is>
      </c>
      <c r="B1494" s="10" t="inlineStr">
        <is>
          <t>素朴版／単調補間</t>
        </is>
      </c>
      <c r="C1494" s="10" t="inlineStr">
        <is>
          <t>2025-11</t>
        </is>
      </c>
      <c r="D1494" s="10" t="n">
        <v>23</v>
      </c>
      <c r="E1494" s="12" t="n">
        <v>14356.7</v>
      </c>
      <c r="F1494" s="12" t="n">
        <v>16461.6</v>
      </c>
      <c r="G1494" s="12" t="n">
        <v>-2104.9</v>
      </c>
      <c r="H1494" s="13" t="n">
        <v>0.8058999999999999</v>
      </c>
      <c r="I1494" s="13" t="n">
        <v>0.7874</v>
      </c>
    </row>
    <row r="1495">
      <c r="A1495" s="10" t="inlineStr">
        <is>
          <t>PJ-2024-J</t>
        </is>
      </c>
      <c r="B1495" s="10" t="inlineStr">
        <is>
          <t>素朴版／単調補間</t>
        </is>
      </c>
      <c r="C1495" s="10" t="inlineStr">
        <is>
          <t>2025-12</t>
        </is>
      </c>
      <c r="D1495" s="10" t="n">
        <v>24</v>
      </c>
      <c r="E1495" s="12" t="n">
        <v>15062.4</v>
      </c>
      <c r="F1495" s="12" t="n">
        <v>17876.1</v>
      </c>
      <c r="G1495" s="12" t="n">
        <v>-2813.7</v>
      </c>
      <c r="H1495" s="13" t="n">
        <v>0.8495</v>
      </c>
      <c r="I1495" s="13" t="n">
        <v>0.839</v>
      </c>
    </row>
    <row r="1496">
      <c r="A1496" s="10" t="inlineStr">
        <is>
          <t>PJ-2024-J</t>
        </is>
      </c>
      <c r="B1496" s="10" t="inlineStr">
        <is>
          <t>素朴版／単調補間</t>
        </is>
      </c>
      <c r="C1496" s="10" t="inlineStr">
        <is>
          <t>2026-01</t>
        </is>
      </c>
      <c r="D1496" s="10" t="n">
        <v>25</v>
      </c>
      <c r="E1496" s="12" t="n">
        <v>14435.1</v>
      </c>
      <c r="F1496" s="12" t="n">
        <v>14931.3</v>
      </c>
      <c r="G1496" s="12" t="n">
        <v>-496.2</v>
      </c>
      <c r="H1496" s="13" t="n">
        <v>0.8912</v>
      </c>
      <c r="I1496" s="13" t="n">
        <v>0.8822</v>
      </c>
    </row>
    <row r="1497">
      <c r="A1497" s="10" t="inlineStr">
        <is>
          <t>PJ-2024-J</t>
        </is>
      </c>
      <c r="B1497" s="10" t="inlineStr">
        <is>
          <t>素朴版／単調補間</t>
        </is>
      </c>
      <c r="C1497" s="10" t="inlineStr">
        <is>
          <t>2026-02</t>
        </is>
      </c>
      <c r="D1497" s="10" t="n">
        <v>26</v>
      </c>
      <c r="E1497" s="12" t="n">
        <v>10856.4</v>
      </c>
      <c r="F1497" s="12" t="n">
        <v>10014.8</v>
      </c>
      <c r="G1497" s="12" t="n">
        <v>841.6</v>
      </c>
      <c r="H1497" s="13" t="n">
        <v>0.9225</v>
      </c>
      <c r="I1497" s="13" t="n">
        <v>0.9111</v>
      </c>
    </row>
    <row r="1498">
      <c r="A1498" s="10" t="inlineStr">
        <is>
          <t>PJ-2024-J</t>
        </is>
      </c>
      <c r="B1498" s="10" t="inlineStr">
        <is>
          <t>素朴版／単調補間</t>
        </is>
      </c>
      <c r="C1498" s="10" t="inlineStr">
        <is>
          <t>2026-03</t>
        </is>
      </c>
      <c r="D1498" s="10" t="n">
        <v>27</v>
      </c>
      <c r="E1498" s="12" t="n">
        <v>9736.6</v>
      </c>
      <c r="F1498" s="12" t="n">
        <v>9594.1</v>
      </c>
      <c r="G1498" s="12" t="n">
        <v>142.5</v>
      </c>
      <c r="H1498" s="13" t="n">
        <v>0.9507</v>
      </c>
      <c r="I1498" s="13" t="n">
        <v>0.9389</v>
      </c>
    </row>
    <row r="1499">
      <c r="A1499" s="10" t="inlineStr">
        <is>
          <t>PJ-2024-J</t>
        </is>
      </c>
      <c r="B1499" s="10" t="inlineStr">
        <is>
          <t>素朴版／単調補間</t>
        </is>
      </c>
      <c r="C1499" s="10" t="inlineStr">
        <is>
          <t>2026-04</t>
        </is>
      </c>
      <c r="D1499" s="10" t="n">
        <v>28</v>
      </c>
      <c r="E1499" s="12" t="n">
        <v>7930.9</v>
      </c>
      <c r="F1499" s="12" t="n">
        <v>7976.6</v>
      </c>
      <c r="G1499" s="12" t="n">
        <v>-45.7</v>
      </c>
      <c r="H1499" s="13" t="n">
        <v>0.9736</v>
      </c>
      <c r="I1499" s="13" t="n">
        <v>0.9619</v>
      </c>
    </row>
    <row r="1500">
      <c r="A1500" s="10" t="inlineStr">
        <is>
          <t>PJ-2024-J</t>
        </is>
      </c>
      <c r="B1500" s="10" t="inlineStr">
        <is>
          <t>素朴版／単調補間</t>
        </is>
      </c>
      <c r="C1500" s="10" t="inlineStr">
        <is>
          <t>2026-05</t>
        </is>
      </c>
      <c r="D1500" s="10" t="n">
        <v>29</v>
      </c>
      <c r="E1500" s="12" t="n">
        <v>5764.4</v>
      </c>
      <c r="F1500" s="12" t="n">
        <v>10449.5</v>
      </c>
      <c r="G1500" s="12" t="n">
        <v>-4685.1</v>
      </c>
      <c r="H1500" s="13" t="n">
        <v>0.9903</v>
      </c>
      <c r="I1500" s="13" t="n">
        <v>0.9921</v>
      </c>
    </row>
    <row r="1501">
      <c r="A1501" s="10" t="inlineStr">
        <is>
          <t>PJ-2024-J</t>
        </is>
      </c>
      <c r="B1501" s="10" t="inlineStr">
        <is>
          <t>素朴版／単調補間</t>
        </is>
      </c>
      <c r="C1501" s="10" t="inlineStr">
        <is>
          <t>2026-06</t>
        </is>
      </c>
      <c r="D1501" s="10" t="n">
        <v>30</v>
      </c>
      <c r="E1501" s="12" t="n">
        <v>3367.1</v>
      </c>
      <c r="F1501" s="12" t="n">
        <v>2732.1</v>
      </c>
      <c r="G1501" s="12" t="n">
        <v>635</v>
      </c>
      <c r="H1501" s="13" t="n">
        <v>1</v>
      </c>
      <c r="I1501" s="13" t="n">
        <v>1</v>
      </c>
    </row>
    <row r="1502">
      <c r="A1502" s="10" t="inlineStr">
        <is>
          <t>PJ-2024-J</t>
        </is>
      </c>
      <c r="B1502" s="10" t="inlineStr">
        <is>
          <t>位置合わせ(MS学習値)／単調補間</t>
        </is>
      </c>
      <c r="C1502" s="10" t="inlineStr">
        <is>
          <t>2024-01</t>
        </is>
      </c>
      <c r="D1502" s="10" t="n">
        <v>1</v>
      </c>
      <c r="E1502" s="12" t="n">
        <v>4907.3</v>
      </c>
      <c r="F1502" s="12" t="n">
        <v>348</v>
      </c>
      <c r="G1502" s="12" t="n">
        <v>4559.3</v>
      </c>
      <c r="H1502" s="13" t="n">
        <v>0.0142</v>
      </c>
      <c r="I1502" s="13" t="n">
        <v>0.001</v>
      </c>
    </row>
    <row r="1503">
      <c r="A1503" s="10" t="inlineStr">
        <is>
          <t>PJ-2024-J</t>
        </is>
      </c>
      <c r="B1503" s="10" t="inlineStr">
        <is>
          <t>位置合わせ(MS学習値)／単調補間</t>
        </is>
      </c>
      <c r="C1503" s="10" t="inlineStr">
        <is>
          <t>2024-02</t>
        </is>
      </c>
      <c r="D1503" s="10" t="n">
        <v>2</v>
      </c>
      <c r="E1503" s="12" t="n">
        <v>5605.1</v>
      </c>
      <c r="F1503" s="12" t="n">
        <v>930.5</v>
      </c>
      <c r="G1503" s="12" t="n">
        <v>4674.6</v>
      </c>
      <c r="H1503" s="13" t="n">
        <v>0.0304</v>
      </c>
      <c r="I1503" s="13" t="n">
        <v>0.0037</v>
      </c>
    </row>
    <row r="1504">
      <c r="A1504" s="10" t="inlineStr">
        <is>
          <t>PJ-2024-J</t>
        </is>
      </c>
      <c r="B1504" s="10" t="inlineStr">
        <is>
          <t>位置合わせ(MS学習値)／単調補間</t>
        </is>
      </c>
      <c r="C1504" s="10" t="inlineStr">
        <is>
          <t>2024-03</t>
        </is>
      </c>
      <c r="D1504" s="10" t="n">
        <v>3</v>
      </c>
      <c r="E1504" s="12" t="n">
        <v>7007.3</v>
      </c>
      <c r="F1504" s="12" t="n">
        <v>1612.9</v>
      </c>
      <c r="G1504" s="12" t="n">
        <v>5394.4</v>
      </c>
      <c r="H1504" s="13" t="n">
        <v>0.0506</v>
      </c>
      <c r="I1504" s="13" t="n">
        <v>0.008399999999999999</v>
      </c>
    </row>
    <row r="1505">
      <c r="A1505" s="10" t="inlineStr">
        <is>
          <t>PJ-2024-J</t>
        </is>
      </c>
      <c r="B1505" s="10" t="inlineStr">
        <is>
          <t>位置合わせ(MS学習値)／単調補間</t>
        </is>
      </c>
      <c r="C1505" s="10" t="inlineStr">
        <is>
          <t>2024-04</t>
        </is>
      </c>
      <c r="D1505" s="10" t="n">
        <v>4</v>
      </c>
      <c r="E1505" s="12" t="n">
        <v>7202.2</v>
      </c>
      <c r="F1505" s="12" t="n">
        <v>2251.7</v>
      </c>
      <c r="G1505" s="12" t="n">
        <v>4950.5</v>
      </c>
      <c r="H1505" s="13" t="n">
        <v>0.07140000000000001</v>
      </c>
      <c r="I1505" s="13" t="n">
        <v>0.0149</v>
      </c>
    </row>
    <row r="1506">
      <c r="A1506" s="10" t="inlineStr">
        <is>
          <t>PJ-2024-J</t>
        </is>
      </c>
      <c r="B1506" s="10" t="inlineStr">
        <is>
          <t>位置合わせ(MS学習値)／単調補間</t>
        </is>
      </c>
      <c r="C1506" s="10" t="inlineStr">
        <is>
          <t>2024-05</t>
        </is>
      </c>
      <c r="D1506" s="10" t="n">
        <v>5</v>
      </c>
      <c r="E1506" s="12" t="n">
        <v>8236.4</v>
      </c>
      <c r="F1506" s="12" t="n">
        <v>2953</v>
      </c>
      <c r="G1506" s="12" t="n">
        <v>5283.4</v>
      </c>
      <c r="H1506" s="13" t="n">
        <v>0.0953</v>
      </c>
      <c r="I1506" s="13" t="n">
        <v>0.0234</v>
      </c>
    </row>
    <row r="1507">
      <c r="A1507" s="10" t="inlineStr">
        <is>
          <t>PJ-2024-J</t>
        </is>
      </c>
      <c r="B1507" s="10" t="inlineStr">
        <is>
          <t>位置合わせ(MS学習値)／単調補間</t>
        </is>
      </c>
      <c r="C1507" s="10" t="inlineStr">
        <is>
          <t>2024-06</t>
        </is>
      </c>
      <c r="D1507" s="10" t="n">
        <v>6</v>
      </c>
      <c r="E1507" s="12" t="n">
        <v>8054.2</v>
      </c>
      <c r="F1507" s="12" t="n">
        <v>3308.8</v>
      </c>
      <c r="G1507" s="12" t="n">
        <v>4745.4</v>
      </c>
      <c r="H1507" s="13" t="n">
        <v>0.1185</v>
      </c>
      <c r="I1507" s="13" t="n">
        <v>0.033</v>
      </c>
    </row>
    <row r="1508">
      <c r="A1508" s="10" t="inlineStr">
        <is>
          <t>PJ-2024-J</t>
        </is>
      </c>
      <c r="B1508" s="10" t="inlineStr">
        <is>
          <t>位置合わせ(MS学習値)／単調補間</t>
        </is>
      </c>
      <c r="C1508" s="10" t="inlineStr">
        <is>
          <t>2024-07</t>
        </is>
      </c>
      <c r="D1508" s="10" t="n">
        <v>7</v>
      </c>
      <c r="E1508" s="12" t="n">
        <v>8893.200000000001</v>
      </c>
      <c r="F1508" s="12" t="n">
        <v>4157.3</v>
      </c>
      <c r="G1508" s="12" t="n">
        <v>4735.9</v>
      </c>
      <c r="H1508" s="13" t="n">
        <v>0.1442</v>
      </c>
      <c r="I1508" s="13" t="n">
        <v>0.045</v>
      </c>
    </row>
    <row r="1509">
      <c r="A1509" s="10" t="inlineStr">
        <is>
          <t>PJ-2024-J</t>
        </is>
      </c>
      <c r="B1509" s="10" t="inlineStr">
        <is>
          <t>位置合わせ(MS学習値)／単調補間</t>
        </is>
      </c>
      <c r="C1509" s="10" t="inlineStr">
        <is>
          <t>2024-08</t>
        </is>
      </c>
      <c r="D1509" s="10" t="n">
        <v>8</v>
      </c>
      <c r="E1509" s="12" t="n">
        <v>9597.799999999999</v>
      </c>
      <c r="F1509" s="12" t="n">
        <v>5704.7</v>
      </c>
      <c r="G1509" s="12" t="n">
        <v>3893.1</v>
      </c>
      <c r="H1509" s="13" t="n">
        <v>0.172</v>
      </c>
      <c r="I1509" s="13" t="n">
        <v>0.0615</v>
      </c>
    </row>
    <row r="1510">
      <c r="A1510" s="10" t="inlineStr">
        <is>
          <t>PJ-2024-J</t>
        </is>
      </c>
      <c r="B1510" s="10" t="inlineStr">
        <is>
          <t>位置合わせ(MS学習値)／単調補間</t>
        </is>
      </c>
      <c r="C1510" s="10" t="inlineStr">
        <is>
          <t>2024-09</t>
        </is>
      </c>
      <c r="D1510" s="10" t="n">
        <v>9</v>
      </c>
      <c r="E1510" s="12" t="n">
        <v>10131.7</v>
      </c>
      <c r="F1510" s="12" t="n">
        <v>6443.3</v>
      </c>
      <c r="G1510" s="12" t="n">
        <v>3688.4</v>
      </c>
      <c r="H1510" s="13" t="n">
        <v>0.2012</v>
      </c>
      <c r="I1510" s="13" t="n">
        <v>0.0801</v>
      </c>
    </row>
    <row r="1511">
      <c r="A1511" s="10" t="inlineStr">
        <is>
          <t>PJ-2024-J</t>
        </is>
      </c>
      <c r="B1511" s="10" t="inlineStr">
        <is>
          <t>位置合わせ(MS学習値)／単調補間</t>
        </is>
      </c>
      <c r="C1511" s="10" t="inlineStr">
        <is>
          <t>2024-10</t>
        </is>
      </c>
      <c r="D1511" s="10" t="n">
        <v>10</v>
      </c>
      <c r="E1511" s="12" t="n">
        <v>12037.5</v>
      </c>
      <c r="F1511" s="12" t="n">
        <v>7892.9</v>
      </c>
      <c r="G1511" s="12" t="n">
        <v>4144.6</v>
      </c>
      <c r="H1511" s="13" t="n">
        <v>0.236</v>
      </c>
      <c r="I1511" s="13" t="n">
        <v>0.1029</v>
      </c>
    </row>
    <row r="1512">
      <c r="A1512" s="10" t="inlineStr">
        <is>
          <t>PJ-2024-J</t>
        </is>
      </c>
      <c r="B1512" s="10" t="inlineStr">
        <is>
          <t>位置合わせ(MS学習値)／単調補間</t>
        </is>
      </c>
      <c r="C1512" s="10" t="inlineStr">
        <is>
          <t>2024-11</t>
        </is>
      </c>
      <c r="D1512" s="10" t="n">
        <v>11</v>
      </c>
      <c r="E1512" s="12" t="n">
        <v>12767</v>
      </c>
      <c r="F1512" s="12" t="n">
        <v>9044.6</v>
      </c>
      <c r="G1512" s="12" t="n">
        <v>3722.4</v>
      </c>
      <c r="H1512" s="13" t="n">
        <v>0.2729</v>
      </c>
      <c r="I1512" s="13" t="n">
        <v>0.129</v>
      </c>
    </row>
    <row r="1513">
      <c r="A1513" s="10" t="inlineStr">
        <is>
          <t>PJ-2024-J</t>
        </is>
      </c>
      <c r="B1513" s="10" t="inlineStr">
        <is>
          <t>位置合わせ(MS学習値)／単調補間</t>
        </is>
      </c>
      <c r="C1513" s="10" t="inlineStr">
        <is>
          <t>2024-12</t>
        </is>
      </c>
      <c r="D1513" s="10" t="n">
        <v>12</v>
      </c>
      <c r="E1513" s="12" t="n">
        <v>14012.2</v>
      </c>
      <c r="F1513" s="12" t="n">
        <v>9905.1</v>
      </c>
      <c r="G1513" s="12" t="n">
        <v>4107.1</v>
      </c>
      <c r="H1513" s="13" t="n">
        <v>0.3134</v>
      </c>
      <c r="I1513" s="13" t="n">
        <v>0.1577</v>
      </c>
    </row>
    <row r="1514">
      <c r="A1514" s="10" t="inlineStr">
        <is>
          <t>PJ-2024-J</t>
        </is>
      </c>
      <c r="B1514" s="10" t="inlineStr">
        <is>
          <t>位置合わせ(MS学習値)／単調補間</t>
        </is>
      </c>
      <c r="C1514" s="10" t="inlineStr">
        <is>
          <t>2025-01</t>
        </is>
      </c>
      <c r="D1514" s="10" t="n">
        <v>13</v>
      </c>
      <c r="E1514" s="12" t="n">
        <v>14865.3</v>
      </c>
      <c r="F1514" s="12" t="n">
        <v>10668.8</v>
      </c>
      <c r="G1514" s="12" t="n">
        <v>4196.5</v>
      </c>
      <c r="H1514" s="13" t="n">
        <v>0.3564</v>
      </c>
      <c r="I1514" s="13" t="n">
        <v>0.1885</v>
      </c>
    </row>
    <row r="1515">
      <c r="A1515" s="10" t="inlineStr">
        <is>
          <t>PJ-2024-J</t>
        </is>
      </c>
      <c r="B1515" s="10" t="inlineStr">
        <is>
          <t>位置合わせ(MS学習値)／単調補間</t>
        </is>
      </c>
      <c r="C1515" s="10" t="inlineStr">
        <is>
          <t>2025-02</t>
        </is>
      </c>
      <c r="D1515" s="10" t="n">
        <v>14</v>
      </c>
      <c r="E1515" s="12" t="n">
        <v>14473.6</v>
      </c>
      <c r="F1515" s="12" t="n">
        <v>10918.3</v>
      </c>
      <c r="G1515" s="12" t="n">
        <v>3555.3</v>
      </c>
      <c r="H1515" s="13" t="n">
        <v>0.3982</v>
      </c>
      <c r="I1515" s="13" t="n">
        <v>0.22</v>
      </c>
    </row>
    <row r="1516">
      <c r="A1516" s="10" t="inlineStr">
        <is>
          <t>PJ-2024-J</t>
        </is>
      </c>
      <c r="B1516" s="10" t="inlineStr">
        <is>
          <t>位置合わせ(MS学習値)／単調補間</t>
        </is>
      </c>
      <c r="C1516" s="10" t="inlineStr">
        <is>
          <t>2025-03</t>
        </is>
      </c>
      <c r="D1516" s="10" t="n">
        <v>15</v>
      </c>
      <c r="E1516" s="12" t="n">
        <v>16953.6</v>
      </c>
      <c r="F1516" s="12" t="n">
        <v>13702.5</v>
      </c>
      <c r="G1516" s="12" t="n">
        <v>3251.1</v>
      </c>
      <c r="H1516" s="13" t="n">
        <v>0.4472</v>
      </c>
      <c r="I1516" s="13" t="n">
        <v>0.2596</v>
      </c>
    </row>
    <row r="1517">
      <c r="A1517" s="10" t="inlineStr">
        <is>
          <t>PJ-2024-J</t>
        </is>
      </c>
      <c r="B1517" s="10" t="inlineStr">
        <is>
          <t>位置合わせ(MS学習値)／単調補間</t>
        </is>
      </c>
      <c r="C1517" s="10" t="inlineStr">
        <is>
          <t>2025-04</t>
        </is>
      </c>
      <c r="D1517" s="10" t="n">
        <v>16</v>
      </c>
      <c r="E1517" s="12" t="n">
        <v>16226.6</v>
      </c>
      <c r="F1517" s="12" t="n">
        <v>18909.3</v>
      </c>
      <c r="G1517" s="12" t="n">
        <v>-2682.7</v>
      </c>
      <c r="H1517" s="13" t="n">
        <v>0.4941</v>
      </c>
      <c r="I1517" s="13" t="n">
        <v>0.3143</v>
      </c>
    </row>
    <row r="1518">
      <c r="A1518" s="10" t="inlineStr">
        <is>
          <t>PJ-2024-J</t>
        </is>
      </c>
      <c r="B1518" s="10" t="inlineStr">
        <is>
          <t>位置合わせ(MS学習値)／単調補間</t>
        </is>
      </c>
      <c r="C1518" s="10" t="inlineStr">
        <is>
          <t>2025-05</t>
        </is>
      </c>
      <c r="D1518" s="10" t="n">
        <v>17</v>
      </c>
      <c r="E1518" s="12" t="n">
        <v>16560.5</v>
      </c>
      <c r="F1518" s="12" t="n">
        <v>26126.9</v>
      </c>
      <c r="G1518" s="12" t="n">
        <v>-9566.4</v>
      </c>
      <c r="H1518" s="13" t="n">
        <v>0.542</v>
      </c>
      <c r="I1518" s="13" t="n">
        <v>0.3898</v>
      </c>
    </row>
    <row r="1519">
      <c r="A1519" s="10" t="inlineStr">
        <is>
          <t>PJ-2024-J</t>
        </is>
      </c>
      <c r="B1519" s="10" t="inlineStr">
        <is>
          <t>位置合わせ(MS学習値)／単調補間</t>
        </is>
      </c>
      <c r="C1519" s="10" t="inlineStr">
        <is>
          <t>2025-06</t>
        </is>
      </c>
      <c r="D1519" s="10" t="n">
        <v>18</v>
      </c>
      <c r="E1519" s="12" t="n">
        <v>15471.7</v>
      </c>
      <c r="F1519" s="12" t="n">
        <v>31246.9</v>
      </c>
      <c r="G1519" s="12" t="n">
        <v>-15775.2</v>
      </c>
      <c r="H1519" s="13" t="n">
        <v>0.5867</v>
      </c>
      <c r="I1519" s="13" t="n">
        <v>0.4801</v>
      </c>
    </row>
    <row r="1520">
      <c r="A1520" s="10" t="inlineStr">
        <is>
          <t>PJ-2024-J</t>
        </is>
      </c>
      <c r="B1520" s="10" t="inlineStr">
        <is>
          <t>位置合わせ(MS学習値)／単調補間</t>
        </is>
      </c>
      <c r="C1520" s="10" t="inlineStr">
        <is>
          <t>2025-07</t>
        </is>
      </c>
      <c r="D1520" s="10" t="n">
        <v>19</v>
      </c>
      <c r="E1520" s="12" t="n">
        <v>15923.1</v>
      </c>
      <c r="F1520" s="12" t="n">
        <v>28601.2</v>
      </c>
      <c r="G1520" s="12" t="n">
        <v>-12678.1</v>
      </c>
      <c r="H1520" s="13" t="n">
        <v>0.6327</v>
      </c>
      <c r="I1520" s="13" t="n">
        <v>0.5628</v>
      </c>
    </row>
    <row r="1521">
      <c r="A1521" s="10" t="inlineStr">
        <is>
          <t>PJ-2024-J</t>
        </is>
      </c>
      <c r="B1521" s="10" t="inlineStr">
        <is>
          <t>位置合わせ(MS学習値)／単調補間</t>
        </is>
      </c>
      <c r="C1521" s="10" t="inlineStr">
        <is>
          <t>2025-08</t>
        </is>
      </c>
      <c r="D1521" s="10" t="n">
        <v>20</v>
      </c>
      <c r="E1521" s="12" t="n">
        <v>16314.9</v>
      </c>
      <c r="F1521" s="12" t="n">
        <v>25939.3</v>
      </c>
      <c r="G1521" s="12" t="n">
        <v>-9624.4</v>
      </c>
      <c r="H1521" s="13" t="n">
        <v>0.6798999999999999</v>
      </c>
      <c r="I1521" s="13" t="n">
        <v>0.6377</v>
      </c>
    </row>
    <row r="1522">
      <c r="A1522" s="10" t="inlineStr">
        <is>
          <t>PJ-2024-J</t>
        </is>
      </c>
      <c r="B1522" s="10" t="inlineStr">
        <is>
          <t>位置合わせ(MS学習値)／単調補間</t>
        </is>
      </c>
      <c r="C1522" s="10" t="inlineStr">
        <is>
          <t>2025-09</t>
        </is>
      </c>
      <c r="D1522" s="10" t="n">
        <v>21</v>
      </c>
      <c r="E1522" s="12" t="n">
        <v>16572.3</v>
      </c>
      <c r="F1522" s="12" t="n">
        <v>20944.7</v>
      </c>
      <c r="G1522" s="12" t="n">
        <v>-4372.4</v>
      </c>
      <c r="H1522" s="13" t="n">
        <v>0.7278</v>
      </c>
      <c r="I1522" s="13" t="n">
        <v>0.6983</v>
      </c>
    </row>
    <row r="1523">
      <c r="A1523" s="10" t="inlineStr">
        <is>
          <t>PJ-2024-J</t>
        </is>
      </c>
      <c r="B1523" s="10" t="inlineStr">
        <is>
          <t>位置合わせ(MS学習値)／単調補間</t>
        </is>
      </c>
      <c r="C1523" s="10" t="inlineStr">
        <is>
          <t>2025-10</t>
        </is>
      </c>
      <c r="D1523" s="10" t="n">
        <v>22</v>
      </c>
      <c r="E1523" s="12" t="n">
        <v>16671.4</v>
      </c>
      <c r="F1523" s="12" t="n">
        <v>14367.8</v>
      </c>
      <c r="G1523" s="12" t="n">
        <v>2303.6</v>
      </c>
      <c r="H1523" s="13" t="n">
        <v>0.7759</v>
      </c>
      <c r="I1523" s="13" t="n">
        <v>0.7398</v>
      </c>
    </row>
    <row r="1524">
      <c r="A1524" s="10" t="inlineStr">
        <is>
          <t>PJ-2024-J</t>
        </is>
      </c>
      <c r="B1524" s="10" t="inlineStr">
        <is>
          <t>位置合わせ(MS学習値)／単調補間</t>
        </is>
      </c>
      <c r="C1524" s="10" t="inlineStr">
        <is>
          <t>2025-11</t>
        </is>
      </c>
      <c r="D1524" s="10" t="n">
        <v>23</v>
      </c>
      <c r="E1524" s="12" t="n">
        <v>15239</v>
      </c>
      <c r="F1524" s="12" t="n">
        <v>16461.6</v>
      </c>
      <c r="G1524" s="12" t="n">
        <v>-1222.6</v>
      </c>
      <c r="H1524" s="13" t="n">
        <v>0.82</v>
      </c>
      <c r="I1524" s="13" t="n">
        <v>0.7874</v>
      </c>
    </row>
    <row r="1525">
      <c r="A1525" s="10" t="inlineStr">
        <is>
          <t>PJ-2024-J</t>
        </is>
      </c>
      <c r="B1525" s="10" t="inlineStr">
        <is>
          <t>位置合わせ(MS学習値)／単調補間</t>
        </is>
      </c>
      <c r="C1525" s="10" t="inlineStr">
        <is>
          <t>2025-12</t>
        </is>
      </c>
      <c r="D1525" s="10" t="n">
        <v>24</v>
      </c>
      <c r="E1525" s="12" t="n">
        <v>13575.2</v>
      </c>
      <c r="F1525" s="12" t="n">
        <v>17876.1</v>
      </c>
      <c r="G1525" s="12" t="n">
        <v>-4300.9</v>
      </c>
      <c r="H1525" s="13" t="n">
        <v>0.8592</v>
      </c>
      <c r="I1525" s="13" t="n">
        <v>0.839</v>
      </c>
    </row>
    <row r="1526">
      <c r="A1526" s="10" t="inlineStr">
        <is>
          <t>PJ-2024-J</t>
        </is>
      </c>
      <c r="B1526" s="10" t="inlineStr">
        <is>
          <t>位置合わせ(MS学習値)／単調補間</t>
        </is>
      </c>
      <c r="C1526" s="10" t="inlineStr">
        <is>
          <t>2026-01</t>
        </is>
      </c>
      <c r="D1526" s="10" t="n">
        <v>25</v>
      </c>
      <c r="E1526" s="12" t="n">
        <v>12326.1</v>
      </c>
      <c r="F1526" s="12" t="n">
        <v>14931.3</v>
      </c>
      <c r="G1526" s="12" t="n">
        <v>-2605.2</v>
      </c>
      <c r="H1526" s="13" t="n">
        <v>0.8948</v>
      </c>
      <c r="I1526" s="13" t="n">
        <v>0.8822</v>
      </c>
    </row>
    <row r="1527">
      <c r="A1527" s="10" t="inlineStr">
        <is>
          <t>PJ-2024-J</t>
        </is>
      </c>
      <c r="B1527" s="10" t="inlineStr">
        <is>
          <t>位置合わせ(MS学習値)／単調補間</t>
        </is>
      </c>
      <c r="C1527" s="10" t="inlineStr">
        <is>
          <t>2026-02</t>
        </is>
      </c>
      <c r="D1527" s="10" t="n">
        <v>26</v>
      </c>
      <c r="E1527" s="12" t="n">
        <v>9657.1</v>
      </c>
      <c r="F1527" s="12" t="n">
        <v>10014.8</v>
      </c>
      <c r="G1527" s="12" t="n">
        <v>-357.7</v>
      </c>
      <c r="H1527" s="13" t="n">
        <v>0.9227</v>
      </c>
      <c r="I1527" s="13" t="n">
        <v>0.9111</v>
      </c>
    </row>
    <row r="1528">
      <c r="A1528" s="10" t="inlineStr">
        <is>
          <t>PJ-2024-J</t>
        </is>
      </c>
      <c r="B1528" s="10" t="inlineStr">
        <is>
          <t>位置合わせ(MS学習値)／単調補間</t>
        </is>
      </c>
      <c r="C1528" s="10" t="inlineStr">
        <is>
          <t>2026-03</t>
        </is>
      </c>
      <c r="D1528" s="10" t="n">
        <v>27</v>
      </c>
      <c r="E1528" s="12" t="n">
        <v>9470.1</v>
      </c>
      <c r="F1528" s="12" t="n">
        <v>9594.1</v>
      </c>
      <c r="G1528" s="12" t="n">
        <v>-124</v>
      </c>
      <c r="H1528" s="13" t="n">
        <v>0.9500999999999999</v>
      </c>
      <c r="I1528" s="13" t="n">
        <v>0.9389</v>
      </c>
    </row>
    <row r="1529">
      <c r="A1529" s="10" t="inlineStr">
        <is>
          <t>PJ-2024-J</t>
        </is>
      </c>
      <c r="B1529" s="10" t="inlineStr">
        <is>
          <t>位置合わせ(MS学習値)／単調補間</t>
        </is>
      </c>
      <c r="C1529" s="10" t="inlineStr">
        <is>
          <t>2026-04</t>
        </is>
      </c>
      <c r="D1529" s="10" t="n">
        <v>28</v>
      </c>
      <c r="E1529" s="12" t="n">
        <v>8235</v>
      </c>
      <c r="F1529" s="12" t="n">
        <v>7976.6</v>
      </c>
      <c r="G1529" s="12" t="n">
        <v>258.4</v>
      </c>
      <c r="H1529" s="13" t="n">
        <v>0.9739</v>
      </c>
      <c r="I1529" s="13" t="n">
        <v>0.9619</v>
      </c>
    </row>
    <row r="1530">
      <c r="A1530" s="10" t="inlineStr">
        <is>
          <t>PJ-2024-J</t>
        </is>
      </c>
      <c r="B1530" s="10" t="inlineStr">
        <is>
          <t>位置合わせ(MS学習値)／単調補間</t>
        </is>
      </c>
      <c r="C1530" s="10" t="inlineStr">
        <is>
          <t>2026-05</t>
        </is>
      </c>
      <c r="D1530" s="10" t="n">
        <v>29</v>
      </c>
      <c r="E1530" s="12" t="n">
        <v>5681.3</v>
      </c>
      <c r="F1530" s="12" t="n">
        <v>10449.5</v>
      </c>
      <c r="G1530" s="12" t="n">
        <v>-4768.2</v>
      </c>
      <c r="H1530" s="13" t="n">
        <v>0.9903</v>
      </c>
      <c r="I1530" s="13" t="n">
        <v>0.9921</v>
      </c>
    </row>
    <row r="1531">
      <c r="A1531" s="10" t="inlineStr">
        <is>
          <t>PJ-2024-J</t>
        </is>
      </c>
      <c r="B1531" s="10" t="inlineStr">
        <is>
          <t>位置合わせ(MS学習値)／単調補間</t>
        </is>
      </c>
      <c r="C1531" s="10" t="inlineStr">
        <is>
          <t>2026-06</t>
        </is>
      </c>
      <c r="D1531" s="10" t="n">
        <v>30</v>
      </c>
      <c r="E1531" s="12" t="n">
        <v>3346</v>
      </c>
      <c r="F1531" s="12" t="n">
        <v>2732.1</v>
      </c>
      <c r="G1531" s="12" t="n">
        <v>613.9</v>
      </c>
      <c r="H1531" s="13" t="n">
        <v>1</v>
      </c>
      <c r="I1531" s="13" t="n">
        <v>1</v>
      </c>
    </row>
    <row r="1532">
      <c r="A1532" s="10" t="inlineStr">
        <is>
          <t>PJ-2024-J</t>
        </is>
      </c>
      <c r="B1532" s="10" t="inlineStr">
        <is>
          <t>位置合わせ(MS指定)／単調補間</t>
        </is>
      </c>
      <c r="C1532" s="10" t="inlineStr">
        <is>
          <t>2024-01</t>
        </is>
      </c>
      <c r="D1532" s="10" t="n">
        <v>1</v>
      </c>
      <c r="E1532" s="12" t="n">
        <v>4707.3</v>
      </c>
      <c r="F1532" s="12" t="n">
        <v>348</v>
      </c>
      <c r="G1532" s="12" t="n">
        <v>4359.3</v>
      </c>
      <c r="H1532" s="13" t="n">
        <v>0.0136</v>
      </c>
      <c r="I1532" s="13" t="n">
        <v>0.001</v>
      </c>
    </row>
    <row r="1533">
      <c r="A1533" s="10" t="inlineStr">
        <is>
          <t>PJ-2024-J</t>
        </is>
      </c>
      <c r="B1533" s="10" t="inlineStr">
        <is>
          <t>位置合わせ(MS指定)／単調補間</t>
        </is>
      </c>
      <c r="C1533" s="10" t="inlineStr">
        <is>
          <t>2024-02</t>
        </is>
      </c>
      <c r="D1533" s="10" t="n">
        <v>2</v>
      </c>
      <c r="E1533" s="12" t="n">
        <v>5327.7</v>
      </c>
      <c r="F1533" s="12" t="n">
        <v>930.5</v>
      </c>
      <c r="G1533" s="12" t="n">
        <v>4397.2</v>
      </c>
      <c r="H1533" s="13" t="n">
        <v>0.029</v>
      </c>
      <c r="I1533" s="13" t="n">
        <v>0.0037</v>
      </c>
    </row>
    <row r="1534">
      <c r="A1534" s="10" t="inlineStr">
        <is>
          <t>PJ-2024-J</t>
        </is>
      </c>
      <c r="B1534" s="10" t="inlineStr">
        <is>
          <t>位置合わせ(MS指定)／単調補間</t>
        </is>
      </c>
      <c r="C1534" s="10" t="inlineStr">
        <is>
          <t>2024-03</t>
        </is>
      </c>
      <c r="D1534" s="10" t="n">
        <v>3</v>
      </c>
      <c r="E1534" s="12" t="n">
        <v>6581.5</v>
      </c>
      <c r="F1534" s="12" t="n">
        <v>1612.9</v>
      </c>
      <c r="G1534" s="12" t="n">
        <v>4968.6</v>
      </c>
      <c r="H1534" s="13" t="n">
        <v>0.048</v>
      </c>
      <c r="I1534" s="13" t="n">
        <v>0.008399999999999999</v>
      </c>
    </row>
    <row r="1535">
      <c r="A1535" s="10" t="inlineStr">
        <is>
          <t>PJ-2024-J</t>
        </is>
      </c>
      <c r="B1535" s="10" t="inlineStr">
        <is>
          <t>位置合わせ(MS指定)／単調補間</t>
        </is>
      </c>
      <c r="C1535" s="10" t="inlineStr">
        <is>
          <t>2024-04</t>
        </is>
      </c>
      <c r="D1535" s="10" t="n">
        <v>4</v>
      </c>
      <c r="E1535" s="12" t="n">
        <v>6896</v>
      </c>
      <c r="F1535" s="12" t="n">
        <v>2251.7</v>
      </c>
      <c r="G1535" s="12" t="n">
        <v>4644.3</v>
      </c>
      <c r="H1535" s="13" t="n">
        <v>0.068</v>
      </c>
      <c r="I1535" s="13" t="n">
        <v>0.0149</v>
      </c>
    </row>
    <row r="1536">
      <c r="A1536" s="10" t="inlineStr">
        <is>
          <t>PJ-2024-J</t>
        </is>
      </c>
      <c r="B1536" s="10" t="inlineStr">
        <is>
          <t>位置合わせ(MS指定)／単調補間</t>
        </is>
      </c>
      <c r="C1536" s="10" t="inlineStr">
        <is>
          <t>2024-05</t>
        </is>
      </c>
      <c r="D1536" s="10" t="n">
        <v>5</v>
      </c>
      <c r="E1536" s="12" t="n">
        <v>7822.6</v>
      </c>
      <c r="F1536" s="12" t="n">
        <v>2953</v>
      </c>
      <c r="G1536" s="12" t="n">
        <v>4869.6</v>
      </c>
      <c r="H1536" s="13" t="n">
        <v>0.0906</v>
      </c>
      <c r="I1536" s="13" t="n">
        <v>0.0234</v>
      </c>
    </row>
    <row r="1537">
      <c r="A1537" s="10" t="inlineStr">
        <is>
          <t>PJ-2024-J</t>
        </is>
      </c>
      <c r="B1537" s="10" t="inlineStr">
        <is>
          <t>位置合わせ(MS指定)／単調補間</t>
        </is>
      </c>
      <c r="C1537" s="10" t="inlineStr">
        <is>
          <t>2024-06</t>
        </is>
      </c>
      <c r="D1537" s="10" t="n">
        <v>6</v>
      </c>
      <c r="E1537" s="12" t="n">
        <v>7607.5</v>
      </c>
      <c r="F1537" s="12" t="n">
        <v>3308.8</v>
      </c>
      <c r="G1537" s="12" t="n">
        <v>4298.7</v>
      </c>
      <c r="H1537" s="13" t="n">
        <v>0.1125</v>
      </c>
      <c r="I1537" s="13" t="n">
        <v>0.033</v>
      </c>
    </row>
    <row r="1538">
      <c r="A1538" s="10" t="inlineStr">
        <is>
          <t>PJ-2024-J</t>
        </is>
      </c>
      <c r="B1538" s="10" t="inlineStr">
        <is>
          <t>位置合わせ(MS指定)／単調補間</t>
        </is>
      </c>
      <c r="C1538" s="10" t="inlineStr">
        <is>
          <t>2024-07</t>
        </is>
      </c>
      <c r="D1538" s="10" t="n">
        <v>7</v>
      </c>
      <c r="E1538" s="12" t="n">
        <v>8430.200000000001</v>
      </c>
      <c r="F1538" s="12" t="n">
        <v>4157.3</v>
      </c>
      <c r="G1538" s="12" t="n">
        <v>4272.9</v>
      </c>
      <c r="H1538" s="13" t="n">
        <v>0.1369</v>
      </c>
      <c r="I1538" s="13" t="n">
        <v>0.045</v>
      </c>
    </row>
    <row r="1539">
      <c r="A1539" s="10" t="inlineStr">
        <is>
          <t>PJ-2024-J</t>
        </is>
      </c>
      <c r="B1539" s="10" t="inlineStr">
        <is>
          <t>位置合わせ(MS指定)／単調補間</t>
        </is>
      </c>
      <c r="C1539" s="10" t="inlineStr">
        <is>
          <t>2024-08</t>
        </is>
      </c>
      <c r="D1539" s="10" t="n">
        <v>8</v>
      </c>
      <c r="E1539" s="12" t="n">
        <v>8933.4</v>
      </c>
      <c r="F1539" s="12" t="n">
        <v>5704.7</v>
      </c>
      <c r="G1539" s="12" t="n">
        <v>3228.7</v>
      </c>
      <c r="H1539" s="13" t="n">
        <v>0.1627</v>
      </c>
      <c r="I1539" s="13" t="n">
        <v>0.0615</v>
      </c>
    </row>
    <row r="1540">
      <c r="A1540" s="10" t="inlineStr">
        <is>
          <t>PJ-2024-J</t>
        </is>
      </c>
      <c r="B1540" s="10" t="inlineStr">
        <is>
          <t>位置合わせ(MS指定)／単調補間</t>
        </is>
      </c>
      <c r="C1540" s="10" t="inlineStr">
        <is>
          <t>2024-09</t>
        </is>
      </c>
      <c r="D1540" s="10" t="n">
        <v>9</v>
      </c>
      <c r="E1540" s="12" t="n">
        <v>9455.200000000001</v>
      </c>
      <c r="F1540" s="12" t="n">
        <v>6443.3</v>
      </c>
      <c r="G1540" s="12" t="n">
        <v>3011.9</v>
      </c>
      <c r="H1540" s="13" t="n">
        <v>0.1901</v>
      </c>
      <c r="I1540" s="13" t="n">
        <v>0.0801</v>
      </c>
    </row>
    <row r="1541">
      <c r="A1541" s="10" t="inlineStr">
        <is>
          <t>PJ-2024-J</t>
        </is>
      </c>
      <c r="B1541" s="10" t="inlineStr">
        <is>
          <t>位置合わせ(MS指定)／単調補間</t>
        </is>
      </c>
      <c r="C1541" s="10" t="inlineStr">
        <is>
          <t>2024-10</t>
        </is>
      </c>
      <c r="D1541" s="10" t="n">
        <v>10</v>
      </c>
      <c r="E1541" s="12" t="n">
        <v>10789.5</v>
      </c>
      <c r="F1541" s="12" t="n">
        <v>7892.9</v>
      </c>
      <c r="G1541" s="12" t="n">
        <v>2896.6</v>
      </c>
      <c r="H1541" s="13" t="n">
        <v>0.2212</v>
      </c>
      <c r="I1541" s="13" t="n">
        <v>0.1029</v>
      </c>
    </row>
    <row r="1542">
      <c r="A1542" s="10" t="inlineStr">
        <is>
          <t>PJ-2024-J</t>
        </is>
      </c>
      <c r="B1542" s="10" t="inlineStr">
        <is>
          <t>位置合わせ(MS指定)／単調補間</t>
        </is>
      </c>
      <c r="C1542" s="10" t="inlineStr">
        <is>
          <t>2024-11</t>
        </is>
      </c>
      <c r="D1542" s="10" t="n">
        <v>11</v>
      </c>
      <c r="E1542" s="12" t="n">
        <v>12051.6</v>
      </c>
      <c r="F1542" s="12" t="n">
        <v>9044.6</v>
      </c>
      <c r="G1542" s="12" t="n">
        <v>3007</v>
      </c>
      <c r="H1542" s="13" t="n">
        <v>0.2561</v>
      </c>
      <c r="I1542" s="13" t="n">
        <v>0.129</v>
      </c>
    </row>
    <row r="1543">
      <c r="A1543" s="10" t="inlineStr">
        <is>
          <t>PJ-2024-J</t>
        </is>
      </c>
      <c r="B1543" s="10" t="inlineStr">
        <is>
          <t>位置合わせ(MS指定)／単調補間</t>
        </is>
      </c>
      <c r="C1543" s="10" t="inlineStr">
        <is>
          <t>2024-12</t>
        </is>
      </c>
      <c r="D1543" s="10" t="n">
        <v>12</v>
      </c>
      <c r="E1543" s="12" t="n">
        <v>12904.3</v>
      </c>
      <c r="F1543" s="12" t="n">
        <v>9905.1</v>
      </c>
      <c r="G1543" s="12" t="n">
        <v>2999.2</v>
      </c>
      <c r="H1543" s="13" t="n">
        <v>0.2934</v>
      </c>
      <c r="I1543" s="13" t="n">
        <v>0.1577</v>
      </c>
    </row>
    <row r="1544">
      <c r="A1544" s="10" t="inlineStr">
        <is>
          <t>PJ-2024-J</t>
        </is>
      </c>
      <c r="B1544" s="10" t="inlineStr">
        <is>
          <t>位置合わせ(MS指定)／単調補間</t>
        </is>
      </c>
      <c r="C1544" s="10" t="inlineStr">
        <is>
          <t>2025-01</t>
        </is>
      </c>
      <c r="D1544" s="10" t="n">
        <v>13</v>
      </c>
      <c r="E1544" s="12" t="n">
        <v>13984.7</v>
      </c>
      <c r="F1544" s="12" t="n">
        <v>10668.8</v>
      </c>
      <c r="G1544" s="12" t="n">
        <v>3315.9</v>
      </c>
      <c r="H1544" s="13" t="n">
        <v>0.3338</v>
      </c>
      <c r="I1544" s="13" t="n">
        <v>0.1885</v>
      </c>
    </row>
    <row r="1545">
      <c r="A1545" s="10" t="inlineStr">
        <is>
          <t>PJ-2024-J</t>
        </is>
      </c>
      <c r="B1545" s="10" t="inlineStr">
        <is>
          <t>位置合わせ(MS指定)／単調補間</t>
        </is>
      </c>
      <c r="C1545" s="10" t="inlineStr">
        <is>
          <t>2025-02</t>
        </is>
      </c>
      <c r="D1545" s="10" t="n">
        <v>14</v>
      </c>
      <c r="E1545" s="12" t="n">
        <v>13149.4</v>
      </c>
      <c r="F1545" s="12" t="n">
        <v>10918.3</v>
      </c>
      <c r="G1545" s="12" t="n">
        <v>2231.1</v>
      </c>
      <c r="H1545" s="13" t="n">
        <v>0.3718</v>
      </c>
      <c r="I1545" s="13" t="n">
        <v>0.22</v>
      </c>
    </row>
    <row r="1546">
      <c r="A1546" s="10" t="inlineStr">
        <is>
          <t>PJ-2024-J</t>
        </is>
      </c>
      <c r="B1546" s="10" t="inlineStr">
        <is>
          <t>位置合わせ(MS指定)／単調補間</t>
        </is>
      </c>
      <c r="C1546" s="10" t="inlineStr">
        <is>
          <t>2025-03</t>
        </is>
      </c>
      <c r="D1546" s="10" t="n">
        <v>15</v>
      </c>
      <c r="E1546" s="12" t="n">
        <v>15856</v>
      </c>
      <c r="F1546" s="12" t="n">
        <v>13702.5</v>
      </c>
      <c r="G1546" s="12" t="n">
        <v>2153.5</v>
      </c>
      <c r="H1546" s="13" t="n">
        <v>0.4176</v>
      </c>
      <c r="I1546" s="13" t="n">
        <v>0.2596</v>
      </c>
    </row>
    <row r="1547">
      <c r="A1547" s="10" t="inlineStr">
        <is>
          <t>PJ-2024-J</t>
        </is>
      </c>
      <c r="B1547" s="10" t="inlineStr">
        <is>
          <t>位置合わせ(MS指定)／単調補間</t>
        </is>
      </c>
      <c r="C1547" s="10" t="inlineStr">
        <is>
          <t>2025-04</t>
        </is>
      </c>
      <c r="D1547" s="10" t="n">
        <v>16</v>
      </c>
      <c r="E1547" s="12" t="n">
        <v>20254.7</v>
      </c>
      <c r="F1547" s="12" t="n">
        <v>18909.3</v>
      </c>
      <c r="G1547" s="12" t="n">
        <v>1345.4</v>
      </c>
      <c r="H1547" s="13" t="n">
        <v>0.4761</v>
      </c>
      <c r="I1547" s="13" t="n">
        <v>0.3143</v>
      </c>
    </row>
    <row r="1548">
      <c r="A1548" s="10" t="inlineStr">
        <is>
          <t>PJ-2024-J</t>
        </is>
      </c>
      <c r="B1548" s="10" t="inlineStr">
        <is>
          <t>位置合わせ(MS指定)／単調補間</t>
        </is>
      </c>
      <c r="C1548" s="10" t="inlineStr">
        <is>
          <t>2025-05</t>
        </is>
      </c>
      <c r="D1548" s="10" t="n">
        <v>17</v>
      </c>
      <c r="E1548" s="12" t="n">
        <v>24574.7</v>
      </c>
      <c r="F1548" s="12" t="n">
        <v>26126.9</v>
      </c>
      <c r="G1548" s="12" t="n">
        <v>-1552.2</v>
      </c>
      <c r="H1548" s="13" t="n">
        <v>0.5472</v>
      </c>
      <c r="I1548" s="13" t="n">
        <v>0.3898</v>
      </c>
    </row>
    <row r="1549">
      <c r="A1549" s="10" t="inlineStr">
        <is>
          <t>PJ-2024-J</t>
        </is>
      </c>
      <c r="B1549" s="10" t="inlineStr">
        <is>
          <t>位置合わせ(MS指定)／単調補間</t>
        </is>
      </c>
      <c r="C1549" s="10" t="inlineStr">
        <is>
          <t>2025-06</t>
        </is>
      </c>
      <c r="D1549" s="10" t="n">
        <v>18</v>
      </c>
      <c r="E1549" s="12" t="n">
        <v>22945.8</v>
      </c>
      <c r="F1549" s="12" t="n">
        <v>31246.9</v>
      </c>
      <c r="G1549" s="12" t="n">
        <v>-8301.1</v>
      </c>
      <c r="H1549" s="13" t="n">
        <v>0.6135</v>
      </c>
      <c r="I1549" s="13" t="n">
        <v>0.4801</v>
      </c>
    </row>
    <row r="1550">
      <c r="A1550" s="10" t="inlineStr">
        <is>
          <t>PJ-2024-J</t>
        </is>
      </c>
      <c r="B1550" s="10" t="inlineStr">
        <is>
          <t>位置合わせ(MS指定)／単調補間</t>
        </is>
      </c>
      <c r="C1550" s="10" t="inlineStr">
        <is>
          <t>2025-07</t>
        </is>
      </c>
      <c r="D1550" s="10" t="n">
        <v>19</v>
      </c>
      <c r="E1550" s="12" t="n">
        <v>23962</v>
      </c>
      <c r="F1550" s="12" t="n">
        <v>28601.2</v>
      </c>
      <c r="G1550" s="12" t="n">
        <v>-4639.2</v>
      </c>
      <c r="H1550" s="13" t="n">
        <v>0.6827</v>
      </c>
      <c r="I1550" s="13" t="n">
        <v>0.5628</v>
      </c>
    </row>
    <row r="1551">
      <c r="A1551" s="10" t="inlineStr">
        <is>
          <t>PJ-2024-J</t>
        </is>
      </c>
      <c r="B1551" s="10" t="inlineStr">
        <is>
          <t>位置合わせ(MS指定)／単調補間</t>
        </is>
      </c>
      <c r="C1551" s="10" t="inlineStr">
        <is>
          <t>2025-08</t>
        </is>
      </c>
      <c r="D1551" s="10" t="n">
        <v>20</v>
      </c>
      <c r="E1551" s="12" t="n">
        <v>25063</v>
      </c>
      <c r="F1551" s="12" t="n">
        <v>25939.3</v>
      </c>
      <c r="G1551" s="12" t="n">
        <v>-876.3</v>
      </c>
      <c r="H1551" s="13" t="n">
        <v>0.7552</v>
      </c>
      <c r="I1551" s="13" t="n">
        <v>0.6377</v>
      </c>
    </row>
    <row r="1552">
      <c r="A1552" s="10" t="inlineStr">
        <is>
          <t>PJ-2024-J</t>
        </is>
      </c>
      <c r="B1552" s="10" t="inlineStr">
        <is>
          <t>位置合わせ(MS指定)／単調補間</t>
        </is>
      </c>
      <c r="C1552" s="10" t="inlineStr">
        <is>
          <t>2025-09</t>
        </is>
      </c>
      <c r="D1552" s="10" t="n">
        <v>21</v>
      </c>
      <c r="E1552" s="12" t="n">
        <v>17410.6</v>
      </c>
      <c r="F1552" s="12" t="n">
        <v>20944.7</v>
      </c>
      <c r="G1552" s="12" t="n">
        <v>-3534.1</v>
      </c>
      <c r="H1552" s="13" t="n">
        <v>0.8055</v>
      </c>
      <c r="I1552" s="13" t="n">
        <v>0.6983</v>
      </c>
    </row>
    <row r="1553">
      <c r="A1553" s="10" t="inlineStr">
        <is>
          <t>PJ-2024-J</t>
        </is>
      </c>
      <c r="B1553" s="10" t="inlineStr">
        <is>
          <t>位置合わせ(MS指定)／単調補間</t>
        </is>
      </c>
      <c r="C1553" s="10" t="inlineStr">
        <is>
          <t>2025-10</t>
        </is>
      </c>
      <c r="D1553" s="10" t="n">
        <v>22</v>
      </c>
      <c r="E1553" s="12" t="n">
        <v>10345.5</v>
      </c>
      <c r="F1553" s="12" t="n">
        <v>14367.8</v>
      </c>
      <c r="G1553" s="12" t="n">
        <v>-4022.3</v>
      </c>
      <c r="H1553" s="13" t="n">
        <v>0.8354</v>
      </c>
      <c r="I1553" s="13" t="n">
        <v>0.7398</v>
      </c>
    </row>
    <row r="1554">
      <c r="A1554" s="10" t="inlineStr">
        <is>
          <t>PJ-2024-J</t>
        </is>
      </c>
      <c r="B1554" s="10" t="inlineStr">
        <is>
          <t>位置合わせ(MS指定)／単調補間</t>
        </is>
      </c>
      <c r="C1554" s="10" t="inlineStr">
        <is>
          <t>2025-11</t>
        </is>
      </c>
      <c r="D1554" s="10" t="n">
        <v>23</v>
      </c>
      <c r="E1554" s="12" t="n">
        <v>9387.700000000001</v>
      </c>
      <c r="F1554" s="12" t="n">
        <v>16461.6</v>
      </c>
      <c r="G1554" s="12" t="n">
        <v>-7073.9</v>
      </c>
      <c r="H1554" s="13" t="n">
        <v>0.8625</v>
      </c>
      <c r="I1554" s="13" t="n">
        <v>0.7874</v>
      </c>
    </row>
    <row r="1555">
      <c r="A1555" s="10" t="inlineStr">
        <is>
          <t>PJ-2024-J</t>
        </is>
      </c>
      <c r="B1555" s="10" t="inlineStr">
        <is>
          <t>位置合わせ(MS指定)／単調補間</t>
        </is>
      </c>
      <c r="C1555" s="10" t="inlineStr">
        <is>
          <t>2025-12</t>
        </is>
      </c>
      <c r="D1555" s="10" t="n">
        <v>24</v>
      </c>
      <c r="E1555" s="12" t="n">
        <v>9063.6</v>
      </c>
      <c r="F1555" s="12" t="n">
        <v>17876.1</v>
      </c>
      <c r="G1555" s="12" t="n">
        <v>-8812.5</v>
      </c>
      <c r="H1555" s="13" t="n">
        <v>0.8887</v>
      </c>
      <c r="I1555" s="13" t="n">
        <v>0.839</v>
      </c>
    </row>
    <row r="1556">
      <c r="A1556" s="10" t="inlineStr">
        <is>
          <t>PJ-2024-J</t>
        </is>
      </c>
      <c r="B1556" s="10" t="inlineStr">
        <is>
          <t>位置合わせ(MS指定)／単調補間</t>
        </is>
      </c>
      <c r="C1556" s="10" t="inlineStr">
        <is>
          <t>2026-01</t>
        </is>
      </c>
      <c r="D1556" s="10" t="n">
        <v>25</v>
      </c>
      <c r="E1556" s="12" t="n">
        <v>8101.5</v>
      </c>
      <c r="F1556" s="12" t="n">
        <v>14931.3</v>
      </c>
      <c r="G1556" s="12" t="n">
        <v>-6829.8</v>
      </c>
      <c r="H1556" s="13" t="n">
        <v>0.9121</v>
      </c>
      <c r="I1556" s="13" t="n">
        <v>0.8822</v>
      </c>
    </row>
    <row r="1557">
      <c r="A1557" s="10" t="inlineStr">
        <is>
          <t>PJ-2024-J</t>
        </is>
      </c>
      <c r="B1557" s="10" t="inlineStr">
        <is>
          <t>位置合わせ(MS指定)／単調補間</t>
        </is>
      </c>
      <c r="C1557" s="10" t="inlineStr">
        <is>
          <t>2026-02</t>
        </is>
      </c>
      <c r="D1557" s="10" t="n">
        <v>26</v>
      </c>
      <c r="E1557" s="12" t="n">
        <v>6538.2</v>
      </c>
      <c r="F1557" s="12" t="n">
        <v>10014.8</v>
      </c>
      <c r="G1557" s="12" t="n">
        <v>-3476.6</v>
      </c>
      <c r="H1557" s="13" t="n">
        <v>0.931</v>
      </c>
      <c r="I1557" s="13" t="n">
        <v>0.9111</v>
      </c>
    </row>
    <row r="1558">
      <c r="A1558" s="10" t="inlineStr">
        <is>
          <t>PJ-2024-J</t>
        </is>
      </c>
      <c r="B1558" s="10" t="inlineStr">
        <is>
          <t>位置合わせ(MS指定)／単調補間</t>
        </is>
      </c>
      <c r="C1558" s="10" t="inlineStr">
        <is>
          <t>2026-03</t>
        </is>
      </c>
      <c r="D1558" s="10" t="n">
        <v>27</v>
      </c>
      <c r="E1558" s="12" t="n">
        <v>6812.4</v>
      </c>
      <c r="F1558" s="12" t="n">
        <v>9594.1</v>
      </c>
      <c r="G1558" s="12" t="n">
        <v>-2781.7</v>
      </c>
      <c r="H1558" s="13" t="n">
        <v>0.9507</v>
      </c>
      <c r="I1558" s="13" t="n">
        <v>0.9389</v>
      </c>
    </row>
    <row r="1559">
      <c r="A1559" s="10" t="inlineStr">
        <is>
          <t>PJ-2024-J</t>
        </is>
      </c>
      <c r="B1559" s="10" t="inlineStr">
        <is>
          <t>位置合わせ(MS指定)／単調補間</t>
        </is>
      </c>
      <c r="C1559" s="10" t="inlineStr">
        <is>
          <t>2026-04</t>
        </is>
      </c>
      <c r="D1559" s="10" t="n">
        <v>28</v>
      </c>
      <c r="E1559" s="12" t="n">
        <v>7468.3</v>
      </c>
      <c r="F1559" s="12" t="n">
        <v>7976.6</v>
      </c>
      <c r="G1559" s="12" t="n">
        <v>-508.3</v>
      </c>
      <c r="H1559" s="13" t="n">
        <v>0.9723000000000001</v>
      </c>
      <c r="I1559" s="13" t="n">
        <v>0.9619</v>
      </c>
    </row>
    <row r="1560">
      <c r="A1560" s="10" t="inlineStr">
        <is>
          <t>PJ-2024-J</t>
        </is>
      </c>
      <c r="B1560" s="10" t="inlineStr">
        <is>
          <t>位置合わせ(MS指定)／単調補間</t>
        </is>
      </c>
      <c r="C1560" s="10" t="inlineStr">
        <is>
          <t>2026-05</t>
        </is>
      </c>
      <c r="D1560" s="10" t="n">
        <v>29</v>
      </c>
      <c r="E1560" s="12" t="n">
        <v>6071.1</v>
      </c>
      <c r="F1560" s="12" t="n">
        <v>10449.5</v>
      </c>
      <c r="G1560" s="12" t="n">
        <v>-4378.4</v>
      </c>
      <c r="H1560" s="13" t="n">
        <v>0.9898</v>
      </c>
      <c r="I1560" s="13" t="n">
        <v>0.9921</v>
      </c>
    </row>
    <row r="1561">
      <c r="A1561" s="10" t="inlineStr">
        <is>
          <t>PJ-2024-J</t>
        </is>
      </c>
      <c r="B1561" s="10" t="inlineStr">
        <is>
          <t>位置合わせ(MS指定)／単調補間</t>
        </is>
      </c>
      <c r="C1561" s="10" t="inlineStr">
        <is>
          <t>2026-06</t>
        </is>
      </c>
      <c r="D1561" s="10" t="n">
        <v>30</v>
      </c>
      <c r="E1561" s="12" t="n">
        <v>3518.6</v>
      </c>
      <c r="F1561" s="12" t="n">
        <v>2732.1</v>
      </c>
      <c r="G1561" s="12" t="n">
        <v>786.5</v>
      </c>
      <c r="H1561" s="13" t="n">
        <v>1</v>
      </c>
      <c r="I1561" s="13" t="n">
        <v>1</v>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K83"/>
  <sheetViews>
    <sheetView workbookViewId="0">
      <selection activeCell="A1" sqref="A1"/>
    </sheetView>
  </sheetViews>
  <sheetFormatPr baseColWidth="8" defaultRowHeight="15"/>
  <cols>
    <col width="26" customWidth="1" min="1" max="1"/>
    <col width="12" customWidth="1" min="2" max="2"/>
    <col width="8" customWidth="1" min="3" max="3"/>
    <col width="11" customWidth="1" min="4" max="4"/>
    <col width="11" customWidth="1" min="5" max="5"/>
    <col width="15" customWidth="1" min="6" max="6"/>
    <col width="15" customWidth="1" min="7" max="7"/>
    <col width="15" customWidth="1" min="8" max="8"/>
    <col width="15" customWidth="1" min="9" max="9"/>
    <col width="15" customWidth="1" min="10" max="10"/>
    <col width="11" customWidth="1" min="11" max="11"/>
  </cols>
  <sheetData>
    <row r="1">
      <c r="A1" s="1" t="inlineStr">
        <is>
          <t>実行条件</t>
        </is>
      </c>
    </row>
    <row r="2">
      <c r="A2" s="5" t="inlineStr">
        <is>
          <t>パラメータを変えて何度も回す段階では、「この結果はどの設定で出したか」を追えないと結果の比較ができなくなる。</t>
        </is>
      </c>
    </row>
    <row r="4">
      <c r="A4" s="6" t="inlineStr">
        <is>
          <t>■ パラメータ</t>
        </is>
      </c>
    </row>
    <row r="5">
      <c r="A5" s="8" t="inlineStr">
        <is>
          <t>項目</t>
        </is>
      </c>
      <c r="B5" s="8" t="inlineStr">
        <is>
          <t>値</t>
        </is>
      </c>
    </row>
    <row r="6">
      <c r="A6" s="10" t="inlineStr">
        <is>
          <t>実行日時</t>
        </is>
      </c>
      <c r="B6" s="10" t="inlineStr">
        <is>
          <t>2026-09-04 03:12:21</t>
        </is>
      </c>
    </row>
    <row r="7">
      <c r="A7" s="10" t="inlineStr">
        <is>
          <t>マスタ</t>
        </is>
      </c>
      <c r="B7" s="10" t="inlineStr">
        <is>
          <t>/home/user/Man-hour-forecasting/data/master.xlsx</t>
        </is>
      </c>
    </row>
    <row r="8">
      <c r="A8" s="10" t="inlineStr">
        <is>
          <t>実績データ</t>
        </is>
      </c>
      <c r="B8" s="10" t="inlineStr">
        <is>
          <t>/home/user/Man-hour-forecasting/data/actuals.csv</t>
        </is>
      </c>
    </row>
    <row r="9">
      <c r="A9" s="10" t="inlineStr">
        <is>
          <t>集約軸</t>
        </is>
      </c>
      <c r="B9" s="10" t="inlineStr">
        <is>
          <t>行程グループ</t>
        </is>
      </c>
    </row>
    <row r="10">
      <c r="A10" s="10" t="inlineStr">
        <is>
          <t>位置合わせ</t>
        </is>
      </c>
      <c r="B10" s="10" t="inlineStr">
        <is>
          <t>ON</t>
        </is>
      </c>
    </row>
    <row r="11">
      <c r="A11" s="10" t="inlineStr">
        <is>
          <t>背骨マイルストーン</t>
        </is>
      </c>
      <c r="B11" s="10" t="inlineStr">
        <is>
          <t>α版, β版, マスターアップ</t>
        </is>
      </c>
    </row>
    <row r="12">
      <c r="A12" s="10" t="inlineStr">
        <is>
          <t>背骨最小カバー率</t>
        </is>
      </c>
      <c r="B12" s="10" t="n">
        <v>0.6</v>
      </c>
    </row>
    <row r="13">
      <c r="A13" s="10" t="inlineStr">
        <is>
          <t>マイルストーン精度</t>
        </is>
      </c>
      <c r="B13" s="10" t="inlineStr">
        <is>
          <t>月</t>
        </is>
      </c>
    </row>
    <row r="14">
      <c r="A14" s="10" t="inlineStr">
        <is>
          <t>位置合わせ強度</t>
        </is>
      </c>
      <c r="B14" s="10" t="n">
        <v>1</v>
      </c>
    </row>
    <row r="15">
      <c r="A15" s="10" t="inlineStr">
        <is>
          <t>伸縮率上限</t>
        </is>
      </c>
      <c r="B15" s="10" t="inlineStr">
        <is>
          <t>無制限</t>
        </is>
      </c>
    </row>
    <row r="16">
      <c r="A16" s="10" t="inlineStr">
        <is>
          <t>カーブ復元</t>
        </is>
      </c>
      <c r="B16" s="10" t="inlineStr">
        <is>
          <t>月内均等</t>
        </is>
      </c>
    </row>
    <row r="17">
      <c r="A17" s="10" t="inlineStr">
        <is>
          <t>カーブ解像度</t>
        </is>
      </c>
      <c r="B17" s="10" t="n">
        <v>100</v>
      </c>
    </row>
    <row r="18">
      <c r="A18" s="10" t="inlineStr">
        <is>
          <t>人月換算係数</t>
        </is>
      </c>
      <c r="B18" s="10" t="n">
        <v>160</v>
      </c>
    </row>
    <row r="19">
      <c r="A19" s="10" t="inlineStr">
        <is>
          <t>段階予測のマイルストーン</t>
        </is>
      </c>
      <c r="B19" s="10" t="inlineStr">
        <is>
          <t>すべて</t>
        </is>
      </c>
    </row>
    <row r="20">
      <c r="A20" s="10" t="inlineStr">
        <is>
          <t>実装範囲</t>
        </is>
      </c>
      <c r="B20" s="10" t="inlineStr">
        <is>
          <t>実装順序 1〜2(素朴版 + マイルストーン位置合わせ) + 見積もりによる総量指定</t>
        </is>
      </c>
    </row>
    <row r="21">
      <c r="A21" s="10" t="inlineStr">
        <is>
          <t>未使用パラメータ</t>
        </is>
      </c>
      <c r="B21" s="10" t="inlineStr">
        <is>
          <t>k=3.0, タグ重み係数=0.5 (実装順序 3・4 で使用予定)</t>
        </is>
      </c>
    </row>
    <row r="22">
      <c r="A22" s="10" t="inlineStr">
        <is>
          <t>予測対象</t>
        </is>
      </c>
      <c r="B22" s="10" t="inlineStr">
        <is>
          <t>PJ-2021-E  シャドウヴェイル</t>
        </is>
      </c>
    </row>
    <row r="23">
      <c r="A23" s="10" t="inlineStr">
        <is>
          <t>学習案件数</t>
        </is>
      </c>
      <c r="B23" s="10" t="n">
        <v>9</v>
      </c>
    </row>
    <row r="24">
      <c r="A24" s="10" t="inlineStr">
        <is>
          <t>総量の根拠</t>
        </is>
      </c>
      <c r="B24" s="10" t="inlineStr">
        <is>
          <t>契約人月 + 学習比率</t>
        </is>
      </c>
    </row>
    <row r="25">
      <c r="A25" s="10" t="inlineStr">
        <is>
          <t>予測した行程グループ</t>
        </is>
      </c>
      <c r="B25" s="10" t="inlineStr">
        <is>
          <t>企画・プリプロ, ゲームデザイン・シナリオ, プログラム, アート, サウンド, QA・デバッグ, PM・運営</t>
        </is>
      </c>
    </row>
    <row r="26">
      <c r="A26" s="10" t="inlineStr">
        <is>
          <t>除外した行程グループ</t>
        </is>
      </c>
      <c r="B26" s="10" t="inlineStr">
        <is>
          <t>(なし)</t>
        </is>
      </c>
    </row>
    <row r="27">
      <c r="A27" s="10" t="inlineStr">
        <is>
          <t>段階予測</t>
        </is>
      </c>
      <c r="B27" s="10" t="inlineStr">
        <is>
          <t>5 段階 / 残工数の決め方: 契約総量固定</t>
        </is>
      </c>
    </row>
    <row r="28">
      <c r="A28" s="10" t="inlineStr">
        <is>
          <t>立ち上がり上限</t>
        </is>
      </c>
      <c r="B28" s="10" t="inlineStr">
        <is>
          <t>1.33 倍/月(段階予測のみ)</t>
        </is>
      </c>
    </row>
    <row r="30">
      <c r="A30" s="6" t="inlineStr">
        <is>
          <t>■ 人月換算</t>
        </is>
      </c>
    </row>
    <row r="31">
      <c r="A31" s="2" t="inlineStr">
        <is>
          <t>換算係数</t>
        </is>
      </c>
      <c r="B31" s="4" t="n">
        <v>160</v>
      </c>
      <c r="C31" s="2" t="inlineStr">
        <is>
          <t>時間 / 人月</t>
        </is>
      </c>
    </row>
    <row r="32">
      <c r="A32" s="5" t="inlineStr">
        <is>
          <t>人月の定義は組織によって揺れる。この係数を明記しないまま数字が独り歩きすると議論が噛み合わなくなる(設計書 4-3)。</t>
        </is>
      </c>
    </row>
    <row r="34">
      <c r="A34" s="6" t="inlineStr">
        <is>
          <t>■ 学習に使用した案件と重み</t>
        </is>
      </c>
    </row>
    <row r="35">
      <c r="A35" s="5" t="inlineStr">
        <is>
          <t>第1版(素朴版+位置合わせ)では全案件の重みを 1.0 で固定している。種別・タグによる重み付けは実装順序 3・4 で導入する。</t>
        </is>
      </c>
    </row>
    <row r="36">
      <c r="A36" s="8" t="inlineStr">
        <is>
          <t>案件ID</t>
        </is>
      </c>
      <c r="B36" s="8" t="inlineStr">
        <is>
          <t>名称</t>
        </is>
      </c>
      <c r="C36" s="8" t="inlineStr">
        <is>
          <t>種別</t>
        </is>
      </c>
      <c r="D36" s="8" t="inlineStr">
        <is>
          <t>重み</t>
        </is>
      </c>
      <c r="E36" s="8" t="inlineStr">
        <is>
          <t>契約人月</t>
        </is>
      </c>
      <c r="F36" s="8" t="inlineStr">
        <is>
          <t>実績人月</t>
        </is>
      </c>
      <c r="G36" s="8" t="inlineStr">
        <is>
          <t>乖離率(%)</t>
        </is>
      </c>
      <c r="H36" s="8" t="inlineStr">
        <is>
          <t>期間(月)</t>
        </is>
      </c>
      <c r="I36" s="8" t="inlineStr">
        <is>
          <t>マイルストーン数</t>
        </is>
      </c>
    </row>
    <row r="37">
      <c r="A37" s="10" t="inlineStr">
        <is>
          <t>PJ-2019-A</t>
        </is>
      </c>
      <c r="B37" s="10" t="inlineStr">
        <is>
          <t>蒼穹のレガリア</t>
        </is>
      </c>
      <c r="C37" s="10" t="inlineStr">
        <is>
          <t>新規タイトル開発</t>
        </is>
      </c>
      <c r="D37" s="23" t="n">
        <v>1</v>
      </c>
      <c r="E37" s="12" t="n">
        <v>2400</v>
      </c>
      <c r="F37" s="12" t="n">
        <v>2372.3</v>
      </c>
      <c r="G37" s="10" t="n">
        <v>-1.2</v>
      </c>
      <c r="H37" s="10" t="n">
        <v>36</v>
      </c>
      <c r="I37" s="10" t="n">
        <v>4</v>
      </c>
    </row>
    <row r="38">
      <c r="A38" s="10" t="inlineStr">
        <is>
          <t>PJ-2020-B</t>
        </is>
      </c>
      <c r="B38" s="10" t="inlineStr">
        <is>
          <t>ブレイブフロンティア外伝(後半集中)</t>
        </is>
      </c>
      <c r="C38" s="10" t="inlineStr">
        <is>
          <t>大型アップデート</t>
        </is>
      </c>
      <c r="D38" s="23" t="n">
        <v>1</v>
      </c>
      <c r="E38" s="12" t="n">
        <v>620</v>
      </c>
      <c r="F38" s="12" t="n">
        <v>625.1</v>
      </c>
      <c r="G38" s="10" t="n">
        <v>0.8</v>
      </c>
      <c r="H38" s="10" t="n">
        <v>14</v>
      </c>
      <c r="I38" s="10" t="n">
        <v>3</v>
      </c>
    </row>
    <row r="39">
      <c r="A39" s="10" t="inlineStr">
        <is>
          <t>PJ-2020-C</t>
        </is>
      </c>
      <c r="B39" s="10" t="inlineStr">
        <is>
          <t>クロノスギア(二山)</t>
        </is>
      </c>
      <c r="C39" s="10" t="inlineStr">
        <is>
          <t>新規タイトル開発</t>
        </is>
      </c>
      <c r="D39" s="23" t="n">
        <v>1</v>
      </c>
      <c r="E39" s="12" t="n">
        <v>1800</v>
      </c>
      <c r="F39" s="12" t="n">
        <v>1806.5</v>
      </c>
      <c r="G39" s="10" t="n">
        <v>0.4</v>
      </c>
      <c r="H39" s="10" t="n">
        <v>30</v>
      </c>
      <c r="I39" s="10" t="n">
        <v>4</v>
      </c>
    </row>
    <row r="40">
      <c r="A40" s="10" t="inlineStr">
        <is>
          <t>PJ-2021-D</t>
        </is>
      </c>
      <c r="B40" s="10" t="inlineStr">
        <is>
          <t>蒼穹のレガリア HD Edition(前倒し)</t>
        </is>
      </c>
      <c r="C40" s="10" t="inlineStr">
        <is>
          <t>移植・リマスター</t>
        </is>
      </c>
      <c r="D40" s="23" t="n">
        <v>1</v>
      </c>
      <c r="E40" s="12" t="n">
        <v>520</v>
      </c>
      <c r="F40" s="12" t="n">
        <v>518.2</v>
      </c>
      <c r="G40" s="10" t="n">
        <v>-0.3</v>
      </c>
      <c r="H40" s="10" t="n">
        <v>15</v>
      </c>
      <c r="I40" s="10" t="n">
        <v>3</v>
      </c>
    </row>
    <row r="41">
      <c r="A41" s="10" t="inlineStr">
        <is>
          <t>PJ-2022-F</t>
        </is>
      </c>
      <c r="B41" s="10" t="inlineStr">
        <is>
          <t>ネオンハーツ Season2</t>
        </is>
      </c>
      <c r="C41" s="10" t="inlineStr">
        <is>
          <t>大型アップデート</t>
        </is>
      </c>
      <c r="D41" s="23" t="n">
        <v>1</v>
      </c>
      <c r="E41" s="12" t="n">
        <v>880</v>
      </c>
      <c r="F41" s="12" t="n">
        <v>881.8</v>
      </c>
      <c r="G41" s="10" t="n">
        <v>0.2</v>
      </c>
      <c r="H41" s="10" t="n">
        <v>18</v>
      </c>
      <c r="I41" s="10" t="n">
        <v>3</v>
      </c>
    </row>
    <row r="42">
      <c r="A42" s="10" t="inlineStr">
        <is>
          <t>PJ-2022-G</t>
        </is>
      </c>
      <c r="B42" s="10" t="inlineStr">
        <is>
          <t>ギルドマスターズ(前倒し)</t>
        </is>
      </c>
      <c r="C42" s="10" t="inlineStr">
        <is>
          <t>新規タイトル開発</t>
        </is>
      </c>
      <c r="D42" s="23" t="n">
        <v>1</v>
      </c>
      <c r="E42" s="12" t="n">
        <v>1450</v>
      </c>
      <c r="F42" s="12" t="n">
        <v>1461</v>
      </c>
      <c r="G42" s="10" t="n">
        <v>0.8</v>
      </c>
      <c r="H42" s="10" t="n">
        <v>24</v>
      </c>
      <c r="I42" s="10" t="n">
        <v>4</v>
      </c>
    </row>
    <row r="43">
      <c r="A43" s="10" t="inlineStr">
        <is>
          <t>PJ-2023-H</t>
        </is>
      </c>
      <c r="B43" s="10" t="inlineStr">
        <is>
          <t>クロノスギア:蒼き遺産</t>
        </is>
      </c>
      <c r="C43" s="10" t="inlineStr">
        <is>
          <t>大型アップデート</t>
        </is>
      </c>
      <c r="D43" s="23" t="n">
        <v>1</v>
      </c>
      <c r="E43" s="12" t="n">
        <v>1100</v>
      </c>
      <c r="F43" s="12" t="n">
        <v>1104.9</v>
      </c>
      <c r="G43" s="10" t="n">
        <v>0.4</v>
      </c>
      <c r="H43" s="10" t="n">
        <v>20</v>
      </c>
      <c r="I43" s="10" t="n">
        <v>3</v>
      </c>
    </row>
    <row r="44">
      <c r="A44" s="10" t="inlineStr">
        <is>
          <t>PJ-2023-I</t>
        </is>
      </c>
      <c r="B44" s="10" t="inlineStr">
        <is>
          <t>ブレイブフロンティア Remaster</t>
        </is>
      </c>
      <c r="C44" s="10" t="inlineStr">
        <is>
          <t>移植・リマスター</t>
        </is>
      </c>
      <c r="D44" s="23" t="n">
        <v>1</v>
      </c>
      <c r="E44" s="12" t="n">
        <v>700</v>
      </c>
      <c r="F44" s="12" t="n">
        <v>709.7</v>
      </c>
      <c r="G44" s="10" t="n">
        <v>1.4</v>
      </c>
      <c r="H44" s="10" t="n">
        <v>18</v>
      </c>
      <c r="I44" s="10" t="n">
        <v>3</v>
      </c>
    </row>
    <row r="45">
      <c r="A45" s="10" t="inlineStr">
        <is>
          <t>PJ-2024-J</t>
        </is>
      </c>
      <c r="B45" s="10" t="inlineStr">
        <is>
          <t>オーヴァーロード・サーガ(後半集中)</t>
        </is>
      </c>
      <c r="C45" s="10" t="inlineStr">
        <is>
          <t>新規タイトル開発</t>
        </is>
      </c>
      <c r="D45" s="23" t="n">
        <v>1</v>
      </c>
      <c r="E45" s="12" t="n">
        <v>2200</v>
      </c>
      <c r="F45" s="12" t="n">
        <v>2162.6</v>
      </c>
      <c r="G45" s="10" t="n">
        <v>-1.7</v>
      </c>
      <c r="H45" s="10" t="n">
        <v>30</v>
      </c>
      <c r="I45" s="10" t="n">
        <v>4</v>
      </c>
    </row>
    <row r="47">
      <c r="A47" s="6" t="inlineStr">
        <is>
          <t>■ 案件別 × 行程グループ 実績工数(人月)</t>
        </is>
      </c>
    </row>
    <row r="48">
      <c r="A48" s="5" t="inlineStr">
        <is>
          <t>予測と同じ集計(phase_map に載る行程・契約期間内)での実績合計。0 はその案件がその業務を行っていないことを示す。最下行は全案件の合計で、その構成比が学習値そのものではない点に注意(学習は案件ごとの構成比を平均するため、規模の大きい案件に引っ張られない)。</t>
        </is>
      </c>
    </row>
    <row r="50">
      <c r="A50" s="8" t="inlineStr">
        <is>
          <t>案件ID</t>
        </is>
      </c>
      <c r="B50" s="8" t="inlineStr">
        <is>
          <t>名称</t>
        </is>
      </c>
      <c r="C50" s="8" t="inlineStr">
        <is>
          <t>期間(月)</t>
        </is>
      </c>
      <c r="D50" s="8" t="inlineStr">
        <is>
          <t>企画・プリプロ</t>
        </is>
      </c>
      <c r="E50" s="8" t="inlineStr">
        <is>
          <t>ゲームデザイン・シナリオ</t>
        </is>
      </c>
      <c r="F50" s="8" t="inlineStr">
        <is>
          <t>プログラム</t>
        </is>
      </c>
      <c r="G50" s="8" t="inlineStr">
        <is>
          <t>アート</t>
        </is>
      </c>
      <c r="H50" s="8" t="inlineStr">
        <is>
          <t>サウンド</t>
        </is>
      </c>
      <c r="I50" s="8" t="inlineStr">
        <is>
          <t>QA・デバッグ</t>
        </is>
      </c>
      <c r="J50" s="8" t="inlineStr">
        <is>
          <t>PM・運営</t>
        </is>
      </c>
      <c r="K50" s="8" t="inlineStr">
        <is>
          <t>合計</t>
        </is>
      </c>
    </row>
    <row r="51">
      <c r="A51" s="10" t="inlineStr">
        <is>
          <t>PJ-2019-A</t>
        </is>
      </c>
      <c r="B51" s="10" t="inlineStr">
        <is>
          <t>蒼穹のレガリア</t>
        </is>
      </c>
      <c r="C51" s="10" t="n">
        <v>36</v>
      </c>
      <c r="D51" s="19" t="n">
        <v>185</v>
      </c>
      <c r="E51" s="19" t="n">
        <v>297.4</v>
      </c>
      <c r="F51" s="19" t="n">
        <v>589.6</v>
      </c>
      <c r="G51" s="19" t="n">
        <v>772.4</v>
      </c>
      <c r="H51" s="19" t="n">
        <v>119.1</v>
      </c>
      <c r="I51" s="19" t="n">
        <v>272.4</v>
      </c>
      <c r="J51" s="19" t="n">
        <v>136.4</v>
      </c>
      <c r="K51" s="19" t="n">
        <v>2372.3</v>
      </c>
    </row>
    <row r="52">
      <c r="A52" s="10" t="inlineStr">
        <is>
          <t>PJ-2020-B</t>
        </is>
      </c>
      <c r="B52" s="10" t="inlineStr">
        <is>
          <t>ブレイブフロンティア外伝(後半集中)</t>
        </is>
      </c>
      <c r="C52" s="10" t="n">
        <v>14</v>
      </c>
      <c r="D52" s="19" t="n">
        <v>40.2</v>
      </c>
      <c r="E52" s="19" t="n">
        <v>85.5</v>
      </c>
      <c r="F52" s="19" t="n">
        <v>145.7</v>
      </c>
      <c r="G52" s="19" t="n">
        <v>202.1</v>
      </c>
      <c r="H52" s="19" t="n">
        <v>25.6</v>
      </c>
      <c r="I52" s="19" t="n">
        <v>87.59999999999999</v>
      </c>
      <c r="J52" s="19" t="n">
        <v>38.5</v>
      </c>
      <c r="K52" s="19" t="n">
        <v>625.1</v>
      </c>
    </row>
    <row r="53">
      <c r="A53" s="10" t="inlineStr">
        <is>
          <t>PJ-2020-C</t>
        </is>
      </c>
      <c r="B53" s="10" t="inlineStr">
        <is>
          <t>クロノスギア(二山)</t>
        </is>
      </c>
      <c r="C53" s="10" t="n">
        <v>30</v>
      </c>
      <c r="D53" s="19" t="n">
        <v>141.4</v>
      </c>
      <c r="E53" s="19" t="n">
        <v>217.4</v>
      </c>
      <c r="F53" s="19" t="n">
        <v>502.4</v>
      </c>
      <c r="G53" s="19" t="n">
        <v>524.6</v>
      </c>
      <c r="H53" s="19" t="n">
        <v>87.40000000000001</v>
      </c>
      <c r="I53" s="19" t="n">
        <v>225.2</v>
      </c>
      <c r="J53" s="19" t="n">
        <v>108.2</v>
      </c>
      <c r="K53" s="19" t="n">
        <v>1806.5</v>
      </c>
    </row>
    <row r="54">
      <c r="A54" s="10" t="inlineStr">
        <is>
          <t>PJ-2021-D</t>
        </is>
      </c>
      <c r="B54" s="10" t="inlineStr">
        <is>
          <t>蒼穹のレガリア HD Edition(前倒し)</t>
        </is>
      </c>
      <c r="C54" s="10" t="n">
        <v>15</v>
      </c>
      <c r="D54" s="19" t="n">
        <v>19.6</v>
      </c>
      <c r="E54" s="19" t="n">
        <v>24.2</v>
      </c>
      <c r="F54" s="19" t="n">
        <v>211.1</v>
      </c>
      <c r="G54" s="19" t="n">
        <v>127.2</v>
      </c>
      <c r="H54" s="19" t="n">
        <v>14</v>
      </c>
      <c r="I54" s="19" t="n">
        <v>93.2</v>
      </c>
      <c r="J54" s="19" t="n">
        <v>28.8</v>
      </c>
      <c r="K54" s="19" t="n">
        <v>518.2</v>
      </c>
    </row>
    <row r="55">
      <c r="A55" s="10" t="inlineStr">
        <is>
          <t>PJ-2022-F</t>
        </is>
      </c>
      <c r="B55" s="10" t="inlineStr">
        <is>
          <t>ネオンハーツ Season2</t>
        </is>
      </c>
      <c r="C55" s="10" t="n">
        <v>18</v>
      </c>
      <c r="D55" s="19" t="n">
        <v>51.8</v>
      </c>
      <c r="E55" s="19" t="n">
        <v>129.1</v>
      </c>
      <c r="F55" s="19" t="n">
        <v>204.3</v>
      </c>
      <c r="G55" s="19" t="n">
        <v>286.5</v>
      </c>
      <c r="H55" s="19" t="n">
        <v>37.3</v>
      </c>
      <c r="I55" s="19" t="n">
        <v>124.6</v>
      </c>
      <c r="J55" s="19" t="n">
        <v>48.2</v>
      </c>
      <c r="K55" s="19" t="n">
        <v>881.8</v>
      </c>
    </row>
    <row r="56">
      <c r="A56" s="10" t="inlineStr">
        <is>
          <t>PJ-2022-G</t>
        </is>
      </c>
      <c r="B56" s="10" t="inlineStr">
        <is>
          <t>ギルドマスターズ(前倒し)</t>
        </is>
      </c>
      <c r="C56" s="10" t="n">
        <v>24</v>
      </c>
      <c r="D56" s="19" t="n">
        <v>123.2</v>
      </c>
      <c r="E56" s="19" t="n">
        <v>170</v>
      </c>
      <c r="F56" s="19" t="n">
        <v>392.3</v>
      </c>
      <c r="G56" s="19" t="n">
        <v>446</v>
      </c>
      <c r="H56" s="19" t="n">
        <v>71.7</v>
      </c>
      <c r="I56" s="19" t="n">
        <v>171.6</v>
      </c>
      <c r="J56" s="19" t="n">
        <v>86.40000000000001</v>
      </c>
      <c r="K56" s="19" t="n">
        <v>1461</v>
      </c>
    </row>
    <row r="57">
      <c r="A57" s="10" t="inlineStr">
        <is>
          <t>PJ-2023-H</t>
        </is>
      </c>
      <c r="B57" s="10" t="inlineStr">
        <is>
          <t>クロノスギア:蒼き遺産</t>
        </is>
      </c>
      <c r="C57" s="10" t="n">
        <v>20</v>
      </c>
      <c r="D57" s="19" t="n">
        <v>61.4</v>
      </c>
      <c r="E57" s="19" t="n">
        <v>155.3</v>
      </c>
      <c r="F57" s="19" t="n">
        <v>260.3</v>
      </c>
      <c r="G57" s="19" t="n">
        <v>371</v>
      </c>
      <c r="H57" s="19" t="n">
        <v>40.6</v>
      </c>
      <c r="I57" s="19" t="n">
        <v>150.1</v>
      </c>
      <c r="J57" s="19" t="n">
        <v>66.3</v>
      </c>
      <c r="K57" s="19" t="n">
        <v>1104.9</v>
      </c>
    </row>
    <row r="58">
      <c r="A58" s="10" t="inlineStr">
        <is>
          <t>PJ-2023-I</t>
        </is>
      </c>
      <c r="B58" s="10" t="inlineStr">
        <is>
          <t>ブレイブフロンティア Remaster</t>
        </is>
      </c>
      <c r="C58" s="10" t="n">
        <v>18</v>
      </c>
      <c r="D58" s="19" t="n">
        <v>29.2</v>
      </c>
      <c r="E58" s="19" t="n">
        <v>34.4</v>
      </c>
      <c r="F58" s="19" t="n">
        <v>308.5</v>
      </c>
      <c r="G58" s="19" t="n">
        <v>171.1</v>
      </c>
      <c r="H58" s="19" t="n">
        <v>20.9</v>
      </c>
      <c r="I58" s="19" t="n">
        <v>106.1</v>
      </c>
      <c r="J58" s="19" t="n">
        <v>39.5</v>
      </c>
      <c r="K58" s="19" t="n">
        <v>709.7</v>
      </c>
    </row>
    <row r="59">
      <c r="A59" s="10" t="inlineStr">
        <is>
          <t>PJ-2024-J</t>
        </is>
      </c>
      <c r="B59" s="10" t="inlineStr">
        <is>
          <t>オーヴァーロード・サーガ(後半集中)</t>
        </is>
      </c>
      <c r="C59" s="10" t="n">
        <v>30</v>
      </c>
      <c r="D59" s="19" t="n">
        <v>153.8</v>
      </c>
      <c r="E59" s="19" t="n">
        <v>254</v>
      </c>
      <c r="F59" s="19" t="n">
        <v>600.1</v>
      </c>
      <c r="G59" s="19" t="n">
        <v>658.4</v>
      </c>
      <c r="H59" s="19" t="n">
        <v>122.6</v>
      </c>
      <c r="I59" s="19" t="n">
        <v>234.8</v>
      </c>
      <c r="J59" s="19" t="n">
        <v>138.9</v>
      </c>
      <c r="K59" s="19" t="n">
        <v>2162.6</v>
      </c>
    </row>
    <row r="60">
      <c r="A60" s="10" t="inlineStr">
        <is>
          <t>合計</t>
        </is>
      </c>
      <c r="B60" s="10" t="inlineStr"/>
      <c r="C60" s="10" t="n"/>
      <c r="D60" s="19" t="n">
        <v>805.6</v>
      </c>
      <c r="E60" s="19" t="n">
        <v>1367.3</v>
      </c>
      <c r="F60" s="19" t="n">
        <v>3214.3</v>
      </c>
      <c r="G60" s="19" t="n">
        <v>3559.3</v>
      </c>
      <c r="H60" s="19" t="n">
        <v>539.2</v>
      </c>
      <c r="I60" s="19" t="n">
        <v>1465.6</v>
      </c>
      <c r="J60" s="19" t="n">
        <v>691.2</v>
      </c>
      <c r="K60" s="19" t="n">
        <v>11642.1</v>
      </c>
    </row>
    <row r="61">
      <c r="A61" s="10" t="inlineStr">
        <is>
          <t>構成比</t>
        </is>
      </c>
      <c r="B61" s="10" t="inlineStr">
        <is>
          <t>(全案件の単純合計)</t>
        </is>
      </c>
      <c r="C61" s="10" t="n"/>
      <c r="D61" s="17" t="n">
        <v>0.0692</v>
      </c>
      <c r="E61" s="17" t="n">
        <v>0.1174</v>
      </c>
      <c r="F61" s="17" t="n">
        <v>0.2761</v>
      </c>
      <c r="G61" s="17" t="n">
        <v>0.3057</v>
      </c>
      <c r="H61" s="17" t="n">
        <v>0.0463</v>
      </c>
      <c r="I61" s="17" t="n">
        <v>0.1259</v>
      </c>
      <c r="J61" s="17" t="n">
        <v>0.0594</v>
      </c>
      <c r="K61" s="17" t="n">
        <v>1</v>
      </c>
    </row>
    <row r="63">
      <c r="A63" s="6" t="inlineStr">
        <is>
          <t>■ マイルストーン位置分布(学習値)</t>
        </is>
      </c>
    </row>
    <row r="64">
      <c r="A64" s="8" t="inlineStr">
        <is>
          <t>マイルストーン名</t>
        </is>
      </c>
      <c r="B64" s="8" t="inlineStr">
        <is>
          <t>平均位置</t>
        </is>
      </c>
      <c r="C64" s="8" t="inlineStr">
        <is>
          <t>標準偏差</t>
        </is>
      </c>
      <c r="D64" s="8" t="inlineStr">
        <is>
          <t>件数</t>
        </is>
      </c>
      <c r="E64" s="8" t="inlineStr">
        <is>
          <t>背骨</t>
        </is>
      </c>
    </row>
    <row r="65">
      <c r="A65" s="10" t="inlineStr">
        <is>
          <t>プロトタイプ</t>
        </is>
      </c>
      <c r="B65" s="22" t="n">
        <v>0.2188491375523833</v>
      </c>
      <c r="C65" s="22" t="n">
        <v>0.02881248871725813</v>
      </c>
      <c r="D65" s="10" t="n">
        <v>4</v>
      </c>
      <c r="E65" s="10" t="inlineStr"/>
    </row>
    <row r="66">
      <c r="A66" s="10" t="inlineStr">
        <is>
          <t>α版</t>
        </is>
      </c>
      <c r="B66" s="22" t="n">
        <v>0.5044716540148783</v>
      </c>
      <c r="C66" s="22" t="n">
        <v>0.05587909695418786</v>
      </c>
      <c r="D66" s="10" t="n">
        <v>9</v>
      </c>
      <c r="E66" s="10" t="inlineStr">
        <is>
          <t>○</t>
        </is>
      </c>
    </row>
    <row r="67">
      <c r="A67" s="10" t="inlineStr">
        <is>
          <t>β版</t>
        </is>
      </c>
      <c r="B67" s="22" t="n">
        <v>0.738209200194635</v>
      </c>
      <c r="C67" s="22" t="n">
        <v>0.05302527273021282</v>
      </c>
      <c r="D67" s="10" t="n">
        <v>9</v>
      </c>
      <c r="E67" s="10" t="inlineStr">
        <is>
          <t>○</t>
        </is>
      </c>
    </row>
    <row r="68">
      <c r="A68" s="10" t="inlineStr">
        <is>
          <t>マスターアップ</t>
        </is>
      </c>
      <c r="B68" s="22" t="n">
        <v>0.9178470424403719</v>
      </c>
      <c r="C68" s="22" t="n">
        <v>0.0126223616916674</v>
      </c>
      <c r="D68" s="10" t="n">
        <v>9</v>
      </c>
      <c r="E68" s="10" t="inlineStr">
        <is>
          <t>○</t>
        </is>
      </c>
    </row>
    <row r="70">
      <c r="A70" s="6" t="inlineStr">
        <is>
          <t>■ 行程グループ別 工数比率(学習値)</t>
        </is>
      </c>
    </row>
    <row r="71">
      <c r="A71" s="5" t="inlineStr">
        <is>
          <t>件数 = そのグループの形状カーブの学習に参加した案件数。そのグループの業務が無い案件は形の平均に参加しないため、件数が少ないカーブは参考値として扱うこと。比率のほうは業務が無い案件も0として平均に含めている。</t>
        </is>
      </c>
    </row>
    <row r="72">
      <c r="A72" s="8" t="inlineStr">
        <is>
          <t>行程グループ</t>
        </is>
      </c>
      <c r="B72" s="8" t="inlineStr">
        <is>
          <t>比率</t>
        </is>
      </c>
      <c r="C72" s="8" t="inlineStr">
        <is>
          <t>件数</t>
        </is>
      </c>
    </row>
    <row r="73">
      <c r="A73" s="10" t="inlineStr">
        <is>
          <t>企画・プリプロ</t>
        </is>
      </c>
      <c r="B73" s="13" t="n">
        <v>0.06324308295704884</v>
      </c>
      <c r="C73" s="11" t="n">
        <v>9</v>
      </c>
    </row>
    <row r="74">
      <c r="A74" s="10" t="inlineStr">
        <is>
          <t>ゲームデザイン・シナリオ</t>
        </is>
      </c>
      <c r="B74" s="13" t="n">
        <v>0.1109177035248541</v>
      </c>
      <c r="C74" s="11" t="n">
        <v>9</v>
      </c>
    </row>
    <row r="75">
      <c r="A75" s="10" t="inlineStr">
        <is>
          <t>プログラム</t>
        </is>
      </c>
      <c r="B75" s="13" t="n">
        <v>0.2905690710695205</v>
      </c>
      <c r="C75" s="11" t="n">
        <v>9</v>
      </c>
    </row>
    <row r="76">
      <c r="A76" s="10" t="inlineStr">
        <is>
          <t>アート</t>
        </is>
      </c>
      <c r="B76" s="13" t="n">
        <v>0.2995656090132583</v>
      </c>
      <c r="C76" s="11" t="n">
        <v>9</v>
      </c>
    </row>
    <row r="77">
      <c r="A77" s="10" t="inlineStr">
        <is>
          <t>サウンド</t>
        </is>
      </c>
      <c r="B77" s="13" t="n">
        <v>0.04232627212754041</v>
      </c>
      <c r="C77" s="11" t="n">
        <v>9</v>
      </c>
    </row>
    <row r="78">
      <c r="A78" s="10" t="inlineStr">
        <is>
          <t>QA・デバッグ</t>
        </is>
      </c>
      <c r="B78" s="13" t="n">
        <v>0.1346811491217273</v>
      </c>
      <c r="C78" s="11" t="n">
        <v>9</v>
      </c>
    </row>
    <row r="79">
      <c r="A79" s="10" t="inlineStr">
        <is>
          <t>PM・運営</t>
        </is>
      </c>
      <c r="B79" s="13" t="n">
        <v>0.05869711218605067</v>
      </c>
      <c r="C79" s="11" t="n">
        <v>9</v>
      </c>
    </row>
    <row r="81">
      <c r="A81" s="6" t="inlineStr">
        <is>
          <t>■ 警告</t>
        </is>
      </c>
    </row>
    <row r="82">
      <c r="A82" s="26" t="inlineStr">
        <is>
          <t>⚠ マイルストーン「プロトタイプ」はカバー率 5/10 が閾値 60% 未満のため位置合わせには使っていない。</t>
        </is>
      </c>
    </row>
    <row r="83">
      <c r="A83" s="26" t="inlineStr">
        <is>
          <t>⚠ PJ-2021-E は完了案件のため、自分自身を学習から外した 9 件で学習し直している(自分の実績で学習したカーブで自分を予測すると評価にならない)。「予測」シートの数字は、全案件で学習した場合とは一致しない。</t>
        </is>
      </c>
    </row>
  </sheetData>
  <printOptions horizontalCentered="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2026-09-04T03:12:21Z</dcterms:created>
  <dcterms:modified xsi:type="dcterms:W3CDTF">2026-09-04T03:12:22Z</dcterms:modified>
</cp:coreProperties>
</file>