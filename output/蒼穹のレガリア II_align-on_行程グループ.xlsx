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予測" sheetId="1" state="visible" r:id="rId1"/>
    <sheet name="カーブ" sheetId="2" state="visible" r:id="rId2"/>
    <sheet name="検証" sheetId="3" state="visible" r:id="rId3"/>
    <sheet name="条件" sheetId="4" state="visible" r:id="rId4"/>
  </sheets>
  <definedNames/>
  <calcPr calcId="124519" fullCalcOnLoad="1"/>
</workbook>
</file>

<file path=xl/styles.xml><?xml version="1.0" encoding="utf-8"?>
<styleSheet xmlns="http://schemas.openxmlformats.org/spreadsheetml/2006/main">
  <numFmts count="4">
    <numFmt numFmtId="164" formatCode="0.0%"/>
    <numFmt numFmtId="165" formatCode="#,##0.0"/>
    <numFmt numFmtId="166" formatCode="0.000"/>
    <numFmt numFmtId="167" formatCode="0.0"/>
  </numFmts>
  <fonts count="8">
    <font>
      <name val="Calibri"/>
      <family val="2"/>
      <color theme="1"/>
      <sz val="11"/>
      <scheme val="minor"/>
    </font>
    <font>
      <name val="Arial"/>
      <b val="1"/>
      <color rgb="001F3864"/>
      <sz val="14"/>
    </font>
    <font>
      <name val="Arial"/>
      <sz val="10"/>
    </font>
    <font>
      <name val="Arial"/>
      <i val="1"/>
      <color rgb="007F7F7F"/>
      <sz val="9"/>
    </font>
    <font>
      <name val="Arial"/>
      <b val="1"/>
      <color rgb="001F3864"/>
      <sz val="11"/>
    </font>
    <font>
      <name val="Arial"/>
      <b val="1"/>
      <color rgb="00FFFFFF"/>
      <sz val="10"/>
    </font>
    <font>
      <name val="Arial"/>
      <b val="1"/>
      <sz val="10"/>
    </font>
    <font>
      <name val="Arial"/>
      <color rgb="00C00000"/>
      <sz val="10"/>
    </font>
  </fonts>
  <fills count="5">
    <fill>
      <patternFill/>
    </fill>
    <fill>
      <patternFill patternType="gray125"/>
    </fill>
    <fill>
      <patternFill patternType="solid">
        <fgColor rgb="00FFF2CC"/>
      </patternFill>
    </fill>
    <fill>
      <patternFill patternType="solid">
        <fgColor rgb="001F3864"/>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3" fontId="2" fillId="0" borderId="0" pivotButton="0" quotePrefix="0" xfId="0"/>
    <xf numFmtId="3" fontId="2" fillId="2" borderId="0" pivotButton="0" quotePrefix="0" xfId="0"/>
    <xf numFmtId="0" fontId="3" fillId="0" borderId="0" pivotButton="0" quotePrefix="0" xfId="0"/>
    <xf numFmtId="0" fontId="4" fillId="0" borderId="0" pivotButton="0" quotePrefix="0" xfId="0"/>
    <xf numFmtId="0" fontId="5" fillId="3" borderId="1" applyAlignment="1" pivotButton="0" quotePrefix="0" xfId="0">
      <alignment horizontal="center"/>
    </xf>
    <xf numFmtId="0" fontId="5" fillId="3" borderId="1" applyAlignment="1" pivotButton="0" quotePrefix="0" xfId="0">
      <alignment horizontal="center" wrapText="1"/>
    </xf>
    <xf numFmtId="0" fontId="5" fillId="3" borderId="0" pivotButton="0" quotePrefix="0" xfId="0"/>
    <xf numFmtId="0" fontId="2" fillId="0" borderId="1" pivotButton="0" quotePrefix="0" xfId="0"/>
    <xf numFmtId="1" fontId="2" fillId="0" borderId="1" pivotButton="0" quotePrefix="0" xfId="0"/>
    <xf numFmtId="3" fontId="2" fillId="0" borderId="1" pivotButton="0" quotePrefix="0" xfId="0"/>
    <xf numFmtId="164" fontId="2" fillId="0" borderId="1" pivotButton="0" quotePrefix="0" xfId="0"/>
    <xf numFmtId="0" fontId="6" fillId="0" borderId="1" pivotButton="0" quotePrefix="0" xfId="0"/>
    <xf numFmtId="3" fontId="6" fillId="4" borderId="1" pivotButton="0" quotePrefix="0" xfId="0"/>
    <xf numFmtId="0" fontId="3" fillId="0" borderId="1" pivotButton="0" quotePrefix="0" xfId="0"/>
    <xf numFmtId="164" fontId="3" fillId="0" borderId="1" pivotButton="0" quotePrefix="0" xfId="0"/>
    <xf numFmtId="0" fontId="5" fillId="3" borderId="1" pivotButton="0" quotePrefix="0" xfId="0"/>
    <xf numFmtId="165" fontId="2" fillId="0" borderId="1" pivotButton="0" quotePrefix="0" xfId="0"/>
    <xf numFmtId="165" fontId="6" fillId="4" borderId="1" pivotButton="0" quotePrefix="0" xfId="0"/>
    <xf numFmtId="166" fontId="2" fillId="0" borderId="1" pivotButton="0" quotePrefix="0" xfId="0"/>
    <xf numFmtId="167" fontId="2" fillId="0" borderId="1" pivotButton="0" quotePrefix="0" xfId="0"/>
    <xf numFmtId="2" fontId="2" fillId="0" borderId="1"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harts/chart1.xml><?xml version="1.0" encoding="utf-8"?>
<chartSpace xmlns:a="http://schemas.openxmlformats.org/drawingml/2006/main" xmlns="http://schemas.openxmlformats.org/drawingml/2006/chart">
  <chart>
    <title>
      <tx>
        <rich>
          <a:bodyPr/>
          <a:p>
            <a:pPr>
              <a:defRPr/>
            </a:pPr>
            <a:r>
              <a:t>蒼穹のレガリア II 月次工数(時間・行程グループ積み上げ)</a:t>
            </a:r>
          </a:p>
        </rich>
      </tx>
    </title>
    <plotArea>
      <barChart>
        <barDir val="col"/>
        <grouping val="stacked"/>
        <ser>
          <idx val="0"/>
          <order val="0"/>
          <tx>
            <strRef>
              <f>'予測'!C11</f>
            </strRef>
          </tx>
          <spPr>
            <a:ln>
              <a:prstDash val="solid"/>
            </a:ln>
          </spPr>
          <cat>
            <numRef>
              <f>'予測'!$A$12:$A$37</f>
            </numRef>
          </cat>
          <val>
            <numRef>
              <f>'予測'!$C$12:$C$37</f>
            </numRef>
          </val>
        </ser>
        <ser>
          <idx val="1"/>
          <order val="1"/>
          <tx>
            <strRef>
              <f>'予測'!D11</f>
            </strRef>
          </tx>
          <spPr>
            <a:ln>
              <a:prstDash val="solid"/>
            </a:ln>
          </spPr>
          <cat>
            <numRef>
              <f>'予測'!$A$12:$A$37</f>
            </numRef>
          </cat>
          <val>
            <numRef>
              <f>'予測'!$D$12:$D$37</f>
            </numRef>
          </val>
        </ser>
        <ser>
          <idx val="2"/>
          <order val="2"/>
          <tx>
            <strRef>
              <f>'予測'!E11</f>
            </strRef>
          </tx>
          <spPr>
            <a:ln>
              <a:prstDash val="solid"/>
            </a:ln>
          </spPr>
          <cat>
            <numRef>
              <f>'予測'!$A$12:$A$37</f>
            </numRef>
          </cat>
          <val>
            <numRef>
              <f>'予測'!$E$12:$E$37</f>
            </numRef>
          </val>
        </ser>
        <ser>
          <idx val="3"/>
          <order val="3"/>
          <tx>
            <strRef>
              <f>'予測'!F11</f>
            </strRef>
          </tx>
          <spPr>
            <a:ln>
              <a:prstDash val="solid"/>
            </a:ln>
          </spPr>
          <cat>
            <numRef>
              <f>'予測'!$A$12:$A$37</f>
            </numRef>
          </cat>
          <val>
            <numRef>
              <f>'予測'!$F$12:$F$37</f>
            </numRef>
          </val>
        </ser>
        <ser>
          <idx val="4"/>
          <order val="4"/>
          <tx>
            <strRef>
              <f>'予測'!G11</f>
            </strRef>
          </tx>
          <spPr>
            <a:ln>
              <a:prstDash val="solid"/>
            </a:ln>
          </spPr>
          <cat>
            <numRef>
              <f>'予測'!$A$12:$A$37</f>
            </numRef>
          </cat>
          <val>
            <numRef>
              <f>'予測'!$G$12:$G$37</f>
            </numRef>
          </val>
        </ser>
        <ser>
          <idx val="5"/>
          <order val="5"/>
          <tx>
            <strRef>
              <f>'予測'!H11</f>
            </strRef>
          </tx>
          <spPr>
            <a:ln>
              <a:prstDash val="solid"/>
            </a:ln>
          </spPr>
          <cat>
            <numRef>
              <f>'予測'!$A$12:$A$37</f>
            </numRef>
          </cat>
          <val>
            <numRef>
              <f>'予測'!$H$12:$H$37</f>
            </numRef>
          </val>
        </ser>
        <ser>
          <idx val="6"/>
          <order val="6"/>
          <tx>
            <strRef>
              <f>'予測'!I11</f>
            </strRef>
          </tx>
          <spPr>
            <a:ln>
              <a:prstDash val="solid"/>
            </a:ln>
          </spPr>
          <cat>
            <numRef>
              <f>'予測'!$A$12:$A$37</f>
            </numRef>
          </cat>
          <val>
            <numRef>
              <f>'予測'!$I$12:$I$37</f>
            </numRef>
          </val>
        </ser>
        <gapWidth val="150"/>
        <overlap val="100"/>
        <axId val="10"/>
        <axId val="100"/>
      </barChart>
      <catAx>
        <axId val="10"/>
        <scaling>
          <orientation val="minMax"/>
        </scaling>
        <axPos val="l"/>
        <title>
          <tx>
            <rich>
              <a:bodyPr/>
              <a:p>
                <a:pPr>
                  <a:defRPr/>
                </a:pPr>
                <a:r>
                  <a:t>月</a:t>
                </a:r>
              </a:p>
            </rich>
          </tx>
        </title>
        <majorTickMark val="none"/>
        <minorTickMark val="none"/>
        <crossAx val="100"/>
        <lblOffset val="100"/>
      </catAx>
      <valAx>
        <axId val="100"/>
        <scaling>
          <orientation val="minMax"/>
        </scaling>
        <axPos val="l"/>
        <majorGridlines/>
        <title>
          <tx>
            <rich>
              <a:bodyPr/>
              <a:p>
                <a:pPr>
                  <a:defRPr/>
                </a:pPr>
                <a:r>
                  <a:t>時間</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累積消化率</a:t>
            </a:r>
          </a:p>
        </rich>
      </tx>
    </title>
    <plotArea>
      <lineChart>
        <grouping val="standard"/>
        <ser>
          <idx val="0"/>
          <order val="0"/>
          <tx>
            <strRef>
              <f>'予測'!K11</f>
            </strRef>
          </tx>
          <spPr>
            <a:ln>
              <a:prstDash val="solid"/>
            </a:ln>
          </spPr>
          <marker>
            <symbol val="none"/>
            <spPr>
              <a:ln>
                <a:prstDash val="solid"/>
              </a:ln>
            </spPr>
          </marker>
          <cat>
            <numRef>
              <f>'予測'!$A$12:$A$37</f>
            </numRef>
          </cat>
          <val>
            <numRef>
              <f>'予測'!$K$12:$K$37</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累積比率</a:t>
                </a:r>
              </a:p>
            </rich>
          </tx>
        </title>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累積消化率カーブ(太線=平均)</a:t>
            </a:r>
          </a:p>
        </rich>
      </tx>
    </title>
    <plotArea>
      <lineChart>
        <grouping val="standard"/>
        <ser>
          <idx val="0"/>
          <order val="0"/>
          <tx>
            <strRef>
              <f>'カーブ'!B6</f>
            </strRef>
          </tx>
          <spPr>
            <a:ln>
              <a:prstDash val="solid"/>
            </a:ln>
          </spPr>
          <marker>
            <symbol val="none"/>
            <spPr>
              <a:ln>
                <a:prstDash val="solid"/>
              </a:ln>
            </spPr>
          </marker>
          <cat>
            <numRef>
              <f>'カーブ'!$A$7:$A$106</f>
            </numRef>
          </cat>
          <val>
            <numRef>
              <f>'カーブ'!$B$7:$B$106</f>
            </numRef>
          </val>
          <smooth val="0"/>
        </ser>
        <ser>
          <idx val="1"/>
          <order val="1"/>
          <tx>
            <strRef>
              <f>'カーブ'!C6</f>
            </strRef>
          </tx>
          <spPr>
            <a:ln>
              <a:prstDash val="solid"/>
            </a:ln>
          </spPr>
          <marker>
            <symbol val="none"/>
            <spPr>
              <a:ln>
                <a:prstDash val="solid"/>
              </a:ln>
            </spPr>
          </marker>
          <cat>
            <numRef>
              <f>'カーブ'!$A$7:$A$106</f>
            </numRef>
          </cat>
          <val>
            <numRef>
              <f>'カーブ'!$C$7:$C$106</f>
            </numRef>
          </val>
          <smooth val="0"/>
        </ser>
        <ser>
          <idx val="2"/>
          <order val="2"/>
          <tx>
            <strRef>
              <f>'カーブ'!D6</f>
            </strRef>
          </tx>
          <spPr>
            <a:ln>
              <a:prstDash val="solid"/>
            </a:ln>
          </spPr>
          <marker>
            <symbol val="none"/>
            <spPr>
              <a:ln>
                <a:prstDash val="solid"/>
              </a:ln>
            </spPr>
          </marker>
          <cat>
            <numRef>
              <f>'カーブ'!$A$7:$A$106</f>
            </numRef>
          </cat>
          <val>
            <numRef>
              <f>'カーブ'!$D$7:$D$106</f>
            </numRef>
          </val>
          <smooth val="0"/>
        </ser>
        <ser>
          <idx val="3"/>
          <order val="3"/>
          <tx>
            <strRef>
              <f>'カーブ'!E6</f>
            </strRef>
          </tx>
          <spPr>
            <a:ln>
              <a:prstDash val="solid"/>
            </a:ln>
          </spPr>
          <marker>
            <symbol val="none"/>
            <spPr>
              <a:ln>
                <a:prstDash val="solid"/>
              </a:ln>
            </spPr>
          </marker>
          <cat>
            <numRef>
              <f>'カーブ'!$A$7:$A$106</f>
            </numRef>
          </cat>
          <val>
            <numRef>
              <f>'カーブ'!$E$7:$E$106</f>
            </numRef>
          </val>
          <smooth val="0"/>
        </ser>
        <ser>
          <idx val="4"/>
          <order val="4"/>
          <tx>
            <strRef>
              <f>'カーブ'!F6</f>
            </strRef>
          </tx>
          <spPr>
            <a:ln>
              <a:prstDash val="solid"/>
            </a:ln>
          </spPr>
          <marker>
            <symbol val="none"/>
            <spPr>
              <a:ln>
                <a:prstDash val="solid"/>
              </a:ln>
            </spPr>
          </marker>
          <cat>
            <numRef>
              <f>'カーブ'!$A$7:$A$106</f>
            </numRef>
          </cat>
          <val>
            <numRef>
              <f>'カーブ'!$F$7:$F$106</f>
            </numRef>
          </val>
          <smooth val="0"/>
        </ser>
        <ser>
          <idx val="5"/>
          <order val="5"/>
          <tx>
            <strRef>
              <f>'カーブ'!G6</f>
            </strRef>
          </tx>
          <spPr>
            <a:ln>
              <a:prstDash val="solid"/>
            </a:ln>
          </spPr>
          <marker>
            <symbol val="none"/>
            <spPr>
              <a:ln>
                <a:prstDash val="solid"/>
              </a:ln>
            </spPr>
          </marker>
          <cat>
            <numRef>
              <f>'カーブ'!$A$7:$A$106</f>
            </numRef>
          </cat>
          <val>
            <numRef>
              <f>'カーブ'!$G$7:$G$106</f>
            </numRef>
          </val>
          <smooth val="0"/>
        </ser>
        <ser>
          <idx val="6"/>
          <order val="6"/>
          <tx>
            <strRef>
              <f>'カーブ'!H6</f>
            </strRef>
          </tx>
          <spPr>
            <a:ln>
              <a:prstDash val="solid"/>
            </a:ln>
          </spPr>
          <marker>
            <symbol val="none"/>
            <spPr>
              <a:ln>
                <a:prstDash val="solid"/>
              </a:ln>
            </spPr>
          </marker>
          <cat>
            <numRef>
              <f>'カーブ'!$A$7:$A$106</f>
            </numRef>
          </cat>
          <val>
            <numRef>
              <f>'カーブ'!$H$7:$H$106</f>
            </numRef>
          </val>
          <smooth val="0"/>
        </ser>
        <ser>
          <idx val="7"/>
          <order val="7"/>
          <tx>
            <strRef>
              <f>'カーブ'!I6</f>
            </strRef>
          </tx>
          <spPr>
            <a:ln>
              <a:prstDash val="solid"/>
            </a:ln>
          </spPr>
          <marker>
            <symbol val="none"/>
            <spPr>
              <a:ln>
                <a:prstDash val="solid"/>
              </a:ln>
            </spPr>
          </marker>
          <cat>
            <numRef>
              <f>'カーブ'!$A$7:$A$106</f>
            </numRef>
          </cat>
          <val>
            <numRef>
              <f>'カーブ'!$I$7:$I$106</f>
            </numRef>
          </val>
          <smooth val="0"/>
        </ser>
        <ser>
          <idx val="8"/>
          <order val="8"/>
          <tx>
            <strRef>
              <f>'カーブ'!J6</f>
            </strRef>
          </tx>
          <spPr>
            <a:ln>
              <a:prstDash val="solid"/>
            </a:ln>
          </spPr>
          <marker>
            <symbol val="none"/>
            <spPr>
              <a:ln>
                <a:prstDash val="solid"/>
              </a:ln>
            </spPr>
          </marker>
          <cat>
            <numRef>
              <f>'カーブ'!$A$7:$A$106</f>
            </numRef>
          </cat>
          <val>
            <numRef>
              <f>'カーブ'!$J$7:$J$106</f>
            </numRef>
          </val>
          <smooth val="0"/>
        </ser>
        <ser>
          <idx val="9"/>
          <order val="9"/>
          <tx>
            <strRef>
              <f>'カーブ'!K6</f>
            </strRef>
          </tx>
          <spPr>
            <a:ln>
              <a:prstDash val="solid"/>
            </a:ln>
          </spPr>
          <marker>
            <symbol val="none"/>
            <spPr>
              <a:ln>
                <a:prstDash val="solid"/>
              </a:ln>
            </spPr>
          </marker>
          <cat>
            <numRef>
              <f>'カーブ'!$A$7:$A$106</f>
            </numRef>
          </cat>
          <val>
            <numRef>
              <f>'カーブ'!$K$7:$K$106</f>
            </numRef>
          </val>
          <smooth val="0"/>
        </ser>
        <ser>
          <idx val="10"/>
          <order val="10"/>
          <tx>
            <strRef>
              <f>'カーブ'!L6</f>
            </strRef>
          </tx>
          <spPr>
            <a:ln>
              <a:prstDash val="solid"/>
            </a:ln>
          </spPr>
          <marker>
            <symbol val="none"/>
            <spPr>
              <a:ln>
                <a:prstDash val="solid"/>
              </a:ln>
            </spPr>
          </marker>
          <cat>
            <numRef>
              <f>'カーブ'!$A$7:$A$106</f>
            </numRef>
          </cat>
          <val>
            <numRef>
              <f>'カーブ'!$L$7:$L$106</f>
            </numRef>
          </val>
          <smooth val="0"/>
        </ser>
        <ser>
          <idx val="11"/>
          <order val="11"/>
          <tx>
            <strRef>
              <f>'カーブ'!M6</f>
            </strRef>
          </tx>
          <spPr>
            <a:ln>
              <a:prstDash val="solid"/>
            </a:ln>
          </spPr>
          <marker>
            <symbol val="none"/>
            <spPr>
              <a:ln>
                <a:prstDash val="solid"/>
              </a:ln>
            </spPr>
          </marker>
          <cat>
            <numRef>
              <f>'カーブ'!$A$7:$A$106</f>
            </numRef>
          </cat>
          <val>
            <numRef>
              <f>'カーブ'!$M$7:$M$106</f>
            </numRef>
          </val>
          <smooth val="0"/>
        </ser>
        <axId val="10"/>
        <axId val="100"/>
      </lineChart>
      <catAx>
        <axId val="10"/>
        <scaling>
          <orientation val="minMax"/>
        </scaling>
        <axPos val="l"/>
        <title>
          <tx>
            <rich>
              <a:bodyPr/>
              <a:p>
                <a:pPr>
                  <a:defRPr/>
                </a:pPr>
                <a:r>
                  <a:t>正準時間軸 t</a:t>
                </a:r>
              </a:p>
            </rich>
          </tx>
        </title>
        <majorTickMark val="none"/>
        <minorTickMark val="none"/>
        <crossAx val="100"/>
        <lblOffset val="100"/>
      </catAx>
      <valAx>
        <axId val="100"/>
        <scaling>
          <orientation val="minMax"/>
        </scaling>
        <axPos val="l"/>
        <majorGridlines/>
        <title>
          <tx>
            <rich>
              <a:bodyPr/>
              <a:p>
                <a:pPr>
                  <a:defRPr/>
                </a:pPr>
                <a:r>
                  <a:t>累積比率</a:t>
                </a:r>
              </a:p>
            </rich>
          </tx>
        </title>
        <majorTickMark val="none"/>
        <minorTickMark val="none"/>
        <crossAx val="10"/>
      </valAx>
    </plotArea>
    <legend>
      <legendPos val="r"/>
    </legend>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工数密度カーブ(非累積・太線=平均)</a:t>
            </a:r>
          </a:p>
        </rich>
      </tx>
    </title>
    <plotArea>
      <lineChart>
        <grouping val="standard"/>
        <ser>
          <idx val="0"/>
          <order val="0"/>
          <tx>
            <strRef>
              <f>'カーブ'!B133</f>
            </strRef>
          </tx>
          <spPr>
            <a:ln>
              <a:prstDash val="solid"/>
            </a:ln>
          </spPr>
          <marker>
            <symbol val="none"/>
            <spPr>
              <a:ln>
                <a:prstDash val="solid"/>
              </a:ln>
            </spPr>
          </marker>
          <cat>
            <numRef>
              <f>'カーブ'!$A$134:$A$233</f>
            </numRef>
          </cat>
          <val>
            <numRef>
              <f>'カーブ'!$B$134:$B$233</f>
            </numRef>
          </val>
          <smooth val="0"/>
        </ser>
        <ser>
          <idx val="1"/>
          <order val="1"/>
          <tx>
            <strRef>
              <f>'カーブ'!C133</f>
            </strRef>
          </tx>
          <spPr>
            <a:ln>
              <a:prstDash val="solid"/>
            </a:ln>
          </spPr>
          <marker>
            <symbol val="none"/>
            <spPr>
              <a:ln>
                <a:prstDash val="solid"/>
              </a:ln>
            </spPr>
          </marker>
          <cat>
            <numRef>
              <f>'カーブ'!$A$134:$A$233</f>
            </numRef>
          </cat>
          <val>
            <numRef>
              <f>'カーブ'!$C$134:$C$233</f>
            </numRef>
          </val>
          <smooth val="0"/>
        </ser>
        <ser>
          <idx val="2"/>
          <order val="2"/>
          <tx>
            <strRef>
              <f>'カーブ'!D133</f>
            </strRef>
          </tx>
          <spPr>
            <a:ln>
              <a:prstDash val="solid"/>
            </a:ln>
          </spPr>
          <marker>
            <symbol val="none"/>
            <spPr>
              <a:ln>
                <a:prstDash val="solid"/>
              </a:ln>
            </spPr>
          </marker>
          <cat>
            <numRef>
              <f>'カーブ'!$A$134:$A$233</f>
            </numRef>
          </cat>
          <val>
            <numRef>
              <f>'カーブ'!$D$134:$D$233</f>
            </numRef>
          </val>
          <smooth val="0"/>
        </ser>
        <ser>
          <idx val="3"/>
          <order val="3"/>
          <tx>
            <strRef>
              <f>'カーブ'!E133</f>
            </strRef>
          </tx>
          <spPr>
            <a:ln>
              <a:prstDash val="solid"/>
            </a:ln>
          </spPr>
          <marker>
            <symbol val="none"/>
            <spPr>
              <a:ln>
                <a:prstDash val="solid"/>
              </a:ln>
            </spPr>
          </marker>
          <cat>
            <numRef>
              <f>'カーブ'!$A$134:$A$233</f>
            </numRef>
          </cat>
          <val>
            <numRef>
              <f>'カーブ'!$E$134:$E$233</f>
            </numRef>
          </val>
          <smooth val="0"/>
        </ser>
        <ser>
          <idx val="4"/>
          <order val="4"/>
          <tx>
            <strRef>
              <f>'カーブ'!F133</f>
            </strRef>
          </tx>
          <spPr>
            <a:ln>
              <a:prstDash val="solid"/>
            </a:ln>
          </spPr>
          <marker>
            <symbol val="none"/>
            <spPr>
              <a:ln>
                <a:prstDash val="solid"/>
              </a:ln>
            </spPr>
          </marker>
          <cat>
            <numRef>
              <f>'カーブ'!$A$134:$A$233</f>
            </numRef>
          </cat>
          <val>
            <numRef>
              <f>'カーブ'!$F$134:$F$233</f>
            </numRef>
          </val>
          <smooth val="0"/>
        </ser>
        <ser>
          <idx val="5"/>
          <order val="5"/>
          <tx>
            <strRef>
              <f>'カーブ'!G133</f>
            </strRef>
          </tx>
          <spPr>
            <a:ln>
              <a:prstDash val="solid"/>
            </a:ln>
          </spPr>
          <marker>
            <symbol val="none"/>
            <spPr>
              <a:ln>
                <a:prstDash val="solid"/>
              </a:ln>
            </spPr>
          </marker>
          <cat>
            <numRef>
              <f>'カーブ'!$A$134:$A$233</f>
            </numRef>
          </cat>
          <val>
            <numRef>
              <f>'カーブ'!$G$134:$G$233</f>
            </numRef>
          </val>
          <smooth val="0"/>
        </ser>
        <ser>
          <idx val="6"/>
          <order val="6"/>
          <tx>
            <strRef>
              <f>'カーブ'!H133</f>
            </strRef>
          </tx>
          <spPr>
            <a:ln>
              <a:prstDash val="solid"/>
            </a:ln>
          </spPr>
          <marker>
            <symbol val="none"/>
            <spPr>
              <a:ln>
                <a:prstDash val="solid"/>
              </a:ln>
            </spPr>
          </marker>
          <cat>
            <numRef>
              <f>'カーブ'!$A$134:$A$233</f>
            </numRef>
          </cat>
          <val>
            <numRef>
              <f>'カーブ'!$H$134:$H$233</f>
            </numRef>
          </val>
          <smooth val="0"/>
        </ser>
        <ser>
          <idx val="7"/>
          <order val="7"/>
          <tx>
            <strRef>
              <f>'カーブ'!I133</f>
            </strRef>
          </tx>
          <spPr>
            <a:ln>
              <a:prstDash val="solid"/>
            </a:ln>
          </spPr>
          <marker>
            <symbol val="none"/>
            <spPr>
              <a:ln>
                <a:prstDash val="solid"/>
              </a:ln>
            </spPr>
          </marker>
          <cat>
            <numRef>
              <f>'カーブ'!$A$134:$A$233</f>
            </numRef>
          </cat>
          <val>
            <numRef>
              <f>'カーブ'!$I$134:$I$233</f>
            </numRef>
          </val>
          <smooth val="0"/>
        </ser>
        <ser>
          <idx val="8"/>
          <order val="8"/>
          <tx>
            <strRef>
              <f>'カーブ'!J133</f>
            </strRef>
          </tx>
          <spPr>
            <a:ln>
              <a:prstDash val="solid"/>
            </a:ln>
          </spPr>
          <marker>
            <symbol val="none"/>
            <spPr>
              <a:ln>
                <a:prstDash val="solid"/>
              </a:ln>
            </spPr>
          </marker>
          <cat>
            <numRef>
              <f>'カーブ'!$A$134:$A$233</f>
            </numRef>
          </cat>
          <val>
            <numRef>
              <f>'カーブ'!$J$134:$J$233</f>
            </numRef>
          </val>
          <smooth val="0"/>
        </ser>
        <ser>
          <idx val="9"/>
          <order val="9"/>
          <tx>
            <strRef>
              <f>'カーブ'!K133</f>
            </strRef>
          </tx>
          <spPr>
            <a:ln>
              <a:prstDash val="solid"/>
            </a:ln>
          </spPr>
          <marker>
            <symbol val="none"/>
            <spPr>
              <a:ln>
                <a:prstDash val="solid"/>
              </a:ln>
            </spPr>
          </marker>
          <cat>
            <numRef>
              <f>'カーブ'!$A$134:$A$233</f>
            </numRef>
          </cat>
          <val>
            <numRef>
              <f>'カーブ'!$K$134:$K$233</f>
            </numRef>
          </val>
          <smooth val="0"/>
        </ser>
        <ser>
          <idx val="10"/>
          <order val="10"/>
          <tx>
            <strRef>
              <f>'カーブ'!L133</f>
            </strRef>
          </tx>
          <spPr>
            <a:ln>
              <a:prstDash val="solid"/>
            </a:ln>
          </spPr>
          <marker>
            <symbol val="none"/>
            <spPr>
              <a:ln>
                <a:prstDash val="solid"/>
              </a:ln>
            </spPr>
          </marker>
          <cat>
            <numRef>
              <f>'カーブ'!$A$134:$A$233</f>
            </numRef>
          </cat>
          <val>
            <numRef>
              <f>'カーブ'!$L$134:$L$233</f>
            </numRef>
          </val>
          <smooth val="0"/>
        </ser>
        <ser>
          <idx val="11"/>
          <order val="11"/>
          <tx>
            <strRef>
              <f>'カーブ'!M133</f>
            </strRef>
          </tx>
          <spPr>
            <a:ln>
              <a:prstDash val="solid"/>
            </a:ln>
          </spPr>
          <marker>
            <symbol val="none"/>
            <spPr>
              <a:ln>
                <a:prstDash val="solid"/>
              </a:ln>
            </spPr>
          </marker>
          <cat>
            <numRef>
              <f>'カーブ'!$A$134:$A$233</f>
            </numRef>
          </cat>
          <val>
            <numRef>
              <f>'カーブ'!$M$134:$M$233</f>
            </numRef>
          </val>
          <smooth val="0"/>
        </ser>
        <axId val="10"/>
        <axId val="100"/>
      </lineChart>
      <catAx>
        <axId val="10"/>
        <scaling>
          <orientation val="minMax"/>
        </scaling>
        <axPos val="l"/>
        <title>
          <tx>
            <rich>
              <a:bodyPr/>
              <a:p>
                <a:pPr>
                  <a:defRPr/>
                </a:pPr>
                <a:r>
                  <a:t>正準時間軸 t</a:t>
                </a:r>
              </a:p>
            </rich>
          </tx>
        </title>
        <majorTickMark val="none"/>
        <minorTickMark val="none"/>
        <crossAx val="100"/>
        <lblOffset val="100"/>
      </catAx>
      <valAx>
        <axId val="100"/>
        <scaling>
          <orientation val="minMax"/>
        </scaling>
        <axPos val="l"/>
        <majorGridlines/>
        <title>
          <tx>
            <rich>
              <a:bodyPr/>
              <a:p>
                <a:pPr>
                  <a:defRPr/>
                </a:pPr>
                <a:r>
                  <a:t>密度</a:t>
                </a:r>
              </a:p>
            </rich>
          </tx>
        </title>
        <majorTickMark val="none"/>
        <minorTickMark val="none"/>
        <crossAx val="10"/>
      </valAx>
    </plotArea>
    <legend>
      <legendPos val="r"/>
    </legend>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行程グループ別 工数密度(平均カーブ)</a:t>
            </a:r>
          </a:p>
        </rich>
      </tx>
    </title>
    <plotArea>
      <lineChart>
        <grouping val="standard"/>
        <ser>
          <idx val="0"/>
          <order val="0"/>
          <tx>
            <strRef>
              <f>'カーブ'!B259</f>
            </strRef>
          </tx>
          <spPr>
            <a:ln>
              <a:prstDash val="solid"/>
            </a:ln>
          </spPr>
          <marker>
            <symbol val="none"/>
            <spPr>
              <a:ln>
                <a:prstDash val="solid"/>
              </a:ln>
            </spPr>
          </marker>
          <cat>
            <numRef>
              <f>'カーブ'!$A$260:$A$359</f>
            </numRef>
          </cat>
          <val>
            <numRef>
              <f>'カーブ'!$B$260:$B$359</f>
            </numRef>
          </val>
        </ser>
        <ser>
          <idx val="1"/>
          <order val="1"/>
          <tx>
            <strRef>
              <f>'カーブ'!C259</f>
            </strRef>
          </tx>
          <spPr>
            <a:ln>
              <a:prstDash val="solid"/>
            </a:ln>
          </spPr>
          <marker>
            <symbol val="none"/>
            <spPr>
              <a:ln>
                <a:prstDash val="solid"/>
              </a:ln>
            </spPr>
          </marker>
          <cat>
            <numRef>
              <f>'カーブ'!$A$260:$A$359</f>
            </numRef>
          </cat>
          <val>
            <numRef>
              <f>'カーブ'!$C$260:$C$359</f>
            </numRef>
          </val>
        </ser>
        <ser>
          <idx val="2"/>
          <order val="2"/>
          <tx>
            <strRef>
              <f>'カーブ'!D259</f>
            </strRef>
          </tx>
          <spPr>
            <a:ln>
              <a:prstDash val="solid"/>
            </a:ln>
          </spPr>
          <marker>
            <symbol val="none"/>
            <spPr>
              <a:ln>
                <a:prstDash val="solid"/>
              </a:ln>
            </spPr>
          </marker>
          <cat>
            <numRef>
              <f>'カーブ'!$A$260:$A$359</f>
            </numRef>
          </cat>
          <val>
            <numRef>
              <f>'カーブ'!$D$260:$D$359</f>
            </numRef>
          </val>
        </ser>
        <ser>
          <idx val="3"/>
          <order val="3"/>
          <tx>
            <strRef>
              <f>'カーブ'!E259</f>
            </strRef>
          </tx>
          <spPr>
            <a:ln>
              <a:prstDash val="solid"/>
            </a:ln>
          </spPr>
          <marker>
            <symbol val="none"/>
            <spPr>
              <a:ln>
                <a:prstDash val="solid"/>
              </a:ln>
            </spPr>
          </marker>
          <cat>
            <numRef>
              <f>'カーブ'!$A$260:$A$359</f>
            </numRef>
          </cat>
          <val>
            <numRef>
              <f>'カーブ'!$E$260:$E$359</f>
            </numRef>
          </val>
        </ser>
        <ser>
          <idx val="4"/>
          <order val="4"/>
          <tx>
            <strRef>
              <f>'カーブ'!F259</f>
            </strRef>
          </tx>
          <spPr>
            <a:ln>
              <a:prstDash val="solid"/>
            </a:ln>
          </spPr>
          <marker>
            <symbol val="none"/>
            <spPr>
              <a:ln>
                <a:prstDash val="solid"/>
              </a:ln>
            </spPr>
          </marker>
          <cat>
            <numRef>
              <f>'カーブ'!$A$260:$A$359</f>
            </numRef>
          </cat>
          <val>
            <numRef>
              <f>'カーブ'!$F$260:$F$359</f>
            </numRef>
          </val>
        </ser>
        <ser>
          <idx val="5"/>
          <order val="5"/>
          <tx>
            <strRef>
              <f>'カーブ'!G259</f>
            </strRef>
          </tx>
          <spPr>
            <a:ln>
              <a:prstDash val="solid"/>
            </a:ln>
          </spPr>
          <marker>
            <symbol val="none"/>
            <spPr>
              <a:ln>
                <a:prstDash val="solid"/>
              </a:ln>
            </spPr>
          </marker>
          <cat>
            <numRef>
              <f>'カーブ'!$A$260:$A$359</f>
            </numRef>
          </cat>
          <val>
            <numRef>
              <f>'カーブ'!$G$260:$G$359</f>
            </numRef>
          </val>
        </ser>
        <ser>
          <idx val="6"/>
          <order val="6"/>
          <tx>
            <strRef>
              <f>'カーブ'!H259</f>
            </strRef>
          </tx>
          <spPr>
            <a:ln>
              <a:prstDash val="solid"/>
            </a:ln>
          </spPr>
          <marker>
            <symbol val="none"/>
            <spPr>
              <a:ln>
                <a:prstDash val="solid"/>
              </a:ln>
            </spPr>
          </marker>
          <cat>
            <numRef>
              <f>'カーブ'!$A$260:$A$359</f>
            </numRef>
          </cat>
          <val>
            <numRef>
              <f>'カーブ'!$H$260:$H$359</f>
            </numRef>
          </val>
        </ser>
        <axId val="10"/>
        <axId val="100"/>
      </lineChart>
      <catAx>
        <axId val="10"/>
        <scaling>
          <orientation val="minMax"/>
        </scaling>
        <axPos val="l"/>
        <title>
          <tx>
            <rich>
              <a:bodyPr/>
              <a:p>
                <a:pPr>
                  <a:defRPr/>
                </a:pPr>
                <a:r>
                  <a:t>正準時間軸 t</a:t>
                </a:r>
              </a:p>
            </rich>
          </tx>
        </title>
        <majorTickMark val="none"/>
        <minorTickMark val="none"/>
        <crossAx val="100"/>
        <lblOffset val="100"/>
      </catAx>
      <valAx>
        <axId val="100"/>
        <scaling>
          <orientation val="minMax"/>
        </scaling>
        <axPos val="l"/>
        <majorGridlines/>
        <title>
          <tx>
            <rich>
              <a:bodyPr/>
              <a:p>
                <a:pPr>
                  <a:defRPr/>
                </a:pPr>
                <a:r>
                  <a:t>密度</a:t>
                </a:r>
              </a:p>
            </rich>
          </tx>
        </title>
        <majorTickMark val="none"/>
        <minorTickMark val="none"/>
        <crossAx val="10"/>
      </valAx>
    </plotArea>
    <legend>
      <legendPos val="r"/>
    </legend>
    <plotVisOnly val="1"/>
    <dispBlanksAs val="gap"/>
  </chart>
</chartSpace>
</file>

<file path=xl/charts/chart6.xml><?xml version="1.0" encoding="utf-8"?>
<chartSpace xmlns:a="http://schemas.openxmlformats.org/drawingml/2006/main" xmlns="http://schemas.openxmlformats.org/drawingml/2006/chart">
  <chart>
    <title>
      <tx>
        <rich>
          <a:bodyPr/>
          <a:p>
            <a:pPr>
              <a:defRPr/>
            </a:pPr>
            <a:r>
              <a:t>案件別 月次誤差WAPE(低いほど良い)</a:t>
            </a:r>
          </a:p>
        </rich>
      </tx>
    </title>
    <plotArea>
      <barChart>
        <barDir val="col"/>
        <grouping val="clustered"/>
        <ser>
          <idx val="0"/>
          <order val="0"/>
          <tx>
            <strRef>
              <f>'検証'!B18</f>
            </strRef>
          </tx>
          <spPr>
            <a:ln>
              <a:prstDash val="solid"/>
            </a:ln>
          </spPr>
          <cat>
            <numRef>
              <f>'検証'!$A$19:$A$28</f>
            </numRef>
          </cat>
          <val>
            <numRef>
              <f>'検証'!$B$19:$B$28</f>
            </numRef>
          </val>
        </ser>
        <ser>
          <idx val="1"/>
          <order val="1"/>
          <tx>
            <strRef>
              <f>'検証'!C18</f>
            </strRef>
          </tx>
          <spPr>
            <a:ln>
              <a:prstDash val="solid"/>
            </a:ln>
          </spPr>
          <cat>
            <numRef>
              <f>'検証'!$A$19:$A$28</f>
            </numRef>
          </cat>
          <val>
            <numRef>
              <f>'検証'!$C$19:$C$28</f>
            </numRef>
          </val>
        </ser>
        <ser>
          <idx val="2"/>
          <order val="2"/>
          <tx>
            <strRef>
              <f>'検証'!D18</f>
            </strRef>
          </tx>
          <spPr>
            <a:ln>
              <a:prstDash val="solid"/>
            </a:ln>
          </spPr>
          <cat>
            <numRef>
              <f>'検証'!$A$19:$A$28</f>
            </numRef>
          </cat>
          <val>
            <numRef>
              <f>'検証'!$D$19:$D$28</f>
            </numRef>
          </val>
        </ser>
        <ser>
          <idx val="3"/>
          <order val="3"/>
          <tx>
            <strRef>
              <f>'検証'!E18</f>
            </strRef>
          </tx>
          <spPr>
            <a:ln>
              <a:prstDash val="solid"/>
            </a:ln>
          </spPr>
          <cat>
            <numRef>
              <f>'検証'!$A$19:$A$28</f>
            </numRef>
          </cat>
          <val>
            <numRef>
              <f>'検証'!$E$19:$E$28</f>
            </numRef>
          </val>
        </ser>
        <ser>
          <idx val="4"/>
          <order val="4"/>
          <tx>
            <strRef>
              <f>'検証'!F18</f>
            </strRef>
          </tx>
          <spPr>
            <a:ln>
              <a:prstDash val="solid"/>
            </a:ln>
          </spPr>
          <cat>
            <numRef>
              <f>'検証'!$A$19:$A$28</f>
            </numRef>
          </cat>
          <val>
            <numRef>
              <f>'検証'!$F$19:$F$28</f>
            </numRef>
          </val>
        </ser>
        <ser>
          <idx val="5"/>
          <order val="5"/>
          <tx>
            <strRef>
              <f>'検証'!G18</f>
            </strRef>
          </tx>
          <spPr>
            <a:ln>
              <a:prstDash val="solid"/>
            </a:ln>
          </spPr>
          <cat>
            <numRef>
              <f>'検証'!$A$19:$A$28</f>
            </numRef>
          </cat>
          <val>
            <numRef>
              <f>'検証'!$G$19:$G$28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WAPE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_rels/drawing2.xml.rels><Relationships xmlns="http://schemas.openxmlformats.org/package/2006/relationships"><Relationship Type="http://schemas.openxmlformats.org/officeDocument/2006/relationships/chart" Target="/xl/charts/chart3.xml" Id="rId1" /><Relationship Type="http://schemas.openxmlformats.org/officeDocument/2006/relationships/chart" Target="/xl/charts/chart4.xml" Id="rId2" /><Relationship Type="http://schemas.openxmlformats.org/officeDocument/2006/relationships/chart" Target="/xl/charts/chart5.xml" Id="rId3" /></Relationships>
</file>

<file path=xl/drawings/_rels/drawing3.xml.rels><Relationships xmlns="http://schemas.openxmlformats.org/package/2006/relationships"><Relationship Type="http://schemas.openxmlformats.org/officeDocument/2006/relationships/chart" Target="/xl/charts/chart6.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11</col>
      <colOff>0</colOff>
      <row>10</row>
      <rowOff>0</rowOff>
    </from>
    <ext cx="9432000" cy="3600000"/>
    <graphicFrame>
      <nvGraphicFramePr>
        <cNvPr id="1" name="Chart 1"/>
        <cNvGraphicFramePr/>
      </nvGraphicFramePr>
      <xfrm/>
      <a:graphic>
        <a:graphicData uri="http://schemas.openxmlformats.org/drawingml/2006/chart">
          <c:chart r:id="rId1"/>
        </a:graphicData>
      </a:graphic>
    </graphicFrame>
    <clientData/>
  </oneCellAnchor>
  <oneCellAnchor>
    <from>
      <col>11</col>
      <colOff>0</colOff>
      <row>31</row>
      <rowOff>0</rowOff>
    </from>
    <ext cx="7560000" cy="288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14</col>
      <colOff>0</colOff>
      <row>5</row>
      <rowOff>0</rowOff>
    </from>
    <ext cx="8640000" cy="3960000"/>
    <graphicFrame>
      <nvGraphicFramePr>
        <cNvPr id="1" name="Chart 1"/>
        <cNvGraphicFramePr/>
      </nvGraphicFramePr>
      <xfrm/>
      <a:graphic>
        <a:graphicData uri="http://schemas.openxmlformats.org/drawingml/2006/chart">
          <c:chart r:id="rId1"/>
        </a:graphicData>
      </a:graphic>
    </graphicFrame>
    <clientData/>
  </oneCellAnchor>
  <oneCellAnchor>
    <from>
      <col>14</col>
      <colOff>0</colOff>
      <row>132</row>
      <rowOff>0</rowOff>
    </from>
    <ext cx="8640000" cy="3960000"/>
    <graphicFrame>
      <nvGraphicFramePr>
        <cNvPr id="2" name="Chart 2"/>
        <cNvGraphicFramePr/>
      </nvGraphicFramePr>
      <xfrm/>
      <a:graphic>
        <a:graphicData uri="http://schemas.openxmlformats.org/drawingml/2006/chart">
          <c:chart r:id="rId2"/>
        </a:graphicData>
      </a:graphic>
    </graphicFrame>
    <clientData/>
  </oneCellAnchor>
  <oneCellAnchor>
    <from>
      <col>9</col>
      <colOff>0</colOff>
      <row>258</row>
      <rowOff>0</rowOff>
    </from>
    <ext cx="8640000" cy="3960000"/>
    <graphicFrame>
      <nvGraphicFramePr>
        <cNvPr id="3" name="Chart 3"/>
        <cNvGraphicFramePr/>
      </nvGraphicFramePr>
      <xfrm/>
      <a:graphic>
        <a:graphicData uri="http://schemas.openxmlformats.org/drawingml/2006/chart">
          <c:chart r:id="rId3"/>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17</row>
      <rowOff>0</rowOff>
    </from>
    <ext cx="8640000" cy="36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sheet1.xml><?xml version="1.0" encoding="utf-8"?>
<worksheet xmlns="http://schemas.openxmlformats.org/spreadsheetml/2006/main">
  <sheetPr>
    <outlinePr summaryBelow="1" summaryRight="1"/>
    <pageSetUpPr fitToPage="1"/>
  </sheetPr>
  <dimension ref="A1:K85"/>
  <sheetViews>
    <sheetView workbookViewId="0">
      <pane xSplit="2" ySplit="11" topLeftCell="C12" activePane="bottomRight" state="frozen"/>
      <selection pane="topRight"/>
      <selection pane="bottomLeft"/>
      <selection pane="bottomRight" activeCell="A1" sqref="A1"/>
    </sheetView>
  </sheetViews>
  <sheetFormatPr baseColWidth="8" defaultRowHeight="15"/>
  <cols>
    <col width="20" customWidth="1" min="1" max="1"/>
    <col width="14" customWidth="1" min="2" max="2"/>
    <col width="10" customWidth="1" min="3" max="3"/>
    <col width="22" customWidth="1" min="4" max="4"/>
    <col width="15" customWidth="1" min="5" max="5"/>
    <col width="15" customWidth="1" min="6" max="6"/>
    <col width="15" customWidth="1" min="7" max="7"/>
    <col width="15" customWidth="1" min="8" max="8"/>
    <col width="15" customWidth="1" min="9" max="9"/>
  </cols>
  <sheetData>
    <row r="1">
      <c r="A1" s="1" t="inlineStr">
        <is>
          <t>工数予測  蒼穹のレガリア II  (PJ-2026-K)</t>
        </is>
      </c>
    </row>
    <row r="2">
      <c r="A2" s="2" t="inlineStr">
        <is>
          <t>生成日時</t>
        </is>
      </c>
      <c r="B2" s="2" t="inlineStr">
        <is>
          <t>2026-09-04 23:00</t>
        </is>
      </c>
    </row>
    <row r="3">
      <c r="A3" s="2" t="inlineStr">
        <is>
          <t>種別</t>
        </is>
      </c>
      <c r="B3" s="2" t="inlineStr">
        <is>
          <t>新規タイトル開発</t>
        </is>
      </c>
    </row>
    <row r="4">
      <c r="A4" s="2" t="inlineStr">
        <is>
          <t>タグ</t>
        </is>
      </c>
      <c r="B4" s="2" t="inlineStr">
        <is>
          <t>コンソール;既存IP;オンライン要素</t>
        </is>
      </c>
    </row>
    <row r="5">
      <c r="A5" s="2" t="inlineStr">
        <is>
          <t>期間</t>
        </is>
      </c>
      <c r="B5" s="2" t="inlineStr">
        <is>
          <t>2026-07 〜 2028-08  (26ヶ月)</t>
        </is>
      </c>
    </row>
    <row r="6">
      <c r="A6" s="2" t="inlineStr">
        <is>
          <t>契約人月</t>
        </is>
      </c>
      <c r="B6" s="3" t="n">
        <v>1900</v>
      </c>
    </row>
    <row r="7">
      <c r="A7" s="2" t="inlineStr">
        <is>
          <t>人月換算係数</t>
        </is>
      </c>
      <c r="B7" s="4" t="n">
        <v>160</v>
      </c>
      <c r="C7" s="5" t="inlineStr">
        <is>
          <t>← 人月表示はこのセルを参照。定義が違う場合はここを書き換える</t>
        </is>
      </c>
    </row>
    <row r="8">
      <c r="A8" s="2" t="inlineStr">
        <is>
          <t>総工数(時間)</t>
        </is>
      </c>
      <c r="B8" s="3" t="n">
        <v>304000</v>
      </c>
    </row>
    <row r="10">
      <c r="A10" s="6" t="inlineStr">
        <is>
          <t>■ 月 × 行程グループ 工数(時間)</t>
        </is>
      </c>
    </row>
    <row r="11">
      <c r="A11" s="7" t="inlineStr">
        <is>
          <t>月</t>
        </is>
      </c>
      <c r="B11" s="8" t="inlineStr">
        <is>
          <t>経過月</t>
        </is>
      </c>
      <c r="C11" s="8" t="inlineStr">
        <is>
          <t>企画・プリプロ</t>
        </is>
      </c>
      <c r="D11" s="8" t="inlineStr">
        <is>
          <t>ゲームデザイン・シナリオ</t>
        </is>
      </c>
      <c r="E11" s="8" t="inlineStr">
        <is>
          <t>プログラム</t>
        </is>
      </c>
      <c r="F11" s="8" t="inlineStr">
        <is>
          <t>アート</t>
        </is>
      </c>
      <c r="G11" s="8" t="inlineStr">
        <is>
          <t>サウンド</t>
        </is>
      </c>
      <c r="H11" s="8" t="inlineStr">
        <is>
          <t>QA・デバッグ</t>
        </is>
      </c>
      <c r="I11" s="8" t="inlineStr">
        <is>
          <t>PM・運営</t>
        </is>
      </c>
      <c r="J11" s="7" t="inlineStr">
        <is>
          <t>合計</t>
        </is>
      </c>
      <c r="K11" s="9" t="inlineStr">
        <is>
          <t>累積率</t>
        </is>
      </c>
    </row>
    <row r="12">
      <c r="A12" s="10" t="inlineStr">
        <is>
          <t>2026-07</t>
        </is>
      </c>
      <c r="B12" s="11" t="n">
        <v>1</v>
      </c>
      <c r="C12" s="12" t="n">
        <v>3033.5</v>
      </c>
      <c r="D12" s="12" t="n">
        <v>916.9</v>
      </c>
      <c r="E12" s="12" t="n">
        <v>411.5</v>
      </c>
      <c r="F12" s="12" t="n">
        <v>176.2</v>
      </c>
      <c r="G12" s="12" t="n">
        <v>0.5</v>
      </c>
      <c r="H12" s="12" t="n">
        <v>0</v>
      </c>
      <c r="I12" s="12" t="n">
        <v>335</v>
      </c>
      <c r="J12" s="12">
        <f>SUM(C12:I12)</f>
        <v/>
      </c>
      <c r="K12" s="13">
        <f>SUM($J$12:J12)/$J$38</f>
        <v/>
      </c>
    </row>
    <row r="13">
      <c r="A13" s="10" t="inlineStr">
        <is>
          <t>2026-08</t>
        </is>
      </c>
      <c r="B13" s="11" t="n">
        <v>2</v>
      </c>
      <c r="C13" s="12" t="n">
        <v>2792.4</v>
      </c>
      <c r="D13" s="12" t="n">
        <v>1419.9</v>
      </c>
      <c r="E13" s="12" t="n">
        <v>924.1</v>
      </c>
      <c r="F13" s="12" t="n">
        <v>561.9</v>
      </c>
      <c r="G13" s="12" t="n">
        <v>11.1</v>
      </c>
      <c r="H13" s="12" t="n">
        <v>0</v>
      </c>
      <c r="I13" s="12" t="n">
        <v>487.5</v>
      </c>
      <c r="J13" s="12">
        <f>SUM(C13:I13)</f>
        <v/>
      </c>
      <c r="K13" s="13">
        <f>SUM($J$12:J13)/$J$38</f>
        <v/>
      </c>
    </row>
    <row r="14">
      <c r="A14" s="10" t="inlineStr">
        <is>
          <t>2026-09</t>
        </is>
      </c>
      <c r="B14" s="11" t="n">
        <v>3</v>
      </c>
      <c r="C14" s="12" t="n">
        <v>2399.7</v>
      </c>
      <c r="D14" s="12" t="n">
        <v>1578.4</v>
      </c>
      <c r="E14" s="12" t="n">
        <v>1243.4</v>
      </c>
      <c r="F14" s="12" t="n">
        <v>894</v>
      </c>
      <c r="G14" s="12" t="n">
        <v>26.4</v>
      </c>
      <c r="H14" s="12" t="n">
        <v>1.8</v>
      </c>
      <c r="I14" s="12" t="n">
        <v>545.9</v>
      </c>
      <c r="J14" s="12">
        <f>SUM(C14:I14)</f>
        <v/>
      </c>
      <c r="K14" s="13">
        <f>SUM($J$12:J14)/$J$38</f>
        <v/>
      </c>
    </row>
    <row r="15">
      <c r="A15" s="10" t="inlineStr">
        <is>
          <t>2026-10</t>
        </is>
      </c>
      <c r="B15" s="11" t="n">
        <v>4</v>
      </c>
      <c r="C15" s="12" t="n">
        <v>2156</v>
      </c>
      <c r="D15" s="12" t="n">
        <v>1850.9</v>
      </c>
      <c r="E15" s="12" t="n">
        <v>1792.7</v>
      </c>
      <c r="F15" s="12" t="n">
        <v>1413.6</v>
      </c>
      <c r="G15" s="12" t="n">
        <v>55.7</v>
      </c>
      <c r="H15" s="12" t="n">
        <v>10.1</v>
      </c>
      <c r="I15" s="12" t="n">
        <v>633.4</v>
      </c>
      <c r="J15" s="12">
        <f>SUM(C15:I15)</f>
        <v/>
      </c>
      <c r="K15" s="13">
        <f>SUM($J$12:J15)/$J$38</f>
        <v/>
      </c>
    </row>
    <row r="16">
      <c r="A16" s="10" t="inlineStr">
        <is>
          <t>2026-11</t>
        </is>
      </c>
      <c r="B16" s="11" t="n">
        <v>5</v>
      </c>
      <c r="C16" s="12" t="n">
        <v>1720.3</v>
      </c>
      <c r="D16" s="12" t="n">
        <v>1751.8</v>
      </c>
      <c r="E16" s="12" t="n">
        <v>2077.6</v>
      </c>
      <c r="F16" s="12" t="n">
        <v>1661.5</v>
      </c>
      <c r="G16" s="12" t="n">
        <v>87.7</v>
      </c>
      <c r="H16" s="12" t="n">
        <v>21.6</v>
      </c>
      <c r="I16" s="12" t="n">
        <v>648.1</v>
      </c>
      <c r="J16" s="12">
        <f>SUM(C16:I16)</f>
        <v/>
      </c>
      <c r="K16" s="13">
        <f>SUM($J$12:J16)/$J$38</f>
        <v/>
      </c>
    </row>
    <row r="17">
      <c r="A17" s="10" t="inlineStr">
        <is>
          <t>2026-12</t>
        </is>
      </c>
      <c r="B17" s="11" t="n">
        <v>6</v>
      </c>
      <c r="C17" s="12" t="n">
        <v>1584</v>
      </c>
      <c r="D17" s="12" t="n">
        <v>1863.8</v>
      </c>
      <c r="E17" s="12" t="n">
        <v>2448.8</v>
      </c>
      <c r="F17" s="12" t="n">
        <v>2101.2</v>
      </c>
      <c r="G17" s="12" t="n">
        <v>127.8</v>
      </c>
      <c r="H17" s="12" t="n">
        <v>41.4</v>
      </c>
      <c r="I17" s="12" t="n">
        <v>682.2</v>
      </c>
      <c r="J17" s="12">
        <f>SUM(C17:I17)</f>
        <v/>
      </c>
      <c r="K17" s="13">
        <f>SUM($J$12:J17)/$J$38</f>
        <v/>
      </c>
    </row>
    <row r="18">
      <c r="A18" s="10" t="inlineStr">
        <is>
          <t>2027-01</t>
        </is>
      </c>
      <c r="B18" s="11" t="n">
        <v>7</v>
      </c>
      <c r="C18" s="12" t="n">
        <v>1326.9</v>
      </c>
      <c r="D18" s="12" t="n">
        <v>2052.4</v>
      </c>
      <c r="E18" s="12" t="n">
        <v>2923.4</v>
      </c>
      <c r="F18" s="12" t="n">
        <v>2659.4</v>
      </c>
      <c r="G18" s="12" t="n">
        <v>189.3</v>
      </c>
      <c r="H18" s="12" t="n">
        <v>79.40000000000001</v>
      </c>
      <c r="I18" s="12" t="n">
        <v>748.1</v>
      </c>
      <c r="J18" s="12">
        <f>SUM(C18:I18)</f>
        <v/>
      </c>
      <c r="K18" s="13">
        <f>SUM($J$12:J18)/$J$38</f>
        <v/>
      </c>
    </row>
    <row r="19">
      <c r="A19" s="10" t="inlineStr">
        <is>
          <t>2027-02</t>
        </is>
      </c>
      <c r="B19" s="11" t="n">
        <v>8</v>
      </c>
      <c r="C19" s="12" t="n">
        <v>1047</v>
      </c>
      <c r="D19" s="12" t="n">
        <v>1940.3</v>
      </c>
      <c r="E19" s="12" t="n">
        <v>3213.7</v>
      </c>
      <c r="F19" s="12" t="n">
        <v>2851.7</v>
      </c>
      <c r="G19" s="12" t="n">
        <v>220.2</v>
      </c>
      <c r="H19" s="12" t="n">
        <v>114.9</v>
      </c>
      <c r="I19" s="12" t="n">
        <v>706</v>
      </c>
      <c r="J19" s="12">
        <f>SUM(C19:I19)</f>
        <v/>
      </c>
      <c r="K19" s="13">
        <f>SUM($J$12:J19)/$J$38</f>
        <v/>
      </c>
    </row>
    <row r="20">
      <c r="A20" s="10" t="inlineStr">
        <is>
          <t>2027-03</t>
        </is>
      </c>
      <c r="B20" s="11" t="n">
        <v>9</v>
      </c>
      <c r="C20" s="12" t="n">
        <v>1058</v>
      </c>
      <c r="D20" s="12" t="n">
        <v>2364.1</v>
      </c>
      <c r="E20" s="12" t="n">
        <v>4354.4</v>
      </c>
      <c r="F20" s="12" t="n">
        <v>3765</v>
      </c>
      <c r="G20" s="12" t="n">
        <v>300.3</v>
      </c>
      <c r="H20" s="12" t="n">
        <v>178.4</v>
      </c>
      <c r="I20" s="12" t="n">
        <v>868.2</v>
      </c>
      <c r="J20" s="12">
        <f>SUM(C20:I20)</f>
        <v/>
      </c>
      <c r="K20" s="13">
        <f>SUM($J$12:J20)/$J$38</f>
        <v/>
      </c>
    </row>
    <row r="21">
      <c r="A21" s="10" t="inlineStr">
        <is>
          <t>2027-04</t>
        </is>
      </c>
      <c r="B21" s="11" t="n">
        <v>10</v>
      </c>
      <c r="C21" s="12" t="n">
        <v>787.1</v>
      </c>
      <c r="D21" s="12" t="n">
        <v>2353.2</v>
      </c>
      <c r="E21" s="12" t="n">
        <v>4690.6</v>
      </c>
      <c r="F21" s="12" t="n">
        <v>4191.3</v>
      </c>
      <c r="G21" s="12" t="n">
        <v>393.6</v>
      </c>
      <c r="H21" s="12" t="n">
        <v>247.9</v>
      </c>
      <c r="I21" s="12" t="n">
        <v>913.9</v>
      </c>
      <c r="J21" s="12">
        <f>SUM(C21:I21)</f>
        <v/>
      </c>
      <c r="K21" s="13">
        <f>SUM($J$12:J21)/$J$38</f>
        <v/>
      </c>
    </row>
    <row r="22">
      <c r="A22" s="10" t="inlineStr">
        <is>
          <t>2027-05</t>
        </is>
      </c>
      <c r="B22" s="11" t="n">
        <v>11</v>
      </c>
      <c r="C22" s="12" t="n">
        <v>615.4</v>
      </c>
      <c r="D22" s="12" t="n">
        <v>2442.1</v>
      </c>
      <c r="E22" s="12" t="n">
        <v>5481.6</v>
      </c>
      <c r="F22" s="12" t="n">
        <v>4856.6</v>
      </c>
      <c r="G22" s="12" t="n">
        <v>504.8</v>
      </c>
      <c r="H22" s="12" t="n">
        <v>375.4</v>
      </c>
      <c r="I22" s="12" t="n">
        <v>951.7</v>
      </c>
      <c r="J22" s="12">
        <f>SUM(C22:I22)</f>
        <v/>
      </c>
      <c r="K22" s="13">
        <f>SUM($J$12:J22)/$J$38</f>
        <v/>
      </c>
    </row>
    <row r="23">
      <c r="A23" s="10" t="inlineStr">
        <is>
          <t>2027-06</t>
        </is>
      </c>
      <c r="B23" s="11" t="n">
        <v>12</v>
      </c>
      <c r="C23" s="12" t="n">
        <v>445.9</v>
      </c>
      <c r="D23" s="12" t="n">
        <v>2477</v>
      </c>
      <c r="E23" s="12" t="n">
        <v>5927.8</v>
      </c>
      <c r="F23" s="12" t="n">
        <v>5154.1</v>
      </c>
      <c r="G23" s="12" t="n">
        <v>585.2</v>
      </c>
      <c r="H23" s="12" t="n">
        <v>518.6</v>
      </c>
      <c r="I23" s="12" t="n">
        <v>962.4</v>
      </c>
      <c r="J23" s="12">
        <f>SUM(C23:I23)</f>
        <v/>
      </c>
      <c r="K23" s="13">
        <f>SUM($J$12:J23)/$J$38</f>
        <v/>
      </c>
    </row>
    <row r="24">
      <c r="A24" s="10" t="inlineStr">
        <is>
          <t>2027-07</t>
        </is>
      </c>
      <c r="B24" s="11" t="n">
        <v>13</v>
      </c>
      <c r="C24" s="12" t="n">
        <v>314.1</v>
      </c>
      <c r="D24" s="12" t="n">
        <v>2404.5</v>
      </c>
      <c r="E24" s="12" t="n">
        <v>6572.4</v>
      </c>
      <c r="F24" s="12" t="n">
        <v>5545.7</v>
      </c>
      <c r="G24" s="12" t="n">
        <v>661</v>
      </c>
      <c r="H24" s="12" t="n">
        <v>663.7</v>
      </c>
      <c r="I24" s="12" t="n">
        <v>917.7</v>
      </c>
      <c r="J24" s="12">
        <f>SUM(C24:I24)</f>
        <v/>
      </c>
      <c r="K24" s="13">
        <f>SUM($J$12:J24)/$J$38</f>
        <v/>
      </c>
    </row>
    <row r="25">
      <c r="A25" s="10" t="inlineStr">
        <is>
          <t>2027-08</t>
        </is>
      </c>
      <c r="B25" s="11" t="n">
        <v>14</v>
      </c>
      <c r="C25" s="12" t="n">
        <v>209.9</v>
      </c>
      <c r="D25" s="12" t="n">
        <v>1985.3</v>
      </c>
      <c r="E25" s="12" t="n">
        <v>6139.7</v>
      </c>
      <c r="F25" s="12" t="n">
        <v>5326.1</v>
      </c>
      <c r="G25" s="12" t="n">
        <v>718.4</v>
      </c>
      <c r="H25" s="12" t="n">
        <v>830.6</v>
      </c>
      <c r="I25" s="12" t="n">
        <v>850.4</v>
      </c>
      <c r="J25" s="12">
        <f>SUM(C25:I25)</f>
        <v/>
      </c>
      <c r="K25" s="13">
        <f>SUM($J$12:J25)/$J$38</f>
        <v/>
      </c>
    </row>
    <row r="26">
      <c r="A26" s="10" t="inlineStr">
        <is>
          <t>2027-09</t>
        </is>
      </c>
      <c r="B26" s="11" t="n">
        <v>15</v>
      </c>
      <c r="C26" s="12" t="n">
        <v>133</v>
      </c>
      <c r="D26" s="12" t="n">
        <v>1643</v>
      </c>
      <c r="E26" s="12" t="n">
        <v>5525.1</v>
      </c>
      <c r="F26" s="12" t="n">
        <v>5509</v>
      </c>
      <c r="G26" s="12" t="n">
        <v>830.6</v>
      </c>
      <c r="H26" s="12" t="n">
        <v>1163.2</v>
      </c>
      <c r="I26" s="12" t="n">
        <v>857.7</v>
      </c>
      <c r="J26" s="12">
        <f>SUM(C26:I26)</f>
        <v/>
      </c>
      <c r="K26" s="13">
        <f>SUM($J$12:J26)/$J$38</f>
        <v/>
      </c>
    </row>
    <row r="27">
      <c r="A27" s="10" t="inlineStr">
        <is>
          <t>2027-10</t>
        </is>
      </c>
      <c r="B27" s="11" t="n">
        <v>16</v>
      </c>
      <c r="C27" s="12" t="n">
        <v>91.90000000000001</v>
      </c>
      <c r="D27" s="12" t="n">
        <v>1388</v>
      </c>
      <c r="E27" s="12" t="n">
        <v>5131.9</v>
      </c>
      <c r="F27" s="12" t="n">
        <v>5949.7</v>
      </c>
      <c r="G27" s="12" t="n">
        <v>920.9</v>
      </c>
      <c r="H27" s="12" t="n">
        <v>1562.8</v>
      </c>
      <c r="I27" s="12" t="n">
        <v>876.4</v>
      </c>
      <c r="J27" s="12">
        <f>SUM(C27:I27)</f>
        <v/>
      </c>
      <c r="K27" s="13">
        <f>SUM($J$12:J27)/$J$38</f>
        <v/>
      </c>
    </row>
    <row r="28">
      <c r="A28" s="10" t="inlineStr">
        <is>
          <t>2027-11</t>
        </is>
      </c>
      <c r="B28" s="11" t="n">
        <v>17</v>
      </c>
      <c r="C28" s="12" t="n">
        <v>61</v>
      </c>
      <c r="D28" s="12" t="n">
        <v>1076.3</v>
      </c>
      <c r="E28" s="12" t="n">
        <v>4652.4</v>
      </c>
      <c r="F28" s="12" t="n">
        <v>5707.7</v>
      </c>
      <c r="G28" s="12" t="n">
        <v>981.1</v>
      </c>
      <c r="H28" s="12" t="n">
        <v>2065.2</v>
      </c>
      <c r="I28" s="12" t="n">
        <v>824.3</v>
      </c>
      <c r="J28" s="12">
        <f>SUM(C28:I28)</f>
        <v/>
      </c>
      <c r="K28" s="13">
        <f>SUM($J$12:J28)/$J$38</f>
        <v/>
      </c>
    </row>
    <row r="29">
      <c r="A29" s="10" t="inlineStr">
        <is>
          <t>2027-12</t>
        </is>
      </c>
      <c r="B29" s="11" t="n">
        <v>18</v>
      </c>
      <c r="C29" s="12" t="n">
        <v>34.1</v>
      </c>
      <c r="D29" s="12" t="n">
        <v>832.6</v>
      </c>
      <c r="E29" s="12" t="n">
        <v>4607.6</v>
      </c>
      <c r="F29" s="12" t="n">
        <v>6252.8</v>
      </c>
      <c r="G29" s="12" t="n">
        <v>1085.7</v>
      </c>
      <c r="H29" s="12" t="n">
        <v>3082.3</v>
      </c>
      <c r="I29" s="12" t="n">
        <v>820.3</v>
      </c>
      <c r="J29" s="12">
        <f>SUM(C29:I29)</f>
        <v/>
      </c>
      <c r="K29" s="13">
        <f>SUM($J$12:J29)/$J$38</f>
        <v/>
      </c>
    </row>
    <row r="30">
      <c r="A30" s="10" t="inlineStr">
        <is>
          <t>2028-01</t>
        </is>
      </c>
      <c r="B30" s="11" t="n">
        <v>19</v>
      </c>
      <c r="C30" s="12" t="n">
        <v>14.1</v>
      </c>
      <c r="D30" s="12" t="n">
        <v>542.1</v>
      </c>
      <c r="E30" s="12" t="n">
        <v>4249</v>
      </c>
      <c r="F30" s="12" t="n">
        <v>5899.2</v>
      </c>
      <c r="G30" s="12" t="n">
        <v>1050.1</v>
      </c>
      <c r="H30" s="12" t="n">
        <v>3608</v>
      </c>
      <c r="I30" s="12" t="n">
        <v>706.4</v>
      </c>
      <c r="J30" s="12">
        <f>SUM(C30:I30)</f>
        <v/>
      </c>
      <c r="K30" s="13">
        <f>SUM($J$12:J30)/$J$38</f>
        <v/>
      </c>
    </row>
    <row r="31">
      <c r="A31" s="10" t="inlineStr">
        <is>
          <t>2028-02</t>
        </is>
      </c>
      <c r="B31" s="11" t="n">
        <v>20</v>
      </c>
      <c r="C31" s="12" t="n">
        <v>9.300000000000001</v>
      </c>
      <c r="D31" s="12" t="n">
        <v>432.3</v>
      </c>
      <c r="E31" s="12" t="n">
        <v>3773.3</v>
      </c>
      <c r="F31" s="12" t="n">
        <v>5285.7</v>
      </c>
      <c r="G31" s="12" t="n">
        <v>968.5</v>
      </c>
      <c r="H31" s="12" t="n">
        <v>3518.4</v>
      </c>
      <c r="I31" s="12" t="n">
        <v>650.4</v>
      </c>
      <c r="J31" s="12">
        <f>SUM(C31:I31)</f>
        <v/>
      </c>
      <c r="K31" s="13">
        <f>SUM($J$12:J31)/$J$38</f>
        <v/>
      </c>
    </row>
    <row r="32">
      <c r="A32" s="10" t="inlineStr">
        <is>
          <t>2028-03</t>
        </is>
      </c>
      <c r="B32" s="11" t="n">
        <v>21</v>
      </c>
      <c r="C32" s="12" t="n">
        <v>2</v>
      </c>
      <c r="D32" s="12" t="n">
        <v>308.2</v>
      </c>
      <c r="E32" s="12" t="n">
        <v>3396.8</v>
      </c>
      <c r="F32" s="12" t="n">
        <v>4749.6</v>
      </c>
      <c r="G32" s="12" t="n">
        <v>935.1</v>
      </c>
      <c r="H32" s="12" t="n">
        <v>3785.8</v>
      </c>
      <c r="I32" s="12" t="n">
        <v>611.6</v>
      </c>
      <c r="J32" s="12">
        <f>SUM(C32:I32)</f>
        <v/>
      </c>
      <c r="K32" s="13">
        <f>SUM($J$12:J32)/$J$38</f>
        <v/>
      </c>
    </row>
    <row r="33">
      <c r="A33" s="10" t="inlineStr">
        <is>
          <t>2028-04</t>
        </is>
      </c>
      <c r="B33" s="11" t="n">
        <v>22</v>
      </c>
      <c r="C33" s="12" t="n">
        <v>0</v>
      </c>
      <c r="D33" s="12" t="n">
        <v>209</v>
      </c>
      <c r="E33" s="12" t="n">
        <v>2805</v>
      </c>
      <c r="F33" s="12" t="n">
        <v>3963.5</v>
      </c>
      <c r="G33" s="12" t="n">
        <v>801.2</v>
      </c>
      <c r="H33" s="12" t="n">
        <v>3793.2</v>
      </c>
      <c r="I33" s="12" t="n">
        <v>548.5</v>
      </c>
      <c r="J33" s="12">
        <f>SUM(C33:I33)</f>
        <v/>
      </c>
      <c r="K33" s="13">
        <f>SUM($J$12:J33)/$J$38</f>
        <v/>
      </c>
    </row>
    <row r="34">
      <c r="A34" s="10" t="inlineStr">
        <is>
          <t>2028-05</t>
        </is>
      </c>
      <c r="B34" s="11" t="n">
        <v>23</v>
      </c>
      <c r="C34" s="12" t="n">
        <v>0</v>
      </c>
      <c r="D34" s="12" t="n">
        <v>145.6</v>
      </c>
      <c r="E34" s="12" t="n">
        <v>2267.5</v>
      </c>
      <c r="F34" s="12" t="n">
        <v>3096.1</v>
      </c>
      <c r="G34" s="12" t="n">
        <v>664.2</v>
      </c>
      <c r="H34" s="12" t="n">
        <v>3890.4</v>
      </c>
      <c r="I34" s="12" t="n">
        <v>517.8</v>
      </c>
      <c r="J34" s="12">
        <f>SUM(C34:I34)</f>
        <v/>
      </c>
      <c r="K34" s="13">
        <f>SUM($J$12:J34)/$J$38</f>
        <v/>
      </c>
    </row>
    <row r="35">
      <c r="A35" s="10" t="inlineStr">
        <is>
          <t>2028-06</t>
        </is>
      </c>
      <c r="B35" s="11" t="n">
        <v>24</v>
      </c>
      <c r="C35" s="12" t="n">
        <v>0</v>
      </c>
      <c r="D35" s="12" t="n">
        <v>82.40000000000001</v>
      </c>
      <c r="E35" s="12" t="n">
        <v>1490.2</v>
      </c>
      <c r="F35" s="12" t="n">
        <v>2019.7</v>
      </c>
      <c r="G35" s="12" t="n">
        <v>485</v>
      </c>
      <c r="H35" s="12" t="n">
        <v>4061.2</v>
      </c>
      <c r="I35" s="12" t="n">
        <v>444.4</v>
      </c>
      <c r="J35" s="12">
        <f>SUM(C35:I35)</f>
        <v/>
      </c>
      <c r="K35" s="13">
        <f>SUM($J$12:J35)/$J$38</f>
        <v/>
      </c>
    </row>
    <row r="36">
      <c r="A36" s="10" t="inlineStr">
        <is>
          <t>2028-07</t>
        </is>
      </c>
      <c r="B36" s="11" t="n">
        <v>25</v>
      </c>
      <c r="C36" s="12" t="n">
        <v>0</v>
      </c>
      <c r="D36" s="12" t="n">
        <v>42.9</v>
      </c>
      <c r="E36" s="12" t="n">
        <v>1003</v>
      </c>
      <c r="F36" s="12" t="n">
        <v>1292</v>
      </c>
      <c r="G36" s="12" t="n">
        <v>333.3</v>
      </c>
      <c r="H36" s="12" t="n">
        <v>4041.9</v>
      </c>
      <c r="I36" s="12" t="n">
        <v>390.4</v>
      </c>
      <c r="J36" s="12">
        <f>SUM(C36:I36)</f>
        <v/>
      </c>
      <c r="K36" s="13">
        <f>SUM($J$12:J36)/$J$38</f>
        <v/>
      </c>
    </row>
    <row r="37">
      <c r="A37" s="10" t="inlineStr">
        <is>
          <t>2028-08</t>
        </is>
      </c>
      <c r="B37" s="11" t="n">
        <v>26</v>
      </c>
      <c r="C37" s="12" t="n">
        <v>0</v>
      </c>
      <c r="D37" s="12" t="n">
        <v>6.8</v>
      </c>
      <c r="E37" s="12" t="n">
        <v>421.9</v>
      </c>
      <c r="F37" s="12" t="n">
        <v>468.6</v>
      </c>
      <c r="G37" s="12" t="n">
        <v>129.9</v>
      </c>
      <c r="H37" s="12" t="n">
        <v>2690.1</v>
      </c>
      <c r="I37" s="12" t="n">
        <v>264.7</v>
      </c>
      <c r="J37" s="12">
        <f>SUM(C37:I37)</f>
        <v/>
      </c>
      <c r="K37" s="13">
        <f>SUM($J$12:J37)/$J$38</f>
        <v/>
      </c>
    </row>
    <row r="38">
      <c r="A38" s="14" t="inlineStr">
        <is>
          <t>合計</t>
        </is>
      </c>
      <c r="C38" s="15">
        <f>SUM(C12:C37)</f>
        <v/>
      </c>
      <c r="D38" s="15">
        <f>SUM(D12:D37)</f>
        <v/>
      </c>
      <c r="E38" s="15">
        <f>SUM(E12:E37)</f>
        <v/>
      </c>
      <c r="F38" s="15">
        <f>SUM(F12:F37)</f>
        <v/>
      </c>
      <c r="G38" s="15">
        <f>SUM(G12:G37)</f>
        <v/>
      </c>
      <c r="H38" s="15">
        <f>SUM(H12:H37)</f>
        <v/>
      </c>
      <c r="I38" s="15">
        <f>SUM(I12:I37)</f>
        <v/>
      </c>
      <c r="J38" s="15">
        <f>SUM(J12:J37)</f>
        <v/>
      </c>
    </row>
    <row r="39">
      <c r="A39" s="16" t="inlineStr">
        <is>
          <t>構成比</t>
        </is>
      </c>
      <c r="C39" s="17">
        <f>C38/$J$38</f>
        <v/>
      </c>
      <c r="D39" s="17">
        <f>D38/$J$38</f>
        <v/>
      </c>
      <c r="E39" s="17">
        <f>E38/$J$38</f>
        <v/>
      </c>
      <c r="F39" s="17">
        <f>F38/$J$38</f>
        <v/>
      </c>
      <c r="G39" s="17">
        <f>G38/$J$38</f>
        <v/>
      </c>
      <c r="H39" s="17">
        <f>H38/$J$38</f>
        <v/>
      </c>
      <c r="I39" s="17">
        <f>I38/$J$38</f>
        <v/>
      </c>
    </row>
    <row r="42">
      <c r="A42" s="6" t="inlineStr">
        <is>
          <t>■ 月 × 行程グループ 工数(人月)</t>
        </is>
      </c>
    </row>
    <row r="43">
      <c r="A43" s="5" t="inlineStr">
        <is>
          <t>上の時間表を換算係数(160時間/人月)で割った値。係数セルを書き換えると自動で追従する。</t>
        </is>
      </c>
    </row>
    <row r="44">
      <c r="A44" s="18" t="inlineStr">
        <is>
          <t>月</t>
        </is>
      </c>
      <c r="B44" s="8" t="inlineStr">
        <is>
          <t>企画・プリプロ</t>
        </is>
      </c>
      <c r="C44" s="8" t="inlineStr">
        <is>
          <t>ゲームデザイン・シナリオ</t>
        </is>
      </c>
      <c r="D44" s="8" t="inlineStr">
        <is>
          <t>プログラム</t>
        </is>
      </c>
      <c r="E44" s="8" t="inlineStr">
        <is>
          <t>アート</t>
        </is>
      </c>
      <c r="F44" s="8" t="inlineStr">
        <is>
          <t>サウンド</t>
        </is>
      </c>
      <c r="G44" s="8" t="inlineStr">
        <is>
          <t>QA・デバッグ</t>
        </is>
      </c>
      <c r="H44" s="8" t="inlineStr">
        <is>
          <t>PM・運営</t>
        </is>
      </c>
      <c r="I44" s="18" t="inlineStr">
        <is>
          <t>合計</t>
        </is>
      </c>
    </row>
    <row r="45">
      <c r="A45" s="10">
        <f>A12</f>
        <v/>
      </c>
      <c r="B45" s="19">
        <f>C12/$B$7</f>
        <v/>
      </c>
      <c r="C45" s="19">
        <f>D12/$B$7</f>
        <v/>
      </c>
      <c r="D45" s="19">
        <f>E12/$B$7</f>
        <v/>
      </c>
      <c r="E45" s="19">
        <f>F12/$B$7</f>
        <v/>
      </c>
      <c r="F45" s="19">
        <f>G12/$B$7</f>
        <v/>
      </c>
      <c r="G45" s="19">
        <f>H12/$B$7</f>
        <v/>
      </c>
      <c r="H45" s="19">
        <f>I12/$B$7</f>
        <v/>
      </c>
      <c r="I45" s="19">
        <f>SUM(B45:H45)</f>
        <v/>
      </c>
    </row>
    <row r="46">
      <c r="A46" s="10">
        <f>A13</f>
        <v/>
      </c>
      <c r="B46" s="19">
        <f>C13/$B$7</f>
        <v/>
      </c>
      <c r="C46" s="19">
        <f>D13/$B$7</f>
        <v/>
      </c>
      <c r="D46" s="19">
        <f>E13/$B$7</f>
        <v/>
      </c>
      <c r="E46" s="19">
        <f>F13/$B$7</f>
        <v/>
      </c>
      <c r="F46" s="19">
        <f>G13/$B$7</f>
        <v/>
      </c>
      <c r="G46" s="19">
        <f>H13/$B$7</f>
        <v/>
      </c>
      <c r="H46" s="19">
        <f>I13/$B$7</f>
        <v/>
      </c>
      <c r="I46" s="19">
        <f>SUM(B46:H46)</f>
        <v/>
      </c>
    </row>
    <row r="47">
      <c r="A47" s="10">
        <f>A14</f>
        <v/>
      </c>
      <c r="B47" s="19">
        <f>C14/$B$7</f>
        <v/>
      </c>
      <c r="C47" s="19">
        <f>D14/$B$7</f>
        <v/>
      </c>
      <c r="D47" s="19">
        <f>E14/$B$7</f>
        <v/>
      </c>
      <c r="E47" s="19">
        <f>F14/$B$7</f>
        <v/>
      </c>
      <c r="F47" s="19">
        <f>G14/$B$7</f>
        <v/>
      </c>
      <c r="G47" s="19">
        <f>H14/$B$7</f>
        <v/>
      </c>
      <c r="H47" s="19">
        <f>I14/$B$7</f>
        <v/>
      </c>
      <c r="I47" s="19">
        <f>SUM(B47:H47)</f>
        <v/>
      </c>
    </row>
    <row r="48">
      <c r="A48" s="10">
        <f>A15</f>
        <v/>
      </c>
      <c r="B48" s="19">
        <f>C15/$B$7</f>
        <v/>
      </c>
      <c r="C48" s="19">
        <f>D15/$B$7</f>
        <v/>
      </c>
      <c r="D48" s="19">
        <f>E15/$B$7</f>
        <v/>
      </c>
      <c r="E48" s="19">
        <f>F15/$B$7</f>
        <v/>
      </c>
      <c r="F48" s="19">
        <f>G15/$B$7</f>
        <v/>
      </c>
      <c r="G48" s="19">
        <f>H15/$B$7</f>
        <v/>
      </c>
      <c r="H48" s="19">
        <f>I15/$B$7</f>
        <v/>
      </c>
      <c r="I48" s="19">
        <f>SUM(B48:H48)</f>
        <v/>
      </c>
    </row>
    <row r="49">
      <c r="A49" s="10">
        <f>A16</f>
        <v/>
      </c>
      <c r="B49" s="19">
        <f>C16/$B$7</f>
        <v/>
      </c>
      <c r="C49" s="19">
        <f>D16/$B$7</f>
        <v/>
      </c>
      <c r="D49" s="19">
        <f>E16/$B$7</f>
        <v/>
      </c>
      <c r="E49" s="19">
        <f>F16/$B$7</f>
        <v/>
      </c>
      <c r="F49" s="19">
        <f>G16/$B$7</f>
        <v/>
      </c>
      <c r="G49" s="19">
        <f>H16/$B$7</f>
        <v/>
      </c>
      <c r="H49" s="19">
        <f>I16/$B$7</f>
        <v/>
      </c>
      <c r="I49" s="19">
        <f>SUM(B49:H49)</f>
        <v/>
      </c>
    </row>
    <row r="50">
      <c r="A50" s="10">
        <f>A17</f>
        <v/>
      </c>
      <c r="B50" s="19">
        <f>C17/$B$7</f>
        <v/>
      </c>
      <c r="C50" s="19">
        <f>D17/$B$7</f>
        <v/>
      </c>
      <c r="D50" s="19">
        <f>E17/$B$7</f>
        <v/>
      </c>
      <c r="E50" s="19">
        <f>F17/$B$7</f>
        <v/>
      </c>
      <c r="F50" s="19">
        <f>G17/$B$7</f>
        <v/>
      </c>
      <c r="G50" s="19">
        <f>H17/$B$7</f>
        <v/>
      </c>
      <c r="H50" s="19">
        <f>I17/$B$7</f>
        <v/>
      </c>
      <c r="I50" s="19">
        <f>SUM(B50:H50)</f>
        <v/>
      </c>
    </row>
    <row r="51">
      <c r="A51" s="10">
        <f>A18</f>
        <v/>
      </c>
      <c r="B51" s="19">
        <f>C18/$B$7</f>
        <v/>
      </c>
      <c r="C51" s="19">
        <f>D18/$B$7</f>
        <v/>
      </c>
      <c r="D51" s="19">
        <f>E18/$B$7</f>
        <v/>
      </c>
      <c r="E51" s="19">
        <f>F18/$B$7</f>
        <v/>
      </c>
      <c r="F51" s="19">
        <f>G18/$B$7</f>
        <v/>
      </c>
      <c r="G51" s="19">
        <f>H18/$B$7</f>
        <v/>
      </c>
      <c r="H51" s="19">
        <f>I18/$B$7</f>
        <v/>
      </c>
      <c r="I51" s="19">
        <f>SUM(B51:H51)</f>
        <v/>
      </c>
    </row>
    <row r="52">
      <c r="A52" s="10">
        <f>A19</f>
        <v/>
      </c>
      <c r="B52" s="19">
        <f>C19/$B$7</f>
        <v/>
      </c>
      <c r="C52" s="19">
        <f>D19/$B$7</f>
        <v/>
      </c>
      <c r="D52" s="19">
        <f>E19/$B$7</f>
        <v/>
      </c>
      <c r="E52" s="19">
        <f>F19/$B$7</f>
        <v/>
      </c>
      <c r="F52" s="19">
        <f>G19/$B$7</f>
        <v/>
      </c>
      <c r="G52" s="19">
        <f>H19/$B$7</f>
        <v/>
      </c>
      <c r="H52" s="19">
        <f>I19/$B$7</f>
        <v/>
      </c>
      <c r="I52" s="19">
        <f>SUM(B52:H52)</f>
        <v/>
      </c>
    </row>
    <row r="53">
      <c r="A53" s="10">
        <f>A20</f>
        <v/>
      </c>
      <c r="B53" s="19">
        <f>C20/$B$7</f>
        <v/>
      </c>
      <c r="C53" s="19">
        <f>D20/$B$7</f>
        <v/>
      </c>
      <c r="D53" s="19">
        <f>E20/$B$7</f>
        <v/>
      </c>
      <c r="E53" s="19">
        <f>F20/$B$7</f>
        <v/>
      </c>
      <c r="F53" s="19">
        <f>G20/$B$7</f>
        <v/>
      </c>
      <c r="G53" s="19">
        <f>H20/$B$7</f>
        <v/>
      </c>
      <c r="H53" s="19">
        <f>I20/$B$7</f>
        <v/>
      </c>
      <c r="I53" s="19">
        <f>SUM(B53:H53)</f>
        <v/>
      </c>
    </row>
    <row r="54">
      <c r="A54" s="10">
        <f>A21</f>
        <v/>
      </c>
      <c r="B54" s="19">
        <f>C21/$B$7</f>
        <v/>
      </c>
      <c r="C54" s="19">
        <f>D21/$B$7</f>
        <v/>
      </c>
      <c r="D54" s="19">
        <f>E21/$B$7</f>
        <v/>
      </c>
      <c r="E54" s="19">
        <f>F21/$B$7</f>
        <v/>
      </c>
      <c r="F54" s="19">
        <f>G21/$B$7</f>
        <v/>
      </c>
      <c r="G54" s="19">
        <f>H21/$B$7</f>
        <v/>
      </c>
      <c r="H54" s="19">
        <f>I21/$B$7</f>
        <v/>
      </c>
      <c r="I54" s="19">
        <f>SUM(B54:H54)</f>
        <v/>
      </c>
    </row>
    <row r="55">
      <c r="A55" s="10">
        <f>A22</f>
        <v/>
      </c>
      <c r="B55" s="19">
        <f>C22/$B$7</f>
        <v/>
      </c>
      <c r="C55" s="19">
        <f>D22/$B$7</f>
        <v/>
      </c>
      <c r="D55" s="19">
        <f>E22/$B$7</f>
        <v/>
      </c>
      <c r="E55" s="19">
        <f>F22/$B$7</f>
        <v/>
      </c>
      <c r="F55" s="19">
        <f>G22/$B$7</f>
        <v/>
      </c>
      <c r="G55" s="19">
        <f>H22/$B$7</f>
        <v/>
      </c>
      <c r="H55" s="19">
        <f>I22/$B$7</f>
        <v/>
      </c>
      <c r="I55" s="19">
        <f>SUM(B55:H55)</f>
        <v/>
      </c>
    </row>
    <row r="56">
      <c r="A56" s="10">
        <f>A23</f>
        <v/>
      </c>
      <c r="B56" s="19">
        <f>C23/$B$7</f>
        <v/>
      </c>
      <c r="C56" s="19">
        <f>D23/$B$7</f>
        <v/>
      </c>
      <c r="D56" s="19">
        <f>E23/$B$7</f>
        <v/>
      </c>
      <c r="E56" s="19">
        <f>F23/$B$7</f>
        <v/>
      </c>
      <c r="F56" s="19">
        <f>G23/$B$7</f>
        <v/>
      </c>
      <c r="G56" s="19">
        <f>H23/$B$7</f>
        <v/>
      </c>
      <c r="H56" s="19">
        <f>I23/$B$7</f>
        <v/>
      </c>
      <c r="I56" s="19">
        <f>SUM(B56:H56)</f>
        <v/>
      </c>
    </row>
    <row r="57">
      <c r="A57" s="10">
        <f>A24</f>
        <v/>
      </c>
      <c r="B57" s="19">
        <f>C24/$B$7</f>
        <v/>
      </c>
      <c r="C57" s="19">
        <f>D24/$B$7</f>
        <v/>
      </c>
      <c r="D57" s="19">
        <f>E24/$B$7</f>
        <v/>
      </c>
      <c r="E57" s="19">
        <f>F24/$B$7</f>
        <v/>
      </c>
      <c r="F57" s="19">
        <f>G24/$B$7</f>
        <v/>
      </c>
      <c r="G57" s="19">
        <f>H24/$B$7</f>
        <v/>
      </c>
      <c r="H57" s="19">
        <f>I24/$B$7</f>
        <v/>
      </c>
      <c r="I57" s="19">
        <f>SUM(B57:H57)</f>
        <v/>
      </c>
    </row>
    <row r="58">
      <c r="A58" s="10">
        <f>A25</f>
        <v/>
      </c>
      <c r="B58" s="19">
        <f>C25/$B$7</f>
        <v/>
      </c>
      <c r="C58" s="19">
        <f>D25/$B$7</f>
        <v/>
      </c>
      <c r="D58" s="19">
        <f>E25/$B$7</f>
        <v/>
      </c>
      <c r="E58" s="19">
        <f>F25/$B$7</f>
        <v/>
      </c>
      <c r="F58" s="19">
        <f>G25/$B$7</f>
        <v/>
      </c>
      <c r="G58" s="19">
        <f>H25/$B$7</f>
        <v/>
      </c>
      <c r="H58" s="19">
        <f>I25/$B$7</f>
        <v/>
      </c>
      <c r="I58" s="19">
        <f>SUM(B58:H58)</f>
        <v/>
      </c>
    </row>
    <row r="59">
      <c r="A59" s="10">
        <f>A26</f>
        <v/>
      </c>
      <c r="B59" s="19">
        <f>C26/$B$7</f>
        <v/>
      </c>
      <c r="C59" s="19">
        <f>D26/$B$7</f>
        <v/>
      </c>
      <c r="D59" s="19">
        <f>E26/$B$7</f>
        <v/>
      </c>
      <c r="E59" s="19">
        <f>F26/$B$7</f>
        <v/>
      </c>
      <c r="F59" s="19">
        <f>G26/$B$7</f>
        <v/>
      </c>
      <c r="G59" s="19">
        <f>H26/$B$7</f>
        <v/>
      </c>
      <c r="H59" s="19">
        <f>I26/$B$7</f>
        <v/>
      </c>
      <c r="I59" s="19">
        <f>SUM(B59:H59)</f>
        <v/>
      </c>
    </row>
    <row r="60">
      <c r="A60" s="10">
        <f>A27</f>
        <v/>
      </c>
      <c r="B60" s="19">
        <f>C27/$B$7</f>
        <v/>
      </c>
      <c r="C60" s="19">
        <f>D27/$B$7</f>
        <v/>
      </c>
      <c r="D60" s="19">
        <f>E27/$B$7</f>
        <v/>
      </c>
      <c r="E60" s="19">
        <f>F27/$B$7</f>
        <v/>
      </c>
      <c r="F60" s="19">
        <f>G27/$B$7</f>
        <v/>
      </c>
      <c r="G60" s="19">
        <f>H27/$B$7</f>
        <v/>
      </c>
      <c r="H60" s="19">
        <f>I27/$B$7</f>
        <v/>
      </c>
      <c r="I60" s="19">
        <f>SUM(B60:H60)</f>
        <v/>
      </c>
    </row>
    <row r="61">
      <c r="A61" s="10">
        <f>A28</f>
        <v/>
      </c>
      <c r="B61" s="19">
        <f>C28/$B$7</f>
        <v/>
      </c>
      <c r="C61" s="19">
        <f>D28/$B$7</f>
        <v/>
      </c>
      <c r="D61" s="19">
        <f>E28/$B$7</f>
        <v/>
      </c>
      <c r="E61" s="19">
        <f>F28/$B$7</f>
        <v/>
      </c>
      <c r="F61" s="19">
        <f>G28/$B$7</f>
        <v/>
      </c>
      <c r="G61" s="19">
        <f>H28/$B$7</f>
        <v/>
      </c>
      <c r="H61" s="19">
        <f>I28/$B$7</f>
        <v/>
      </c>
      <c r="I61" s="19">
        <f>SUM(B61:H61)</f>
        <v/>
      </c>
    </row>
    <row r="62">
      <c r="A62" s="10">
        <f>A29</f>
        <v/>
      </c>
      <c r="B62" s="19">
        <f>C29/$B$7</f>
        <v/>
      </c>
      <c r="C62" s="19">
        <f>D29/$B$7</f>
        <v/>
      </c>
      <c r="D62" s="19">
        <f>E29/$B$7</f>
        <v/>
      </c>
      <c r="E62" s="19">
        <f>F29/$B$7</f>
        <v/>
      </c>
      <c r="F62" s="19">
        <f>G29/$B$7</f>
        <v/>
      </c>
      <c r="G62" s="19">
        <f>H29/$B$7</f>
        <v/>
      </c>
      <c r="H62" s="19">
        <f>I29/$B$7</f>
        <v/>
      </c>
      <c r="I62" s="19">
        <f>SUM(B62:H62)</f>
        <v/>
      </c>
    </row>
    <row r="63">
      <c r="A63" s="10">
        <f>A30</f>
        <v/>
      </c>
      <c r="B63" s="19">
        <f>C30/$B$7</f>
        <v/>
      </c>
      <c r="C63" s="19">
        <f>D30/$B$7</f>
        <v/>
      </c>
      <c r="D63" s="19">
        <f>E30/$B$7</f>
        <v/>
      </c>
      <c r="E63" s="19">
        <f>F30/$B$7</f>
        <v/>
      </c>
      <c r="F63" s="19">
        <f>G30/$B$7</f>
        <v/>
      </c>
      <c r="G63" s="19">
        <f>H30/$B$7</f>
        <v/>
      </c>
      <c r="H63" s="19">
        <f>I30/$B$7</f>
        <v/>
      </c>
      <c r="I63" s="19">
        <f>SUM(B63:H63)</f>
        <v/>
      </c>
    </row>
    <row r="64">
      <c r="A64" s="10">
        <f>A31</f>
        <v/>
      </c>
      <c r="B64" s="19">
        <f>C31/$B$7</f>
        <v/>
      </c>
      <c r="C64" s="19">
        <f>D31/$B$7</f>
        <v/>
      </c>
      <c r="D64" s="19">
        <f>E31/$B$7</f>
        <v/>
      </c>
      <c r="E64" s="19">
        <f>F31/$B$7</f>
        <v/>
      </c>
      <c r="F64" s="19">
        <f>G31/$B$7</f>
        <v/>
      </c>
      <c r="G64" s="19">
        <f>H31/$B$7</f>
        <v/>
      </c>
      <c r="H64" s="19">
        <f>I31/$B$7</f>
        <v/>
      </c>
      <c r="I64" s="19">
        <f>SUM(B64:H64)</f>
        <v/>
      </c>
    </row>
    <row r="65">
      <c r="A65" s="10">
        <f>A32</f>
        <v/>
      </c>
      <c r="B65" s="19">
        <f>C32/$B$7</f>
        <v/>
      </c>
      <c r="C65" s="19">
        <f>D32/$B$7</f>
        <v/>
      </c>
      <c r="D65" s="19">
        <f>E32/$B$7</f>
        <v/>
      </c>
      <c r="E65" s="19">
        <f>F32/$B$7</f>
        <v/>
      </c>
      <c r="F65" s="19">
        <f>G32/$B$7</f>
        <v/>
      </c>
      <c r="G65" s="19">
        <f>H32/$B$7</f>
        <v/>
      </c>
      <c r="H65" s="19">
        <f>I32/$B$7</f>
        <v/>
      </c>
      <c r="I65" s="19">
        <f>SUM(B65:H65)</f>
        <v/>
      </c>
    </row>
    <row r="66">
      <c r="A66" s="10">
        <f>A33</f>
        <v/>
      </c>
      <c r="B66" s="19">
        <f>C33/$B$7</f>
        <v/>
      </c>
      <c r="C66" s="19">
        <f>D33/$B$7</f>
        <v/>
      </c>
      <c r="D66" s="19">
        <f>E33/$B$7</f>
        <v/>
      </c>
      <c r="E66" s="19">
        <f>F33/$B$7</f>
        <v/>
      </c>
      <c r="F66" s="19">
        <f>G33/$B$7</f>
        <v/>
      </c>
      <c r="G66" s="19">
        <f>H33/$B$7</f>
        <v/>
      </c>
      <c r="H66" s="19">
        <f>I33/$B$7</f>
        <v/>
      </c>
      <c r="I66" s="19">
        <f>SUM(B66:H66)</f>
        <v/>
      </c>
    </row>
    <row r="67">
      <c r="A67" s="10">
        <f>A34</f>
        <v/>
      </c>
      <c r="B67" s="19">
        <f>C34/$B$7</f>
        <v/>
      </c>
      <c r="C67" s="19">
        <f>D34/$B$7</f>
        <v/>
      </c>
      <c r="D67" s="19">
        <f>E34/$B$7</f>
        <v/>
      </c>
      <c r="E67" s="19">
        <f>F34/$B$7</f>
        <v/>
      </c>
      <c r="F67" s="19">
        <f>G34/$B$7</f>
        <v/>
      </c>
      <c r="G67" s="19">
        <f>H34/$B$7</f>
        <v/>
      </c>
      <c r="H67" s="19">
        <f>I34/$B$7</f>
        <v/>
      </c>
      <c r="I67" s="19">
        <f>SUM(B67:H67)</f>
        <v/>
      </c>
    </row>
    <row r="68">
      <c r="A68" s="10">
        <f>A35</f>
        <v/>
      </c>
      <c r="B68" s="19">
        <f>C35/$B$7</f>
        <v/>
      </c>
      <c r="C68" s="19">
        <f>D35/$B$7</f>
        <v/>
      </c>
      <c r="D68" s="19">
        <f>E35/$B$7</f>
        <v/>
      </c>
      <c r="E68" s="19">
        <f>F35/$B$7</f>
        <v/>
      </c>
      <c r="F68" s="19">
        <f>G35/$B$7</f>
        <v/>
      </c>
      <c r="G68" s="19">
        <f>H35/$B$7</f>
        <v/>
      </c>
      <c r="H68" s="19">
        <f>I35/$B$7</f>
        <v/>
      </c>
      <c r="I68" s="19">
        <f>SUM(B68:H68)</f>
        <v/>
      </c>
    </row>
    <row r="69">
      <c r="A69" s="10">
        <f>A36</f>
        <v/>
      </c>
      <c r="B69" s="19">
        <f>C36/$B$7</f>
        <v/>
      </c>
      <c r="C69" s="19">
        <f>D36/$B$7</f>
        <v/>
      </c>
      <c r="D69" s="19">
        <f>E36/$B$7</f>
        <v/>
      </c>
      <c r="E69" s="19">
        <f>F36/$B$7</f>
        <v/>
      </c>
      <c r="F69" s="19">
        <f>G36/$B$7</f>
        <v/>
      </c>
      <c r="G69" s="19">
        <f>H36/$B$7</f>
        <v/>
      </c>
      <c r="H69" s="19">
        <f>I36/$B$7</f>
        <v/>
      </c>
      <c r="I69" s="19">
        <f>SUM(B69:H69)</f>
        <v/>
      </c>
    </row>
    <row r="70">
      <c r="A70" s="10">
        <f>A37</f>
        <v/>
      </c>
      <c r="B70" s="19">
        <f>C37/$B$7</f>
        <v/>
      </c>
      <c r="C70" s="19">
        <f>D37/$B$7</f>
        <v/>
      </c>
      <c r="D70" s="19">
        <f>E37/$B$7</f>
        <v/>
      </c>
      <c r="E70" s="19">
        <f>F37/$B$7</f>
        <v/>
      </c>
      <c r="F70" s="19">
        <f>G37/$B$7</f>
        <v/>
      </c>
      <c r="G70" s="19">
        <f>H37/$B$7</f>
        <v/>
      </c>
      <c r="H70" s="19">
        <f>I37/$B$7</f>
        <v/>
      </c>
      <c r="I70" s="19">
        <f>SUM(B70:H70)</f>
        <v/>
      </c>
    </row>
    <row r="71">
      <c r="A71" s="14" t="inlineStr">
        <is>
          <t>合計</t>
        </is>
      </c>
      <c r="B71" s="20">
        <f>SUM(B45:B70)</f>
        <v/>
      </c>
      <c r="C71" s="20">
        <f>SUM(C45:C70)</f>
        <v/>
      </c>
      <c r="D71" s="20">
        <f>SUM(D45:D70)</f>
        <v/>
      </c>
      <c r="E71" s="20">
        <f>SUM(E45:E70)</f>
        <v/>
      </c>
      <c r="F71" s="20">
        <f>SUM(F45:F70)</f>
        <v/>
      </c>
      <c r="G71" s="20">
        <f>SUM(G45:G70)</f>
        <v/>
      </c>
      <c r="H71" s="20">
        <f>SUM(H45:H70)</f>
        <v/>
      </c>
      <c r="I71" s="20">
        <f>SUM(I45:I70)</f>
        <v/>
      </c>
    </row>
    <row r="73">
      <c r="A73" s="6" t="inlineStr">
        <is>
          <t>■ 実績(時間)と 予測との比較</t>
        </is>
      </c>
    </row>
    <row r="74">
      <c r="A74" s="5" t="inlineStr">
        <is>
          <t>この案件の実績はまだ1行もありません。着手後に実績が入ると、ここに 月 × 行程グループ の実績と予測との差分が並びます。</t>
        </is>
      </c>
    </row>
    <row r="76">
      <c r="A76" s="6" t="inlineStr">
        <is>
          <t>■ マイルストーン(予測)</t>
        </is>
      </c>
    </row>
    <row r="77">
      <c r="A77" s="8" t="inlineStr">
        <is>
          <t>マイルストーン名</t>
        </is>
      </c>
      <c r="B77" s="8" t="inlineStr">
        <is>
          <t>予測日付</t>
        </is>
      </c>
      <c r="C77" s="8" t="inlineStr">
        <is>
          <t>位置t</t>
        </is>
      </c>
      <c r="D77" s="8" t="inlineStr">
        <is>
          <t>根拠</t>
        </is>
      </c>
    </row>
    <row r="78">
      <c r="A78" s="10" t="inlineStr">
        <is>
          <t>プロトタイプ</t>
        </is>
      </c>
      <c r="B78" s="10" t="inlineStr">
        <is>
          <t>2026-12-22</t>
        </is>
      </c>
      <c r="C78" s="21" t="n">
        <v>0.22</v>
      </c>
      <c r="D78" s="10" t="inlineStr">
        <is>
          <t>学習(n=5)</t>
        </is>
      </c>
    </row>
    <row r="79">
      <c r="A79" s="10" t="inlineStr">
        <is>
          <t>α版</t>
        </is>
      </c>
      <c r="B79" s="10" t="inlineStr">
        <is>
          <t>2027-07-16</t>
        </is>
      </c>
      <c r="C79" s="21" t="n">
        <v>0.48</v>
      </c>
      <c r="D79" s="10" t="inlineStr">
        <is>
          <t>指定</t>
        </is>
      </c>
    </row>
    <row r="80">
      <c r="A80" s="10" t="inlineStr">
        <is>
          <t>β版</t>
        </is>
      </c>
      <c r="B80" s="10" t="inlineStr">
        <is>
          <t>2028-02-05</t>
        </is>
      </c>
      <c r="C80" s="21" t="n">
        <v>0.738</v>
      </c>
      <c r="D80" s="10" t="inlineStr">
        <is>
          <t>学習(n=10)</t>
        </is>
      </c>
    </row>
    <row r="81">
      <c r="A81" s="10" t="inlineStr">
        <is>
          <t>マスターアップ</t>
        </is>
      </c>
      <c r="B81" s="10" t="inlineStr">
        <is>
          <t>2028-06-23</t>
        </is>
      </c>
      <c r="C81" s="21" t="n">
        <v>0.914</v>
      </c>
      <c r="D81" s="10" t="inlineStr">
        <is>
          <t>学習(n=10)</t>
        </is>
      </c>
    </row>
    <row r="83">
      <c r="A83" s="5" t="inlineStr">
        <is>
          <t>・行程グループ間の総量は学習した工数比率で配分しています。</t>
        </is>
      </c>
    </row>
    <row r="84">
      <c r="A84" s="5" t="inlineStr">
        <is>
          <t>・指定されたマイルストーンで時間軸を固定: α版</t>
        </is>
      </c>
    </row>
    <row r="85">
      <c r="A85" s="5" t="inlineStr">
        <is>
          <t>・この予測が依拠した案件は「条件」シートを参照(→ 条件)</t>
        </is>
      </c>
    </row>
  </sheetData>
  <printOptions horizontalCentered="0"/>
  <pageMargins left="0.75" right="0.75" top="1" bottom="1" header="0.5" footer="0.5"/>
  <pageSetup orientation="landscape" fitToHeight="0" fitToWidth="1"/>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M395"/>
  <sheetViews>
    <sheetView workbookViewId="0">
      <selection activeCell="A1" sqref="A1"/>
    </sheetView>
  </sheetViews>
  <sheetFormatPr baseColWidth="8" defaultRowHeight="15"/>
  <cols>
    <col width="13" customWidth="1" min="1" max="1"/>
    <col width="26" customWidth="1" min="2" max="2"/>
    <col width="18" customWidth="1" min="3" max="3"/>
    <col width="11" customWidth="1" min="4" max="4"/>
    <col width="11.4" customWidth="1" min="5" max="5"/>
    <col width="11" customWidth="1" min="6" max="6"/>
    <col width="11" customWidth="1" min="7" max="7"/>
    <col width="13.3" customWidth="1" min="8" max="8"/>
    <col width="13" customWidth="1" min="9" max="9"/>
    <col width="13" customWidth="1" min="10" max="10"/>
    <col width="13" customWidth="1" min="11" max="11"/>
    <col width="13" customWidth="1" min="12" max="12"/>
    <col width="13" customWidth="1" min="13" max="13"/>
  </cols>
  <sheetData>
    <row r="1">
      <c r="A1" s="1" t="inlineStr">
        <is>
          <t>学習カーブ</t>
        </is>
      </c>
    </row>
    <row r="2">
      <c r="A2" s="5" t="inlineStr">
        <is>
          <t>横軸は正準時間軸(0=開始, 1=終了)。位置合わせ ON のとき、背骨マイルストーンが全案件で同じ位置に来るよう変換した後の軸。</t>
        </is>
      </c>
    </row>
    <row r="3">
      <c r="A3" s="5" t="inlineStr">
        <is>
          <t>背骨マイルストーン: α版, β版, マスターアップ   正準位置: α版=0.497, β版=0.738, マスターアップ=0.914</t>
        </is>
      </c>
    </row>
    <row r="5">
      <c r="A5" s="6" t="inlineStr">
        <is>
          <t>■ 累積消化率 F(t):平均カーブ vs 各案件</t>
        </is>
      </c>
    </row>
    <row r="6">
      <c r="A6" s="7" t="inlineStr">
        <is>
          <t>t</t>
        </is>
      </c>
      <c r="B6" s="8" t="inlineStr">
        <is>
          <t>平均(位置合わせあり)</t>
        </is>
      </c>
      <c r="C6" s="8" t="inlineStr">
        <is>
          <t>平均(位置合わせなし)</t>
        </is>
      </c>
      <c r="D6" s="8" t="inlineStr">
        <is>
          <t>PJ-2019-A</t>
        </is>
      </c>
      <c r="E6" s="8" t="inlineStr">
        <is>
          <t>PJ-2020-B</t>
        </is>
      </c>
      <c r="F6" s="8" t="inlineStr">
        <is>
          <t>PJ-2020-C</t>
        </is>
      </c>
      <c r="G6" s="8" t="inlineStr">
        <is>
          <t>PJ-2021-D</t>
        </is>
      </c>
      <c r="H6" s="8" t="inlineStr">
        <is>
          <t>PJ-2021-E</t>
        </is>
      </c>
      <c r="I6" s="8" t="inlineStr">
        <is>
          <t>PJ-2022-F</t>
        </is>
      </c>
      <c r="J6" s="8" t="inlineStr">
        <is>
          <t>PJ-2022-G</t>
        </is>
      </c>
      <c r="K6" s="8" t="inlineStr">
        <is>
          <t>PJ-2023-H</t>
        </is>
      </c>
      <c r="L6" s="8" t="inlineStr">
        <is>
          <t>PJ-2023-I</t>
        </is>
      </c>
      <c r="M6" s="8" t="inlineStr">
        <is>
          <t>PJ-2024-J</t>
        </is>
      </c>
    </row>
    <row r="7">
      <c r="A7" s="10" t="n">
        <v>0.005</v>
      </c>
      <c r="B7" s="21" t="n">
        <v>0.003844844610339996</v>
      </c>
      <c r="C7" s="21" t="n">
        <v>0.003834845109846539</v>
      </c>
      <c r="D7" s="21" t="n">
        <v>0.003016495208973411</v>
      </c>
      <c r="E7" s="21" t="n">
        <v>0.0005377156484734653</v>
      </c>
      <c r="F7" s="21" t="n">
        <v>0.009813847851603342</v>
      </c>
      <c r="G7" s="21" t="n">
        <v>0.006440371515443876</v>
      </c>
      <c r="H7" s="21" t="n">
        <v>0.001421507751468113</v>
      </c>
      <c r="I7" s="21" t="n">
        <v>0.002446625743472624</v>
      </c>
      <c r="J7" s="21" t="n">
        <v>0.009970728484682332</v>
      </c>
      <c r="K7" s="21" t="n">
        <v>0.002300994215790587</v>
      </c>
      <c r="L7" s="21" t="n">
        <v>0.001566546697324483</v>
      </c>
      <c r="M7" s="21" t="n">
        <v>0.0003105955304640156</v>
      </c>
    </row>
    <row r="8">
      <c r="A8" s="10" t="n">
        <v>0.015</v>
      </c>
      <c r="B8" s="21" t="n">
        <v>0.007670227836841931</v>
      </c>
      <c r="C8" s="21" t="n">
        <v>0.007669690219693079</v>
      </c>
      <c r="D8" s="21" t="n">
        <v>0.006106563471824223</v>
      </c>
      <c r="E8" s="21" t="n">
        <v>0.001075431296946931</v>
      </c>
      <c r="F8" s="21" t="n">
        <v>0.01962769570320668</v>
      </c>
      <c r="G8" s="21" t="n">
        <v>0.01288074303088775</v>
      </c>
      <c r="H8" s="21" t="n">
        <v>0.002802400995751424</v>
      </c>
      <c r="I8" s="21" t="n">
        <v>0.004893251486945248</v>
      </c>
      <c r="J8" s="21" t="n">
        <v>0.01968579726462922</v>
      </c>
      <c r="K8" s="21" t="n">
        <v>0.004601988431581173</v>
      </c>
      <c r="L8" s="21" t="n">
        <v>0.003133093394648967</v>
      </c>
      <c r="M8" s="21" t="n">
        <v>0.0006137959292503165</v>
      </c>
    </row>
    <row r="9">
      <c r="A9" s="10" t="n">
        <v>0.025</v>
      </c>
      <c r="B9" s="21" t="n">
        <v>0.01156535257083645</v>
      </c>
      <c r="C9" s="21" t="n">
        <v>0.01157045267041883</v>
      </c>
      <c r="D9" s="21" t="n">
        <v>0.009901823746185031</v>
      </c>
      <c r="E9" s="21" t="n">
        <v>0.001613146945420396</v>
      </c>
      <c r="F9" s="21" t="n">
        <v>0.02944154355481002</v>
      </c>
      <c r="G9" s="21" t="n">
        <v>0.01918110646990893</v>
      </c>
      <c r="H9" s="21" t="n">
        <v>0.004223908747219537</v>
      </c>
      <c r="I9" s="21" t="n">
        <v>0.007339877230417872</v>
      </c>
      <c r="J9" s="21" t="n">
        <v>0.02965652574931155</v>
      </c>
      <c r="K9" s="21" t="n">
        <v>0.00690298264737176</v>
      </c>
      <c r="L9" s="21" t="n">
        <v>0.00469964009197345</v>
      </c>
      <c r="M9" s="21" t="n">
        <v>0.0009243914597143322</v>
      </c>
    </row>
    <row r="10">
      <c r="A10" s="10" t="n">
        <v>0.035</v>
      </c>
      <c r="B10" s="21" t="n">
        <v>0.01580634427087135</v>
      </c>
      <c r="C10" s="21" t="n">
        <v>0.01587835158814778</v>
      </c>
      <c r="D10" s="21" t="n">
        <v>0.01532818720519803</v>
      </c>
      <c r="E10" s="21" t="n">
        <v>0.002150862593893861</v>
      </c>
      <c r="F10" s="21" t="n">
        <v>0.04022644746421883</v>
      </c>
      <c r="G10" s="21" t="n">
        <v>0.02562147798535281</v>
      </c>
      <c r="H10" s="21" t="n">
        <v>0.006245350119490574</v>
      </c>
      <c r="I10" s="21" t="n">
        <v>0.009786502973890497</v>
      </c>
      <c r="J10" s="21" t="n">
        <v>0.03937159452925844</v>
      </c>
      <c r="K10" s="21" t="n">
        <v>0.009203976863162346</v>
      </c>
      <c r="L10" s="21" t="n">
        <v>0.006266186789297933</v>
      </c>
      <c r="M10" s="21" t="n">
        <v>0.001640980321657813</v>
      </c>
    </row>
    <row r="11">
      <c r="A11" s="10" t="n">
        <v>0.045</v>
      </c>
      <c r="B11" s="21" t="n">
        <v>0.02031933444157061</v>
      </c>
      <c r="C11" s="21" t="n">
        <v>0.020408295926247</v>
      </c>
      <c r="D11" s="21" t="n">
        <v>0.02062535153423454</v>
      </c>
      <c r="E11" s="21" t="n">
        <v>0.002688578242367326</v>
      </c>
      <c r="F11" s="21" t="n">
        <v>0.05163366470125246</v>
      </c>
      <c r="G11" s="21" t="n">
        <v>0.03206184950079669</v>
      </c>
      <c r="H11" s="21" t="n">
        <v>0.008563625250141505</v>
      </c>
      <c r="I11" s="21" t="n">
        <v>0.01229751360534924</v>
      </c>
      <c r="J11" s="21" t="n">
        <v>0.05021163872442973</v>
      </c>
      <c r="K11" s="21" t="n">
        <v>0.01150497107895293</v>
      </c>
      <c r="L11" s="21" t="n">
        <v>0.007873958399709903</v>
      </c>
      <c r="M11" s="21" t="n">
        <v>0.00253031970054188</v>
      </c>
    </row>
    <row r="12">
      <c r="A12" s="10" t="n">
        <v>0.055</v>
      </c>
      <c r="B12" s="21" t="n">
        <v>0.02501086260032639</v>
      </c>
      <c r="C12" s="21" t="n">
        <v>0.02540367154724484</v>
      </c>
      <c r="D12" s="21" t="n">
        <v>0.02704726541556236</v>
      </c>
      <c r="E12" s="21" t="n">
        <v>0.003272237573024157</v>
      </c>
      <c r="F12" s="21" t="n">
        <v>0.06334107186557646</v>
      </c>
      <c r="G12" s="21" t="n">
        <v>0.03890479129423115</v>
      </c>
      <c r="H12" s="21" t="n">
        <v>0.01081566394848812</v>
      </c>
      <c r="I12" s="21" t="n">
        <v>0.01530966447485544</v>
      </c>
      <c r="J12" s="21" t="n">
        <v>0.06077373306844279</v>
      </c>
      <c r="K12" s="21" t="n">
        <v>0.01380596529474352</v>
      </c>
      <c r="L12" s="21" t="n">
        <v>0.009561391791739879</v>
      </c>
      <c r="M12" s="21" t="n">
        <v>0.003398484332309659</v>
      </c>
    </row>
    <row r="13">
      <c r="A13" s="10" t="n">
        <v>0.065</v>
      </c>
      <c r="B13" s="21" t="n">
        <v>0.03050058394342468</v>
      </c>
      <c r="C13" s="21" t="n">
        <v>0.03077504878683044</v>
      </c>
      <c r="D13" s="21" t="n">
        <v>0.03391433617978763</v>
      </c>
      <c r="E13" s="21" t="n">
        <v>0.00493557343499007</v>
      </c>
      <c r="F13" s="21" t="n">
        <v>0.07504847902990044</v>
      </c>
      <c r="G13" s="21" t="n">
        <v>0.04702863851763571</v>
      </c>
      <c r="H13" s="21" t="n">
        <v>0.01361207836091948</v>
      </c>
      <c r="I13" s="21" t="n">
        <v>0.01990528569725562</v>
      </c>
      <c r="J13" s="21" t="n">
        <v>0.07161377726361409</v>
      </c>
      <c r="K13" s="21" t="n">
        <v>0.01783994085501162</v>
      </c>
      <c r="L13" s="21" t="n">
        <v>0.01265916995533394</v>
      </c>
      <c r="M13" s="21" t="n">
        <v>0.004647618324834957</v>
      </c>
    </row>
    <row r="14">
      <c r="A14" s="10" t="n">
        <v>0.075</v>
      </c>
      <c r="B14" s="21" t="n">
        <v>0.03586979770085638</v>
      </c>
      <c r="C14" s="21" t="n">
        <v>0.03616118973314496</v>
      </c>
      <c r="D14" s="21" t="n">
        <v>0.04094889647484765</v>
      </c>
      <c r="E14" s="21" t="n">
        <v>0.006598909296955982</v>
      </c>
      <c r="F14" s="21" t="n">
        <v>0.08506633543351577</v>
      </c>
      <c r="G14" s="21" t="n">
        <v>0.05515248574104026</v>
      </c>
      <c r="H14" s="21" t="n">
        <v>0.0164893761200559</v>
      </c>
      <c r="I14" s="21" t="n">
        <v>0.02450090691965581</v>
      </c>
      <c r="J14" s="21" t="n">
        <v>0.08217587160762715</v>
      </c>
      <c r="K14" s="21" t="n">
        <v>0.02187391641527972</v>
      </c>
      <c r="L14" s="21" t="n">
        <v>0.01575694811892801</v>
      </c>
      <c r="M14" s="21" t="n">
        <v>0.006042625069434538</v>
      </c>
    </row>
    <row r="15">
      <c r="A15" s="10" t="n">
        <v>0.08500000000000001</v>
      </c>
      <c r="B15" s="21" t="n">
        <v>0.04133864008879704</v>
      </c>
      <c r="C15" s="21" t="n">
        <v>0.04169818273818272</v>
      </c>
      <c r="D15" s="21" t="n">
        <v>0.04871607109550453</v>
      </c>
      <c r="E15" s="21" t="n">
        <v>0.008262245158921894</v>
      </c>
      <c r="F15" s="21" t="n">
        <v>0.0950841918371311</v>
      </c>
      <c r="G15" s="21" t="n">
        <v>0.06309972759002298</v>
      </c>
      <c r="H15" s="21" t="n">
        <v>0.01945130028387279</v>
      </c>
      <c r="I15" s="21" t="n">
        <v>0.029096528142056</v>
      </c>
      <c r="J15" s="21" t="n">
        <v>0.09288947136179201</v>
      </c>
      <c r="K15" s="21" t="n">
        <v>0.02590789197554783</v>
      </c>
      <c r="L15" s="21" t="n">
        <v>0.01885472628252207</v>
      </c>
      <c r="M15" s="21" t="n">
        <v>0.007471656368780451</v>
      </c>
    </row>
    <row r="16">
      <c r="A16" s="10" t="n">
        <v>0.095</v>
      </c>
      <c r="B16" s="21" t="n">
        <v>0.04686330103534207</v>
      </c>
      <c r="C16" s="21" t="n">
        <v>0.04733527691561376</v>
      </c>
      <c r="D16" s="21" t="n">
        <v>0.05667268899959206</v>
      </c>
      <c r="E16" s="21" t="n">
        <v>0.009925581020887806</v>
      </c>
      <c r="F16" s="21" t="n">
        <v>0.1051020482407464</v>
      </c>
      <c r="G16" s="21" t="n">
        <v>0.07122357481342753</v>
      </c>
      <c r="H16" s="21" t="n">
        <v>0.02260146890415786</v>
      </c>
      <c r="I16" s="21" t="n">
        <v>0.03369214936445618</v>
      </c>
      <c r="J16" s="21" t="n">
        <v>0.1032426574989249</v>
      </c>
      <c r="K16" s="21" t="n">
        <v>0.02994186753581593</v>
      </c>
      <c r="L16" s="21" t="n">
        <v>0.02195250444611613</v>
      </c>
      <c r="M16" s="21" t="n">
        <v>0.009101431686046796</v>
      </c>
    </row>
    <row r="17">
      <c r="A17" s="10" t="n">
        <v>0.105</v>
      </c>
      <c r="B17" s="21" t="n">
        <v>0.05242418140070965</v>
      </c>
      <c r="C17" s="21" t="n">
        <v>0.05305431148412552</v>
      </c>
      <c r="D17" s="21" t="n">
        <v>0.06467350697417551</v>
      </c>
      <c r="E17" s="21" t="n">
        <v>0.01158891688285372</v>
      </c>
      <c r="F17" s="21" t="n">
        <v>0.1141964518753348</v>
      </c>
      <c r="G17" s="21" t="n">
        <v>0.07934742203683209</v>
      </c>
      <c r="H17" s="21" t="n">
        <v>0.02616029807673743</v>
      </c>
      <c r="I17" s="21" t="n">
        <v>0.03828777058685637</v>
      </c>
      <c r="J17" s="21" t="n">
        <v>0.1138682959028244</v>
      </c>
      <c r="K17" s="21" t="n">
        <v>0.03397584309608403</v>
      </c>
      <c r="L17" s="21" t="n">
        <v>0.0250502826097102</v>
      </c>
      <c r="M17" s="21" t="n">
        <v>0.01118781498885964</v>
      </c>
    </row>
    <row r="18">
      <c r="A18" s="10" t="n">
        <v>0.115</v>
      </c>
      <c r="B18" s="21" t="n">
        <v>0.0582644319520185</v>
      </c>
      <c r="C18" s="21" t="n">
        <v>0.05914459281906509</v>
      </c>
      <c r="D18" s="21" t="n">
        <v>0.07361142696475464</v>
      </c>
      <c r="E18" s="21" t="n">
        <v>0.01387248508153653</v>
      </c>
      <c r="F18" s="21" t="n">
        <v>0.1227737219592681</v>
      </c>
      <c r="G18" s="21" t="n">
        <v>0.08780386169948398</v>
      </c>
      <c r="H18" s="21" t="n">
        <v>0.02961744641581472</v>
      </c>
      <c r="I18" s="21" t="n">
        <v>0.0433481769095149</v>
      </c>
      <c r="J18" s="21" t="n">
        <v>0.1242214820399572</v>
      </c>
      <c r="K18" s="21" t="n">
        <v>0.03901729630664694</v>
      </c>
      <c r="L18" s="21" t="n">
        <v>0.02857468668286682</v>
      </c>
      <c r="M18" s="21" t="n">
        <v>0.01322452249874837</v>
      </c>
    </row>
    <row r="19">
      <c r="A19" s="10" t="n">
        <v>0.125</v>
      </c>
      <c r="B19" s="21" t="n">
        <v>0.06457106513195841</v>
      </c>
      <c r="C19" s="21" t="n">
        <v>0.06538266092943444</v>
      </c>
      <c r="D19" s="21" t="n">
        <v>0.08233653933651047</v>
      </c>
      <c r="E19" s="21" t="n">
        <v>0.01691724751164462</v>
      </c>
      <c r="F19" s="21" t="n">
        <v>0.1311310620410493</v>
      </c>
      <c r="G19" s="21" t="n">
        <v>0.09702051265184405</v>
      </c>
      <c r="H19" s="21" t="n">
        <v>0.03323780371017487</v>
      </c>
      <c r="I19" s="21" t="n">
        <v>0.04971260997887505</v>
      </c>
      <c r="J19" s="21" t="n">
        <v>0.1351559240661792</v>
      </c>
      <c r="K19" s="21" t="n">
        <v>0.04476398387241624</v>
      </c>
      <c r="L19" s="21" t="n">
        <v>0.03303386305313788</v>
      </c>
      <c r="M19" s="21" t="n">
        <v>0.01542859497156206</v>
      </c>
    </row>
    <row r="20">
      <c r="A20" s="10" t="n">
        <v>0.135</v>
      </c>
      <c r="B20" s="21" t="n">
        <v>0.07103780396489669</v>
      </c>
      <c r="C20" s="21" t="n">
        <v>0.0716965817234818</v>
      </c>
      <c r="D20" s="21" t="n">
        <v>0.09157959133854865</v>
      </c>
      <c r="E20" s="21" t="n">
        <v>0.01996200994175272</v>
      </c>
      <c r="F20" s="21" t="n">
        <v>0.1396277218800928</v>
      </c>
      <c r="G20" s="21" t="n">
        <v>0.1062371636042041</v>
      </c>
      <c r="H20" s="21" t="n">
        <v>0.03690414766330614</v>
      </c>
      <c r="I20" s="21" t="n">
        <v>0.05591385245671314</v>
      </c>
      <c r="J20" s="21" t="n">
        <v>0.1467079733370462</v>
      </c>
      <c r="K20" s="21" t="n">
        <v>0.05051067143818553</v>
      </c>
      <c r="L20" s="21" t="n">
        <v>0.03737870156776096</v>
      </c>
      <c r="M20" s="21" t="n">
        <v>0.01800144203367685</v>
      </c>
    </row>
    <row r="21">
      <c r="A21" s="10" t="n">
        <v>0.145</v>
      </c>
      <c r="B21" s="21" t="n">
        <v>0.07749551700896469</v>
      </c>
      <c r="C21" s="21" t="n">
        <v>0.07829544262622475</v>
      </c>
      <c r="D21" s="21" t="n">
        <v>0.1015533905896925</v>
      </c>
      <c r="E21" s="21" t="n">
        <v>0.02300677237186081</v>
      </c>
      <c r="F21" s="21" t="n">
        <v>0.1475762320538852</v>
      </c>
      <c r="G21" s="21" t="n">
        <v>0.115253452579339</v>
      </c>
      <c r="H21" s="21" t="n">
        <v>0.04067832526211775</v>
      </c>
      <c r="I21" s="21" t="n">
        <v>0.06211509493455123</v>
      </c>
      <c r="J21" s="21" t="n">
        <v>0.1579638162163525</v>
      </c>
      <c r="K21" s="21" t="n">
        <v>0.05625735900395482</v>
      </c>
      <c r="L21" s="21" t="n">
        <v>0.04172354008238405</v>
      </c>
      <c r="M21" s="21" t="n">
        <v>0.02063704146316029</v>
      </c>
    </row>
    <row r="22">
      <c r="A22" s="10" t="n">
        <v>0.155</v>
      </c>
      <c r="B22" s="21" t="n">
        <v>0.08397270826112532</v>
      </c>
      <c r="C22" s="21" t="n">
        <v>0.08501284271405853</v>
      </c>
      <c r="D22" s="21" t="n">
        <v>0.1112897184300948</v>
      </c>
      <c r="E22" s="21" t="n">
        <v>0.02605153480196891</v>
      </c>
      <c r="F22" s="21" t="n">
        <v>0.1555247422276776</v>
      </c>
      <c r="G22" s="21" t="n">
        <v>0.124470103531699</v>
      </c>
      <c r="H22" s="21" t="n">
        <v>0.04434466921524902</v>
      </c>
      <c r="I22" s="21" t="n">
        <v>0.06831633741238932</v>
      </c>
      <c r="J22" s="21" t="n">
        <v>0.1695158654872195</v>
      </c>
      <c r="K22" s="21" t="n">
        <v>0.06200404656972412</v>
      </c>
      <c r="L22" s="21" t="n">
        <v>0.04606837859700713</v>
      </c>
      <c r="M22" s="21" t="n">
        <v>0.02327264089264373</v>
      </c>
    </row>
    <row r="23">
      <c r="A23" s="10" t="n">
        <v>0.165</v>
      </c>
      <c r="B23" s="21" t="n">
        <v>0.0903372422950128</v>
      </c>
      <c r="C23" s="21" t="n">
        <v>0.09174905832288205</v>
      </c>
      <c r="D23" s="21" t="n">
        <v>0.1189505021437213</v>
      </c>
      <c r="E23" s="21" t="n">
        <v>0.029096297232077</v>
      </c>
      <c r="F23" s="21" t="n">
        <v>0.16347325240147</v>
      </c>
      <c r="G23" s="21" t="n">
        <v>0.1336867544840591</v>
      </c>
      <c r="H23" s="21" t="n">
        <v>0.04874252364558294</v>
      </c>
      <c r="I23" s="21" t="n">
        <v>0.07451757989022742</v>
      </c>
      <c r="J23" s="21" t="n">
        <v>0.1807717083665258</v>
      </c>
      <c r="K23" s="21" t="n">
        <v>0.0677507341354934</v>
      </c>
      <c r="L23" s="21" t="n">
        <v>0.05041321711163022</v>
      </c>
      <c r="M23" s="21" t="n">
        <v>0.0262234599349276</v>
      </c>
    </row>
    <row r="24">
      <c r="A24" s="10" t="n">
        <v>0.175</v>
      </c>
      <c r="B24" s="21" t="n">
        <v>0.09691808121217894</v>
      </c>
      <c r="C24" s="21" t="n">
        <v>0.09851851808847618</v>
      </c>
      <c r="D24" s="21" t="n">
        <v>0.1261237587128206</v>
      </c>
      <c r="E24" s="21" t="n">
        <v>0.03268231872247358</v>
      </c>
      <c r="F24" s="21" t="n">
        <v>0.1712768018543986</v>
      </c>
      <c r="G24" s="21" t="n">
        <v>0.143495213180452</v>
      </c>
      <c r="H24" s="21" t="n">
        <v>0.05301472509219303</v>
      </c>
      <c r="I24" s="21" t="n">
        <v>0.08141147282669223</v>
      </c>
      <c r="J24" s="21" t="n">
        <v>0.1919142987001931</v>
      </c>
      <c r="K24" s="21" t="n">
        <v>0.07420053652153043</v>
      </c>
      <c r="L24" s="21" t="n">
        <v>0.05534744835284902</v>
      </c>
      <c r="M24" s="21" t="n">
        <v>0.02926610611228543</v>
      </c>
    </row>
    <row r="25">
      <c r="A25" s="10" t="n">
        <v>0.185</v>
      </c>
      <c r="B25" s="21" t="n">
        <v>0.1037589603032281</v>
      </c>
      <c r="C25" s="21" t="n">
        <v>0.1052879778540703</v>
      </c>
      <c r="D25" s="21" t="n">
        <v>0.1335344836819057</v>
      </c>
      <c r="E25" s="21" t="n">
        <v>0.03683215173400402</v>
      </c>
      <c r="F25" s="21" t="n">
        <v>0.1790368630910679</v>
      </c>
      <c r="G25" s="21" t="n">
        <v>0.1538007903818324</v>
      </c>
      <c r="H25" s="21" t="n">
        <v>0.05741257952252695</v>
      </c>
      <c r="I25" s="21" t="n">
        <v>0.08886608280109294</v>
      </c>
      <c r="J25" s="21" t="n">
        <v>0.2027379349235664</v>
      </c>
      <c r="K25" s="21" t="n">
        <v>0.08134669524529088</v>
      </c>
      <c r="L25" s="21" t="n">
        <v>0.06109209459313695</v>
      </c>
      <c r="M25" s="21" t="n">
        <v>0.03223630833303951</v>
      </c>
    </row>
    <row r="26">
      <c r="A26" s="10" t="n">
        <v>0.195</v>
      </c>
      <c r="B26" s="21" t="n">
        <v>0.1106625050449612</v>
      </c>
      <c r="C26" s="21" t="n">
        <v>0.1121106288836893</v>
      </c>
      <c r="D26" s="21" t="n">
        <v>0.1411348982227244</v>
      </c>
      <c r="E26" s="21" t="n">
        <v>0.04098198474553445</v>
      </c>
      <c r="F26" s="21" t="n">
        <v>0.1867969243277373</v>
      </c>
      <c r="G26" s="21" t="n">
        <v>0.1638823332962262</v>
      </c>
      <c r="H26" s="21" t="n">
        <v>0.06182264002989321</v>
      </c>
      <c r="I26" s="21" t="n">
        <v>0.09632069277549365</v>
      </c>
      <c r="J26" s="21" t="n">
        <v>0.2138464036791338</v>
      </c>
      <c r="K26" s="21" t="n">
        <v>0.08828867800551532</v>
      </c>
      <c r="L26" s="21" t="n">
        <v>0.06683674083342488</v>
      </c>
      <c r="M26" s="21" t="n">
        <v>0.03578776223689439</v>
      </c>
    </row>
    <row r="27">
      <c r="A27" s="10" t="n">
        <v>0.205</v>
      </c>
      <c r="B27" s="21" t="n">
        <v>0.1176131508743214</v>
      </c>
      <c r="C27" s="21" t="n">
        <v>0.119178160001365</v>
      </c>
      <c r="D27" s="21" t="n">
        <v>0.1489206887279534</v>
      </c>
      <c r="E27" s="21" t="n">
        <v>0.04513181775706489</v>
      </c>
      <c r="F27" s="21" t="n">
        <v>0.1944757793098817</v>
      </c>
      <c r="G27" s="21" t="n">
        <v>0.1741879104976066</v>
      </c>
      <c r="H27" s="21" t="n">
        <v>0.06639281828617234</v>
      </c>
      <c r="I27" s="21" t="n">
        <v>0.1037753027498944</v>
      </c>
      <c r="J27" s="21" t="n">
        <v>0.2246700399025071</v>
      </c>
      <c r="K27" s="21" t="n">
        <v>0.09523066076573976</v>
      </c>
      <c r="L27" s="21" t="n">
        <v>0.07273256197477301</v>
      </c>
      <c r="M27" s="21" t="n">
        <v>0.0394098743572228</v>
      </c>
    </row>
    <row r="28">
      <c r="A28" s="10" t="n">
        <v>0.215</v>
      </c>
      <c r="B28" s="21" t="n">
        <v>0.1246273574423926</v>
      </c>
      <c r="C28" s="21" t="n">
        <v>0.1263742286687309</v>
      </c>
      <c r="D28" s="21" t="n">
        <v>0.1565057148931832</v>
      </c>
      <c r="E28" s="21" t="n">
        <v>0.04928165076859532</v>
      </c>
      <c r="F28" s="21" t="n">
        <v>0.2017563339199558</v>
      </c>
      <c r="G28" s="21" t="n">
        <v>0.184493487698987</v>
      </c>
      <c r="H28" s="21" t="n">
        <v>0.07083242002084349</v>
      </c>
      <c r="I28" s="21" t="n">
        <v>0.1114260866709898</v>
      </c>
      <c r="J28" s="21" t="n">
        <v>0.2366367849082353</v>
      </c>
      <c r="K28" s="21" t="n">
        <v>0.1021726435259642</v>
      </c>
      <c r="L28" s="21" t="n">
        <v>0.07847720821506093</v>
      </c>
      <c r="M28" s="21" t="n">
        <v>0.043120330675608</v>
      </c>
    </row>
    <row r="29">
      <c r="A29" s="10" t="n">
        <v>0.225</v>
      </c>
      <c r="B29" s="21" t="n">
        <v>0.1317521319556249</v>
      </c>
      <c r="C29" s="21" t="n">
        <v>0.1338729957265137</v>
      </c>
      <c r="D29" s="21" t="n">
        <v>0.1642607286472342</v>
      </c>
      <c r="E29" s="21" t="n">
        <v>0.05343148378012576</v>
      </c>
      <c r="F29" s="21" t="n">
        <v>0.2092284820724003</v>
      </c>
      <c r="G29" s="21" t="n">
        <v>0.1947990649003674</v>
      </c>
      <c r="H29" s="21" t="n">
        <v>0.07541850048655181</v>
      </c>
      <c r="I29" s="21" t="n">
        <v>0.1188806966453906</v>
      </c>
      <c r="J29" s="21" t="n">
        <v>0.2487650010318531</v>
      </c>
      <c r="K29" s="21" t="n">
        <v>0.1091146262861886</v>
      </c>
      <c r="L29" s="21" t="n">
        <v>0.08422185445534885</v>
      </c>
      <c r="M29" s="21" t="n">
        <v>0.04740009950617179</v>
      </c>
    </row>
    <row r="30">
      <c r="A30" s="10" t="n">
        <v>0.235</v>
      </c>
      <c r="B30" s="21" t="n">
        <v>0.1393777633005709</v>
      </c>
      <c r="C30" s="21" t="n">
        <v>0.1415634659992561</v>
      </c>
      <c r="D30" s="21" t="n">
        <v>0.171831099216665</v>
      </c>
      <c r="E30" s="21" t="n">
        <v>0.05868880830502359</v>
      </c>
      <c r="F30" s="21" t="n">
        <v>0.2167006302248448</v>
      </c>
      <c r="G30" s="21" t="n">
        <v>0.2058750771473568</v>
      </c>
      <c r="H30" s="21" t="n">
        <v>0.07988655880651731</v>
      </c>
      <c r="I30" s="21" t="n">
        <v>0.1274145068813166</v>
      </c>
      <c r="J30" s="21" t="n">
        <v>0.2612123807376714</v>
      </c>
      <c r="K30" s="21" t="n">
        <v>0.1168172636960256</v>
      </c>
      <c r="L30" s="21" t="n">
        <v>0.0906383155255195</v>
      </c>
      <c r="M30" s="21" t="n">
        <v>0.0524916349160513</v>
      </c>
    </row>
    <row r="31">
      <c r="A31" s="10" t="n">
        <v>0.245</v>
      </c>
      <c r="B31" s="21" t="n">
        <v>0.1472602482232046</v>
      </c>
      <c r="C31" s="21" t="n">
        <v>0.149357459408069</v>
      </c>
      <c r="D31" s="21" t="n">
        <v>0.1800248749010317</v>
      </c>
      <c r="E31" s="21" t="n">
        <v>0.06443473202699528</v>
      </c>
      <c r="F31" s="21" t="n">
        <v>0.2239529801613697</v>
      </c>
      <c r="G31" s="21" t="n">
        <v>0.2174932473894044</v>
      </c>
      <c r="H31" s="21" t="n">
        <v>0.08448603060648179</v>
      </c>
      <c r="I31" s="21" t="n">
        <v>0.1366521433747591</v>
      </c>
      <c r="J31" s="21" t="n">
        <v>0.2733405968612893</v>
      </c>
      <c r="K31" s="21" t="n">
        <v>0.1246828985307796</v>
      </c>
      <c r="L31" s="21" t="n">
        <v>0.09772659142557286</v>
      </c>
      <c r="M31" s="21" t="n">
        <v>0.05746194329236225</v>
      </c>
    </row>
    <row r="32">
      <c r="A32" s="10" t="n">
        <v>0.255</v>
      </c>
      <c r="B32" s="21" t="n">
        <v>0.1552001850315765</v>
      </c>
      <c r="C32" s="21" t="n">
        <v>0.1577044005957339</v>
      </c>
      <c r="D32" s="21" t="n">
        <v>0.1881574091936794</v>
      </c>
      <c r="E32" s="21" t="n">
        <v>0.07018065574896695</v>
      </c>
      <c r="F32" s="21" t="n">
        <v>0.2311393906331186</v>
      </c>
      <c r="G32" s="21" t="n">
        <v>0.2288588487131467</v>
      </c>
      <c r="H32" s="21" t="n">
        <v>0.08908230709753637</v>
      </c>
      <c r="I32" s="21" t="n">
        <v>0.1458897798682016</v>
      </c>
      <c r="J32" s="21" t="n">
        <v>0.2861056328208861</v>
      </c>
      <c r="K32" s="21" t="n">
        <v>0.1325485333655336</v>
      </c>
      <c r="L32" s="21" t="n">
        <v>0.1048148673256262</v>
      </c>
      <c r="M32" s="21" t="n">
        <v>0.06273208098470673</v>
      </c>
    </row>
    <row r="33">
      <c r="A33" s="10" t="n">
        <v>0.265</v>
      </c>
      <c r="B33" s="21" t="n">
        <v>0.1633972431361535</v>
      </c>
      <c r="C33" s="21" t="n">
        <v>0.1661014444748964</v>
      </c>
      <c r="D33" s="21" t="n">
        <v>0.1964958694549512</v>
      </c>
      <c r="E33" s="21" t="n">
        <v>0.07592657947093863</v>
      </c>
      <c r="F33" s="21" t="n">
        <v>0.2383258011048675</v>
      </c>
      <c r="G33" s="21" t="n">
        <v>0.2404770189551943</v>
      </c>
      <c r="H33" s="21" t="n">
        <v>0.09418040511840288</v>
      </c>
      <c r="I33" s="21" t="n">
        <v>0.1551274163616441</v>
      </c>
      <c r="J33" s="21" t="n">
        <v>0.2999295229597448</v>
      </c>
      <c r="K33" s="21" t="n">
        <v>0.1404141682002876</v>
      </c>
      <c r="L33" s="21" t="n">
        <v>0.1119031432256796</v>
      </c>
      <c r="M33" s="21" t="n">
        <v>0.06851602198113588</v>
      </c>
    </row>
    <row r="34">
      <c r="A34" s="10" t="n">
        <v>0.275</v>
      </c>
      <c r="B34" s="21" t="n">
        <v>0.1715657242363983</v>
      </c>
      <c r="C34" s="21" t="n">
        <v>0.1748438086156886</v>
      </c>
      <c r="D34" s="21" t="n">
        <v>0.2047836189580674</v>
      </c>
      <c r="E34" s="21" t="n">
        <v>0.08167250319291031</v>
      </c>
      <c r="F34" s="21" t="n">
        <v>0.2456336659449351</v>
      </c>
      <c r="G34" s="21" t="n">
        <v>0.2520951891972419</v>
      </c>
      <c r="H34" s="21" t="n">
        <v>0.09913284319581607</v>
      </c>
      <c r="I34" s="21" t="n">
        <v>0.1643650528550866</v>
      </c>
      <c r="J34" s="21" t="n">
        <v>0.3133989543770943</v>
      </c>
      <c r="K34" s="21" t="n">
        <v>0.1482798030350415</v>
      </c>
      <c r="L34" s="21" t="n">
        <v>0.1189914191257329</v>
      </c>
      <c r="M34" s="21" t="n">
        <v>0.07444103470918524</v>
      </c>
    </row>
    <row r="35">
      <c r="A35" s="10" t="n">
        <v>0.285</v>
      </c>
      <c r="B35" s="21" t="n">
        <v>0.1798200165206751</v>
      </c>
      <c r="C35" s="21" t="n">
        <v>0.1845865660698692</v>
      </c>
      <c r="D35" s="21" t="n">
        <v>0.2130713684611837</v>
      </c>
      <c r="E35" s="21" t="n">
        <v>0.08741842691488198</v>
      </c>
      <c r="F35" s="21" t="n">
        <v>0.2530174397652018</v>
      </c>
      <c r="G35" s="21" t="n">
        <v>0.2637133594392895</v>
      </c>
      <c r="H35" s="21" t="n">
        <v>0.1044159828442263</v>
      </c>
      <c r="I35" s="21" t="n">
        <v>0.1736026893485291</v>
      </c>
      <c r="J35" s="21" t="n">
        <v>0.3272228445159529</v>
      </c>
      <c r="K35" s="21" t="n">
        <v>0.1561454378697955</v>
      </c>
      <c r="L35" s="21" t="n">
        <v>0.1262662286021035</v>
      </c>
      <c r="M35" s="21" t="n">
        <v>0.0802516310855431</v>
      </c>
    </row>
    <row r="36">
      <c r="A36" s="10" t="n">
        <v>0.295</v>
      </c>
      <c r="B36" s="21" t="n">
        <v>0.1888578813609368</v>
      </c>
      <c r="C36" s="21" t="n">
        <v>0.1947196073775931</v>
      </c>
      <c r="D36" s="21" t="n">
        <v>0.2218604526897927</v>
      </c>
      <c r="E36" s="21" t="n">
        <v>0.09413495547968287</v>
      </c>
      <c r="F36" s="21" t="n">
        <v>0.2602118860516155</v>
      </c>
      <c r="G36" s="21" t="n">
        <v>0.2769197857738017</v>
      </c>
      <c r="H36" s="21" t="n">
        <v>0.1114655593671346</v>
      </c>
      <c r="I36" s="21" t="n">
        <v>0.1836808515187386</v>
      </c>
      <c r="J36" s="21" t="n">
        <v>0.3406922759333024</v>
      </c>
      <c r="K36" s="21" t="n">
        <v>0.1652750929831285</v>
      </c>
      <c r="L36" s="21" t="n">
        <v>0.1342874363205832</v>
      </c>
      <c r="M36" s="21" t="n">
        <v>0.08729616977059892</v>
      </c>
    </row>
    <row r="37">
      <c r="A37" s="10" t="n">
        <v>0.305</v>
      </c>
      <c r="B37" s="21" t="n">
        <v>0.1984247266988196</v>
      </c>
      <c r="C37" s="21" t="n">
        <v>0.205117234676625</v>
      </c>
      <c r="D37" s="21" t="n">
        <v>0.2307615509050133</v>
      </c>
      <c r="E37" s="21" t="n">
        <v>0.1010577552426655</v>
      </c>
      <c r="F37" s="21" t="n">
        <v>0.267543118462447</v>
      </c>
      <c r="G37" s="21" t="n">
        <v>0.2909732820242951</v>
      </c>
      <c r="H37" s="21" t="n">
        <v>0.1187224763760109</v>
      </c>
      <c r="I37" s="21" t="n">
        <v>0.1945274379341234</v>
      </c>
      <c r="J37" s="21" t="n">
        <v>0.3567767118519835</v>
      </c>
      <c r="K37" s="21" t="n">
        <v>0.1746756095847285</v>
      </c>
      <c r="L37" s="21" t="n">
        <v>0.1425981746034022</v>
      </c>
      <c r="M37" s="21" t="n">
        <v>0.0941729813441058</v>
      </c>
    </row>
    <row r="38">
      <c r="A38" s="10" t="n">
        <v>0.315</v>
      </c>
      <c r="B38" s="21" t="n">
        <v>0.207941970303531</v>
      </c>
      <c r="C38" s="21" t="n">
        <v>0.2155964660119721</v>
      </c>
      <c r="D38" s="21" t="n">
        <v>0.2398797490767027</v>
      </c>
      <c r="E38" s="21" t="n">
        <v>0.1081247800007103</v>
      </c>
      <c r="F38" s="21" t="n">
        <v>0.2745170692891185</v>
      </c>
      <c r="G38" s="21" t="n">
        <v>0.3047212674867342</v>
      </c>
      <c r="H38" s="21" t="n">
        <v>0.1257720528989193</v>
      </c>
      <c r="I38" s="21" t="n">
        <v>0.2050959067491137</v>
      </c>
      <c r="J38" s="21" t="n">
        <v>0.3729305413828722</v>
      </c>
      <c r="K38" s="21" t="n">
        <v>0.1840761261863285</v>
      </c>
      <c r="L38" s="21" t="n">
        <v>0.1509089128862212</v>
      </c>
      <c r="M38" s="21" t="n">
        <v>0.1012175200291616</v>
      </c>
    </row>
    <row r="39">
      <c r="A39" s="10" t="n">
        <v>0.325</v>
      </c>
      <c r="B39" s="21" t="n">
        <v>0.2182205675693238</v>
      </c>
      <c r="C39" s="21" t="n">
        <v>0.2260756973473193</v>
      </c>
      <c r="D39" s="21" t="n">
        <v>0.2487625138320719</v>
      </c>
      <c r="E39" s="21" t="n">
        <v>0.115191804758755</v>
      </c>
      <c r="F39" s="21" t="n">
        <v>0.2814910201157899</v>
      </c>
      <c r="G39" s="21" t="n">
        <v>0.3187747637372276</v>
      </c>
      <c r="H39" s="21" t="n">
        <v>0.1390967814344641</v>
      </c>
      <c r="I39" s="21" t="n">
        <v>0.2156643755641041</v>
      </c>
      <c r="J39" s="21" t="n">
        <v>0.3895094716908895</v>
      </c>
      <c r="K39" s="21" t="n">
        <v>0.1934766427879284</v>
      </c>
      <c r="L39" s="21" t="n">
        <v>0.1592196511690402</v>
      </c>
      <c r="M39" s="21" t="n">
        <v>0.109231605553726</v>
      </c>
    </row>
    <row r="40">
      <c r="A40" s="10" t="n">
        <v>0.335</v>
      </c>
      <c r="B40" s="21" t="n">
        <v>0.2286227079185487</v>
      </c>
      <c r="C40" s="21" t="n">
        <v>0.2369970473195843</v>
      </c>
      <c r="D40" s="21" t="n">
        <v>0.2578558731226723</v>
      </c>
      <c r="E40" s="21" t="n">
        <v>0.1222588295167998</v>
      </c>
      <c r="F40" s="21" t="n">
        <v>0.2884649709424614</v>
      </c>
      <c r="G40" s="21" t="n">
        <v>0.3328282599877209</v>
      </c>
      <c r="H40" s="21" t="n">
        <v>0.1537873058057699</v>
      </c>
      <c r="I40" s="21" t="n">
        <v>0.2262328443790944</v>
      </c>
      <c r="J40" s="21" t="n">
        <v>0.4056633012217781</v>
      </c>
      <c r="K40" s="21" t="n">
        <v>0.2028771593895284</v>
      </c>
      <c r="L40" s="21" t="n">
        <v>0.1675303894518591</v>
      </c>
      <c r="M40" s="21" t="n">
        <v>0.1173506490153533</v>
      </c>
    </row>
    <row r="41">
      <c r="A41" s="10" t="n">
        <v>0.345</v>
      </c>
      <c r="B41" s="21" t="n">
        <v>0.2390844465059184</v>
      </c>
      <c r="C41" s="21" t="n">
        <v>0.2483624364430214</v>
      </c>
      <c r="D41" s="21" t="n">
        <v>0.2667653340096062</v>
      </c>
      <c r="E41" s="21" t="n">
        <v>0.1293258542748446</v>
      </c>
      <c r="F41" s="21" t="n">
        <v>0.295358623223025</v>
      </c>
      <c r="G41" s="21" t="n">
        <v>0.3468817562382143</v>
      </c>
      <c r="H41" s="21" t="n">
        <v>0.1689099044232907</v>
      </c>
      <c r="I41" s="21" t="n">
        <v>0.2368013131940847</v>
      </c>
      <c r="J41" s="21" t="n">
        <v>0.4220328309215617</v>
      </c>
      <c r="K41" s="21" t="n">
        <v>0.2122776759911283</v>
      </c>
      <c r="L41" s="21" t="n">
        <v>0.1758411277346781</v>
      </c>
      <c r="M41" s="21" t="n">
        <v>0.1256677179272642</v>
      </c>
    </row>
    <row r="42">
      <c r="A42" s="10" t="n">
        <v>0.355</v>
      </c>
      <c r="B42" s="21" t="n">
        <v>0.2501297428860003</v>
      </c>
      <c r="C42" s="21" t="n">
        <v>0.2599744768464686</v>
      </c>
      <c r="D42" s="21" t="n">
        <v>0.2762010998843594</v>
      </c>
      <c r="E42" s="21" t="n">
        <v>0.138048653143252</v>
      </c>
      <c r="F42" s="21" t="n">
        <v>0.3022245863497583</v>
      </c>
      <c r="G42" s="21" t="n">
        <v>0.3622399823713856</v>
      </c>
      <c r="H42" s="21" t="n">
        <v>0.1838234664841859</v>
      </c>
      <c r="I42" s="21" t="n">
        <v>0.2480137786015422</v>
      </c>
      <c r="J42" s="21" t="n">
        <v>0.4378077450661227</v>
      </c>
      <c r="K42" s="21" t="n">
        <v>0.2231419474064392</v>
      </c>
      <c r="L42" s="21" t="n">
        <v>0.1856250976839862</v>
      </c>
      <c r="M42" s="21" t="n">
        <v>0.1340858415324943</v>
      </c>
    </row>
    <row r="43">
      <c r="A43" s="10" t="n">
        <v>0.365</v>
      </c>
      <c r="B43" s="21" t="n">
        <v>0.2613545655027336</v>
      </c>
      <c r="C43" s="21" t="n">
        <v>0.2719029254971757</v>
      </c>
      <c r="D43" s="21" t="n">
        <v>0.2854122046668566</v>
      </c>
      <c r="E43" s="21" t="n">
        <v>0.1468794372797265</v>
      </c>
      <c r="F43" s="21" t="n">
        <v>0.3090905494764916</v>
      </c>
      <c r="G43" s="21" t="n">
        <v>0.377419988436764</v>
      </c>
      <c r="H43" s="21" t="n">
        <v>0.1993177945843556</v>
      </c>
      <c r="I43" s="21" t="n">
        <v>0.2593020083139958</v>
      </c>
      <c r="J43" s="21" t="n">
        <v>0.4539977885302775</v>
      </c>
      <c r="K43" s="21" t="n">
        <v>0.23400621882175</v>
      </c>
      <c r="L43" s="21" t="n">
        <v>0.1960079600894743</v>
      </c>
      <c r="M43" s="21" t="n">
        <v>0.1429263006957102</v>
      </c>
    </row>
    <row r="44">
      <c r="A44" s="10" t="n">
        <v>0.375</v>
      </c>
      <c r="B44" s="21" t="n">
        <v>0.2725586519257716</v>
      </c>
      <c r="C44" s="21" t="n">
        <v>0.2839396231547079</v>
      </c>
      <c r="D44" s="21" t="n">
        <v>0.2952541145075604</v>
      </c>
      <c r="E44" s="21" t="n">
        <v>0.155710221416201</v>
      </c>
      <c r="F44" s="21" t="n">
        <v>0.3161235368659632</v>
      </c>
      <c r="G44" s="21" t="n">
        <v>0.3929373279702619</v>
      </c>
      <c r="H44" s="21" t="n">
        <v>0.214369427595949</v>
      </c>
      <c r="I44" s="21" t="n">
        <v>0.2705902380264494</v>
      </c>
      <c r="J44" s="21" t="n">
        <v>0.4697727026748386</v>
      </c>
      <c r="K44" s="21" t="n">
        <v>0.2448704902370609</v>
      </c>
      <c r="L44" s="21" t="n">
        <v>0.2061245952537961</v>
      </c>
      <c r="M44" s="21" t="n">
        <v>0.1515562727359923</v>
      </c>
    </row>
    <row r="45">
      <c r="A45" s="10" t="n">
        <v>0.385</v>
      </c>
      <c r="B45" s="21" t="n">
        <v>0.2840868219897749</v>
      </c>
      <c r="C45" s="21" t="n">
        <v>0.2961054491245899</v>
      </c>
      <c r="D45" s="21" t="n">
        <v>0.3055059632028059</v>
      </c>
      <c r="E45" s="21" t="n">
        <v>0.1645410055526755</v>
      </c>
      <c r="F45" s="21" t="n">
        <v>0.3234481418545188</v>
      </c>
      <c r="G45" s="21" t="n">
        <v>0.4084546675037599</v>
      </c>
      <c r="H45" s="21" t="n">
        <v>0.2308370539070509</v>
      </c>
      <c r="I45" s="21" t="n">
        <v>0.2821755264155466</v>
      </c>
      <c r="J45" s="21" t="n">
        <v>0.4859056820111731</v>
      </c>
      <c r="K45" s="21" t="n">
        <v>0.2557347616523717</v>
      </c>
      <c r="L45" s="21" t="n">
        <v>0.2162412304181178</v>
      </c>
      <c r="M45" s="21" t="n">
        <v>0.1606077077808448</v>
      </c>
    </row>
    <row r="46">
      <c r="A46" s="10" t="n">
        <v>0.395</v>
      </c>
      <c r="B46" s="21" t="n">
        <v>0.2957848029095108</v>
      </c>
      <c r="C46" s="21" t="n">
        <v>0.309240526245148</v>
      </c>
      <c r="D46" s="21" t="n">
        <v>0.3160078569881793</v>
      </c>
      <c r="E46" s="21" t="n">
        <v>0.17337178968915</v>
      </c>
      <c r="F46" s="21" t="n">
        <v>0.3309654996059311</v>
      </c>
      <c r="G46" s="21" t="n">
        <v>0.4239720070372578</v>
      </c>
      <c r="H46" s="21" t="n">
        <v>0.2488970632069801</v>
      </c>
      <c r="I46" s="21" t="n">
        <v>0.2934637561280002</v>
      </c>
      <c r="J46" s="21" t="n">
        <v>0.5016506252783305</v>
      </c>
      <c r="K46" s="21" t="n">
        <v>0.2665990330676826</v>
      </c>
      <c r="L46" s="21" t="n">
        <v>0.2263578655824396</v>
      </c>
      <c r="M46" s="21" t="n">
        <v>0.1699030652939806</v>
      </c>
    </row>
    <row r="47">
      <c r="A47" s="10" t="n">
        <v>0.405</v>
      </c>
      <c r="B47" s="21" t="n">
        <v>0.3075609670113832</v>
      </c>
      <c r="C47" s="21" t="n">
        <v>0.3227385896120277</v>
      </c>
      <c r="D47" s="21" t="n">
        <v>0.3266947689456839</v>
      </c>
      <c r="E47" s="21" t="n">
        <v>0.1822025738256245</v>
      </c>
      <c r="F47" s="21" t="n">
        <v>0.3384828573573434</v>
      </c>
      <c r="G47" s="21" t="n">
        <v>0.4394893465707557</v>
      </c>
      <c r="H47" s="21" t="n">
        <v>0.2674882492510249</v>
      </c>
      <c r="I47" s="21" t="n">
        <v>0.3047519858404538</v>
      </c>
      <c r="J47" s="21" t="n">
        <v>0.5169918520514581</v>
      </c>
      <c r="K47" s="21" t="n">
        <v>0.2774633044829934</v>
      </c>
      <c r="L47" s="21" t="n">
        <v>0.2367222578586008</v>
      </c>
      <c r="M47" s="21" t="n">
        <v>0.1794251388440223</v>
      </c>
    </row>
    <row r="48">
      <c r="A48" s="10" t="n">
        <v>0.415</v>
      </c>
      <c r="B48" s="21" t="n">
        <v>0.320042198884432</v>
      </c>
      <c r="C48" s="21" t="n">
        <v>0.3356294464377013</v>
      </c>
      <c r="D48" s="21" t="n">
        <v>0.337522023891014</v>
      </c>
      <c r="E48" s="21" t="n">
        <v>0.1929748720339549</v>
      </c>
      <c r="F48" s="21" t="n">
        <v>0.3468458790662273</v>
      </c>
      <c r="G48" s="21" t="n">
        <v>0.4525663289917994</v>
      </c>
      <c r="H48" s="21" t="n">
        <v>0.2855972766515812</v>
      </c>
      <c r="I48" s="21" t="n">
        <v>0.3188876112891962</v>
      </c>
      <c r="J48" s="21" t="n">
        <v>0.5327367953186155</v>
      </c>
      <c r="K48" s="21" t="n">
        <v>0.2905486240701324</v>
      </c>
      <c r="L48" s="21" t="n">
        <v>0.2491925855853979</v>
      </c>
      <c r="M48" s="21" t="n">
        <v>0.1887503205548745</v>
      </c>
    </row>
    <row r="49">
      <c r="A49" s="10" t="n">
        <v>0.425</v>
      </c>
      <c r="B49" s="21" t="n">
        <v>0.3328749940898259</v>
      </c>
      <c r="C49" s="21" t="n">
        <v>0.3476174367433889</v>
      </c>
      <c r="D49" s="21" t="n">
        <v>0.3486133582252546</v>
      </c>
      <c r="E49" s="21" t="n">
        <v>0.2037876184521156</v>
      </c>
      <c r="F49" s="21" t="n">
        <v>0.3553332631217982</v>
      </c>
      <c r="G49" s="21" t="n">
        <v>0.4652505152830769</v>
      </c>
      <c r="H49" s="21" t="n">
        <v>0.3059040962175727</v>
      </c>
      <c r="I49" s="21" t="n">
        <v>0.3331814253899547</v>
      </c>
      <c r="J49" s="21" t="n">
        <v>0.5480780220917432</v>
      </c>
      <c r="K49" s="21" t="n">
        <v>0.3036339436572715</v>
      </c>
      <c r="L49" s="21" t="n">
        <v>0.261662913312195</v>
      </c>
      <c r="M49" s="21" t="n">
        <v>0.1995250104090021</v>
      </c>
    </row>
    <row r="50">
      <c r="A50" s="10" t="n">
        <v>0.435</v>
      </c>
      <c r="B50" s="21" t="n">
        <v>0.3454705361856488</v>
      </c>
      <c r="C50" s="21" t="n">
        <v>0.3597829379101894</v>
      </c>
      <c r="D50" s="21" t="n">
        <v>0.360343612889787</v>
      </c>
      <c r="E50" s="21" t="n">
        <v>0.2146003648702764</v>
      </c>
      <c r="F50" s="21" t="n">
        <v>0.3638206471773692</v>
      </c>
      <c r="G50" s="21" t="n">
        <v>0.4782165723808272</v>
      </c>
      <c r="H50" s="21" t="n">
        <v>0.3256307209388215</v>
      </c>
      <c r="I50" s="21" t="n">
        <v>0.3474752394907132</v>
      </c>
      <c r="J50" s="21" t="n">
        <v>0.5609473526418499</v>
      </c>
      <c r="K50" s="21" t="n">
        <v>0.3167192632444105</v>
      </c>
      <c r="L50" s="21" t="n">
        <v>0.2741332410389922</v>
      </c>
      <c r="M50" s="21" t="n">
        <v>0.2100431600285075</v>
      </c>
    </row>
    <row r="51">
      <c r="A51" s="10" t="n">
        <v>0.445</v>
      </c>
      <c r="B51" s="21" t="n">
        <v>0.3581746672998516</v>
      </c>
      <c r="C51" s="21" t="n">
        <v>0.371936624208319</v>
      </c>
      <c r="D51" s="21" t="n">
        <v>0.3723599713266251</v>
      </c>
      <c r="E51" s="21" t="n">
        <v>0.2254131112884371</v>
      </c>
      <c r="F51" s="21" t="n">
        <v>0.372282083491691</v>
      </c>
      <c r="G51" s="21" t="n">
        <v>0.4911826294785774</v>
      </c>
      <c r="H51" s="21" t="n">
        <v>0.3463535826602085</v>
      </c>
      <c r="I51" s="21" t="n">
        <v>0.3617690535914717</v>
      </c>
      <c r="J51" s="21" t="n">
        <v>0.5729772678014041</v>
      </c>
      <c r="K51" s="21" t="n">
        <v>0.3298045828315496</v>
      </c>
      <c r="L51" s="21" t="n">
        <v>0.2869317352849155</v>
      </c>
      <c r="M51" s="21" t="n">
        <v>0.2209217791081989</v>
      </c>
    </row>
    <row r="52">
      <c r="A52" s="10" t="n">
        <v>0.455</v>
      </c>
      <c r="B52" s="21" t="n">
        <v>0.3713682827056615</v>
      </c>
      <c r="C52" s="21" t="n">
        <v>0.3837807808859428</v>
      </c>
      <c r="D52" s="21" t="n">
        <v>0.384279312845086</v>
      </c>
      <c r="E52" s="21" t="n">
        <v>0.2362258577065978</v>
      </c>
      <c r="F52" s="21" t="n">
        <v>0.3807020034200141</v>
      </c>
      <c r="G52" s="21" t="n">
        <v>0.5041486865763277</v>
      </c>
      <c r="H52" s="21" t="n">
        <v>0.3707953518092745</v>
      </c>
      <c r="I52" s="21" t="n">
        <v>0.3760628676922301</v>
      </c>
      <c r="J52" s="21" t="n">
        <v>0.5853237596756835</v>
      </c>
      <c r="K52" s="21" t="n">
        <v>0.3428899024186886</v>
      </c>
      <c r="L52" s="21" t="n">
        <v>0.2994020630117126</v>
      </c>
      <c r="M52" s="21" t="n">
        <v>0.2328602948104095</v>
      </c>
    </row>
    <row r="53">
      <c r="A53" s="10" t="n">
        <v>0.465</v>
      </c>
      <c r="B53" s="21" t="n">
        <v>0.3847675968357241</v>
      </c>
      <c r="C53" s="21" t="n">
        <v>0.395531813851931</v>
      </c>
      <c r="D53" s="21" t="n">
        <v>0.3970176392696515</v>
      </c>
      <c r="E53" s="21" t="n">
        <v>0.2470386041247586</v>
      </c>
      <c r="F53" s="21" t="n">
        <v>0.3891219233483373</v>
      </c>
      <c r="G53" s="21" t="n">
        <v>0.5170412896317383</v>
      </c>
      <c r="H53" s="21" t="n">
        <v>0.3959559965215483</v>
      </c>
      <c r="I53" s="21" t="n">
        <v>0.3901766531620578</v>
      </c>
      <c r="J53" s="21" t="n">
        <v>0.5973536748352377</v>
      </c>
      <c r="K53" s="21" t="n">
        <v>0.3559752220058277</v>
      </c>
      <c r="L53" s="21" t="n">
        <v>0.3126401039134355</v>
      </c>
      <c r="M53" s="21" t="n">
        <v>0.2450899938224301</v>
      </c>
    </row>
    <row r="54">
      <c r="A54" s="10" t="n">
        <v>0.475</v>
      </c>
      <c r="B54" s="21" t="n">
        <v>0.4000081799835509</v>
      </c>
      <c r="C54" s="21" t="n">
        <v>0.4071832440300173</v>
      </c>
      <c r="D54" s="21" t="n">
        <v>0.4094526722079178</v>
      </c>
      <c r="E54" s="21" t="n">
        <v>0.2734501031047617</v>
      </c>
      <c r="F54" s="21" t="n">
        <v>0.397325947893883</v>
      </c>
      <c r="G54" s="21" t="n">
        <v>0.5296319149575301</v>
      </c>
      <c r="H54" s="21" t="n">
        <v>0.4211166412338221</v>
      </c>
      <c r="I54" s="21" t="n">
        <v>0.4038436036074247</v>
      </c>
      <c r="J54" s="21" t="n">
        <v>0.6088448018672152</v>
      </c>
      <c r="K54" s="21" t="n">
        <v>0.3696101438459405</v>
      </c>
      <c r="L54" s="21" t="n">
        <v>0.3292780174469724</v>
      </c>
      <c r="M54" s="21" t="n">
        <v>0.2573196928344507</v>
      </c>
    </row>
    <row r="55">
      <c r="A55" s="10" t="n">
        <v>0.485</v>
      </c>
      <c r="B55" s="21" t="n">
        <v>0.4147142502902265</v>
      </c>
      <c r="C55" s="21" t="n">
        <v>0.4188299472534288</v>
      </c>
      <c r="D55" s="21" t="n">
        <v>0.4228715893882421</v>
      </c>
      <c r="E55" s="21" t="n">
        <v>0.2998616020847648</v>
      </c>
      <c r="F55" s="21" t="n">
        <v>0.4067381913183084</v>
      </c>
      <c r="G55" s="21" t="n">
        <v>0.541948831037109</v>
      </c>
      <c r="H55" s="21" t="n">
        <v>0.436921357608434</v>
      </c>
      <c r="I55" s="21" t="n">
        <v>0.4171601194259874</v>
      </c>
      <c r="J55" s="21" t="n">
        <v>0.61896272502633</v>
      </c>
      <c r="K55" s="21" t="n">
        <v>0.3832450656860534</v>
      </c>
      <c r="L55" s="21" t="n">
        <v>0.3459159309805093</v>
      </c>
      <c r="M55" s="21" t="n">
        <v>0.2733113718322869</v>
      </c>
    </row>
    <row r="56">
      <c r="A56" s="10" t="n">
        <v>0.495</v>
      </c>
      <c r="B56" s="21" t="n">
        <v>0.429425129053027</v>
      </c>
      <c r="C56" s="21" t="n">
        <v>0.4304799253850543</v>
      </c>
      <c r="D56" s="21" t="n">
        <v>0.4369971130953154</v>
      </c>
      <c r="E56" s="21" t="n">
        <v>0.321961019598645</v>
      </c>
      <c r="F56" s="21" t="n">
        <v>0.4155611205647602</v>
      </c>
      <c r="G56" s="21" t="n">
        <v>0.5534446193780493</v>
      </c>
      <c r="H56" s="21" t="n">
        <v>0.452880746396815</v>
      </c>
      <c r="I56" s="21" t="n">
        <v>0.4322288083785714</v>
      </c>
      <c r="J56" s="21" t="n">
        <v>0.6296131704569771</v>
      </c>
      <c r="K56" s="21" t="n">
        <v>0.4000882044297223</v>
      </c>
      <c r="L56" s="21" t="n">
        <v>0.3625538445140463</v>
      </c>
      <c r="M56" s="21" t="n">
        <v>0.288629610111565</v>
      </c>
    </row>
    <row r="57">
      <c r="A57" s="10" t="n">
        <v>0.505</v>
      </c>
      <c r="B57" s="21" t="n">
        <v>0.4438558012321921</v>
      </c>
      <c r="C57" s="21" t="n">
        <v>0.4436884343177523</v>
      </c>
      <c r="D57" s="21" t="n">
        <v>0.4522565779601321</v>
      </c>
      <c r="E57" s="21" t="n">
        <v>0.3348972639970139</v>
      </c>
      <c r="F57" s="21" t="n">
        <v>0.4221783174995991</v>
      </c>
      <c r="G57" s="21" t="n">
        <v>0.5624770245030739</v>
      </c>
      <c r="H57" s="21" t="n">
        <v>0.4722773626201401</v>
      </c>
      <c r="I57" s="21" t="n">
        <v>0.4515027128528069</v>
      </c>
      <c r="J57" s="21" t="n">
        <v>0.6405298770233904</v>
      </c>
      <c r="K57" s="21" t="n">
        <v>0.423347776980503</v>
      </c>
      <c r="L57" s="21" t="n">
        <v>0.3783160783879234</v>
      </c>
      <c r="M57" s="21" t="n">
        <v>0.3002217904310187</v>
      </c>
    </row>
    <row r="58">
      <c r="A58" s="10" t="n">
        <v>0.515</v>
      </c>
      <c r="B58" s="21" t="n">
        <v>0.4580101762367078</v>
      </c>
      <c r="C58" s="21" t="n">
        <v>0.4570973560060503</v>
      </c>
      <c r="D58" s="21" t="n">
        <v>0.4707817119077054</v>
      </c>
      <c r="E58" s="21" t="n">
        <v>0.3478335083953827</v>
      </c>
      <c r="F58" s="21" t="n">
        <v>0.429040595802395</v>
      </c>
      <c r="G58" s="21" t="n">
        <v>0.5715094296280985</v>
      </c>
      <c r="H58" s="21" t="n">
        <v>0.4891026323416124</v>
      </c>
      <c r="I58" s="21" t="n">
        <v>0.4702700859923588</v>
      </c>
      <c r="J58" s="21" t="n">
        <v>0.6513754978584013</v>
      </c>
      <c r="K58" s="21" t="n">
        <v>0.4430540518996455</v>
      </c>
      <c r="L58" s="21" t="n">
        <v>0.3945161520916304</v>
      </c>
      <c r="M58" s="21" t="n">
        <v>0.3118139707504724</v>
      </c>
    </row>
    <row r="59">
      <c r="A59" s="10" t="n">
        <v>0.525</v>
      </c>
      <c r="B59" s="21" t="n">
        <v>0.4722666151904064</v>
      </c>
      <c r="C59" s="21" t="n">
        <v>0.4704848163524579</v>
      </c>
      <c r="D59" s="21" t="n">
        <v>0.4893068458552787</v>
      </c>
      <c r="E59" s="21" t="n">
        <v>0.3607697527937516</v>
      </c>
      <c r="F59" s="21" t="n">
        <v>0.439821820422297</v>
      </c>
      <c r="G59" s="21" t="n">
        <v>0.580541834753123</v>
      </c>
      <c r="H59" s="21" t="n">
        <v>0.5059279020630848</v>
      </c>
      <c r="I59" s="21" t="n">
        <v>0.4867580681258352</v>
      </c>
      <c r="J59" s="21" t="n">
        <v>0.6618758451408863</v>
      </c>
      <c r="K59" s="21" t="n">
        <v>0.4592070291871496</v>
      </c>
      <c r="L59" s="21" t="n">
        <v>0.4108077743163051</v>
      </c>
      <c r="M59" s="21" t="n">
        <v>0.3265125526325123</v>
      </c>
    </row>
    <row r="60">
      <c r="A60" s="10" t="n">
        <v>0.535</v>
      </c>
      <c r="B60" s="21" t="n">
        <v>0.4868114421507935</v>
      </c>
      <c r="C60" s="21" t="n">
        <v>0.4843560761455709</v>
      </c>
      <c r="D60" s="21" t="n">
        <v>0.5063197449215012</v>
      </c>
      <c r="E60" s="21" t="n">
        <v>0.3737059971921205</v>
      </c>
      <c r="F60" s="21" t="n">
        <v>0.4512486332917661</v>
      </c>
      <c r="G60" s="21" t="n">
        <v>0.5893005306319347</v>
      </c>
      <c r="H60" s="21" t="n">
        <v>0.5209051884103558</v>
      </c>
      <c r="I60" s="21" t="n">
        <v>0.5032460502593116</v>
      </c>
      <c r="J60" s="21" t="n">
        <v>0.6726322984546513</v>
      </c>
      <c r="K60" s="21" t="n">
        <v>0.4753600064746538</v>
      </c>
      <c r="L60" s="21" t="n">
        <v>0.4319046902648899</v>
      </c>
      <c r="M60" s="21" t="n">
        <v>0.342058334940712</v>
      </c>
    </row>
    <row r="61">
      <c r="A61" s="10" t="n">
        <v>0.545</v>
      </c>
      <c r="B61" s="21" t="n">
        <v>0.5015558269893594</v>
      </c>
      <c r="C61" s="21" t="n">
        <v>0.4983207277651058</v>
      </c>
      <c r="D61" s="21" t="n">
        <v>0.5226009174322316</v>
      </c>
      <c r="E61" s="21" t="n">
        <v>0.3866422415904894</v>
      </c>
      <c r="F61" s="21" t="n">
        <v>0.4630986614526971</v>
      </c>
      <c r="G61" s="21" t="n">
        <v>0.6010344706804577</v>
      </c>
      <c r="H61" s="21" t="n">
        <v>0.5357251995768437</v>
      </c>
      <c r="I61" s="21" t="n">
        <v>0.5197340323927879</v>
      </c>
      <c r="J61" s="21" t="n">
        <v>0.6831326457371363</v>
      </c>
      <c r="K61" s="21" t="n">
        <v>0.4917914833705631</v>
      </c>
      <c r="L61" s="21" t="n">
        <v>0.4530016062134748</v>
      </c>
      <c r="M61" s="21" t="n">
        <v>0.3576041172489118</v>
      </c>
    </row>
    <row r="62">
      <c r="A62" s="10" t="n">
        <v>0.555</v>
      </c>
      <c r="B62" s="21" t="n">
        <v>0.5160852901678802</v>
      </c>
      <c r="C62" s="21" t="n">
        <v>0.5120148911728102</v>
      </c>
      <c r="D62" s="21" t="n">
        <v>0.5385274316642419</v>
      </c>
      <c r="E62" s="21" t="n">
        <v>0.3995784859888583</v>
      </c>
      <c r="F62" s="21" t="n">
        <v>0.4745254743221662</v>
      </c>
      <c r="G62" s="21" t="n">
        <v>0.6127684107289807</v>
      </c>
      <c r="H62" s="21" t="n">
        <v>0.550869243945021</v>
      </c>
      <c r="I62" s="21" t="n">
        <v>0.5360624557047967</v>
      </c>
      <c r="J62" s="21" t="n">
        <v>0.6935655571982948</v>
      </c>
      <c r="K62" s="21" t="n">
        <v>0.5073847980669774</v>
      </c>
      <c r="L62" s="21" t="n">
        <v>0.4735283352445304</v>
      </c>
      <c r="M62" s="21" t="n">
        <v>0.3731498995571115</v>
      </c>
    </row>
    <row r="63">
      <c r="A63" s="10" t="n">
        <v>0.5649999999999999</v>
      </c>
      <c r="B63" s="21" t="n">
        <v>0.5305409537411766</v>
      </c>
      <c r="C63" s="21" t="n">
        <v>0.5253371394055113</v>
      </c>
      <c r="D63" s="21" t="n">
        <v>0.5529959063059586</v>
      </c>
      <c r="E63" s="21" t="n">
        <v>0.4164126134706876</v>
      </c>
      <c r="F63" s="21" t="n">
        <v>0.4863755024830971</v>
      </c>
      <c r="G63" s="21" t="n">
        <v>0.6245023507775037</v>
      </c>
      <c r="H63" s="21" t="n">
        <v>0.5658037081593758</v>
      </c>
      <c r="I63" s="21" t="n">
        <v>0.5493785975585195</v>
      </c>
      <c r="J63" s="21" t="n">
        <v>0.7039203850768649</v>
      </c>
      <c r="K63" s="21" t="n">
        <v>0.5229781127633918</v>
      </c>
      <c r="L63" s="21" t="n">
        <v>0.4946252511931152</v>
      </c>
      <c r="M63" s="21" t="n">
        <v>0.3881404753543042</v>
      </c>
    </row>
    <row r="64">
      <c r="A64" s="10" t="n">
        <v>0.575</v>
      </c>
      <c r="B64" s="21" t="n">
        <v>0.5451280802677897</v>
      </c>
      <c r="C64" s="21" t="n">
        <v>0.5395503139304589</v>
      </c>
      <c r="D64" s="21" t="n">
        <v>0.5674643809476754</v>
      </c>
      <c r="E64" s="21" t="n">
        <v>0.4325453189741074</v>
      </c>
      <c r="F64" s="21" t="n">
        <v>0.497229413752052</v>
      </c>
      <c r="G64" s="21" t="n">
        <v>0.6362362908260267</v>
      </c>
      <c r="H64" s="21" t="n">
        <v>0.5802352877985679</v>
      </c>
      <c r="I64" s="21" t="n">
        <v>0.5629413346317557</v>
      </c>
      <c r="J64" s="21" t="n">
        <v>0.7142752129554351</v>
      </c>
      <c r="K64" s="21" t="n">
        <v>0.5385714274598061</v>
      </c>
      <c r="L64" s="21" t="n">
        <v>0.5151519802241707</v>
      </c>
      <c r="M64" s="21" t="n">
        <v>0.40690934279897</v>
      </c>
    </row>
    <row r="65">
      <c r="A65" s="10" t="n">
        <v>0.585</v>
      </c>
      <c r="B65" s="21" t="n">
        <v>0.5595997728477967</v>
      </c>
      <c r="C65" s="21" t="n">
        <v>0.5545381739561188</v>
      </c>
      <c r="D65" s="21" t="n">
        <v>0.5817471364059541</v>
      </c>
      <c r="E65" s="21" t="n">
        <v>0.4493794464559367</v>
      </c>
      <c r="F65" s="21" t="n">
        <v>0.5075355951180481</v>
      </c>
      <c r="G65" s="21" t="n">
        <v>0.6479702308745497</v>
      </c>
      <c r="H65" s="21" t="n">
        <v>0.5939543573404715</v>
      </c>
      <c r="I65" s="21" t="n">
        <v>0.5765040717049918</v>
      </c>
      <c r="J65" s="21" t="n">
        <v>0.7248825976115313</v>
      </c>
      <c r="K65" s="21" t="n">
        <v>0.5530809955354329</v>
      </c>
      <c r="L65" s="21" t="n">
        <v>0.5356529680191628</v>
      </c>
      <c r="M65" s="21" t="n">
        <v>0.4260649804600118</v>
      </c>
    </row>
    <row r="66">
      <c r="A66" s="10" t="n">
        <v>0.595</v>
      </c>
      <c r="B66" s="21" t="n">
        <v>0.5739357704617001</v>
      </c>
      <c r="C66" s="21" t="n">
        <v>0.5694529009835546</v>
      </c>
      <c r="D66" s="21" t="n">
        <v>0.595964343917137</v>
      </c>
      <c r="E66" s="21" t="n">
        <v>0.466213573937766</v>
      </c>
      <c r="F66" s="21" t="n">
        <v>0.518223486905007</v>
      </c>
      <c r="G66" s="21" t="n">
        <v>0.6593485969822085</v>
      </c>
      <c r="H66" s="21" t="n">
        <v>0.6075585769691176</v>
      </c>
      <c r="I66" s="21" t="n">
        <v>0.5901306719074141</v>
      </c>
      <c r="J66" s="21" t="n">
        <v>0.7358800282605437</v>
      </c>
      <c r="K66" s="21" t="n">
        <v>0.5668783872602564</v>
      </c>
      <c r="L66" s="21" t="n">
        <v>0.5550537807613685</v>
      </c>
      <c r="M66" s="21" t="n">
        <v>0.4452206181210536</v>
      </c>
    </row>
    <row r="67">
      <c r="A67" s="10" t="n">
        <v>0.605</v>
      </c>
      <c r="B67" s="21" t="n">
        <v>0.588341825494577</v>
      </c>
      <c r="C67" s="21" t="n">
        <v>0.5843050344297994</v>
      </c>
      <c r="D67" s="21" t="n">
        <v>0.6099563716403111</v>
      </c>
      <c r="E67" s="21" t="n">
        <v>0.4830477014195954</v>
      </c>
      <c r="F67" s="21" t="n">
        <v>0.5289113786919658</v>
      </c>
      <c r="G67" s="21" t="n">
        <v>0.6710825370307315</v>
      </c>
      <c r="H67" s="21" t="n">
        <v>0.620911562412513</v>
      </c>
      <c r="I67" s="21" t="n">
        <v>0.6038885463198298</v>
      </c>
      <c r="J67" s="21" t="n">
        <v>0.7481167642525516</v>
      </c>
      <c r="K67" s="21" t="n">
        <v>0.5806757789850799</v>
      </c>
      <c r="L67" s="21" t="n">
        <v>0.5739302472132441</v>
      </c>
      <c r="M67" s="21" t="n">
        <v>0.4643762557820953</v>
      </c>
    </row>
    <row r="68">
      <c r="A68" s="10" t="n">
        <v>0.615</v>
      </c>
      <c r="B68" s="21" t="n">
        <v>0.6027264290820995</v>
      </c>
      <c r="C68" s="21" t="n">
        <v>0.599604765581648</v>
      </c>
      <c r="D68" s="21" t="n">
        <v>0.6240416717951475</v>
      </c>
      <c r="E68" s="21" t="n">
        <v>0.4998818289014247</v>
      </c>
      <c r="F68" s="21" t="n">
        <v>0.5391320200723586</v>
      </c>
      <c r="G68" s="21" t="n">
        <v>0.6828164770792545</v>
      </c>
      <c r="H68" s="21" t="n">
        <v>0.634169073729632</v>
      </c>
      <c r="I68" s="21" t="n">
        <v>0.6176464207322455</v>
      </c>
      <c r="J68" s="21" t="n">
        <v>0.7603535002445595</v>
      </c>
      <c r="K68" s="21" t="n">
        <v>0.594629336123193</v>
      </c>
      <c r="L68" s="21" t="n">
        <v>0.5933310599554498</v>
      </c>
      <c r="M68" s="21" t="n">
        <v>0.4831501754720245</v>
      </c>
    </row>
    <row r="69">
      <c r="A69" s="10" t="n">
        <v>0.625</v>
      </c>
      <c r="B69" s="21" t="n">
        <v>0.6168231705889442</v>
      </c>
      <c r="C69" s="21" t="n">
        <v>0.6149938285142523</v>
      </c>
      <c r="D69" s="21" t="n">
        <v>0.6378572665988993</v>
      </c>
      <c r="E69" s="21" t="n">
        <v>0.516715956383254</v>
      </c>
      <c r="F69" s="21" t="n">
        <v>0.5490215386603537</v>
      </c>
      <c r="G69" s="21" t="n">
        <v>0.6964070276375705</v>
      </c>
      <c r="H69" s="21" t="n">
        <v>0.6466635226398124</v>
      </c>
      <c r="I69" s="21" t="n">
        <v>0.6314042951446612</v>
      </c>
      <c r="J69" s="21" t="n">
        <v>0.7728886932119823</v>
      </c>
      <c r="K69" s="21" t="n">
        <v>0.6076367615556778</v>
      </c>
      <c r="L69" s="21" t="n">
        <v>0.6122075264073255</v>
      </c>
      <c r="M69" s="21" t="n">
        <v>0.5001681924948356</v>
      </c>
    </row>
    <row r="70">
      <c r="A70" s="10" t="n">
        <v>0.635</v>
      </c>
      <c r="B70" s="21" t="n">
        <v>0.6310650861831281</v>
      </c>
      <c r="C70" s="21" t="n">
        <v>0.6299703526277863</v>
      </c>
      <c r="D70" s="21" t="n">
        <v>0.6519876712083021</v>
      </c>
      <c r="E70" s="21" t="n">
        <v>0.5335500838650833</v>
      </c>
      <c r="F70" s="21" t="n">
        <v>0.5589110572483489</v>
      </c>
      <c r="G70" s="21" t="n">
        <v>0.7106938071370587</v>
      </c>
      <c r="H70" s="21" t="n">
        <v>0.6594078605281963</v>
      </c>
      <c r="I70" s="21" t="n">
        <v>0.6451067106453027</v>
      </c>
      <c r="J70" s="21" t="n">
        <v>0.7851993635601417</v>
      </c>
      <c r="K70" s="21" t="n">
        <v>0.6206441869881626</v>
      </c>
      <c r="L70" s="21" t="n">
        <v>0.6316083391495311</v>
      </c>
      <c r="M70" s="21" t="n">
        <v>0.5171862095176467</v>
      </c>
    </row>
    <row r="71">
      <c r="A71" s="10" t="n">
        <v>0.645</v>
      </c>
      <c r="B71" s="21" t="n">
        <v>0.6453298934167896</v>
      </c>
      <c r="C71" s="21" t="n">
        <v>0.6447824413307827</v>
      </c>
      <c r="D71" s="21" t="n">
        <v>0.666118075817705</v>
      </c>
      <c r="E71" s="21" t="n">
        <v>0.5503842113469126</v>
      </c>
      <c r="F71" s="21" t="n">
        <v>0.5684473787439156</v>
      </c>
      <c r="G71" s="21" t="n">
        <v>0.7249805866365469</v>
      </c>
      <c r="H71" s="21" t="n">
        <v>0.673328207433727</v>
      </c>
      <c r="I71" s="21" t="n">
        <v>0.6585872904988469</v>
      </c>
      <c r="J71" s="21" t="n">
        <v>0.7976526215951647</v>
      </c>
      <c r="K71" s="21" t="n">
        <v>0.6336516124206474</v>
      </c>
      <c r="L71" s="21" t="n">
        <v>0.6510180860639257</v>
      </c>
      <c r="M71" s="21" t="n">
        <v>0.5335964402182146</v>
      </c>
    </row>
    <row r="72">
      <c r="A72" s="10" t="n">
        <v>0.655</v>
      </c>
      <c r="B72" s="21" t="n">
        <v>0.6600041139021366</v>
      </c>
      <c r="C72" s="21" t="n">
        <v>0.6600734511962524</v>
      </c>
      <c r="D72" s="21" t="n">
        <v>0.6808463329670017</v>
      </c>
      <c r="E72" s="21" t="n">
        <v>0.5665169168503323</v>
      </c>
      <c r="F72" s="21" t="n">
        <v>0.5783368973319107</v>
      </c>
      <c r="G72" s="21" t="n">
        <v>0.7388344334239293</v>
      </c>
      <c r="H72" s="21" t="n">
        <v>0.6873486402130574</v>
      </c>
      <c r="I72" s="21" t="n">
        <v>0.6720678703523911</v>
      </c>
      <c r="J72" s="21" t="n">
        <v>0.8101058796301877</v>
      </c>
      <c r="K72" s="21" t="n">
        <v>0.6473801100238774</v>
      </c>
      <c r="L72" s="21" t="n">
        <v>0.6737074616583318</v>
      </c>
      <c r="M72" s="21" t="n">
        <v>0.5506144572410258</v>
      </c>
    </row>
    <row r="73">
      <c r="A73" s="10" t="n">
        <v>0.665</v>
      </c>
      <c r="B73" s="21" t="n">
        <v>0.6748791896892767</v>
      </c>
      <c r="C73" s="21" t="n">
        <v>0.6747419318169815</v>
      </c>
      <c r="D73" s="21" t="n">
        <v>0.695836150602502</v>
      </c>
      <c r="E73" s="21" t="n">
        <v>0.5833510443321617</v>
      </c>
      <c r="F73" s="21" t="n">
        <v>0.5880684501414152</v>
      </c>
      <c r="G73" s="21" t="n">
        <v>0.7531212129234175</v>
      </c>
      <c r="H73" s="21" t="n">
        <v>0.7020042594868203</v>
      </c>
      <c r="I73" s="21" t="n">
        <v>0.6855484502059354</v>
      </c>
      <c r="J73" s="21" t="n">
        <v>0.8225591376652106</v>
      </c>
      <c r="K73" s="21" t="n">
        <v>0.6616175997476335</v>
      </c>
      <c r="L73" s="21" t="n">
        <v>0.6963968372527379</v>
      </c>
      <c r="M73" s="21" t="n">
        <v>0.5671799432060689</v>
      </c>
    </row>
    <row r="74">
      <c r="A74" s="10" t="n">
        <v>0.675</v>
      </c>
      <c r="B74" s="21" t="n">
        <v>0.6898425534191002</v>
      </c>
      <c r="C74" s="21" t="n">
        <v>0.6882647790907201</v>
      </c>
      <c r="D74" s="21" t="n">
        <v>0.7111206923579325</v>
      </c>
      <c r="E74" s="21" t="n">
        <v>0.600185171813991</v>
      </c>
      <c r="F74" s="21" t="n">
        <v>0.5990512640874611</v>
      </c>
      <c r="G74" s="21" t="n">
        <v>0.7674079924229057</v>
      </c>
      <c r="H74" s="21" t="n">
        <v>0.7165641234790261</v>
      </c>
      <c r="I74" s="21" t="n">
        <v>0.6998358572438947</v>
      </c>
      <c r="J74" s="21" t="n">
        <v>0.834937635504713</v>
      </c>
      <c r="K74" s="21" t="n">
        <v>0.676100563432144</v>
      </c>
      <c r="L74" s="21" t="n">
        <v>0.7184729864797277</v>
      </c>
      <c r="M74" s="21" t="n">
        <v>0.5826141015266919</v>
      </c>
    </row>
    <row r="75">
      <c r="A75" s="10" t="n">
        <v>0.6850000000000001</v>
      </c>
      <c r="B75" s="21" t="n">
        <v>0.7049035379840761</v>
      </c>
      <c r="C75" s="21" t="n">
        <v>0.7018463602769971</v>
      </c>
      <c r="D75" s="21" t="n">
        <v>0.727342992676777</v>
      </c>
      <c r="E75" s="21" t="n">
        <v>0.6134485278784046</v>
      </c>
      <c r="F75" s="21" t="n">
        <v>0.6100340780335071</v>
      </c>
      <c r="G75" s="21" t="n">
        <v>0.7816947719223939</v>
      </c>
      <c r="H75" s="21" t="n">
        <v>0.73258516998713</v>
      </c>
      <c r="I75" s="21" t="n">
        <v>0.7170143950260083</v>
      </c>
      <c r="J75" s="21" t="n">
        <v>0.8456666239784729</v>
      </c>
      <c r="K75" s="21" t="n">
        <v>0.6908331922798077</v>
      </c>
      <c r="L75" s="21" t="n">
        <v>0.7411623620741338</v>
      </c>
      <c r="M75" s="21" t="n">
        <v>0.5980482598473149</v>
      </c>
    </row>
    <row r="76">
      <c r="A76" s="10" t="n">
        <v>0.695</v>
      </c>
      <c r="B76" s="21" t="n">
        <v>0.7198663310333415</v>
      </c>
      <c r="C76" s="21" t="n">
        <v>0.7155235926358534</v>
      </c>
      <c r="D76" s="21" t="n">
        <v>0.7435652929956216</v>
      </c>
      <c r="E76" s="21" t="n">
        <v>0.6255216268036797</v>
      </c>
      <c r="F76" s="21" t="n">
        <v>0.6206246486243371</v>
      </c>
      <c r="G76" s="21" t="n">
        <v>0.7952083211851666</v>
      </c>
      <c r="H76" s="21" t="n">
        <v>0.7496462033717263</v>
      </c>
      <c r="I76" s="21" t="n">
        <v>0.7338805957575379</v>
      </c>
      <c r="J76" s="21" t="n">
        <v>0.8563956124522328</v>
      </c>
      <c r="K76" s="21" t="n">
        <v>0.7066661302917104</v>
      </c>
      <c r="L76" s="21" t="n">
        <v>0.7632385113011235</v>
      </c>
      <c r="M76" s="21" t="n">
        <v>0.6134824181679379</v>
      </c>
    </row>
    <row r="77">
      <c r="A77" s="10" t="n">
        <v>0.705</v>
      </c>
      <c r="B77" s="21" t="n">
        <v>0.7347577056768156</v>
      </c>
      <c r="C77" s="21" t="n">
        <v>0.7289358141441983</v>
      </c>
      <c r="D77" s="21" t="n">
        <v>0.7617755241380844</v>
      </c>
      <c r="E77" s="21" t="n">
        <v>0.6375947257289548</v>
      </c>
      <c r="F77" s="21" t="n">
        <v>0.631607462570383</v>
      </c>
      <c r="G77" s="21" t="n">
        <v>0.8063055259582035</v>
      </c>
      <c r="H77" s="21" t="n">
        <v>0.7670983125855066</v>
      </c>
      <c r="I77" s="21" t="n">
        <v>0.7510591335396515</v>
      </c>
      <c r="J77" s="21" t="n">
        <v>0.8671246009259928</v>
      </c>
      <c r="K77" s="21" t="n">
        <v>0.7224990683036132</v>
      </c>
      <c r="L77" s="21" t="n">
        <v>0.7835124134101464</v>
      </c>
      <c r="M77" s="21" t="n">
        <v>0.6289165764885609</v>
      </c>
    </row>
    <row r="78">
      <c r="A78" s="10" t="n">
        <v>0.715</v>
      </c>
      <c r="B78" s="21" t="n">
        <v>0.7485461018144108</v>
      </c>
      <c r="C78" s="21" t="n">
        <v>0.7420486355879252</v>
      </c>
      <c r="D78" s="21" t="n">
        <v>0.780342563377094</v>
      </c>
      <c r="E78" s="21" t="n">
        <v>0.6496678246542299</v>
      </c>
      <c r="F78" s="21" t="n">
        <v>0.6413150090243992</v>
      </c>
      <c r="G78" s="21" t="n">
        <v>0.8170664517987241</v>
      </c>
      <c r="H78" s="21" t="n">
        <v>0.7854059001756272</v>
      </c>
      <c r="I78" s="21" t="n">
        <v>0.7689163416143856</v>
      </c>
      <c r="J78" s="21" t="n">
        <v>0.8774034232158219</v>
      </c>
      <c r="K78" s="21" t="n">
        <v>0.738332006315516</v>
      </c>
      <c r="L78" s="21" t="n">
        <v>0.7934342862960982</v>
      </c>
      <c r="M78" s="21" t="n">
        <v>0.6432389374216106</v>
      </c>
    </row>
    <row r="79">
      <c r="A79" s="10" t="n">
        <v>0.725</v>
      </c>
      <c r="B79" s="21" t="n">
        <v>0.763036705168174</v>
      </c>
      <c r="C79" s="21" t="n">
        <v>0.7547605169579427</v>
      </c>
      <c r="D79" s="21" t="n">
        <v>0.7999742748850379</v>
      </c>
      <c r="E79" s="21" t="n">
        <v>0.661740923579505</v>
      </c>
      <c r="F79" s="21" t="n">
        <v>0.6476015518296285</v>
      </c>
      <c r="G79" s="21" t="n">
        <v>0.8281636565717609</v>
      </c>
      <c r="H79" s="21" t="n">
        <v>0.8043896382554238</v>
      </c>
      <c r="I79" s="21" t="n">
        <v>0.7954265959200315</v>
      </c>
      <c r="J79" s="21" t="n">
        <v>0.8860307218696467</v>
      </c>
      <c r="K79" s="21" t="n">
        <v>0.7574251469965438</v>
      </c>
      <c r="L79" s="21" t="n">
        <v>0.8030880004554027</v>
      </c>
      <c r="M79" s="21" t="n">
        <v>0.6556203316801713</v>
      </c>
    </row>
    <row r="80">
      <c r="A80" s="10" t="n">
        <v>0.735</v>
      </c>
      <c r="B80" s="21" t="n">
        <v>0.7778611902026031</v>
      </c>
      <c r="C80" s="21" t="n">
        <v>0.7674665896714051</v>
      </c>
      <c r="D80" s="21" t="n">
        <v>0.8203365837613891</v>
      </c>
      <c r="E80" s="21" t="n">
        <v>0.6743170682933332</v>
      </c>
      <c r="F80" s="21" t="n">
        <v>0.6557507739845554</v>
      </c>
      <c r="G80" s="21" t="n">
        <v>0.8392608613447978</v>
      </c>
      <c r="H80" s="21" t="n">
        <v>0.8229758924854409</v>
      </c>
      <c r="I80" s="21" t="n">
        <v>0.8190448224832433</v>
      </c>
      <c r="J80" s="21" t="n">
        <v>0.8946580205234715</v>
      </c>
      <c r="K80" s="21" t="n">
        <v>0.7756494970257454</v>
      </c>
      <c r="L80" s="21" t="n">
        <v>0.8138143495212966</v>
      </c>
      <c r="M80" s="21" t="n">
        <v>0.6712117170428034</v>
      </c>
    </row>
    <row r="81">
      <c r="A81" s="10" t="n">
        <v>0.745</v>
      </c>
      <c r="B81" s="21" t="n">
        <v>0.7919104768561633</v>
      </c>
      <c r="C81" s="21" t="n">
        <v>0.7801287139540439</v>
      </c>
      <c r="D81" s="21" t="n">
        <v>0.8346827559242729</v>
      </c>
      <c r="E81" s="21" t="n">
        <v>0.6914206251041395</v>
      </c>
      <c r="F81" s="21" t="n">
        <v>0.6693447177776114</v>
      </c>
      <c r="G81" s="21" t="n">
        <v>0.8493492293202859</v>
      </c>
      <c r="H81" s="21" t="n">
        <v>0.8359054606454528</v>
      </c>
      <c r="I81" s="21" t="n">
        <v>0.8315769427004577</v>
      </c>
      <c r="J81" s="21" t="n">
        <v>0.9045177904135571</v>
      </c>
      <c r="K81" s="21" t="n">
        <v>0.7876844451582369</v>
      </c>
      <c r="L81" s="21" t="n">
        <v>0.827222285853664</v>
      </c>
      <c r="M81" s="21" t="n">
        <v>0.6955159354022002</v>
      </c>
    </row>
    <row r="82">
      <c r="A82" s="10" t="n">
        <v>0.755</v>
      </c>
      <c r="B82" s="21" t="n">
        <v>0.8045942221074019</v>
      </c>
      <c r="C82" s="21" t="n">
        <v>0.7927436521099335</v>
      </c>
      <c r="D82" s="21" t="n">
        <v>0.848905458913181</v>
      </c>
      <c r="E82" s="21" t="n">
        <v>0.7080211361263927</v>
      </c>
      <c r="F82" s="21" t="n">
        <v>0.6789041276750974</v>
      </c>
      <c r="G82" s="21" t="n">
        <v>0.8597738762282903</v>
      </c>
      <c r="H82" s="21" t="n">
        <v>0.8480069968359928</v>
      </c>
      <c r="I82" s="21" t="n">
        <v>0.8441090629176721</v>
      </c>
      <c r="J82" s="21" t="n">
        <v>0.9130974232660997</v>
      </c>
      <c r="K82" s="21" t="n">
        <v>0.7993755376298001</v>
      </c>
      <c r="L82" s="21" t="n">
        <v>0.8408983809126787</v>
      </c>
      <c r="M82" s="21" t="n">
        <v>0.7126174521163523</v>
      </c>
    </row>
    <row r="83">
      <c r="A83" s="10" t="n">
        <v>0.765</v>
      </c>
      <c r="B83" s="21" t="n">
        <v>0.8164496548585297</v>
      </c>
      <c r="C83" s="21" t="n">
        <v>0.8054539284284346</v>
      </c>
      <c r="D83" s="21" t="n">
        <v>0.8621510803668134</v>
      </c>
      <c r="E83" s="21" t="n">
        <v>0.724621647148646</v>
      </c>
      <c r="F83" s="21" t="n">
        <v>0.6883068259349198</v>
      </c>
      <c r="G83" s="21" t="n">
        <v>0.8698622442037783</v>
      </c>
      <c r="H83" s="21" t="n">
        <v>0.8587284797440797</v>
      </c>
      <c r="I83" s="21" t="n">
        <v>0.8561591785111475</v>
      </c>
      <c r="J83" s="21" t="n">
        <v>0.9195434943894039</v>
      </c>
      <c r="K83" s="21" t="n">
        <v>0.8115724926558725</v>
      </c>
      <c r="L83" s="21" t="n">
        <v>0.8523167441954863</v>
      </c>
      <c r="M83" s="21" t="n">
        <v>0.7287994750034519</v>
      </c>
    </row>
    <row r="84">
      <c r="A84" s="10" t="n">
        <v>0.775</v>
      </c>
      <c r="B84" s="21" t="n">
        <v>0.8287369754243591</v>
      </c>
      <c r="C84" s="21" t="n">
        <v>0.8183667942077442</v>
      </c>
      <c r="D84" s="21" t="n">
        <v>0.8753967018204458</v>
      </c>
      <c r="E84" s="21" t="n">
        <v>0.7417252039594523</v>
      </c>
      <c r="F84" s="21" t="n">
        <v>0.6994687579621764</v>
      </c>
      <c r="G84" s="21" t="n">
        <v>0.8802868911117827</v>
      </c>
      <c r="H84" s="21" t="n">
        <v>0.8694499626521667</v>
      </c>
      <c r="I84" s="21" t="n">
        <v>0.8686912987283619</v>
      </c>
      <c r="J84" s="21" t="n">
        <v>0.9258552723643059</v>
      </c>
      <c r="K84" s="21" t="n">
        <v>0.8241816241910609</v>
      </c>
      <c r="L84" s="21" t="n">
        <v>0.8637379897983334</v>
      </c>
      <c r="M84" s="21" t="n">
        <v>0.7459181044541315</v>
      </c>
    </row>
    <row r="85">
      <c r="A85" s="10" t="n">
        <v>0.785</v>
      </c>
      <c r="B85" s="21" t="n">
        <v>0.8406752501796212</v>
      </c>
      <c r="C85" s="21" t="n">
        <v>0.8317611142162922</v>
      </c>
      <c r="D85" s="21" t="n">
        <v>0.8886423232740782</v>
      </c>
      <c r="E85" s="21" t="n">
        <v>0.7571277234188253</v>
      </c>
      <c r="F85" s="21" t="n">
        <v>0.7108384243395885</v>
      </c>
      <c r="G85" s="21" t="n">
        <v>0.8882448307240277</v>
      </c>
      <c r="H85" s="21" t="n">
        <v>0.8801714455602536</v>
      </c>
      <c r="I85" s="21" t="n">
        <v>0.879171334911099</v>
      </c>
      <c r="J85" s="21" t="n">
        <v>0.9323013434876101</v>
      </c>
      <c r="K85" s="21" t="n">
        <v>0.8371616125361078</v>
      </c>
      <c r="L85" s="21" t="n">
        <v>0.8751592354011805</v>
      </c>
      <c r="M85" s="21" t="n">
        <v>0.7650201360394514</v>
      </c>
    </row>
    <row r="86">
      <c r="A86" s="10" t="n">
        <v>0.795</v>
      </c>
      <c r="B86" s="21" t="n">
        <v>0.8517795228152326</v>
      </c>
      <c r="C86" s="21" t="n">
        <v>0.8448772563747143</v>
      </c>
      <c r="D86" s="21" t="n">
        <v>0.8985646938180549</v>
      </c>
      <c r="E86" s="21" t="n">
        <v>0.7720093769812938</v>
      </c>
      <c r="F86" s="21" t="n">
        <v>0.7229847254296512</v>
      </c>
      <c r="G86" s="21" t="n">
        <v>0.8950004065620022</v>
      </c>
      <c r="H86" s="21" t="n">
        <v>0.8895127575511853</v>
      </c>
      <c r="I86" s="21" t="n">
        <v>0.8885649736638186</v>
      </c>
      <c r="J86" s="21" t="n">
        <v>0.9378274421357515</v>
      </c>
      <c r="K86" s="21" t="n">
        <v>0.8497707440712962</v>
      </c>
      <c r="L86" s="21" t="n">
        <v>0.8863565350118149</v>
      </c>
      <c r="M86" s="21" t="n">
        <v>0.7841221676247713</v>
      </c>
    </row>
    <row r="87">
      <c r="A87" s="10" t="n">
        <v>0.805</v>
      </c>
      <c r="B87" s="21" t="n">
        <v>0.8628340826340388</v>
      </c>
      <c r="C87" s="21" t="n">
        <v>0.8574194272301837</v>
      </c>
      <c r="D87" s="21" t="n">
        <v>0.9086000253525374</v>
      </c>
      <c r="E87" s="21" t="n">
        <v>0.7873419897426249</v>
      </c>
      <c r="F87" s="21" t="n">
        <v>0.7354071633064341</v>
      </c>
      <c r="G87" s="21" t="n">
        <v>0.9015380605987517</v>
      </c>
      <c r="H87" s="21" t="n">
        <v>0.8984730175040008</v>
      </c>
      <c r="I87" s="21" t="n">
        <v>0.8979586124165382</v>
      </c>
      <c r="J87" s="21" t="n">
        <v>0.9431412394434708</v>
      </c>
      <c r="K87" s="21" t="n">
        <v>0.862750732416343</v>
      </c>
      <c r="L87" s="21" t="n">
        <v>0.8955544322545027</v>
      </c>
      <c r="M87" s="21" t="n">
        <v>0.8040803599548894</v>
      </c>
    </row>
    <row r="88">
      <c r="A88" s="10" t="n">
        <v>0.8149999999999999</v>
      </c>
      <c r="B88" s="21" t="n">
        <v>0.8738833259800115</v>
      </c>
      <c r="C88" s="21" t="n">
        <v>0.8694793538696681</v>
      </c>
      <c r="D88" s="21" t="n">
        <v>0.9186353568870198</v>
      </c>
      <c r="E88" s="21" t="n">
        <v>0.8022236433050934</v>
      </c>
      <c r="F88" s="21" t="n">
        <v>0.7493214599638566</v>
      </c>
      <c r="G88" s="21" t="n">
        <v>0.9082936364367262</v>
      </c>
      <c r="H88" s="21" t="n">
        <v>0.9077223181004554</v>
      </c>
      <c r="I88" s="21" t="n">
        <v>0.9073522511692578</v>
      </c>
      <c r="J88" s="21" t="n">
        <v>0.9484550367511901</v>
      </c>
      <c r="K88" s="21" t="n">
        <v>0.8753598639515314</v>
      </c>
      <c r="L88" s="21" t="n">
        <v>0.903195985645079</v>
      </c>
      <c r="M88" s="21" t="n">
        <v>0.8242136760737162</v>
      </c>
    </row>
    <row r="89">
      <c r="A89" s="10" t="n">
        <v>0.825</v>
      </c>
      <c r="B89" s="21" t="n">
        <v>0.8846175805998894</v>
      </c>
      <c r="C89" s="21" t="n">
        <v>0.8815392805091525</v>
      </c>
      <c r="D89" s="21" t="n">
        <v>0.9276008480517165</v>
      </c>
      <c r="E89" s="21" t="n">
        <v>0.8171052968675619</v>
      </c>
      <c r="F89" s="21" t="n">
        <v>0.764679490925124</v>
      </c>
      <c r="G89" s="21" t="n">
        <v>0.9148312904734758</v>
      </c>
      <c r="H89" s="21" t="n">
        <v>0.9160031807502387</v>
      </c>
      <c r="I89" s="21" t="n">
        <v>0.9163845961237959</v>
      </c>
      <c r="J89" s="21" t="n">
        <v>0.9535307809423258</v>
      </c>
      <c r="K89" s="21" t="n">
        <v>0.8871983517402073</v>
      </c>
      <c r="L89" s="21" t="n">
        <v>0.9106877046554479</v>
      </c>
      <c r="M89" s="21" t="n">
        <v>0.8434708985928203</v>
      </c>
    </row>
    <row r="90">
      <c r="A90" s="10" t="n">
        <v>0.835</v>
      </c>
      <c r="B90" s="21" t="n">
        <v>0.8944923024887206</v>
      </c>
      <c r="C90" s="21" t="n">
        <v>0.8928156405659489</v>
      </c>
      <c r="D90" s="21" t="n">
        <v>0.9347832719334369</v>
      </c>
      <c r="E90" s="21" t="n">
        <v>0.8319869504300305</v>
      </c>
      <c r="F90" s="21" t="n">
        <v>0.7803325431991732</v>
      </c>
      <c r="G90" s="21" t="n">
        <v>0.9215868663114503</v>
      </c>
      <c r="H90" s="21" t="n">
        <v>0.9226699801555694</v>
      </c>
      <c r="I90" s="21" t="n">
        <v>0.9257782348765154</v>
      </c>
      <c r="J90" s="21" t="n">
        <v>0.9584850045860278</v>
      </c>
      <c r="K90" s="21" t="n">
        <v>0.8954951478402162</v>
      </c>
      <c r="L90" s="21" t="n">
        <v>0.9183292580460242</v>
      </c>
      <c r="M90" s="21" t="n">
        <v>0.8602875746555543</v>
      </c>
    </row>
    <row r="91">
      <c r="A91" s="10" t="n">
        <v>0.845</v>
      </c>
      <c r="B91" s="21" t="n">
        <v>0.9044938668126354</v>
      </c>
      <c r="C91" s="21" t="n">
        <v>0.9034157330988484</v>
      </c>
      <c r="D91" s="21" t="n">
        <v>0.9419656958151573</v>
      </c>
      <c r="E91" s="21" t="n">
        <v>0.8473195631913616</v>
      </c>
      <c r="F91" s="21" t="n">
        <v>0.7972788756385815</v>
      </c>
      <c r="G91" s="21" t="n">
        <v>0.9281245203481998</v>
      </c>
      <c r="H91" s="21" t="n">
        <v>0.9293367795609002</v>
      </c>
      <c r="I91" s="21" t="n">
        <v>0.935171873629235</v>
      </c>
      <c r="J91" s="21" t="n">
        <v>0.9634392282297298</v>
      </c>
      <c r="K91" s="21" t="n">
        <v>0.9037919439402251</v>
      </c>
      <c r="L91" s="21" t="n">
        <v>0.9256453844121241</v>
      </c>
      <c r="M91" s="21" t="n">
        <v>0.8771042507182882</v>
      </c>
    </row>
    <row r="92">
      <c r="A92" s="10" t="n">
        <v>0.855</v>
      </c>
      <c r="B92" s="21" t="n">
        <v>0.9140407739973441</v>
      </c>
      <c r="C92" s="21" t="n">
        <v>0.9135158075474069</v>
      </c>
      <c r="D92" s="21" t="n">
        <v>0.9489236689505739</v>
      </c>
      <c r="E92" s="21" t="n">
        <v>0.8622012167538301</v>
      </c>
      <c r="F92" s="21" t="n">
        <v>0.8142734479816472</v>
      </c>
      <c r="G92" s="21" t="n">
        <v>0.9348800961861743</v>
      </c>
      <c r="H92" s="21" t="n">
        <v>0.936003578966231</v>
      </c>
      <c r="I92" s="21" t="n">
        <v>0.9445655123819546</v>
      </c>
      <c r="J92" s="21" t="n">
        <v>0.9683934518734318</v>
      </c>
      <c r="K92" s="21" t="n">
        <v>0.9123327634549402</v>
      </c>
      <c r="L92" s="21" t="n">
        <v>0.9317944003264136</v>
      </c>
      <c r="M92" s="21" t="n">
        <v>0.8908875004517761</v>
      </c>
    </row>
    <row r="93">
      <c r="A93" s="10" t="n">
        <v>0.865</v>
      </c>
      <c r="B93" s="21" t="n">
        <v>0.9233154025410966</v>
      </c>
      <c r="C93" s="21" t="n">
        <v>0.9226922111915412</v>
      </c>
      <c r="D93" s="21" t="n">
        <v>0.9558621554538417</v>
      </c>
      <c r="E93" s="21" t="n">
        <v>0.8770828703162986</v>
      </c>
      <c r="F93" s="21" t="n">
        <v>0.8316401567243571</v>
      </c>
      <c r="G93" s="21" t="n">
        <v>0.9414177502229238</v>
      </c>
      <c r="H93" s="21" t="n">
        <v>0.9418216860441619</v>
      </c>
      <c r="I93" s="21" t="n">
        <v>0.9539591511346742</v>
      </c>
      <c r="J93" s="21" t="n">
        <v>0.9726608552976481</v>
      </c>
      <c r="K93" s="21" t="n">
        <v>0.9206295595549491</v>
      </c>
      <c r="L93" s="21" t="n">
        <v>0.9379434162407031</v>
      </c>
      <c r="M93" s="21" t="n">
        <v>0.9033589982591035</v>
      </c>
    </row>
    <row r="94">
      <c r="A94" s="10" t="n">
        <v>0.875</v>
      </c>
      <c r="B94" s="21" t="n">
        <v>0.9314111994658769</v>
      </c>
      <c r="C94" s="21" t="n">
        <v>0.9312311193152802</v>
      </c>
      <c r="D94" s="21" t="n">
        <v>0.9627754070558903</v>
      </c>
      <c r="E94" s="21" t="n">
        <v>0.887071441535516</v>
      </c>
      <c r="F94" s="21" t="n">
        <v>0.8490068654670669</v>
      </c>
      <c r="G94" s="21" t="n">
        <v>0.9469414620044834</v>
      </c>
      <c r="H94" s="21" t="n">
        <v>0.9477818869987527</v>
      </c>
      <c r="I94" s="21" t="n">
        <v>0.9583911081000251</v>
      </c>
      <c r="J94" s="21" t="n">
        <v>0.9766841595304183</v>
      </c>
      <c r="K94" s="21" t="n">
        <v>0.9291703790696642</v>
      </c>
      <c r="L94" s="21" t="n">
        <v>0.9439718632154966</v>
      </c>
      <c r="M94" s="21" t="n">
        <v>0.9152018355838845</v>
      </c>
    </row>
    <row r="95">
      <c r="A95" s="10" t="n">
        <v>0.885</v>
      </c>
      <c r="B95" s="21" t="n">
        <v>0.9391918145598211</v>
      </c>
      <c r="C95" s="21" t="n">
        <v>0.939722391225411</v>
      </c>
      <c r="D95" s="21" t="n">
        <v>0.9696886586579389</v>
      </c>
      <c r="E95" s="21" t="n">
        <v>0.8960746494016593</v>
      </c>
      <c r="F95" s="21" t="n">
        <v>0.8664199980628327</v>
      </c>
      <c r="G95" s="21" t="n">
        <v>0.9523802176442212</v>
      </c>
      <c r="H95" s="21" t="n">
        <v>0.9537420879533434</v>
      </c>
      <c r="I95" s="21" t="n">
        <v>0.9625843082562724</v>
      </c>
      <c r="J95" s="21" t="n">
        <v>0.9807930659809071</v>
      </c>
      <c r="K95" s="21" t="n">
        <v>0.9367028611067588</v>
      </c>
      <c r="L95" s="21" t="n">
        <v>0.9501208791297862</v>
      </c>
      <c r="M95" s="21" t="n">
        <v>0.9260073831124638</v>
      </c>
    </row>
    <row r="96">
      <c r="A96" s="10" t="n">
        <v>0.895</v>
      </c>
      <c r="B96" s="21" t="n">
        <v>0.9467754931378961</v>
      </c>
      <c r="C96" s="21" t="n">
        <v>0.9472511755028714</v>
      </c>
      <c r="D96" s="21" t="n">
        <v>0.9756832987103029</v>
      </c>
      <c r="E96" s="21" t="n">
        <v>0.9050778572678025</v>
      </c>
      <c r="F96" s="21" t="n">
        <v>0.8838391485654761</v>
      </c>
      <c r="G96" s="21" t="n">
        <v>0.9576435295536448</v>
      </c>
      <c r="H96" s="21" t="n">
        <v>0.9593530195251586</v>
      </c>
      <c r="I96" s="21" t="n">
        <v>0.9667775084125196</v>
      </c>
      <c r="J96" s="21" t="n">
        <v>0.9847039130120013</v>
      </c>
      <c r="K96" s="21" t="n">
        <v>0.9436700928448858</v>
      </c>
      <c r="L96" s="21" t="n">
        <v>0.9564979759296315</v>
      </c>
      <c r="M96" s="21" t="n">
        <v>0.9368129306410431</v>
      </c>
    </row>
    <row r="97">
      <c r="A97" s="10" t="n">
        <v>0.905</v>
      </c>
      <c r="B97" s="21" t="n">
        <v>0.9540904387346735</v>
      </c>
      <c r="C97" s="21" t="n">
        <v>0.9545671269564977</v>
      </c>
      <c r="D97" s="21" t="n">
        <v>0.9800074313631023</v>
      </c>
      <c r="E97" s="21" t="n">
        <v>0.9143538896147381</v>
      </c>
      <c r="F97" s="21" t="n">
        <v>0.9018141337855362</v>
      </c>
      <c r="G97" s="21" t="n">
        <v>0.9630822851933827</v>
      </c>
      <c r="H97" s="21" t="n">
        <v>0.9643818354590147</v>
      </c>
      <c r="I97" s="21" t="n">
        <v>0.9709707085687669</v>
      </c>
      <c r="J97" s="21" t="n">
        <v>0.9882846610107712</v>
      </c>
      <c r="K97" s="21" t="n">
        <v>0.9504382608190662</v>
      </c>
      <c r="L97" s="21" t="n">
        <v>0.9631858143008192</v>
      </c>
      <c r="M97" s="21" t="n">
        <v>0.9463613323795814</v>
      </c>
    </row>
    <row r="98">
      <c r="A98" s="10" t="n">
        <v>0.915</v>
      </c>
      <c r="B98" s="21" t="n">
        <v>0.9614091675397112</v>
      </c>
      <c r="C98" s="21" t="n">
        <v>0.9617620488463907</v>
      </c>
      <c r="D98" s="21" t="n">
        <v>0.9844710521659921</v>
      </c>
      <c r="E98" s="21" t="n">
        <v>0.9258125178080113</v>
      </c>
      <c r="F98" s="21" t="n">
        <v>0.9161342088406498</v>
      </c>
      <c r="G98" s="21" t="n">
        <v>0.9701000344059476</v>
      </c>
      <c r="H98" s="21" t="n">
        <v>0.9720822098577319</v>
      </c>
      <c r="I98" s="21" t="n">
        <v>0.9764541241577055</v>
      </c>
      <c r="J98" s="21" t="n">
        <v>0.9908956230932076</v>
      </c>
      <c r="K98" s="21" t="n">
        <v>0.9574054925571932</v>
      </c>
      <c r="L98" s="21" t="n">
        <v>0.9688245799863303</v>
      </c>
      <c r="M98" s="21" t="n">
        <v>0.9538709515655576</v>
      </c>
    </row>
    <row r="99">
      <c r="A99" s="10" t="n">
        <v>0.925</v>
      </c>
      <c r="B99" s="21" t="n">
        <v>0.9684944451456772</v>
      </c>
      <c r="C99" s="21" t="n">
        <v>0.9685398482589823</v>
      </c>
      <c r="D99" s="21" t="n">
        <v>0.9887951848187915</v>
      </c>
      <c r="E99" s="21" t="n">
        <v>0.9386352684052457</v>
      </c>
      <c r="F99" s="21" t="n">
        <v>0.927712141863933</v>
      </c>
      <c r="G99" s="21" t="n">
        <v>0.9781704460003973</v>
      </c>
      <c r="H99" s="21" t="n">
        <v>0.9792116143834639</v>
      </c>
      <c r="I99" s="21" t="n">
        <v>0.9825826474629898</v>
      </c>
      <c r="J99" s="21" t="n">
        <v>0.9931335905924388</v>
      </c>
      <c r="K99" s="21" t="n">
        <v>0.9643727242953202</v>
      </c>
      <c r="L99" s="21" t="n">
        <v>0.9739388093290032</v>
      </c>
      <c r="M99" s="21" t="n">
        <v>0.9606820015249313</v>
      </c>
    </row>
    <row r="100">
      <c r="A100" s="10" t="n">
        <v>0.9350000000000001</v>
      </c>
      <c r="B100" s="21" t="n">
        <v>0.9754921098451164</v>
      </c>
      <c r="C100" s="21" t="n">
        <v>0.9751579115259091</v>
      </c>
      <c r="D100" s="21" t="n">
        <v>0.9915464081227113</v>
      </c>
      <c r="E100" s="21" t="n">
        <v>0.9511851945216878</v>
      </c>
      <c r="F100" s="21" t="n">
        <v>0.9399392718015411</v>
      </c>
      <c r="G100" s="21" t="n">
        <v>0.9860654138645328</v>
      </c>
      <c r="H100" s="21" t="n">
        <v>0.9853809520504102</v>
      </c>
      <c r="I100" s="21" t="n">
        <v>0.9887111707682742</v>
      </c>
      <c r="J100" s="21" t="n">
        <v>0.9952969591750289</v>
      </c>
      <c r="K100" s="21" t="n">
        <v>0.9713399560334471</v>
      </c>
      <c r="L100" s="21" t="n">
        <v>0.9789219045859666</v>
      </c>
      <c r="M100" s="21" t="n">
        <v>0.9687882283681943</v>
      </c>
    </row>
    <row r="101">
      <c r="A101" s="10" t="n">
        <v>0.945</v>
      </c>
      <c r="B101" s="21" t="n">
        <v>0.9812513842252482</v>
      </c>
      <c r="C101" s="21" t="n">
        <v>0.9809800730144025</v>
      </c>
      <c r="D101" s="21" t="n">
        <v>0.9939128164604284</v>
      </c>
      <c r="E101" s="21" t="n">
        <v>0.9618023217381305</v>
      </c>
      <c r="F101" s="21" t="n">
        <v>0.9519263157536075</v>
      </c>
      <c r="G101" s="21" t="n">
        <v>0.9906373021953596</v>
      </c>
      <c r="H101" s="21" t="n">
        <v>0.9899072531520773</v>
      </c>
      <c r="I101" s="21" t="n">
        <v>0.9921953033509191</v>
      </c>
      <c r="J101" s="21" t="n">
        <v>0.9964986088354554</v>
      </c>
      <c r="K101" s="21" t="n">
        <v>0.9768394028874696</v>
      </c>
      <c r="L101" s="21" t="n">
        <v>0.9829543820386516</v>
      </c>
      <c r="M101" s="21" t="n">
        <v>0.9774484056963119</v>
      </c>
    </row>
    <row r="102">
      <c r="A102" s="10" t="n">
        <v>0.955</v>
      </c>
      <c r="B102" s="21" t="n">
        <v>0.9860672922388088</v>
      </c>
      <c r="C102" s="21" t="n">
        <v>0.9858430993032103</v>
      </c>
      <c r="D102" s="21" t="n">
        <v>0.9962052745375918</v>
      </c>
      <c r="E102" s="21" t="n">
        <v>0.9694418573905045</v>
      </c>
      <c r="F102" s="21" t="n">
        <v>0.9642288082307283</v>
      </c>
      <c r="G102" s="21" t="n">
        <v>0.9925180187849381</v>
      </c>
      <c r="H102" s="21" t="n">
        <v>0.9938604019635306</v>
      </c>
      <c r="I102" s="21" t="n">
        <v>0.9937562426807351</v>
      </c>
      <c r="J102" s="21" t="n">
        <v>0.9971940906421115</v>
      </c>
      <c r="K102" s="21" t="n">
        <v>0.9814715223099758</v>
      </c>
      <c r="L102" s="21" t="n">
        <v>0.9863810784329433</v>
      </c>
      <c r="M102" s="21" t="n">
        <v>0.9861085830244294</v>
      </c>
    </row>
    <row r="103">
      <c r="A103" s="10" t="n">
        <v>0.965</v>
      </c>
      <c r="B103" s="21" t="n">
        <v>0.9902370397500385</v>
      </c>
      <c r="C103" s="21" t="n">
        <v>0.9902603496342652</v>
      </c>
      <c r="D103" s="21" t="n">
        <v>0.9977051424901299</v>
      </c>
      <c r="E103" s="21" t="n">
        <v>0.9770813930428784</v>
      </c>
      <c r="F103" s="21" t="n">
        <v>0.9747493009130501</v>
      </c>
      <c r="G103" s="21" t="n">
        <v>0.9943987353745165</v>
      </c>
      <c r="H103" s="21" t="n">
        <v>0.9963836991166423</v>
      </c>
      <c r="I103" s="21" t="n">
        <v>0.9953171820105513</v>
      </c>
      <c r="J103" s="21" t="n">
        <v>0.9978895724487676</v>
      </c>
      <c r="K103" s="21" t="n">
        <v>0.986103641732482</v>
      </c>
      <c r="L103" s="21" t="n">
        <v>0.989807774827235</v>
      </c>
      <c r="M103" s="21" t="n">
        <v>0.992787988086853</v>
      </c>
    </row>
    <row r="104">
      <c r="A104" s="10" t="n">
        <v>0.975</v>
      </c>
      <c r="B104" s="21" t="n">
        <v>0.9935941990291092</v>
      </c>
      <c r="C104" s="21" t="n">
        <v>0.9935611138332704</v>
      </c>
      <c r="D104" s="21" t="n">
        <v>0.9984619572008319</v>
      </c>
      <c r="E104" s="21" t="n">
        <v>0.9847209286952524</v>
      </c>
      <c r="F104" s="21" t="n">
        <v>0.9832387600888349</v>
      </c>
      <c r="G104" s="21" t="n">
        <v>0.9962385668208432</v>
      </c>
      <c r="H104" s="21" t="n">
        <v>0.9984939280128996</v>
      </c>
      <c r="I104" s="21" t="n">
        <v>0.9968781213403675</v>
      </c>
      <c r="J104" s="21" t="n">
        <v>0.9986090363866877</v>
      </c>
      <c r="K104" s="21" t="n">
        <v>0.9907357611549882</v>
      </c>
      <c r="L104" s="21" t="n">
        <v>0.9931466072114167</v>
      </c>
      <c r="M104" s="21" t="n">
        <v>0.9952127162300662</v>
      </c>
    </row>
    <row r="105">
      <c r="A105" s="10" t="n">
        <v>0.985</v>
      </c>
      <c r="B105" s="21" t="n">
        <v>0.9967917489662239</v>
      </c>
      <c r="C105" s="21" t="n">
        <v>0.996780556916635</v>
      </c>
      <c r="D105" s="21" t="n">
        <v>0.9992431852892983</v>
      </c>
      <c r="E105" s="21" t="n">
        <v>0.9923604643476264</v>
      </c>
      <c r="F105" s="21" t="n">
        <v>0.9915105408242151</v>
      </c>
      <c r="G105" s="21" t="n">
        <v>0.9981192834104217</v>
      </c>
      <c r="H105" s="21" t="n">
        <v>0.9993209927102338</v>
      </c>
      <c r="I105" s="21" t="n">
        <v>0.9984390606701836</v>
      </c>
      <c r="J105" s="21" t="n">
        <v>0.9993045181933439</v>
      </c>
      <c r="K105" s="21" t="n">
        <v>0.9953678805774944</v>
      </c>
      <c r="L105" s="21" t="n">
        <v>0.9965733036057084</v>
      </c>
      <c r="M105" s="21" t="n">
        <v>0.9975752718567868</v>
      </c>
    </row>
    <row r="106">
      <c r="A106" s="10" t="n">
        <v>0.995</v>
      </c>
      <c r="B106" s="21" t="n">
        <v>1</v>
      </c>
      <c r="C106" s="21" t="n">
        <v>0.9999999999999997</v>
      </c>
      <c r="D106" s="21" t="n">
        <v>1</v>
      </c>
      <c r="E106" s="21" t="n">
        <v>1</v>
      </c>
      <c r="F106" s="21" t="n">
        <v>0.9999999999999999</v>
      </c>
      <c r="G106" s="21" t="n">
        <v>1</v>
      </c>
      <c r="H106" s="21" t="n">
        <v>0.9999999999999999</v>
      </c>
      <c r="I106" s="21" t="n">
        <v>0.9999999999999998</v>
      </c>
      <c r="J106" s="21" t="n">
        <v>1</v>
      </c>
      <c r="K106" s="21" t="n">
        <v>1</v>
      </c>
      <c r="L106" s="21" t="n">
        <v>1</v>
      </c>
      <c r="M106" s="21" t="n">
        <v>1</v>
      </c>
    </row>
    <row r="130">
      <c r="A130" s="6" t="inlineStr">
        <is>
          <t>■ 工数密度(非累積):平均カーブ vs 各案件</t>
        </is>
      </c>
    </row>
    <row r="131">
      <c r="A131" s="5" t="inlineStr">
        <is>
          <t>上の累積カーブと同じデータを、累積せずに density として並べたもの。面積が1になるよう正規化しているので、案件規模によらず形だけを比べられる。山の位置・鋭さ・数の違いはこちらでしか見えない。</t>
        </is>
      </c>
    </row>
    <row r="133">
      <c r="A133" s="7" t="inlineStr">
        <is>
          <t>t</t>
        </is>
      </c>
      <c r="B133" s="8" t="inlineStr">
        <is>
          <t>平均(位置合わせあり)</t>
        </is>
      </c>
      <c r="C133" s="8" t="inlineStr">
        <is>
          <t>平均(位置合わせなし)</t>
        </is>
      </c>
      <c r="D133" s="8" t="inlineStr">
        <is>
          <t>PJ-2019-A</t>
        </is>
      </c>
      <c r="E133" s="8" t="inlineStr">
        <is>
          <t>PJ-2020-B</t>
        </is>
      </c>
      <c r="F133" s="8" t="inlineStr">
        <is>
          <t>PJ-2020-C</t>
        </is>
      </c>
      <c r="G133" s="8" t="inlineStr">
        <is>
          <t>PJ-2021-D</t>
        </is>
      </c>
      <c r="H133" s="8" t="inlineStr">
        <is>
          <t>PJ-2021-E</t>
        </is>
      </c>
      <c r="I133" s="8" t="inlineStr">
        <is>
          <t>PJ-2022-F</t>
        </is>
      </c>
      <c r="J133" s="8" t="inlineStr">
        <is>
          <t>PJ-2022-G</t>
        </is>
      </c>
      <c r="K133" s="8" t="inlineStr">
        <is>
          <t>PJ-2023-H</t>
        </is>
      </c>
      <c r="L133" s="8" t="inlineStr">
        <is>
          <t>PJ-2023-I</t>
        </is>
      </c>
      <c r="M133" s="8" t="inlineStr">
        <is>
          <t>PJ-2024-J</t>
        </is>
      </c>
    </row>
    <row r="134">
      <c r="A134" s="10" t="n">
        <v>0.005</v>
      </c>
      <c r="B134" s="21" t="n">
        <v>0.3844844610339996</v>
      </c>
      <c r="C134" s="21" t="n">
        <v>0.3834845109846539</v>
      </c>
      <c r="D134" s="21" t="n">
        <v>0.3016495208973411</v>
      </c>
      <c r="E134" s="21" t="n">
        <v>0.05377156484734653</v>
      </c>
      <c r="F134" s="21" t="n">
        <v>0.9813847851603342</v>
      </c>
      <c r="G134" s="21" t="n">
        <v>0.6440371515443877</v>
      </c>
      <c r="H134" s="21" t="n">
        <v>0.1421507751468113</v>
      </c>
      <c r="I134" s="21" t="n">
        <v>0.2446625743472624</v>
      </c>
      <c r="J134" s="21" t="n">
        <v>0.9970728484682332</v>
      </c>
      <c r="K134" s="21" t="n">
        <v>0.2300994215790587</v>
      </c>
      <c r="L134" s="21" t="n">
        <v>0.1566546697324483</v>
      </c>
      <c r="M134" s="21" t="n">
        <v>0.03105955304640156</v>
      </c>
    </row>
    <row r="135">
      <c r="A135" s="10" t="n">
        <v>0.015</v>
      </c>
      <c r="B135" s="21" t="n">
        <v>0.3825383226501934</v>
      </c>
      <c r="C135" s="21" t="n">
        <v>0.3834845109846539</v>
      </c>
      <c r="D135" s="21" t="n">
        <v>0.3090068262850812</v>
      </c>
      <c r="E135" s="21" t="n">
        <v>0.05377156484734653</v>
      </c>
      <c r="F135" s="21" t="n">
        <v>0.9813847851603342</v>
      </c>
      <c r="G135" s="21" t="n">
        <v>0.6440371515443877</v>
      </c>
      <c r="H135" s="21" t="n">
        <v>0.138089324428331</v>
      </c>
      <c r="I135" s="21" t="n">
        <v>0.2446625743472624</v>
      </c>
      <c r="J135" s="21" t="n">
        <v>0.9715068779946888</v>
      </c>
      <c r="K135" s="21" t="n">
        <v>0.2300994215790587</v>
      </c>
      <c r="L135" s="21" t="n">
        <v>0.1566546697324483</v>
      </c>
      <c r="M135" s="21" t="n">
        <v>0.0303200398786301</v>
      </c>
    </row>
    <row r="136">
      <c r="A136" s="10" t="n">
        <v>0.025</v>
      </c>
      <c r="B136" s="21" t="n">
        <v>0.3895124733994514</v>
      </c>
      <c r="C136" s="21" t="n">
        <v>0.3900762450725753</v>
      </c>
      <c r="D136" s="21" t="n">
        <v>0.3795260274360809</v>
      </c>
      <c r="E136" s="21" t="n">
        <v>0.05377156484734653</v>
      </c>
      <c r="F136" s="21" t="n">
        <v>0.9813847851603342</v>
      </c>
      <c r="G136" s="21" t="n">
        <v>0.6300363439021184</v>
      </c>
      <c r="H136" s="21" t="n">
        <v>0.1421507751468113</v>
      </c>
      <c r="I136" s="21" t="n">
        <v>0.2446625743472624</v>
      </c>
      <c r="J136" s="21" t="n">
        <v>0.9970728484682332</v>
      </c>
      <c r="K136" s="21" t="n">
        <v>0.2300994215790587</v>
      </c>
      <c r="L136" s="21" t="n">
        <v>0.1566546697324483</v>
      </c>
      <c r="M136" s="21" t="n">
        <v>0.03105955304640156</v>
      </c>
    </row>
    <row r="137">
      <c r="A137" s="10" t="n">
        <v>0.035</v>
      </c>
      <c r="B137" s="21" t="n">
        <v>0.4240991700034902</v>
      </c>
      <c r="C137" s="21" t="n">
        <v>0.4307898917728948</v>
      </c>
      <c r="D137" s="21" t="n">
        <v>0.5426363459013003</v>
      </c>
      <c r="E137" s="21" t="n">
        <v>0.05377156484734653</v>
      </c>
      <c r="F137" s="21" t="n">
        <v>1.07849039094088</v>
      </c>
      <c r="G137" s="21" t="n">
        <v>0.6440371515443877</v>
      </c>
      <c r="H137" s="21" t="n">
        <v>0.2021441372271037</v>
      </c>
      <c r="I137" s="21" t="n">
        <v>0.2446625743472624</v>
      </c>
      <c r="J137" s="21" t="n">
        <v>0.9715068779946888</v>
      </c>
      <c r="K137" s="21" t="n">
        <v>0.2300994215790587</v>
      </c>
      <c r="L137" s="21" t="n">
        <v>0.1566546697324483</v>
      </c>
      <c r="M137" s="21" t="n">
        <v>0.07165888619434807</v>
      </c>
    </row>
    <row r="138">
      <c r="A138" s="10" t="n">
        <v>0.045</v>
      </c>
      <c r="B138" s="21" t="n">
        <v>0.4512990170699263</v>
      </c>
      <c r="C138" s="21" t="n">
        <v>0.4529944338099215</v>
      </c>
      <c r="D138" s="21" t="n">
        <v>0.5297164329036503</v>
      </c>
      <c r="E138" s="21" t="n">
        <v>0.05377156484734653</v>
      </c>
      <c r="F138" s="21" t="n">
        <v>1.140721723703363</v>
      </c>
      <c r="G138" s="21" t="n">
        <v>0.6440371515443877</v>
      </c>
      <c r="H138" s="21" t="n">
        <v>0.2318275130650931</v>
      </c>
      <c r="I138" s="21" t="n">
        <v>0.2511010631458745</v>
      </c>
      <c r="J138" s="21" t="n">
        <v>1.08400441951713</v>
      </c>
      <c r="K138" s="21" t="n">
        <v>0.2300994215790587</v>
      </c>
      <c r="L138" s="21" t="n">
        <v>0.160777161041197</v>
      </c>
      <c r="M138" s="21" t="n">
        <v>0.08893393788840667</v>
      </c>
    </row>
    <row r="139">
      <c r="A139" s="10" t="n">
        <v>0.055</v>
      </c>
      <c r="B139" s="21" t="n">
        <v>0.4691528158755779</v>
      </c>
      <c r="C139" s="21" t="n">
        <v>0.4995375620997842</v>
      </c>
      <c r="D139" s="21" t="n">
        <v>0.6421913881327826</v>
      </c>
      <c r="E139" s="21" t="n">
        <v>0.05836593306568304</v>
      </c>
      <c r="F139" s="21" t="n">
        <v>1.170740716432399</v>
      </c>
      <c r="G139" s="21" t="n">
        <v>0.6842941793434471</v>
      </c>
      <c r="H139" s="21" t="n">
        <v>0.2252038698346618</v>
      </c>
      <c r="I139" s="21" t="n">
        <v>0.3012150869506194</v>
      </c>
      <c r="J139" s="21" t="n">
        <v>1.056209434401306</v>
      </c>
      <c r="K139" s="21" t="n">
        <v>0.2300994215790587</v>
      </c>
      <c r="L139" s="21" t="n">
        <v>0.1687433392029976</v>
      </c>
      <c r="M139" s="21" t="n">
        <v>0.08681646317677795</v>
      </c>
    </row>
    <row r="140">
      <c r="A140" s="10" t="n">
        <v>0.065</v>
      </c>
      <c r="B140" s="21" t="n">
        <v>0.5489721343098296</v>
      </c>
      <c r="C140" s="21" t="n">
        <v>0.5371377239585607</v>
      </c>
      <c r="D140" s="21" t="n">
        <v>0.686707076422526</v>
      </c>
      <c r="E140" s="21" t="n">
        <v>0.1663335861965913</v>
      </c>
      <c r="F140" s="21" t="n">
        <v>1.170740716432399</v>
      </c>
      <c r="G140" s="21" t="n">
        <v>0.8123847223404556</v>
      </c>
      <c r="H140" s="21" t="n">
        <v>0.2796414412431362</v>
      </c>
      <c r="I140" s="21" t="n">
        <v>0.4595621222400186</v>
      </c>
      <c r="J140" s="21" t="n">
        <v>1.08400441951713</v>
      </c>
      <c r="K140" s="21" t="n">
        <v>0.40339755602681</v>
      </c>
      <c r="L140" s="21" t="n">
        <v>0.3097778163594063</v>
      </c>
      <c r="M140" s="21" t="n">
        <v>0.1249133992525297</v>
      </c>
    </row>
    <row r="141">
      <c r="A141" s="10" t="n">
        <v>0.075</v>
      </c>
      <c r="B141" s="21" t="n">
        <v>0.5369213757431697</v>
      </c>
      <c r="C141" s="21" t="n">
        <v>0.538614094631451</v>
      </c>
      <c r="D141" s="21" t="n">
        <v>0.7034560295060023</v>
      </c>
      <c r="E141" s="21" t="n">
        <v>0.1663335861965913</v>
      </c>
      <c r="F141" s="21" t="n">
        <v>1.001785640361533</v>
      </c>
      <c r="G141" s="21" t="n">
        <v>0.8123847223404556</v>
      </c>
      <c r="H141" s="21" t="n">
        <v>0.2877297759136414</v>
      </c>
      <c r="I141" s="21" t="n">
        <v>0.4595621222400186</v>
      </c>
      <c r="J141" s="21" t="n">
        <v>1.056209434401306</v>
      </c>
      <c r="K141" s="21" t="n">
        <v>0.40339755602681</v>
      </c>
      <c r="L141" s="21" t="n">
        <v>0.3097778163594063</v>
      </c>
      <c r="M141" s="21" t="n">
        <v>0.1395006744599581</v>
      </c>
    </row>
    <row r="142">
      <c r="A142" s="10" t="n">
        <v>0.08500000000000001</v>
      </c>
      <c r="B142" s="21" t="n">
        <v>0.5468842387940652</v>
      </c>
      <c r="C142" s="21" t="n">
        <v>0.5536993005037764</v>
      </c>
      <c r="D142" s="21" t="n">
        <v>0.7767174620656881</v>
      </c>
      <c r="E142" s="21" t="n">
        <v>0.1663335861965913</v>
      </c>
      <c r="F142" s="21" t="n">
        <v>1.001785640361533</v>
      </c>
      <c r="G142" s="21" t="n">
        <v>0.7947241848982717</v>
      </c>
      <c r="H142" s="21" t="n">
        <v>0.2961924163816896</v>
      </c>
      <c r="I142" s="21" t="n">
        <v>0.4595621222400186</v>
      </c>
      <c r="J142" s="21" t="n">
        <v>1.071359975416485</v>
      </c>
      <c r="K142" s="21" t="n">
        <v>0.40339755602681</v>
      </c>
      <c r="L142" s="21" t="n">
        <v>0.3097778163594063</v>
      </c>
      <c r="M142" s="21" t="n">
        <v>0.1429031299345913</v>
      </c>
    </row>
    <row r="143">
      <c r="A143" s="10" t="n">
        <v>0.095</v>
      </c>
      <c r="B143" s="21" t="n">
        <v>0.5524660946545028</v>
      </c>
      <c r="C143" s="21" t="n">
        <v>0.5637094177431041</v>
      </c>
      <c r="D143" s="21" t="n">
        <v>0.7956617904087536</v>
      </c>
      <c r="E143" s="21" t="n">
        <v>0.1663335861965913</v>
      </c>
      <c r="F143" s="21" t="n">
        <v>1.001785640361533</v>
      </c>
      <c r="G143" s="21" t="n">
        <v>0.8123847223404556</v>
      </c>
      <c r="H143" s="21" t="n">
        <v>0.3150168620285063</v>
      </c>
      <c r="I143" s="21" t="n">
        <v>0.4595621222400186</v>
      </c>
      <c r="J143" s="21" t="n">
        <v>1.035318613713284</v>
      </c>
      <c r="K143" s="21" t="n">
        <v>0.40339755602681</v>
      </c>
      <c r="L143" s="21" t="n">
        <v>0.3097778163594063</v>
      </c>
      <c r="M143" s="21" t="n">
        <v>0.1629775317266344</v>
      </c>
    </row>
    <row r="144">
      <c r="A144" s="10" t="n">
        <v>0.105</v>
      </c>
      <c r="B144" s="21" t="n">
        <v>0.5560880365367589</v>
      </c>
      <c r="C144" s="21" t="n">
        <v>0.5719034568511761</v>
      </c>
      <c r="D144" s="21" t="n">
        <v>0.8000817974583454</v>
      </c>
      <c r="E144" s="21" t="n">
        <v>0.1663335861965913</v>
      </c>
      <c r="F144" s="21" t="n">
        <v>0.9094403634588393</v>
      </c>
      <c r="G144" s="21" t="n">
        <v>0.8123847223404556</v>
      </c>
      <c r="H144" s="21" t="n">
        <v>0.3558829172579569</v>
      </c>
      <c r="I144" s="21" t="n">
        <v>0.4595621222400186</v>
      </c>
      <c r="J144" s="21" t="n">
        <v>1.06256384038995</v>
      </c>
      <c r="K144" s="21" t="n">
        <v>0.40339755602681</v>
      </c>
      <c r="L144" s="21" t="n">
        <v>0.3097778163594063</v>
      </c>
      <c r="M144" s="21" t="n">
        <v>0.2086383302812846</v>
      </c>
    </row>
    <row r="145">
      <c r="A145" s="10" t="n">
        <v>0.115</v>
      </c>
      <c r="B145" s="21" t="n">
        <v>0.5840250551308849</v>
      </c>
      <c r="C145" s="21" t="n">
        <v>0.6090281334939568</v>
      </c>
      <c r="D145" s="21" t="n">
        <v>0.8937919990579142</v>
      </c>
      <c r="E145" s="21" t="n">
        <v>0.2283568198682809</v>
      </c>
      <c r="F145" s="21" t="n">
        <v>0.8577270083933312</v>
      </c>
      <c r="G145" s="21" t="n">
        <v>0.8456439662651881</v>
      </c>
      <c r="H145" s="21" t="n">
        <v>0.3457148339077296</v>
      </c>
      <c r="I145" s="21" t="n">
        <v>0.5060406322658527</v>
      </c>
      <c r="J145" s="21" t="n">
        <v>1.035318613713284</v>
      </c>
      <c r="K145" s="21" t="n">
        <v>0.5041453210562916</v>
      </c>
      <c r="L145" s="21" t="n">
        <v>0.3524404073156622</v>
      </c>
      <c r="M145" s="21" t="n">
        <v>0.2036707509888731</v>
      </c>
    </row>
    <row r="146">
      <c r="A146" s="10" t="n">
        <v>0.125</v>
      </c>
      <c r="B146" s="21" t="n">
        <v>0.6306633179939913</v>
      </c>
      <c r="C146" s="21" t="n">
        <v>0.6238068110369358</v>
      </c>
      <c r="D146" s="21" t="n">
        <v>0.872511237175583</v>
      </c>
      <c r="E146" s="21" t="n">
        <v>0.3044762430108093</v>
      </c>
      <c r="F146" s="21" t="n">
        <v>0.8357340081781175</v>
      </c>
      <c r="G146" s="21" t="n">
        <v>0.9216650952360066</v>
      </c>
      <c r="H146" s="21" t="n">
        <v>0.3620357294360151</v>
      </c>
      <c r="I146" s="21" t="n">
        <v>0.6364433069360149</v>
      </c>
      <c r="J146" s="21" t="n">
        <v>1.0934442026222</v>
      </c>
      <c r="K146" s="21" t="n">
        <v>0.5746687565769291</v>
      </c>
      <c r="L146" s="21" t="n">
        <v>0.4459176370271062</v>
      </c>
      <c r="M146" s="21" t="n">
        <v>0.2204072472813688</v>
      </c>
    </row>
    <row r="147">
      <c r="A147" s="10" t="n">
        <v>0.135</v>
      </c>
      <c r="B147" s="21" t="n">
        <v>0.646673883293827</v>
      </c>
      <c r="C147" s="21" t="n">
        <v>0.6313920794047359</v>
      </c>
      <c r="D147" s="21" t="n">
        <v>0.924305200203818</v>
      </c>
      <c r="E147" s="21" t="n">
        <v>0.3044762430108093</v>
      </c>
      <c r="F147" s="21" t="n">
        <v>0.8496659839043457</v>
      </c>
      <c r="G147" s="21" t="n">
        <v>0.9216650952360066</v>
      </c>
      <c r="H147" s="21" t="n">
        <v>0.3666343953131272</v>
      </c>
      <c r="I147" s="21" t="n">
        <v>0.6201242477838094</v>
      </c>
      <c r="J147" s="21" t="n">
        <v>1.1552049270867</v>
      </c>
      <c r="K147" s="21" t="n">
        <v>0.5746687565769291</v>
      </c>
      <c r="L147" s="21" t="n">
        <v>0.4344838514623086</v>
      </c>
      <c r="M147" s="21" t="n">
        <v>0.2572847062114788</v>
      </c>
    </row>
    <row r="148">
      <c r="A148" s="10" t="n">
        <v>0.145</v>
      </c>
      <c r="B148" s="21" t="n">
        <v>0.6457713044068</v>
      </c>
      <c r="C148" s="21" t="n">
        <v>0.6598860902742947</v>
      </c>
      <c r="D148" s="21" t="n">
        <v>0.9973799251143847</v>
      </c>
      <c r="E148" s="21" t="n">
        <v>0.3044762430108093</v>
      </c>
      <c r="F148" s="21" t="n">
        <v>0.7948510173792422</v>
      </c>
      <c r="G148" s="21" t="n">
        <v>0.9016288975134847</v>
      </c>
      <c r="H148" s="21" t="n">
        <v>0.3774177598811604</v>
      </c>
      <c r="I148" s="21" t="n">
        <v>0.6201242477838094</v>
      </c>
      <c r="J148" s="21" t="n">
        <v>1.125584287930631</v>
      </c>
      <c r="K148" s="21" t="n">
        <v>0.5746687565769291</v>
      </c>
      <c r="L148" s="21" t="n">
        <v>0.4344838514623086</v>
      </c>
      <c r="M148" s="21" t="n">
        <v>0.2635599429483442</v>
      </c>
    </row>
    <row r="149">
      <c r="A149" s="10" t="n">
        <v>0.155</v>
      </c>
      <c r="B149" s="21" t="n">
        <v>0.647719125216064</v>
      </c>
      <c r="C149" s="21" t="n">
        <v>0.6717400087833783</v>
      </c>
      <c r="D149" s="21" t="n">
        <v>0.9736327840402327</v>
      </c>
      <c r="E149" s="21" t="n">
        <v>0.3044762430108093</v>
      </c>
      <c r="F149" s="21" t="n">
        <v>0.7948510173792422</v>
      </c>
      <c r="G149" s="21" t="n">
        <v>0.9216650952360066</v>
      </c>
      <c r="H149" s="21" t="n">
        <v>0.3666343953131272</v>
      </c>
      <c r="I149" s="21" t="n">
        <v>0.6201242477838094</v>
      </c>
      <c r="J149" s="21" t="n">
        <v>1.1552049270867</v>
      </c>
      <c r="K149" s="21" t="n">
        <v>0.5746687565769291</v>
      </c>
      <c r="L149" s="21" t="n">
        <v>0.4344838514623086</v>
      </c>
      <c r="M149" s="21" t="n">
        <v>0.2635599429483442</v>
      </c>
    </row>
    <row r="150">
      <c r="A150" s="10" t="n">
        <v>0.165</v>
      </c>
      <c r="B150" s="21" t="n">
        <v>0.636453403388748</v>
      </c>
      <c r="C150" s="21" t="n">
        <v>0.6736215608823527</v>
      </c>
      <c r="D150" s="21" t="n">
        <v>0.766078371362649</v>
      </c>
      <c r="E150" s="21" t="n">
        <v>0.3044762430108093</v>
      </c>
      <c r="F150" s="21" t="n">
        <v>0.7948510173792422</v>
      </c>
      <c r="G150" s="21" t="n">
        <v>0.9216650952360066</v>
      </c>
      <c r="H150" s="21" t="n">
        <v>0.4397854430333919</v>
      </c>
      <c r="I150" s="21" t="n">
        <v>0.6201242477838094</v>
      </c>
      <c r="J150" s="21" t="n">
        <v>1.125584287930631</v>
      </c>
      <c r="K150" s="21" t="n">
        <v>0.5746687565769291</v>
      </c>
      <c r="L150" s="21" t="n">
        <v>0.4344838514623086</v>
      </c>
      <c r="M150" s="21" t="n">
        <v>0.2950819042283869</v>
      </c>
    </row>
    <row r="151">
      <c r="A151" s="10" t="n">
        <v>0.175</v>
      </c>
      <c r="B151" s="21" t="n">
        <v>0.6580838917166144</v>
      </c>
      <c r="C151" s="21" t="n">
        <v>0.6769459765594132</v>
      </c>
      <c r="D151" s="21" t="n">
        <v>0.7173256569099309</v>
      </c>
      <c r="E151" s="21" t="n">
        <v>0.3586021490396585</v>
      </c>
      <c r="F151" s="21" t="n">
        <v>0.7803549452928521</v>
      </c>
      <c r="G151" s="21" t="n">
        <v>0.9808458696392859</v>
      </c>
      <c r="H151" s="21" t="n">
        <v>0.4272201446610092</v>
      </c>
      <c r="I151" s="21" t="n">
        <v>0.6893892936464809</v>
      </c>
      <c r="J151" s="21" t="n">
        <v>1.114259033366731</v>
      </c>
      <c r="K151" s="21" t="n">
        <v>0.6449802386037026</v>
      </c>
      <c r="L151" s="21" t="n">
        <v>0.4934231241218807</v>
      </c>
      <c r="M151" s="21" t="n">
        <v>0.3042646177357836</v>
      </c>
    </row>
    <row r="152">
      <c r="A152" s="10" t="n">
        <v>0.185</v>
      </c>
      <c r="B152" s="21" t="n">
        <v>0.6840879091049177</v>
      </c>
      <c r="C152" s="21" t="n">
        <v>0.6769459765594132</v>
      </c>
      <c r="D152" s="21" t="n">
        <v>0.7410724969085063</v>
      </c>
      <c r="E152" s="21" t="n">
        <v>0.4149833011530433</v>
      </c>
      <c r="F152" s="21" t="n">
        <v>0.776006123666935</v>
      </c>
      <c r="G152" s="21" t="n">
        <v>1.030557720138039</v>
      </c>
      <c r="H152" s="21" t="n">
        <v>0.4397854430333919</v>
      </c>
      <c r="I152" s="21" t="n">
        <v>0.745460997440072</v>
      </c>
      <c r="J152" s="21" t="n">
        <v>1.08236362233733</v>
      </c>
      <c r="K152" s="21" t="n">
        <v>0.714615872376045</v>
      </c>
      <c r="L152" s="21" t="n">
        <v>0.5744646240287927</v>
      </c>
      <c r="M152" s="21" t="n">
        <v>0.2970202220754078</v>
      </c>
    </row>
    <row r="153">
      <c r="A153" s="10" t="n">
        <v>0.195</v>
      </c>
      <c r="B153" s="21" t="n">
        <v>0.6903544741733062</v>
      </c>
      <c r="C153" s="21" t="n">
        <v>0.6822651029618994</v>
      </c>
      <c r="D153" s="21" t="n">
        <v>0.7600414540818721</v>
      </c>
      <c r="E153" s="21" t="n">
        <v>0.4149833011530433</v>
      </c>
      <c r="F153" s="21" t="n">
        <v>0.776006123666935</v>
      </c>
      <c r="G153" s="21" t="n">
        <v>1.008154291439386</v>
      </c>
      <c r="H153" s="21" t="n">
        <v>0.4410060507366258</v>
      </c>
      <c r="I153" s="21" t="n">
        <v>0.745460997440072</v>
      </c>
      <c r="J153" s="21" t="n">
        <v>1.110846875556733</v>
      </c>
      <c r="K153" s="21" t="n">
        <v>0.6941982760224437</v>
      </c>
      <c r="L153" s="21" t="n">
        <v>0.5744646240287927</v>
      </c>
      <c r="M153" s="21" t="n">
        <v>0.3551453903854878</v>
      </c>
    </row>
    <row r="154">
      <c r="A154" s="10" t="n">
        <v>0.205</v>
      </c>
      <c r="B154" s="21" t="n">
        <v>0.6950645829360235</v>
      </c>
      <c r="C154" s="21" t="n">
        <v>0.7067531117675715</v>
      </c>
      <c r="D154" s="21" t="n">
        <v>0.7785790505228934</v>
      </c>
      <c r="E154" s="21" t="n">
        <v>0.4149833011530433</v>
      </c>
      <c r="F154" s="21" t="n">
        <v>0.7678854982144397</v>
      </c>
      <c r="G154" s="21" t="n">
        <v>1.030557720138039</v>
      </c>
      <c r="H154" s="21" t="n">
        <v>0.4570178256279126</v>
      </c>
      <c r="I154" s="21" t="n">
        <v>0.745460997440072</v>
      </c>
      <c r="J154" s="21" t="n">
        <v>1.08236362233733</v>
      </c>
      <c r="K154" s="21" t="n">
        <v>0.6941982760224437</v>
      </c>
      <c r="L154" s="21" t="n">
        <v>0.5895821141348137</v>
      </c>
      <c r="M154" s="21" t="n">
        <v>0.3622112120328413</v>
      </c>
    </row>
    <row r="155">
      <c r="A155" s="10" t="n">
        <v>0.215</v>
      </c>
      <c r="B155" s="21" t="n">
        <v>0.7014206568071166</v>
      </c>
      <c r="C155" s="21" t="n">
        <v>0.719606866736588</v>
      </c>
      <c r="D155" s="21" t="n">
        <v>0.7585026165229786</v>
      </c>
      <c r="E155" s="21" t="n">
        <v>0.4149833011530433</v>
      </c>
      <c r="F155" s="21" t="n">
        <v>0.7280554610074138</v>
      </c>
      <c r="G155" s="21" t="n">
        <v>1.030557720138039</v>
      </c>
      <c r="H155" s="21" t="n">
        <v>0.4439601734671151</v>
      </c>
      <c r="I155" s="21" t="n">
        <v>0.7650783921095475</v>
      </c>
      <c r="J155" s="21" t="n">
        <v>1.196674500572822</v>
      </c>
      <c r="K155" s="21" t="n">
        <v>0.6941982760224437</v>
      </c>
      <c r="L155" s="21" t="n">
        <v>0.5744646240287927</v>
      </c>
      <c r="M155" s="21" t="n">
        <v>0.3710456318385204</v>
      </c>
    </row>
    <row r="156">
      <c r="A156" s="10" t="n">
        <v>0.225</v>
      </c>
      <c r="B156" s="21" t="n">
        <v>0.7124774513232269</v>
      </c>
      <c r="C156" s="21" t="n">
        <v>0.7498767057782773</v>
      </c>
      <c r="D156" s="21" t="n">
        <v>0.7755013754051067</v>
      </c>
      <c r="E156" s="21" t="n">
        <v>0.4149833011530433</v>
      </c>
      <c r="F156" s="21" t="n">
        <v>0.7472148152444511</v>
      </c>
      <c r="G156" s="21" t="n">
        <v>1.030557720138039</v>
      </c>
      <c r="H156" s="21" t="n">
        <v>0.4586080465708319</v>
      </c>
      <c r="I156" s="21" t="n">
        <v>0.745460997440072</v>
      </c>
      <c r="J156" s="21" t="n">
        <v>1.212821612361784</v>
      </c>
      <c r="K156" s="21" t="n">
        <v>0.6941982760224437</v>
      </c>
      <c r="L156" s="21" t="n">
        <v>0.5744646240287927</v>
      </c>
      <c r="M156" s="21" t="n">
        <v>0.4279768830563795</v>
      </c>
    </row>
    <row r="157">
      <c r="A157" s="10" t="n">
        <v>0.235</v>
      </c>
      <c r="B157" s="21" t="n">
        <v>0.7625631344946076</v>
      </c>
      <c r="C157" s="21" t="n">
        <v>0.7690470272742462</v>
      </c>
      <c r="D157" s="21" t="n">
        <v>0.7570370569430802</v>
      </c>
      <c r="E157" s="21" t="n">
        <v>0.5257324524897833</v>
      </c>
      <c r="F157" s="21" t="n">
        <v>0.7472148152444511</v>
      </c>
      <c r="G157" s="21" t="n">
        <v>1.107601224698941</v>
      </c>
      <c r="H157" s="21" t="n">
        <v>0.4468058319965494</v>
      </c>
      <c r="I157" s="21" t="n">
        <v>0.853381023592601</v>
      </c>
      <c r="J157" s="21" t="n">
        <v>1.244737970581831</v>
      </c>
      <c r="K157" s="21" t="n">
        <v>0.7702637409837003</v>
      </c>
      <c r="L157" s="21" t="n">
        <v>0.6416461070170641</v>
      </c>
      <c r="M157" s="21" t="n">
        <v>0.5091535409879506</v>
      </c>
    </row>
    <row r="158">
      <c r="A158" s="10" t="n">
        <v>0.245</v>
      </c>
      <c r="B158" s="21" t="n">
        <v>0.7882484922633669</v>
      </c>
      <c r="C158" s="21" t="n">
        <v>0.7793993408812909</v>
      </c>
      <c r="D158" s="21" t="n">
        <v>0.8193775684366701</v>
      </c>
      <c r="E158" s="21" t="n">
        <v>0.5745923721971681</v>
      </c>
      <c r="F158" s="21" t="n">
        <v>0.7252349936524826</v>
      </c>
      <c r="G158" s="21" t="n">
        <v>1.161817024204761</v>
      </c>
      <c r="H158" s="21" t="n">
        <v>0.4599471799964479</v>
      </c>
      <c r="I158" s="21" t="n">
        <v>0.9237636493442506</v>
      </c>
      <c r="J158" s="21" t="n">
        <v>1.212821612361784</v>
      </c>
      <c r="K158" s="21" t="n">
        <v>0.786563483475398</v>
      </c>
      <c r="L158" s="21" t="n">
        <v>0.7088275900053356</v>
      </c>
      <c r="M158" s="21" t="n">
        <v>0.4970308376310947</v>
      </c>
    </row>
    <row r="159">
      <c r="A159" s="10" t="n">
        <v>0.255</v>
      </c>
      <c r="B159" s="21" t="n">
        <v>0.7939936808371878</v>
      </c>
      <c r="C159" s="21" t="n">
        <v>0.8346941187664815</v>
      </c>
      <c r="D159" s="21" t="n">
        <v>0.8132534292647712</v>
      </c>
      <c r="E159" s="21" t="n">
        <v>0.5745923721971681</v>
      </c>
      <c r="F159" s="21" t="n">
        <v>0.7186410471748922</v>
      </c>
      <c r="G159" s="21" t="n">
        <v>1.136560132374223</v>
      </c>
      <c r="H159" s="21" t="n">
        <v>0.4596276491054589</v>
      </c>
      <c r="I159" s="21" t="n">
        <v>0.9237636493442506</v>
      </c>
      <c r="J159" s="21" t="n">
        <v>1.276503595959685</v>
      </c>
      <c r="K159" s="21" t="n">
        <v>0.786563483475398</v>
      </c>
      <c r="L159" s="21" t="n">
        <v>0.7088275900053356</v>
      </c>
      <c r="M159" s="21" t="n">
        <v>0.5270137692344478</v>
      </c>
    </row>
    <row r="160">
      <c r="A160" s="10" t="n">
        <v>0.265</v>
      </c>
      <c r="B160" s="21" t="n">
        <v>0.8197058104577045</v>
      </c>
      <c r="C160" s="21" t="n">
        <v>0.8397043879162517</v>
      </c>
      <c r="D160" s="21" t="n">
        <v>0.8338460261271732</v>
      </c>
      <c r="E160" s="21" t="n">
        <v>0.5745923721971681</v>
      </c>
      <c r="F160" s="21" t="n">
        <v>0.7186410471748922</v>
      </c>
      <c r="G160" s="21" t="n">
        <v>1.161817024204761</v>
      </c>
      <c r="H160" s="21" t="n">
        <v>0.5098098020866517</v>
      </c>
      <c r="I160" s="21" t="n">
        <v>0.9237636493442506</v>
      </c>
      <c r="J160" s="21" t="n">
        <v>1.382389013885866</v>
      </c>
      <c r="K160" s="21" t="n">
        <v>0.786563483475398</v>
      </c>
      <c r="L160" s="21" t="n">
        <v>0.7088275900053356</v>
      </c>
      <c r="M160" s="21" t="n">
        <v>0.5783940996429143</v>
      </c>
    </row>
    <row r="161">
      <c r="A161" s="10" t="n">
        <v>0.275</v>
      </c>
      <c r="B161" s="21" t="n">
        <v>0.8168481100244854</v>
      </c>
      <c r="C161" s="21" t="n">
        <v>0.8742364140792216</v>
      </c>
      <c r="D161" s="21" t="n">
        <v>0.828774950311626</v>
      </c>
      <c r="E161" s="21" t="n">
        <v>0.5745923721971681</v>
      </c>
      <c r="F161" s="21" t="n">
        <v>0.7307864840067569</v>
      </c>
      <c r="G161" s="21" t="n">
        <v>1.161817024204761</v>
      </c>
      <c r="H161" s="21" t="n">
        <v>0.4952438077413189</v>
      </c>
      <c r="I161" s="21" t="n">
        <v>0.9237636493442506</v>
      </c>
      <c r="J161" s="21" t="n">
        <v>1.346943141734946</v>
      </c>
      <c r="K161" s="21" t="n">
        <v>0.786563483475398</v>
      </c>
      <c r="L161" s="21" t="n">
        <v>0.7088275900053356</v>
      </c>
      <c r="M161" s="21" t="n">
        <v>0.5925012728049366</v>
      </c>
    </row>
    <row r="162">
      <c r="A162" s="10" t="n">
        <v>0.285</v>
      </c>
      <c r="B162" s="21" t="n">
        <v>0.8254292284276786</v>
      </c>
      <c r="C162" s="21" t="n">
        <v>0.9742757454180631</v>
      </c>
      <c r="D162" s="21" t="n">
        <v>0.828774950311626</v>
      </c>
      <c r="E162" s="21" t="n">
        <v>0.5745923721971681</v>
      </c>
      <c r="F162" s="21" t="n">
        <v>0.7383773820266722</v>
      </c>
      <c r="G162" s="21" t="n">
        <v>1.161817024204761</v>
      </c>
      <c r="H162" s="21" t="n">
        <v>0.5283139648410209</v>
      </c>
      <c r="I162" s="21" t="n">
        <v>0.9237636493442506</v>
      </c>
      <c r="J162" s="21" t="n">
        <v>1.382389013885866</v>
      </c>
      <c r="K162" s="21" t="n">
        <v>0.786563483475398</v>
      </c>
      <c r="L162" s="21" t="n">
        <v>0.727480947637055</v>
      </c>
      <c r="M162" s="21" t="n">
        <v>0.5810596376357868</v>
      </c>
    </row>
    <row r="163">
      <c r="A163" s="10" t="n">
        <v>0.295</v>
      </c>
      <c r="B163" s="21" t="n">
        <v>0.9037864840261658</v>
      </c>
      <c r="C163" s="21" t="n">
        <v>1.013304130772383</v>
      </c>
      <c r="D163" s="21" t="n">
        <v>0.878908422860902</v>
      </c>
      <c r="E163" s="21" t="n">
        <v>0.671652856480089</v>
      </c>
      <c r="F163" s="21" t="n">
        <v>0.7194446286413729</v>
      </c>
      <c r="G163" s="21" t="n">
        <v>1.320642633451223</v>
      </c>
      <c r="H163" s="21" t="n">
        <v>0.7049576522908364</v>
      </c>
      <c r="I163" s="21" t="n">
        <v>1.007816217020955</v>
      </c>
      <c r="J163" s="21" t="n">
        <v>1.346943141734946</v>
      </c>
      <c r="K163" s="21" t="n">
        <v>0.9129655113333017</v>
      </c>
      <c r="L163" s="21" t="n">
        <v>0.8021207718479754</v>
      </c>
      <c r="M163" s="21" t="n">
        <v>0.7044538685055821</v>
      </c>
    </row>
    <row r="164">
      <c r="A164" s="10" t="n">
        <v>0.305</v>
      </c>
      <c r="B164" s="21" t="n">
        <v>0.9566845337882793</v>
      </c>
      <c r="C164" s="21" t="n">
        <v>1.03976272990319</v>
      </c>
      <c r="D164" s="21" t="n">
        <v>0.8901098215220602</v>
      </c>
      <c r="E164" s="21" t="n">
        <v>0.6922799762982634</v>
      </c>
      <c r="F164" s="21" t="n">
        <v>0.7331232410831432</v>
      </c>
      <c r="G164" s="21" t="n">
        <v>1.405349625049336</v>
      </c>
      <c r="H164" s="21" t="n">
        <v>0.7256917008876257</v>
      </c>
      <c r="I164" s="21" t="n">
        <v>1.08465864153848</v>
      </c>
      <c r="J164" s="21" t="n">
        <v>1.608443591868113</v>
      </c>
      <c r="K164" s="21" t="n">
        <v>0.9400516601599953</v>
      </c>
      <c r="L164" s="21" t="n">
        <v>0.8310738282818978</v>
      </c>
      <c r="M164" s="21" t="n">
        <v>0.6876811573506874</v>
      </c>
    </row>
    <row r="165">
      <c r="A165" s="10" t="n">
        <v>0.315</v>
      </c>
      <c r="B165" s="21" t="n">
        <v>0.9517243604711383</v>
      </c>
      <c r="C165" s="21" t="n">
        <v>1.047923133534718</v>
      </c>
      <c r="D165" s="21" t="n">
        <v>0.9118198171689398</v>
      </c>
      <c r="E165" s="21" t="n">
        <v>0.7067024758044773</v>
      </c>
      <c r="F165" s="21" t="n">
        <v>0.6973950826671449</v>
      </c>
      <c r="G165" s="21" t="n">
        <v>1.374798546243916</v>
      </c>
      <c r="H165" s="21" t="n">
        <v>0.7049576522908364</v>
      </c>
      <c r="I165" s="21" t="n">
        <v>1.056846881499032</v>
      </c>
      <c r="J165" s="21" t="n">
        <v>1.615382953088865</v>
      </c>
      <c r="K165" s="21" t="n">
        <v>0.9400516601599953</v>
      </c>
      <c r="L165" s="21" t="n">
        <v>0.8310738282818978</v>
      </c>
      <c r="M165" s="21" t="n">
        <v>0.7044538685055821</v>
      </c>
    </row>
    <row r="166">
      <c r="A166" s="10" t="n">
        <v>0.325</v>
      </c>
      <c r="B166" s="21" t="n">
        <v>1.027859726579283</v>
      </c>
      <c r="C166" s="21" t="n">
        <v>1.047923133534718</v>
      </c>
      <c r="D166" s="21" t="n">
        <v>0.8882764755369168</v>
      </c>
      <c r="E166" s="21" t="n">
        <v>0.7067024758044773</v>
      </c>
      <c r="F166" s="21" t="n">
        <v>0.6973950826671449</v>
      </c>
      <c r="G166" s="21" t="n">
        <v>1.405349625049336</v>
      </c>
      <c r="H166" s="21" t="n">
        <v>1.332472853554484</v>
      </c>
      <c r="I166" s="21" t="n">
        <v>1.056846881499032</v>
      </c>
      <c r="J166" s="21" t="n">
        <v>1.65789303080173</v>
      </c>
      <c r="K166" s="21" t="n">
        <v>0.9400516601599953</v>
      </c>
      <c r="L166" s="21" t="n">
        <v>0.8310738282818978</v>
      </c>
      <c r="M166" s="21" t="n">
        <v>0.8014085524564429</v>
      </c>
    </row>
    <row r="167">
      <c r="A167" s="10" t="n">
        <v>0.335</v>
      </c>
      <c r="B167" s="21" t="n">
        <v>1.040214034922491</v>
      </c>
      <c r="C167" s="21" t="n">
        <v>1.092134997226499</v>
      </c>
      <c r="D167" s="21" t="n">
        <v>0.9093359290600362</v>
      </c>
      <c r="E167" s="21" t="n">
        <v>0.7067024758044773</v>
      </c>
      <c r="F167" s="21" t="n">
        <v>0.6973950826671449</v>
      </c>
      <c r="G167" s="21" t="n">
        <v>1.405349625049336</v>
      </c>
      <c r="H167" s="21" t="n">
        <v>1.469052437130584</v>
      </c>
      <c r="I167" s="21" t="n">
        <v>1.056846881499032</v>
      </c>
      <c r="J167" s="21" t="n">
        <v>1.615382953088865</v>
      </c>
      <c r="K167" s="21" t="n">
        <v>0.9400516601599953</v>
      </c>
      <c r="L167" s="21" t="n">
        <v>0.8310738282818978</v>
      </c>
      <c r="M167" s="21" t="n">
        <v>0.8119043461627276</v>
      </c>
    </row>
    <row r="168">
      <c r="A168" s="10" t="n">
        <v>0.345</v>
      </c>
      <c r="B168" s="21" t="n">
        <v>1.046173858736968</v>
      </c>
      <c r="C168" s="21" t="n">
        <v>1.136538912343711</v>
      </c>
      <c r="D168" s="21" t="n">
        <v>0.8909460886933961</v>
      </c>
      <c r="E168" s="21" t="n">
        <v>0.7067024758044773</v>
      </c>
      <c r="F168" s="21" t="n">
        <v>0.6893652280563626</v>
      </c>
      <c r="G168" s="21" t="n">
        <v>1.405349625049336</v>
      </c>
      <c r="H168" s="21" t="n">
        <v>1.512259861752071</v>
      </c>
      <c r="I168" s="21" t="n">
        <v>1.056846881499032</v>
      </c>
      <c r="J168" s="21" t="n">
        <v>1.636952969978363</v>
      </c>
      <c r="K168" s="21" t="n">
        <v>0.9400516601599953</v>
      </c>
      <c r="L168" s="21" t="n">
        <v>0.8310738282818978</v>
      </c>
      <c r="M168" s="21" t="n">
        <v>0.8317068911910869</v>
      </c>
    </row>
    <row r="169">
      <c r="A169" s="10" t="n">
        <v>0.355</v>
      </c>
      <c r="B169" s="21" t="n">
        <v>1.104529638008191</v>
      </c>
      <c r="C169" s="21" t="n">
        <v>1.161204040344713</v>
      </c>
      <c r="D169" s="21" t="n">
        <v>0.9435765874753224</v>
      </c>
      <c r="E169" s="21" t="n">
        <v>0.8722798868407386</v>
      </c>
      <c r="F169" s="21" t="n">
        <v>0.6865963126733344</v>
      </c>
      <c r="G169" s="21" t="n">
        <v>1.535822613317133</v>
      </c>
      <c r="H169" s="21" t="n">
        <v>1.491356206089524</v>
      </c>
      <c r="I169" s="21" t="n">
        <v>1.121246540745749</v>
      </c>
      <c r="J169" s="21" t="n">
        <v>1.577491414456106</v>
      </c>
      <c r="K169" s="21" t="n">
        <v>1.086427141531085</v>
      </c>
      <c r="L169" s="21" t="n">
        <v>0.9783969949308082</v>
      </c>
      <c r="M169" s="21" t="n">
        <v>0.8418123605230131</v>
      </c>
    </row>
    <row r="170">
      <c r="A170" s="10" t="n">
        <v>0.365</v>
      </c>
      <c r="B170" s="21" t="n">
        <v>1.122482261673335</v>
      </c>
      <c r="C170" s="21" t="n">
        <v>1.192844865070716</v>
      </c>
      <c r="D170" s="21" t="n">
        <v>0.9211104782497195</v>
      </c>
      <c r="E170" s="21" t="n">
        <v>0.8830784136474513</v>
      </c>
      <c r="F170" s="21" t="n">
        <v>0.6865963126733344</v>
      </c>
      <c r="G170" s="21" t="n">
        <v>1.51800060653784</v>
      </c>
      <c r="H170" s="21" t="n">
        <v>1.549432810016971</v>
      </c>
      <c r="I170" s="21" t="n">
        <v>1.128822971245363</v>
      </c>
      <c r="J170" s="21" t="n">
        <v>1.619004346415478</v>
      </c>
      <c r="K170" s="21" t="n">
        <v>1.086427141531085</v>
      </c>
      <c r="L170" s="21" t="n">
        <v>1.038286240548812</v>
      </c>
      <c r="M170" s="21" t="n">
        <v>0.8840459163215865</v>
      </c>
    </row>
    <row r="171">
      <c r="A171" s="10" t="n">
        <v>0.375</v>
      </c>
      <c r="B171" s="21" t="n">
        <v>1.1204086423038</v>
      </c>
      <c r="C171" s="21" t="n">
        <v>1.203669765753216</v>
      </c>
      <c r="D171" s="21" t="n">
        <v>0.9841909840703764</v>
      </c>
      <c r="E171" s="21" t="n">
        <v>0.8830784136474513</v>
      </c>
      <c r="F171" s="21" t="n">
        <v>0.7032987389471547</v>
      </c>
      <c r="G171" s="21" t="n">
        <v>1.551733953349792</v>
      </c>
      <c r="H171" s="21" t="n">
        <v>1.505163301159343</v>
      </c>
      <c r="I171" s="21" t="n">
        <v>1.128822971245363</v>
      </c>
      <c r="J171" s="21" t="n">
        <v>1.577491414456106</v>
      </c>
      <c r="K171" s="21" t="n">
        <v>1.086427141531085</v>
      </c>
      <c r="L171" s="21" t="n">
        <v>1.011663516432175</v>
      </c>
      <c r="M171" s="21" t="n">
        <v>0.8629972040282152</v>
      </c>
    </row>
    <row r="172">
      <c r="A172" s="10" t="n">
        <v>0.385</v>
      </c>
      <c r="B172" s="21" t="n">
        <v>1.152817006400329</v>
      </c>
      <c r="C172" s="21" t="n">
        <v>1.216582596988205</v>
      </c>
      <c r="D172" s="21" t="n">
        <v>1.025184869524546</v>
      </c>
      <c r="E172" s="21" t="n">
        <v>0.8830784136474513</v>
      </c>
      <c r="F172" s="21" t="n">
        <v>0.7324604988555597</v>
      </c>
      <c r="G172" s="21" t="n">
        <v>1.551733953349792</v>
      </c>
      <c r="H172" s="21" t="n">
        <v>1.646762631110189</v>
      </c>
      <c r="I172" s="21" t="n">
        <v>1.158528838909714</v>
      </c>
      <c r="J172" s="21" t="n">
        <v>1.613297933633459</v>
      </c>
      <c r="K172" s="21" t="n">
        <v>1.086427141531085</v>
      </c>
      <c r="L172" s="21" t="n">
        <v>1.011663516432175</v>
      </c>
      <c r="M172" s="21" t="n">
        <v>0.9051435044852409</v>
      </c>
    </row>
    <row r="173">
      <c r="A173" s="10" t="n">
        <v>0.395</v>
      </c>
      <c r="B173" s="21" t="n">
        <v>1.169798091973588</v>
      </c>
      <c r="C173" s="21" t="n">
        <v>1.313507712055811</v>
      </c>
      <c r="D173" s="21" t="n">
        <v>1.05018937853734</v>
      </c>
      <c r="E173" s="21" t="n">
        <v>0.8830784136474513</v>
      </c>
      <c r="F173" s="21" t="n">
        <v>0.7517357751412324</v>
      </c>
      <c r="G173" s="21" t="n">
        <v>1.551733953349792</v>
      </c>
      <c r="H173" s="21" t="n">
        <v>1.806000929992924</v>
      </c>
      <c r="I173" s="21" t="n">
        <v>1.128822971245363</v>
      </c>
      <c r="J173" s="21" t="n">
        <v>1.574494326715731</v>
      </c>
      <c r="K173" s="21" t="n">
        <v>1.086427141531085</v>
      </c>
      <c r="L173" s="21" t="n">
        <v>1.011663516432175</v>
      </c>
      <c r="M173" s="21" t="n">
        <v>0.9295357513135881</v>
      </c>
    </row>
    <row r="174">
      <c r="A174" s="10" t="n">
        <v>0.405</v>
      </c>
      <c r="B174" s="21" t="n">
        <v>1.17761641018724</v>
      </c>
      <c r="C174" s="21" t="n">
        <v>1.349806336687969</v>
      </c>
      <c r="D174" s="21" t="n">
        <v>1.06869119575046</v>
      </c>
      <c r="E174" s="21" t="n">
        <v>0.8830784136474513</v>
      </c>
      <c r="F174" s="21" t="n">
        <v>0.7517357751412324</v>
      </c>
      <c r="G174" s="21" t="n">
        <v>1.551733953349792</v>
      </c>
      <c r="H174" s="21" t="n">
        <v>1.859118604404481</v>
      </c>
      <c r="I174" s="21" t="n">
        <v>1.128822971245363</v>
      </c>
      <c r="J174" s="21" t="n">
        <v>1.534122677312764</v>
      </c>
      <c r="K174" s="21" t="n">
        <v>1.086427141531085</v>
      </c>
      <c r="L174" s="21" t="n">
        <v>1.036439227616126</v>
      </c>
      <c r="M174" s="21" t="n">
        <v>0.9522073550041634</v>
      </c>
    </row>
    <row r="175">
      <c r="A175" s="10" t="n">
        <v>0.415</v>
      </c>
      <c r="B175" s="21" t="n">
        <v>1.248123187304884</v>
      </c>
      <c r="C175" s="21" t="n">
        <v>1.289085682567353</v>
      </c>
      <c r="D175" s="21" t="n">
        <v>1.082725494533012</v>
      </c>
      <c r="E175" s="21" t="n">
        <v>1.07722982083304</v>
      </c>
      <c r="F175" s="21" t="n">
        <v>0.8363021708883909</v>
      </c>
      <c r="G175" s="21" t="n">
        <v>1.307698242104367</v>
      </c>
      <c r="H175" s="21" t="n">
        <v>1.810902740055629</v>
      </c>
      <c r="I175" s="21" t="n">
        <v>1.413562544874243</v>
      </c>
      <c r="J175" s="21" t="n">
        <v>1.574494326715731</v>
      </c>
      <c r="K175" s="21" t="n">
        <v>1.308531958713902</v>
      </c>
      <c r="L175" s="21" t="n">
        <v>1.247032772679711</v>
      </c>
      <c r="M175" s="21" t="n">
        <v>0.9325181710852213</v>
      </c>
    </row>
    <row r="176">
      <c r="A176" s="10" t="n">
        <v>0.425</v>
      </c>
      <c r="B176" s="21" t="n">
        <v>1.283279520539386</v>
      </c>
      <c r="C176" s="21" t="n">
        <v>1.198799030568763</v>
      </c>
      <c r="D176" s="21" t="n">
        <v>1.109133433424061</v>
      </c>
      <c r="E176" s="21" t="n">
        <v>1.081274641816074</v>
      </c>
      <c r="F176" s="21" t="n">
        <v>0.8487384055570905</v>
      </c>
      <c r="G176" s="21" t="n">
        <v>1.268418629127746</v>
      </c>
      <c r="H176" s="21" t="n">
        <v>2.030681956599143</v>
      </c>
      <c r="I176" s="21" t="n">
        <v>1.429381410075847</v>
      </c>
      <c r="J176" s="21" t="n">
        <v>1.534122677312764</v>
      </c>
      <c r="K176" s="21" t="n">
        <v>1.308531958713902</v>
      </c>
      <c r="L176" s="21" t="n">
        <v>1.247032772679711</v>
      </c>
      <c r="M176" s="21" t="n">
        <v>1.077468985412755</v>
      </c>
    </row>
    <row r="177">
      <c r="A177" s="10" t="n">
        <v>0.435</v>
      </c>
      <c r="B177" s="21" t="n">
        <v>1.259554209582289</v>
      </c>
      <c r="C177" s="21" t="n">
        <v>1.21655011668005</v>
      </c>
      <c r="D177" s="21" t="n">
        <v>1.173025466453239</v>
      </c>
      <c r="E177" s="21" t="n">
        <v>1.081274641816074</v>
      </c>
      <c r="F177" s="21" t="n">
        <v>0.8487384055570905</v>
      </c>
      <c r="G177" s="21" t="n">
        <v>1.296605709775029</v>
      </c>
      <c r="H177" s="21" t="n">
        <v>1.972662472124882</v>
      </c>
      <c r="I177" s="21" t="n">
        <v>1.429381410075847</v>
      </c>
      <c r="J177" s="21" t="n">
        <v>1.286933055010674</v>
      </c>
      <c r="K177" s="21" t="n">
        <v>1.308531958713902</v>
      </c>
      <c r="L177" s="21" t="n">
        <v>1.247032772679711</v>
      </c>
      <c r="M177" s="21" t="n">
        <v>1.051814961950547</v>
      </c>
    </row>
    <row r="178">
      <c r="A178" s="10" t="n">
        <v>0.445</v>
      </c>
      <c r="B178" s="21" t="n">
        <v>1.270413111420288</v>
      </c>
      <c r="C178" s="21" t="n">
        <v>1.215368629812958</v>
      </c>
      <c r="D178" s="21" t="n">
        <v>1.201635843683806</v>
      </c>
      <c r="E178" s="21" t="n">
        <v>1.081274641816074</v>
      </c>
      <c r="F178" s="21" t="n">
        <v>0.846143631432178</v>
      </c>
      <c r="G178" s="21" t="n">
        <v>1.296605709775029</v>
      </c>
      <c r="H178" s="21" t="n">
        <v>2.072286172138706</v>
      </c>
      <c r="I178" s="21" t="n">
        <v>1.429381410075847</v>
      </c>
      <c r="J178" s="21" t="n">
        <v>1.202991515955425</v>
      </c>
      <c r="K178" s="21" t="n">
        <v>1.308531958713902</v>
      </c>
      <c r="L178" s="21" t="n">
        <v>1.279849424592335</v>
      </c>
      <c r="M178" s="21" t="n">
        <v>1.087861907969134</v>
      </c>
    </row>
    <row r="179">
      <c r="A179" s="10" t="n">
        <v>0.455</v>
      </c>
      <c r="B179" s="21" t="n">
        <v>1.31936154058098</v>
      </c>
      <c r="C179" s="21" t="n">
        <v>1.184415667762377</v>
      </c>
      <c r="D179" s="21" t="n">
        <v>1.191934151846099</v>
      </c>
      <c r="E179" s="21" t="n">
        <v>1.081274641816074</v>
      </c>
      <c r="F179" s="21" t="n">
        <v>0.8419919928323181</v>
      </c>
      <c r="G179" s="21" t="n">
        <v>1.296605709775029</v>
      </c>
      <c r="H179" s="21" t="n">
        <v>2.4441769149066</v>
      </c>
      <c r="I179" s="21" t="n">
        <v>1.429381410075847</v>
      </c>
      <c r="J179" s="21" t="n">
        <v>1.234649187427936</v>
      </c>
      <c r="K179" s="21" t="n">
        <v>1.308531958713902</v>
      </c>
      <c r="L179" s="21" t="n">
        <v>1.247032772679711</v>
      </c>
      <c r="M179" s="21" t="n">
        <v>1.193851570221059</v>
      </c>
    </row>
    <row r="180">
      <c r="A180" s="10" t="n">
        <v>0.465</v>
      </c>
      <c r="B180" s="21" t="n">
        <v>1.339931413006269</v>
      </c>
      <c r="C180" s="21" t="n">
        <v>1.175103296598825</v>
      </c>
      <c r="D180" s="21" t="n">
        <v>1.273832642456543</v>
      </c>
      <c r="E180" s="21" t="n">
        <v>1.081274641816074</v>
      </c>
      <c r="F180" s="21" t="n">
        <v>0.8419919928323181</v>
      </c>
      <c r="G180" s="21" t="n">
        <v>1.289260305541058</v>
      </c>
      <c r="H180" s="21" t="n">
        <v>2.516064471227382</v>
      </c>
      <c r="I180" s="21" t="n">
        <v>1.411378546982766</v>
      </c>
      <c r="J180" s="21" t="n">
        <v>1.202991515955425</v>
      </c>
      <c r="K180" s="21" t="n">
        <v>1.308531958713902</v>
      </c>
      <c r="L180" s="21" t="n">
        <v>1.323804090172287</v>
      </c>
      <c r="M180" s="21" t="n">
        <v>1.222969901202061</v>
      </c>
    </row>
    <row r="181">
      <c r="A181" s="10" t="n">
        <v>0.475</v>
      </c>
      <c r="B181" s="21" t="n">
        <v>1.524058314782678</v>
      </c>
      <c r="C181" s="21" t="n">
        <v>1.165143017808628</v>
      </c>
      <c r="D181" s="21" t="n">
        <v>1.243503293826626</v>
      </c>
      <c r="E181" s="21" t="n">
        <v>2.641149898000311</v>
      </c>
      <c r="F181" s="21" t="n">
        <v>0.8204024545545663</v>
      </c>
      <c r="G181" s="21" t="n">
        <v>1.259062532579175</v>
      </c>
      <c r="H181" s="21" t="n">
        <v>2.516064471227382</v>
      </c>
      <c r="I181" s="21" t="n">
        <v>1.366695044536693</v>
      </c>
      <c r="J181" s="21" t="n">
        <v>1.149112703197747</v>
      </c>
      <c r="K181" s="21" t="n">
        <v>1.363492184011287</v>
      </c>
      <c r="L181" s="21" t="n">
        <v>1.663791353353691</v>
      </c>
      <c r="M181" s="21" t="n">
        <v>1.222969901202061</v>
      </c>
    </row>
    <row r="182">
      <c r="A182" s="10" t="n">
        <v>0.485</v>
      </c>
      <c r="B182" s="21" t="n">
        <v>1.470607030667551</v>
      </c>
      <c r="C182" s="21" t="n">
        <v>1.164670322341156</v>
      </c>
      <c r="D182" s="21" t="n">
        <v>1.341891718032437</v>
      </c>
      <c r="E182" s="21" t="n">
        <v>2.641149898000311</v>
      </c>
      <c r="F182" s="21" t="n">
        <v>0.9412243424425445</v>
      </c>
      <c r="G182" s="21" t="n">
        <v>1.231691607957889</v>
      </c>
      <c r="H182" s="21" t="n">
        <v>1.580471637461191</v>
      </c>
      <c r="I182" s="21" t="n">
        <v>1.331651581856266</v>
      </c>
      <c r="J182" s="21" t="n">
        <v>1.011792315911477</v>
      </c>
      <c r="K182" s="21" t="n">
        <v>1.363492184011287</v>
      </c>
      <c r="L182" s="21" t="n">
        <v>1.663791353353691</v>
      </c>
      <c r="M182" s="21" t="n">
        <v>1.599167899783623</v>
      </c>
    </row>
    <row r="183">
      <c r="A183" s="10" t="n">
        <v>0.495</v>
      </c>
      <c r="B183" s="21" t="n">
        <v>1.471087876280051</v>
      </c>
      <c r="C183" s="21" t="n">
        <v>1.164997813162551</v>
      </c>
      <c r="D183" s="21" t="n">
        <v>1.412552370707328</v>
      </c>
      <c r="E183" s="21" t="n">
        <v>2.209941751388016</v>
      </c>
      <c r="F183" s="21" t="n">
        <v>0.8822929246451848</v>
      </c>
      <c r="G183" s="21" t="n">
        <v>1.149578834094029</v>
      </c>
      <c r="H183" s="21" t="n">
        <v>1.595938878838096</v>
      </c>
      <c r="I183" s="21" t="n">
        <v>1.506868895258406</v>
      </c>
      <c r="J183" s="21" t="n">
        <v>1.065044543064712</v>
      </c>
      <c r="K183" s="21" t="n">
        <v>1.684313874366883</v>
      </c>
      <c r="L183" s="21" t="n">
        <v>1.663791353353691</v>
      </c>
      <c r="M183" s="21" t="n">
        <v>1.531823827927806</v>
      </c>
    </row>
    <row r="184">
      <c r="A184" s="10" t="n">
        <v>0.505</v>
      </c>
      <c r="B184" s="21" t="n">
        <v>1.443067217916515</v>
      </c>
      <c r="C184" s="21" t="n">
        <v>1.320850893269806</v>
      </c>
      <c r="D184" s="21" t="n">
        <v>1.52594648648168</v>
      </c>
      <c r="E184" s="21" t="n">
        <v>1.293624439836888</v>
      </c>
      <c r="F184" s="21" t="n">
        <v>0.6617196934838883</v>
      </c>
      <c r="G184" s="21" t="n">
        <v>0.9032405125024517</v>
      </c>
      <c r="H184" s="21" t="n">
        <v>1.93966162233251</v>
      </c>
      <c r="I184" s="21" t="n">
        <v>1.927390447423542</v>
      </c>
      <c r="J184" s="21" t="n">
        <v>1.09167065664133</v>
      </c>
      <c r="K184" s="21" t="n">
        <v>2.325957255078075</v>
      </c>
      <c r="L184" s="21" t="n">
        <v>1.576223387387708</v>
      </c>
      <c r="M184" s="21" t="n">
        <v>1.159218031945367</v>
      </c>
    </row>
    <row r="185">
      <c r="A185" s="10" t="n">
        <v>0.515</v>
      </c>
      <c r="B185" s="21" t="n">
        <v>1.415437500451565</v>
      </c>
      <c r="C185" s="21" t="n">
        <v>1.3408921688298</v>
      </c>
      <c r="D185" s="21" t="n">
        <v>1.852513394757329</v>
      </c>
      <c r="E185" s="21" t="n">
        <v>1.293624439836888</v>
      </c>
      <c r="F185" s="21" t="n">
        <v>0.6862278302795878</v>
      </c>
      <c r="G185" s="21" t="n">
        <v>0.9032405125024517</v>
      </c>
      <c r="H185" s="21" t="n">
        <v>1.682526972147236</v>
      </c>
      <c r="I185" s="21" t="n">
        <v>1.876737313955196</v>
      </c>
      <c r="J185" s="21" t="n">
        <v>1.08456208350109</v>
      </c>
      <c r="K185" s="21" t="n">
        <v>1.970627491914245</v>
      </c>
      <c r="L185" s="21" t="n">
        <v>1.620007370370699</v>
      </c>
      <c r="M185" s="21" t="n">
        <v>1.159218031945367</v>
      </c>
    </row>
    <row r="186">
      <c r="A186" s="10" t="n">
        <v>0.525</v>
      </c>
      <c r="B186" s="21" t="n">
        <v>1.42564389536986</v>
      </c>
      <c r="C186" s="21" t="n">
        <v>1.33874603464075</v>
      </c>
      <c r="D186" s="21" t="n">
        <v>1.852513394757329</v>
      </c>
      <c r="E186" s="21" t="n">
        <v>1.293624439836888</v>
      </c>
      <c r="F186" s="21" t="n">
        <v>1.078122461990201</v>
      </c>
      <c r="G186" s="21" t="n">
        <v>0.9032405125024517</v>
      </c>
      <c r="H186" s="21" t="n">
        <v>1.682526972147236</v>
      </c>
      <c r="I186" s="21" t="n">
        <v>1.64879821334764</v>
      </c>
      <c r="J186" s="21" t="n">
        <v>1.050034728248495</v>
      </c>
      <c r="K186" s="21" t="n">
        <v>1.615297728750413</v>
      </c>
      <c r="L186" s="21" t="n">
        <v>1.629162222467468</v>
      </c>
      <c r="M186" s="21" t="n">
        <v>1.469858188203989</v>
      </c>
    </row>
    <row r="187">
      <c r="A187" s="10" t="n">
        <v>0.535</v>
      </c>
      <c r="B187" s="21" t="n">
        <v>1.454482696038713</v>
      </c>
      <c r="C187" s="21" t="n">
        <v>1.387125979311298</v>
      </c>
      <c r="D187" s="21" t="n">
        <v>1.701289906622259</v>
      </c>
      <c r="E187" s="21" t="n">
        <v>1.293624439836888</v>
      </c>
      <c r="F187" s="21" t="n">
        <v>1.142681286946913</v>
      </c>
      <c r="G187" s="21" t="n">
        <v>0.8758695878811652</v>
      </c>
      <c r="H187" s="21" t="n">
        <v>1.497728634727099</v>
      </c>
      <c r="I187" s="21" t="n">
        <v>1.64879821334764</v>
      </c>
      <c r="J187" s="21" t="n">
        <v>1.075645331376507</v>
      </c>
      <c r="K187" s="21" t="n">
        <v>1.615297728750413</v>
      </c>
      <c r="L187" s="21" t="n">
        <v>2.109691594858488</v>
      </c>
      <c r="M187" s="21" t="n">
        <v>1.554578230819977</v>
      </c>
    </row>
    <row r="188">
      <c r="A188" s="10" t="n">
        <v>0.545</v>
      </c>
      <c r="B188" s="21" t="n">
        <v>1.474438483856588</v>
      </c>
      <c r="C188" s="21" t="n">
        <v>1.396465161953493</v>
      </c>
      <c r="D188" s="21" t="n">
        <v>1.628117251073033</v>
      </c>
      <c r="E188" s="21" t="n">
        <v>1.293624439836888</v>
      </c>
      <c r="F188" s="21" t="n">
        <v>1.185002816093095</v>
      </c>
      <c r="G188" s="21" t="n">
        <v>1.173394004852303</v>
      </c>
      <c r="H188" s="21" t="n">
        <v>1.48200111664879</v>
      </c>
      <c r="I188" s="21" t="n">
        <v>1.64879821334764</v>
      </c>
      <c r="J188" s="21" t="n">
        <v>1.050034728248495</v>
      </c>
      <c r="K188" s="21" t="n">
        <v>1.643147689590938</v>
      </c>
      <c r="L188" s="21" t="n">
        <v>2.109691594858488</v>
      </c>
      <c r="M188" s="21" t="n">
        <v>1.554578230819977</v>
      </c>
    </row>
    <row r="189">
      <c r="A189" s="10" t="n">
        <v>0.555</v>
      </c>
      <c r="B189" s="21" t="n">
        <v>1.452946317852076</v>
      </c>
      <c r="C189" s="21" t="n">
        <v>1.369416340770435</v>
      </c>
      <c r="D189" s="21" t="n">
        <v>1.592651423201028</v>
      </c>
      <c r="E189" s="21" t="n">
        <v>1.293624439836888</v>
      </c>
      <c r="F189" s="21" t="n">
        <v>1.142681286946913</v>
      </c>
      <c r="G189" s="21" t="n">
        <v>1.173394004852303</v>
      </c>
      <c r="H189" s="21" t="n">
        <v>1.514404436817727</v>
      </c>
      <c r="I189" s="21" t="n">
        <v>1.632842331200876</v>
      </c>
      <c r="J189" s="21" t="n">
        <v>1.043291146115857</v>
      </c>
      <c r="K189" s="21" t="n">
        <v>1.55933146964143</v>
      </c>
      <c r="L189" s="21" t="n">
        <v>2.052672903105556</v>
      </c>
      <c r="M189" s="21" t="n">
        <v>1.554578230819977</v>
      </c>
    </row>
    <row r="190">
      <c r="A190" s="10" t="n">
        <v>0.5649999999999999</v>
      </c>
      <c r="B190" s="21" t="n">
        <v>1.445566357329644</v>
      </c>
      <c r="C190" s="21" t="n">
        <v>1.332224823270117</v>
      </c>
      <c r="D190" s="21" t="n">
        <v>1.446847464171669</v>
      </c>
      <c r="E190" s="21" t="n">
        <v>1.683412748182933</v>
      </c>
      <c r="F190" s="21" t="n">
        <v>1.185002816093095</v>
      </c>
      <c r="G190" s="21" t="n">
        <v>1.173394004852303</v>
      </c>
      <c r="H190" s="21" t="n">
        <v>1.493446421435476</v>
      </c>
      <c r="I190" s="21" t="n">
        <v>1.331614185372282</v>
      </c>
      <c r="J190" s="21" t="n">
        <v>1.035482787857012</v>
      </c>
      <c r="K190" s="21" t="n">
        <v>1.55933146964143</v>
      </c>
      <c r="L190" s="21" t="n">
        <v>2.109691594858488</v>
      </c>
      <c r="M190" s="21" t="n">
        <v>1.499057579719264</v>
      </c>
    </row>
    <row r="191">
      <c r="A191" s="10" t="n">
        <v>0.575</v>
      </c>
      <c r="B191" s="21" t="n">
        <v>1.458712652661308</v>
      </c>
      <c r="C191" s="21" t="n">
        <v>1.421317452494768</v>
      </c>
      <c r="D191" s="21" t="n">
        <v>1.446847464171669</v>
      </c>
      <c r="E191" s="21" t="n">
        <v>1.613270550341977</v>
      </c>
      <c r="F191" s="21" t="n">
        <v>1.085391126895489</v>
      </c>
      <c r="G191" s="21" t="n">
        <v>1.173394004852303</v>
      </c>
      <c r="H191" s="21" t="n">
        <v>1.443157963919221</v>
      </c>
      <c r="I191" s="21" t="n">
        <v>1.35627370732362</v>
      </c>
      <c r="J191" s="21" t="n">
        <v>1.035482787857012</v>
      </c>
      <c r="K191" s="21" t="n">
        <v>1.55933146964143</v>
      </c>
      <c r="L191" s="21" t="n">
        <v>2.052672903105556</v>
      </c>
      <c r="M191" s="21" t="n">
        <v>1.876886744466584</v>
      </c>
    </row>
    <row r="192">
      <c r="A192" s="10" t="n">
        <v>0.585</v>
      </c>
      <c r="B192" s="21" t="n">
        <v>1.447169258000699</v>
      </c>
      <c r="C192" s="21" t="n">
        <v>1.498786002565983</v>
      </c>
      <c r="D192" s="21" t="n">
        <v>1.428275545827875</v>
      </c>
      <c r="E192" s="21" t="n">
        <v>1.683412748182933</v>
      </c>
      <c r="F192" s="21" t="n">
        <v>1.030618136599607</v>
      </c>
      <c r="G192" s="21" t="n">
        <v>1.173394004852303</v>
      </c>
      <c r="H192" s="21" t="n">
        <v>1.371906954190361</v>
      </c>
      <c r="I192" s="21" t="n">
        <v>1.35627370732362</v>
      </c>
      <c r="J192" s="21" t="n">
        <v>1.060738465609622</v>
      </c>
      <c r="K192" s="21" t="n">
        <v>1.45095680756268</v>
      </c>
      <c r="L192" s="21" t="n">
        <v>2.050098779499216</v>
      </c>
      <c r="M192" s="21" t="n">
        <v>1.915563766104177</v>
      </c>
    </row>
    <row r="193">
      <c r="A193" s="10" t="n">
        <v>0.595</v>
      </c>
      <c r="B193" s="21" t="n">
        <v>1.433599761390339</v>
      </c>
      <c r="C193" s="21" t="n">
        <v>1.491472702743583</v>
      </c>
      <c r="D193" s="21" t="n">
        <v>1.421720751118299</v>
      </c>
      <c r="E193" s="21" t="n">
        <v>1.683412748182933</v>
      </c>
      <c r="F193" s="21" t="n">
        <v>1.068789178695888</v>
      </c>
      <c r="G193" s="21" t="n">
        <v>1.13783661076587</v>
      </c>
      <c r="H193" s="21" t="n">
        <v>1.360421962864613</v>
      </c>
      <c r="I193" s="21" t="n">
        <v>1.362660020242222</v>
      </c>
      <c r="J193" s="21" t="n">
        <v>1.099743064901232</v>
      </c>
      <c r="K193" s="21" t="n">
        <v>1.379739172482357</v>
      </c>
      <c r="L193" s="21" t="n">
        <v>1.940081274220561</v>
      </c>
      <c r="M193" s="21" t="n">
        <v>1.915563766104177</v>
      </c>
    </row>
    <row r="194">
      <c r="A194" s="10" t="n">
        <v>0.605</v>
      </c>
      <c r="B194" s="21" t="n">
        <v>1.440605503287692</v>
      </c>
      <c r="C194" s="21" t="n">
        <v>1.48521334462448</v>
      </c>
      <c r="D194" s="21" t="n">
        <v>1.399202772317415</v>
      </c>
      <c r="E194" s="21" t="n">
        <v>1.683412748182933</v>
      </c>
      <c r="F194" s="21" t="n">
        <v>1.068789178695888</v>
      </c>
      <c r="G194" s="21" t="n">
        <v>1.173394004852303</v>
      </c>
      <c r="H194" s="21" t="n">
        <v>1.335298544339541</v>
      </c>
      <c r="I194" s="21" t="n">
        <v>1.37578744124157</v>
      </c>
      <c r="J194" s="21" t="n">
        <v>1.223673599200797</v>
      </c>
      <c r="K194" s="21" t="n">
        <v>1.379739172482357</v>
      </c>
      <c r="L194" s="21" t="n">
        <v>1.887646645187572</v>
      </c>
      <c r="M194" s="21" t="n">
        <v>1.915563766104177</v>
      </c>
    </row>
    <row r="195">
      <c r="A195" s="10" t="n">
        <v>0.615</v>
      </c>
      <c r="B195" s="21" t="n">
        <v>1.438460358752252</v>
      </c>
      <c r="C195" s="21" t="n">
        <v>1.52997311518486</v>
      </c>
      <c r="D195" s="21" t="n">
        <v>1.408530015483634</v>
      </c>
      <c r="E195" s="21" t="n">
        <v>1.683412748182933</v>
      </c>
      <c r="F195" s="21" t="n">
        <v>1.022064138039281</v>
      </c>
      <c r="G195" s="21" t="n">
        <v>1.173394004852303</v>
      </c>
      <c r="H195" s="21" t="n">
        <v>1.32575113171191</v>
      </c>
      <c r="I195" s="21" t="n">
        <v>1.37578744124157</v>
      </c>
      <c r="J195" s="21" t="n">
        <v>1.223673599200797</v>
      </c>
      <c r="K195" s="21" t="n">
        <v>1.395355713811306</v>
      </c>
      <c r="L195" s="21" t="n">
        <v>1.940081274220561</v>
      </c>
      <c r="M195" s="21" t="n">
        <v>1.877391968992915</v>
      </c>
    </row>
    <row r="196">
      <c r="A196" s="10" t="n">
        <v>0.625</v>
      </c>
      <c r="B196" s="21" t="n">
        <v>1.409674150684475</v>
      </c>
      <c r="C196" s="21" t="n">
        <v>1.538906293260437</v>
      </c>
      <c r="D196" s="21" t="n">
        <v>1.381559480375187</v>
      </c>
      <c r="E196" s="21" t="n">
        <v>1.683412748182933</v>
      </c>
      <c r="F196" s="21" t="n">
        <v>0.9889518587995154</v>
      </c>
      <c r="G196" s="21" t="n">
        <v>1.359055055831587</v>
      </c>
      <c r="H196" s="21" t="n">
        <v>1.249444891018034</v>
      </c>
      <c r="I196" s="21" t="n">
        <v>1.37578744124157</v>
      </c>
      <c r="J196" s="21" t="n">
        <v>1.25351929674228</v>
      </c>
      <c r="K196" s="21" t="n">
        <v>1.300742543248476</v>
      </c>
      <c r="L196" s="21" t="n">
        <v>1.887646645187572</v>
      </c>
      <c r="M196" s="21" t="n">
        <v>1.701801702281111</v>
      </c>
    </row>
    <row r="197">
      <c r="A197" s="10" t="n">
        <v>0.635</v>
      </c>
      <c r="B197" s="21" t="n">
        <v>1.424191559418387</v>
      </c>
      <c r="C197" s="21" t="n">
        <v>1.497652411353406</v>
      </c>
      <c r="D197" s="21" t="n">
        <v>1.413040460940284</v>
      </c>
      <c r="E197" s="21" t="n">
        <v>1.683412748182933</v>
      </c>
      <c r="F197" s="21" t="n">
        <v>0.9889518587995154</v>
      </c>
      <c r="G197" s="21" t="n">
        <v>1.42867794994882</v>
      </c>
      <c r="H197" s="21" t="n">
        <v>1.274433788838395</v>
      </c>
      <c r="I197" s="21" t="n">
        <v>1.370241550064141</v>
      </c>
      <c r="J197" s="21" t="n">
        <v>1.231067034815943</v>
      </c>
      <c r="K197" s="21" t="n">
        <v>1.300742543248476</v>
      </c>
      <c r="L197" s="21" t="n">
        <v>1.940081274220561</v>
      </c>
      <c r="M197" s="21" t="n">
        <v>1.701801702281111</v>
      </c>
    </row>
    <row r="198">
      <c r="A198" s="10" t="n">
        <v>0.645</v>
      </c>
      <c r="B198" s="21" t="n">
        <v>1.426480723366153</v>
      </c>
      <c r="C198" s="21" t="n">
        <v>1.481208870299635</v>
      </c>
      <c r="D198" s="21" t="n">
        <v>1.413040460940284</v>
      </c>
      <c r="E198" s="21" t="n">
        <v>1.683412748182933</v>
      </c>
      <c r="F198" s="21" t="n">
        <v>0.9536321495566755</v>
      </c>
      <c r="G198" s="21" t="n">
        <v>1.42867794994882</v>
      </c>
      <c r="H198" s="21" t="n">
        <v>1.392034690553068</v>
      </c>
      <c r="I198" s="21" t="n">
        <v>1.348057985354423</v>
      </c>
      <c r="J198" s="21" t="n">
        <v>1.2453258035023</v>
      </c>
      <c r="K198" s="21" t="n">
        <v>1.300742543248476</v>
      </c>
      <c r="L198" s="21" t="n">
        <v>1.940974691439472</v>
      </c>
      <c r="M198" s="21" t="n">
        <v>1.641023070056786</v>
      </c>
    </row>
    <row r="199">
      <c r="A199" s="10" t="n">
        <v>0.655</v>
      </c>
      <c r="B199" s="21" t="n">
        <v>1.467422048534704</v>
      </c>
      <c r="C199" s="21" t="n">
        <v>1.529100986546969</v>
      </c>
      <c r="D199" s="21" t="n">
        <v>1.472825714929672</v>
      </c>
      <c r="E199" s="21" t="n">
        <v>1.613270550341977</v>
      </c>
      <c r="F199" s="21" t="n">
        <v>0.9889518587995154</v>
      </c>
      <c r="G199" s="21" t="n">
        <v>1.385384678738249</v>
      </c>
      <c r="H199" s="21" t="n">
        <v>1.402043277933041</v>
      </c>
      <c r="I199" s="21" t="n">
        <v>1.348057985354423</v>
      </c>
      <c r="J199" s="21" t="n">
        <v>1.2453258035023</v>
      </c>
      <c r="K199" s="21" t="n">
        <v>1.372849760323002</v>
      </c>
      <c r="L199" s="21" t="n">
        <v>2.26893755944061</v>
      </c>
      <c r="M199" s="21" t="n">
        <v>1.701801702281111</v>
      </c>
    </row>
    <row r="200">
      <c r="A200" s="10" t="n">
        <v>0.665</v>
      </c>
      <c r="B200" s="21" t="n">
        <v>1.487507578714006</v>
      </c>
      <c r="C200" s="21" t="n">
        <v>1.466848062072911</v>
      </c>
      <c r="D200" s="21" t="n">
        <v>1.49898176355003</v>
      </c>
      <c r="E200" s="21" t="n">
        <v>1.683412748182933</v>
      </c>
      <c r="F200" s="21" t="n">
        <v>0.9731552809504403</v>
      </c>
      <c r="G200" s="21" t="n">
        <v>1.42867794994882</v>
      </c>
      <c r="H200" s="21" t="n">
        <v>1.465561927376295</v>
      </c>
      <c r="I200" s="21" t="n">
        <v>1.348057985354423</v>
      </c>
      <c r="J200" s="21" t="n">
        <v>1.2453258035023</v>
      </c>
      <c r="K200" s="21" t="n">
        <v>1.42374897237561</v>
      </c>
      <c r="L200" s="21" t="n">
        <v>2.26893755944061</v>
      </c>
      <c r="M200" s="21" t="n">
        <v>1.656548596504309</v>
      </c>
    </row>
    <row r="201">
      <c r="A201" s="10" t="n">
        <v>0.675</v>
      </c>
      <c r="B201" s="21" t="n">
        <v>1.496336372982344</v>
      </c>
      <c r="C201" s="21" t="n">
        <v>1.352284727373861</v>
      </c>
      <c r="D201" s="21" t="n">
        <v>1.528454175543044</v>
      </c>
      <c r="E201" s="21" t="n">
        <v>1.683412748182933</v>
      </c>
      <c r="F201" s="21" t="n">
        <v>1.0982813946046</v>
      </c>
      <c r="G201" s="21" t="n">
        <v>1.42867794994882</v>
      </c>
      <c r="H201" s="21" t="n">
        <v>1.455986399220577</v>
      </c>
      <c r="I201" s="21" t="n">
        <v>1.428740703795935</v>
      </c>
      <c r="J201" s="21" t="n">
        <v>1.23784978395024</v>
      </c>
      <c r="K201" s="21" t="n">
        <v>1.448296368451052</v>
      </c>
      <c r="L201" s="21" t="n">
        <v>2.207614922698973</v>
      </c>
      <c r="M201" s="21" t="n">
        <v>1.543415832062305</v>
      </c>
    </row>
    <row r="202">
      <c r="A202" s="10" t="n">
        <v>0.6850000000000001</v>
      </c>
      <c r="B202" s="21" t="n">
        <v>1.506098456497596</v>
      </c>
      <c r="C202" s="21" t="n">
        <v>1.358158118627696</v>
      </c>
      <c r="D202" s="21" t="n">
        <v>1.62223003188445</v>
      </c>
      <c r="E202" s="21" t="n">
        <v>1.326335606441363</v>
      </c>
      <c r="F202" s="21" t="n">
        <v>1.0982813946046</v>
      </c>
      <c r="G202" s="21" t="n">
        <v>1.42867794994882</v>
      </c>
      <c r="H202" s="21" t="n">
        <v>1.602104650810385</v>
      </c>
      <c r="I202" s="21" t="n">
        <v>1.717853778211355</v>
      </c>
      <c r="J202" s="21" t="n">
        <v>1.072898847375993</v>
      </c>
      <c r="K202" s="21" t="n">
        <v>1.473262884766369</v>
      </c>
      <c r="L202" s="21" t="n">
        <v>2.26893755944061</v>
      </c>
      <c r="M202" s="21" t="n">
        <v>1.543415832062305</v>
      </c>
    </row>
    <row r="203">
      <c r="A203" s="10" t="n">
        <v>0.695</v>
      </c>
      <c r="B203" s="21" t="n">
        <v>1.496279304926538</v>
      </c>
      <c r="C203" s="21" t="n">
        <v>1.367723235885636</v>
      </c>
      <c r="D203" s="21" t="n">
        <v>1.62223003188445</v>
      </c>
      <c r="E203" s="21" t="n">
        <v>1.207309892527507</v>
      </c>
      <c r="F203" s="21" t="n">
        <v>1.059057059083007</v>
      </c>
      <c r="G203" s="21" t="n">
        <v>1.351354926277273</v>
      </c>
      <c r="H203" s="21" t="n">
        <v>1.706103338459628</v>
      </c>
      <c r="I203" s="21" t="n">
        <v>1.686620073152966</v>
      </c>
      <c r="J203" s="21" t="n">
        <v>1.072898847375993</v>
      </c>
      <c r="K203" s="21" t="n">
        <v>1.583293801190273</v>
      </c>
      <c r="L203" s="21" t="n">
        <v>2.207614922698973</v>
      </c>
      <c r="M203" s="21" t="n">
        <v>1.543415832062305</v>
      </c>
    </row>
    <row r="204">
      <c r="A204" s="10" t="n">
        <v>0.705</v>
      </c>
      <c r="B204" s="21" t="n">
        <v>1.48913746434741</v>
      </c>
      <c r="C204" s="21" t="n">
        <v>1.341222150834488</v>
      </c>
      <c r="D204" s="21" t="n">
        <v>1.821023114246275</v>
      </c>
      <c r="E204" s="21" t="n">
        <v>1.207309892527507</v>
      </c>
      <c r="F204" s="21" t="n">
        <v>1.0982813946046</v>
      </c>
      <c r="G204" s="21" t="n">
        <v>1.10972047730369</v>
      </c>
      <c r="H204" s="21" t="n">
        <v>1.745210921378036</v>
      </c>
      <c r="I204" s="21" t="n">
        <v>1.717853778211355</v>
      </c>
      <c r="J204" s="21" t="n">
        <v>1.072898847375993</v>
      </c>
      <c r="K204" s="21" t="n">
        <v>1.583293801190273</v>
      </c>
      <c r="L204" s="21" t="n">
        <v>2.027390210902289</v>
      </c>
      <c r="M204" s="21" t="n">
        <v>1.543415832062305</v>
      </c>
    </row>
    <row r="205">
      <c r="A205" s="10" t="n">
        <v>0.715</v>
      </c>
      <c r="B205" s="21" t="n">
        <v>1.378839613759514</v>
      </c>
      <c r="C205" s="21" t="n">
        <v>1.311282144372698</v>
      </c>
      <c r="D205" s="21" t="n">
        <v>1.856703923900961</v>
      </c>
      <c r="E205" s="21" t="n">
        <v>1.207309892527507</v>
      </c>
      <c r="F205" s="21" t="n">
        <v>0.9707546454016142</v>
      </c>
      <c r="G205" s="21" t="n">
        <v>1.076092584052063</v>
      </c>
      <c r="H205" s="21" t="n">
        <v>1.830758759012053</v>
      </c>
      <c r="I205" s="21" t="n">
        <v>1.785720807473408</v>
      </c>
      <c r="J205" s="21" t="n">
        <v>1.027882228982917</v>
      </c>
      <c r="K205" s="21" t="n">
        <v>1.583293801190273</v>
      </c>
      <c r="L205" s="21" t="n">
        <v>0.992187288595185</v>
      </c>
      <c r="M205" s="21" t="n">
        <v>1.432236093304968</v>
      </c>
    </row>
    <row r="206">
      <c r="A206" s="10" t="n">
        <v>0.725</v>
      </c>
      <c r="B206" s="21" t="n">
        <v>1.449060335376316</v>
      </c>
      <c r="C206" s="21" t="n">
        <v>1.271188137001747</v>
      </c>
      <c r="D206" s="21" t="n">
        <v>1.963171150794398</v>
      </c>
      <c r="E206" s="21" t="n">
        <v>1.207309892527507</v>
      </c>
      <c r="F206" s="21" t="n">
        <v>0.628654280522929</v>
      </c>
      <c r="G206" s="21" t="n">
        <v>1.10972047730369</v>
      </c>
      <c r="H206" s="21" t="n">
        <v>1.898373807979654</v>
      </c>
      <c r="I206" s="21" t="n">
        <v>2.65102543056459</v>
      </c>
      <c r="J206" s="21" t="n">
        <v>0.8627298653824866</v>
      </c>
      <c r="K206" s="21" t="n">
        <v>1.909314068102789</v>
      </c>
      <c r="L206" s="21" t="n">
        <v>0.9653714159304503</v>
      </c>
      <c r="M206" s="21" t="n">
        <v>1.238139425856071</v>
      </c>
    </row>
    <row r="207">
      <c r="A207" s="10" t="n">
        <v>0.735</v>
      </c>
      <c r="B207" s="21" t="n">
        <v>1.482448503442913</v>
      </c>
      <c r="C207" s="21" t="n">
        <v>1.270607271346244</v>
      </c>
      <c r="D207" s="21" t="n">
        <v>2.036230887635117</v>
      </c>
      <c r="E207" s="21" t="n">
        <v>1.25761447138282</v>
      </c>
      <c r="F207" s="21" t="n">
        <v>0.8149222154926861</v>
      </c>
      <c r="G207" s="21" t="n">
        <v>1.10972047730369</v>
      </c>
      <c r="H207" s="21" t="n">
        <v>1.858625423001709</v>
      </c>
      <c r="I207" s="21" t="n">
        <v>2.361822656321181</v>
      </c>
      <c r="J207" s="21" t="n">
        <v>0.8627298653824866</v>
      </c>
      <c r="K207" s="21" t="n">
        <v>1.822435002920149</v>
      </c>
      <c r="L207" s="21" t="n">
        <v>1.072634906589389</v>
      </c>
      <c r="M207" s="21" t="n">
        <v>1.5591385362632</v>
      </c>
    </row>
    <row r="208">
      <c r="A208" s="10" t="n">
        <v>0.745</v>
      </c>
      <c r="B208" s="21" t="n">
        <v>1.404928665356019</v>
      </c>
      <c r="C208" s="21" t="n">
        <v>1.266212428263882</v>
      </c>
      <c r="D208" s="21" t="n">
        <v>1.434617216288378</v>
      </c>
      <c r="E208" s="21" t="n">
        <v>1.710355681080636</v>
      </c>
      <c r="F208" s="21" t="n">
        <v>1.359394379305605</v>
      </c>
      <c r="G208" s="21" t="n">
        <v>1.008836797548809</v>
      </c>
      <c r="H208" s="21" t="n">
        <v>1.292956816001188</v>
      </c>
      <c r="I208" s="21" t="n">
        <v>1.253212021721444</v>
      </c>
      <c r="J208" s="21" t="n">
        <v>0.9859769890085566</v>
      </c>
      <c r="K208" s="21" t="n">
        <v>1.203494813249155</v>
      </c>
      <c r="L208" s="21" t="n">
        <v>1.340793633236736</v>
      </c>
      <c r="M208" s="21" t="n">
        <v>2.430421835939694</v>
      </c>
    </row>
    <row r="209">
      <c r="A209" s="10" t="n">
        <v>0.755</v>
      </c>
      <c r="B209" s="21" t="n">
        <v>1.268374525123858</v>
      </c>
      <c r="C209" s="21" t="n">
        <v>1.261493815588951</v>
      </c>
      <c r="D209" s="21" t="n">
        <v>1.422270298890811</v>
      </c>
      <c r="E209" s="21" t="n">
        <v>1.660051102225323</v>
      </c>
      <c r="F209" s="21" t="n">
        <v>0.9559409897486071</v>
      </c>
      <c r="G209" s="21" t="n">
        <v>1.042464690800436</v>
      </c>
      <c r="H209" s="21" t="n">
        <v>1.210153619054002</v>
      </c>
      <c r="I209" s="21" t="n">
        <v>1.253212021721444</v>
      </c>
      <c r="J209" s="21" t="n">
        <v>0.8579632852542547</v>
      </c>
      <c r="K209" s="21" t="n">
        <v>1.169109247156322</v>
      </c>
      <c r="L209" s="21" t="n">
        <v>1.367609505901471</v>
      </c>
      <c r="M209" s="21" t="n">
        <v>1.710151671415206</v>
      </c>
    </row>
    <row r="210">
      <c r="A210" s="10" t="n">
        <v>0.765</v>
      </c>
      <c r="B210" s="21" t="n">
        <v>1.185543275112773</v>
      </c>
      <c r="C210" s="21" t="n">
        <v>1.271027631850106</v>
      </c>
      <c r="D210" s="21" t="n">
        <v>1.324562145363234</v>
      </c>
      <c r="E210" s="21" t="n">
        <v>1.660051102225323</v>
      </c>
      <c r="F210" s="21" t="n">
        <v>0.9402698259822364</v>
      </c>
      <c r="G210" s="21" t="n">
        <v>1.008836797548809</v>
      </c>
      <c r="H210" s="21" t="n">
        <v>1.072148290808693</v>
      </c>
      <c r="I210" s="21" t="n">
        <v>1.205011559347542</v>
      </c>
      <c r="J210" s="21" t="n">
        <v>0.6446071123304177</v>
      </c>
      <c r="K210" s="21" t="n">
        <v>1.219695502607247</v>
      </c>
      <c r="L210" s="21" t="n">
        <v>1.141836328280767</v>
      </c>
      <c r="M210" s="21" t="n">
        <v>1.618202288709953</v>
      </c>
    </row>
    <row r="211">
      <c r="A211" s="10" t="n">
        <v>0.775</v>
      </c>
      <c r="B211" s="21" t="n">
        <v>1.228732056582934</v>
      </c>
      <c r="C211" s="21" t="n">
        <v>1.291286577930963</v>
      </c>
      <c r="D211" s="21" t="n">
        <v>1.324562145363234</v>
      </c>
      <c r="E211" s="21" t="n">
        <v>1.710355681080636</v>
      </c>
      <c r="F211" s="21" t="n">
        <v>1.116193202725664</v>
      </c>
      <c r="G211" s="21" t="n">
        <v>1.042464690800436</v>
      </c>
      <c r="H211" s="21" t="n">
        <v>1.072148290808693</v>
      </c>
      <c r="I211" s="21" t="n">
        <v>1.253212021721444</v>
      </c>
      <c r="J211" s="21" t="n">
        <v>0.6311777974902006</v>
      </c>
      <c r="K211" s="21" t="n">
        <v>1.260913153518843</v>
      </c>
      <c r="L211" s="21" t="n">
        <v>1.142124560284706</v>
      </c>
      <c r="M211" s="21" t="n">
        <v>1.711862945067965</v>
      </c>
    </row>
    <row r="212">
      <c r="A212" s="10" t="n">
        <v>0.785</v>
      </c>
      <c r="B212" s="21" t="n">
        <v>1.193827475526206</v>
      </c>
      <c r="C212" s="21" t="n">
        <v>1.339432000854804</v>
      </c>
      <c r="D212" s="21" t="n">
        <v>1.324562145363234</v>
      </c>
      <c r="E212" s="21" t="n">
        <v>1.540251945937296</v>
      </c>
      <c r="F212" s="21" t="n">
        <v>1.136966637741208</v>
      </c>
      <c r="G212" s="21" t="n">
        <v>0.7957939612244967</v>
      </c>
      <c r="H212" s="21" t="n">
        <v>1.072148290808693</v>
      </c>
      <c r="I212" s="21" t="n">
        <v>1.048003618273705</v>
      </c>
      <c r="J212" s="21" t="n">
        <v>0.6446071123304177</v>
      </c>
      <c r="K212" s="21" t="n">
        <v>1.297998834504691</v>
      </c>
      <c r="L212" s="21" t="n">
        <v>1.142124560284706</v>
      </c>
      <c r="M212" s="21" t="n">
        <v>1.910203158531987</v>
      </c>
    </row>
    <row r="213">
      <c r="A213" s="10" t="n">
        <v>0.795</v>
      </c>
      <c r="B213" s="21" t="n">
        <v>1.110427263561145</v>
      </c>
      <c r="C213" s="21" t="n">
        <v>1.311614215842219</v>
      </c>
      <c r="D213" s="21" t="n">
        <v>0.9922370543976764</v>
      </c>
      <c r="E213" s="21" t="n">
        <v>1.488165356246849</v>
      </c>
      <c r="F213" s="21" t="n">
        <v>1.214630109006264</v>
      </c>
      <c r="G213" s="21" t="n">
        <v>0.6755575837974536</v>
      </c>
      <c r="H213" s="21" t="n">
        <v>0.9341311990931741</v>
      </c>
      <c r="I213" s="21" t="n">
        <v>0.939363875271961</v>
      </c>
      <c r="J213" s="21" t="n">
        <v>0.5526098648141449</v>
      </c>
      <c r="K213" s="21" t="n">
        <v>1.260913153518843</v>
      </c>
      <c r="L213" s="21" t="n">
        <v>1.119729961063437</v>
      </c>
      <c r="M213" s="21" t="n">
        <v>1.910203158531987</v>
      </c>
    </row>
    <row r="214">
      <c r="A214" s="10" t="n">
        <v>0.805</v>
      </c>
      <c r="B214" s="21" t="n">
        <v>1.105455981880624</v>
      </c>
      <c r="C214" s="21" t="n">
        <v>1.254217085546941</v>
      </c>
      <c r="D214" s="21" t="n">
        <v>1.003533153448247</v>
      </c>
      <c r="E214" s="21" t="n">
        <v>1.533261276133117</v>
      </c>
      <c r="F214" s="21" t="n">
        <v>1.242243787678284</v>
      </c>
      <c r="G214" s="21" t="n">
        <v>0.6537654036749551</v>
      </c>
      <c r="H214" s="21" t="n">
        <v>0.8960259952815517</v>
      </c>
      <c r="I214" s="21" t="n">
        <v>0.939363875271961</v>
      </c>
      <c r="J214" s="21" t="n">
        <v>0.531379730771928</v>
      </c>
      <c r="K214" s="21" t="n">
        <v>1.297998834504691</v>
      </c>
      <c r="L214" s="21" t="n">
        <v>0.9197897242687778</v>
      </c>
      <c r="M214" s="21" t="n">
        <v>1.995819233011807</v>
      </c>
    </row>
    <row r="215">
      <c r="A215" s="10" t="n">
        <v>0.8149999999999999</v>
      </c>
      <c r="B215" s="21" t="n">
        <v>1.104924334597263</v>
      </c>
      <c r="C215" s="21" t="n">
        <v>1.205992663948437</v>
      </c>
      <c r="D215" s="21" t="n">
        <v>1.003533153448247</v>
      </c>
      <c r="E215" s="21" t="n">
        <v>1.488165356246849</v>
      </c>
      <c r="F215" s="21" t="n">
        <v>1.391429665742255</v>
      </c>
      <c r="G215" s="21" t="n">
        <v>0.6755575837974536</v>
      </c>
      <c r="H215" s="21" t="n">
        <v>0.9249300596454728</v>
      </c>
      <c r="I215" s="21" t="n">
        <v>0.939363875271961</v>
      </c>
      <c r="J215" s="21" t="n">
        <v>0.531379730771928</v>
      </c>
      <c r="K215" s="21" t="n">
        <v>1.260913153518843</v>
      </c>
      <c r="L215" s="21" t="n">
        <v>0.7641553390576274</v>
      </c>
      <c r="M215" s="21" t="n">
        <v>2.01333161188268</v>
      </c>
    </row>
    <row r="216">
      <c r="A216" s="10" t="n">
        <v>0.825</v>
      </c>
      <c r="B216" s="21" t="n">
        <v>1.073425461987784</v>
      </c>
      <c r="C216" s="21" t="n">
        <v>1.205992663948437</v>
      </c>
      <c r="D216" s="21" t="n">
        <v>0.8965491164696675</v>
      </c>
      <c r="E216" s="21" t="n">
        <v>1.488165356246849</v>
      </c>
      <c r="F216" s="21" t="n">
        <v>1.535803096126743</v>
      </c>
      <c r="G216" s="21" t="n">
        <v>0.6537654036749551</v>
      </c>
      <c r="H216" s="21" t="n">
        <v>0.8280862649783245</v>
      </c>
      <c r="I216" s="21" t="n">
        <v>0.9032344954538087</v>
      </c>
      <c r="J216" s="21" t="n">
        <v>0.5075744191135672</v>
      </c>
      <c r="K216" s="21" t="n">
        <v>1.183848778867586</v>
      </c>
      <c r="L216" s="21" t="n">
        <v>0.7491719010368898</v>
      </c>
      <c r="M216" s="21" t="n">
        <v>1.925722251910417</v>
      </c>
    </row>
    <row r="217">
      <c r="A217" s="10" t="n">
        <v>0.835</v>
      </c>
      <c r="B217" s="21" t="n">
        <v>0.9874721888831252</v>
      </c>
      <c r="C217" s="21" t="n">
        <v>1.12763600567963</v>
      </c>
      <c r="D217" s="21" t="n">
        <v>0.7182423881720358</v>
      </c>
      <c r="E217" s="21" t="n">
        <v>1.488165356246849</v>
      </c>
      <c r="F217" s="21" t="n">
        <v>1.565305227404921</v>
      </c>
      <c r="G217" s="21" t="n">
        <v>0.6755575837974536</v>
      </c>
      <c r="H217" s="21" t="n">
        <v>0.6666799405330781</v>
      </c>
      <c r="I217" s="21" t="n">
        <v>0.939363875271961</v>
      </c>
      <c r="J217" s="21" t="n">
        <v>0.4954223643701989</v>
      </c>
      <c r="K217" s="21" t="n">
        <v>0.8296796100008906</v>
      </c>
      <c r="L217" s="21" t="n">
        <v>0.7641553390576274</v>
      </c>
      <c r="M217" s="21" t="n">
        <v>1.681667606273397</v>
      </c>
    </row>
    <row r="218">
      <c r="A218" s="10" t="n">
        <v>0.845</v>
      </c>
      <c r="B218" s="21" t="n">
        <v>1.000156432391486</v>
      </c>
      <c r="C218" s="21" t="n">
        <v>1.060009253289953</v>
      </c>
      <c r="D218" s="21" t="n">
        <v>0.7182423881720358</v>
      </c>
      <c r="E218" s="21" t="n">
        <v>1.533261276133117</v>
      </c>
      <c r="F218" s="21" t="n">
        <v>1.69463324394082</v>
      </c>
      <c r="G218" s="21" t="n">
        <v>0.6537654036749551</v>
      </c>
      <c r="H218" s="21" t="n">
        <v>0.6666799405330781</v>
      </c>
      <c r="I218" s="21" t="n">
        <v>0.939363875271961</v>
      </c>
      <c r="J218" s="21" t="n">
        <v>0.4954223643701989</v>
      </c>
      <c r="K218" s="21" t="n">
        <v>0.8296796100008906</v>
      </c>
      <c r="L218" s="21" t="n">
        <v>0.7316126366099863</v>
      </c>
      <c r="M218" s="21" t="n">
        <v>1.681667606273397</v>
      </c>
    </row>
    <row r="219">
      <c r="A219" s="10" t="n">
        <v>0.855</v>
      </c>
      <c r="B219" s="21" t="n">
        <v>0.9546907184708674</v>
      </c>
      <c r="C219" s="21" t="n">
        <v>1.010007444855856</v>
      </c>
      <c r="D219" s="21" t="n">
        <v>0.6957973135416596</v>
      </c>
      <c r="E219" s="21" t="n">
        <v>1.488165356246849</v>
      </c>
      <c r="F219" s="21" t="n">
        <v>1.699457234306577</v>
      </c>
      <c r="G219" s="21" t="n">
        <v>0.6755575837974536</v>
      </c>
      <c r="H219" s="21" t="n">
        <v>0.6666799405330781</v>
      </c>
      <c r="I219" s="21" t="n">
        <v>0.939363875271961</v>
      </c>
      <c r="J219" s="21" t="n">
        <v>0.4954223643701989</v>
      </c>
      <c r="K219" s="21" t="n">
        <v>0.854081951471505</v>
      </c>
      <c r="L219" s="21" t="n">
        <v>0.614901591428947</v>
      </c>
      <c r="M219" s="21" t="n">
        <v>1.378324973348784</v>
      </c>
    </row>
    <row r="220">
      <c r="A220" s="10" t="n">
        <v>0.865</v>
      </c>
      <c r="B220" s="21" t="n">
        <v>0.9274628543752501</v>
      </c>
      <c r="C220" s="21" t="n">
        <v>0.9176403644134282</v>
      </c>
      <c r="D220" s="21" t="n">
        <v>0.6938486503267808</v>
      </c>
      <c r="E220" s="21" t="n">
        <v>1.488165356246849</v>
      </c>
      <c r="F220" s="21" t="n">
        <v>1.736670874270983</v>
      </c>
      <c r="G220" s="21" t="n">
        <v>0.6537654036749551</v>
      </c>
      <c r="H220" s="21" t="n">
        <v>0.5818107077930988</v>
      </c>
      <c r="I220" s="21" t="n">
        <v>0.939363875271961</v>
      </c>
      <c r="J220" s="21" t="n">
        <v>0.4267403424216247</v>
      </c>
      <c r="K220" s="21" t="n">
        <v>0.8296796100008906</v>
      </c>
      <c r="L220" s="21" t="n">
        <v>0.614901591428947</v>
      </c>
      <c r="M220" s="21" t="n">
        <v>1.247149780732736</v>
      </c>
    </row>
    <row r="221">
      <c r="A221" s="10" t="n">
        <v>0.875</v>
      </c>
      <c r="B221" s="21" t="n">
        <v>0.8095796924780401</v>
      </c>
      <c r="C221" s="21" t="n">
        <v>0.8538908123739044</v>
      </c>
      <c r="D221" s="21" t="n">
        <v>0.6913251602048577</v>
      </c>
      <c r="E221" s="21" t="n">
        <v>0.9988571219217325</v>
      </c>
      <c r="F221" s="21" t="n">
        <v>1.736670874270983</v>
      </c>
      <c r="G221" s="21" t="n">
        <v>0.5523711781559534</v>
      </c>
      <c r="H221" s="21" t="n">
        <v>0.5960200954590691</v>
      </c>
      <c r="I221" s="21" t="n">
        <v>0.4431956965350968</v>
      </c>
      <c r="J221" s="21" t="n">
        <v>0.4023304232770253</v>
      </c>
      <c r="K221" s="21" t="n">
        <v>0.854081951471505</v>
      </c>
      <c r="L221" s="21" t="n">
        <v>0.6028446974793598</v>
      </c>
      <c r="M221" s="21" t="n">
        <v>1.184283732478092</v>
      </c>
    </row>
    <row r="222">
      <c r="A222" s="10" t="n">
        <v>0.885</v>
      </c>
      <c r="B222" s="21" t="n">
        <v>0.7780615093944284</v>
      </c>
      <c r="C222" s="21" t="n">
        <v>0.8491271910130784</v>
      </c>
      <c r="D222" s="21" t="n">
        <v>0.6913251602048577</v>
      </c>
      <c r="E222" s="21" t="n">
        <v>0.9003207866143257</v>
      </c>
      <c r="F222" s="21" t="n">
        <v>1.741313259576577</v>
      </c>
      <c r="G222" s="21" t="n">
        <v>0.543875563973781</v>
      </c>
      <c r="H222" s="21" t="n">
        <v>0.5960200954590691</v>
      </c>
      <c r="I222" s="21" t="n">
        <v>0.4193200156247215</v>
      </c>
      <c r="J222" s="21" t="n">
        <v>0.4108906450488768</v>
      </c>
      <c r="K222" s="21" t="n">
        <v>0.7532482037094677</v>
      </c>
      <c r="L222" s="21" t="n">
        <v>0.614901591428947</v>
      </c>
      <c r="M222" s="21" t="n">
        <v>1.080554752857929</v>
      </c>
    </row>
    <row r="223">
      <c r="A223" s="10" t="n">
        <v>0.895</v>
      </c>
      <c r="B223" s="21" t="n">
        <v>0.7583678578074983</v>
      </c>
      <c r="C223" s="21" t="n">
        <v>0.7528784277460427</v>
      </c>
      <c r="D223" s="21" t="n">
        <v>0.5994640052364001</v>
      </c>
      <c r="E223" s="21" t="n">
        <v>0.9003207866143257</v>
      </c>
      <c r="F223" s="21" t="n">
        <v>1.741915050264339</v>
      </c>
      <c r="G223" s="21" t="n">
        <v>0.5263311909423687</v>
      </c>
      <c r="H223" s="21" t="n">
        <v>0.5610931571815215</v>
      </c>
      <c r="I223" s="21" t="n">
        <v>0.4193200156247215</v>
      </c>
      <c r="J223" s="21" t="n">
        <v>0.3910847031094189</v>
      </c>
      <c r="K223" s="21" t="n">
        <v>0.6967231738126929</v>
      </c>
      <c r="L223" s="21" t="n">
        <v>0.6377096799845358</v>
      </c>
      <c r="M223" s="21" t="n">
        <v>1.080554752857929</v>
      </c>
    </row>
    <row r="224">
      <c r="A224" s="10" t="n">
        <v>0.905</v>
      </c>
      <c r="B224" s="21" t="n">
        <v>0.7314945596777409</v>
      </c>
      <c r="C224" s="21" t="n">
        <v>0.7315951453626327</v>
      </c>
      <c r="D224" s="21" t="n">
        <v>0.4324132652799407</v>
      </c>
      <c r="E224" s="21" t="n">
        <v>0.9276032346935477</v>
      </c>
      <c r="F224" s="21" t="n">
        <v>1.797498522006017</v>
      </c>
      <c r="G224" s="21" t="n">
        <v>0.543875563973781</v>
      </c>
      <c r="H224" s="21" t="n">
        <v>0.5028815933856089</v>
      </c>
      <c r="I224" s="21" t="n">
        <v>0.4193200156247215</v>
      </c>
      <c r="J224" s="21" t="n">
        <v>0.3580747998769883</v>
      </c>
      <c r="K224" s="21" t="n">
        <v>0.6768167974180446</v>
      </c>
      <c r="L224" s="21" t="n">
        <v>0.6687838371187645</v>
      </c>
      <c r="M224" s="21" t="n">
        <v>0.9548401738538317</v>
      </c>
    </row>
    <row r="225">
      <c r="A225" s="10" t="n">
        <v>0.915</v>
      </c>
      <c r="B225" s="21" t="n">
        <v>0.731872880503767</v>
      </c>
      <c r="C225" s="21" t="n">
        <v>0.7194921889892981</v>
      </c>
      <c r="D225" s="21" t="n">
        <v>0.4463620802889711</v>
      </c>
      <c r="E225" s="21" t="n">
        <v>1.145862819327323</v>
      </c>
      <c r="F225" s="21" t="n">
        <v>1.432007505511352</v>
      </c>
      <c r="G225" s="21" t="n">
        <v>0.7017749212564917</v>
      </c>
      <c r="H225" s="21" t="n">
        <v>0.7700374398717142</v>
      </c>
      <c r="I225" s="21" t="n">
        <v>0.5483415588938665</v>
      </c>
      <c r="J225" s="21" t="n">
        <v>0.2610962082436371</v>
      </c>
      <c r="K225" s="21" t="n">
        <v>0.6967231738126929</v>
      </c>
      <c r="L225" s="21" t="n">
        <v>0.5638765685511151</v>
      </c>
      <c r="M225" s="21" t="n">
        <v>0.7509619185976192</v>
      </c>
    </row>
    <row r="226">
      <c r="A226" s="10" t="n">
        <v>0.925</v>
      </c>
      <c r="B226" s="21" t="n">
        <v>0.7085277605966014</v>
      </c>
      <c r="C226" s="21" t="n">
        <v>0.6777799412591654</v>
      </c>
      <c r="D226" s="21" t="n">
        <v>0.4324132652799407</v>
      </c>
      <c r="E226" s="21" t="n">
        <v>1.282275059723432</v>
      </c>
      <c r="F226" s="21" t="n">
        <v>1.157793302328327</v>
      </c>
      <c r="G226" s="21" t="n">
        <v>0.8070411594449654</v>
      </c>
      <c r="H226" s="21" t="n">
        <v>0.7129404525732117</v>
      </c>
      <c r="I226" s="21" t="n">
        <v>0.6128523305284391</v>
      </c>
      <c r="J226" s="21" t="n">
        <v>0.2237967499231175</v>
      </c>
      <c r="K226" s="21" t="n">
        <v>0.6967231738126929</v>
      </c>
      <c r="L226" s="21" t="n">
        <v>0.5114229342672905</v>
      </c>
      <c r="M226" s="21" t="n">
        <v>0.6811049959373757</v>
      </c>
    </row>
    <row r="227">
      <c r="A227" s="10" t="n">
        <v>0.9350000000000001</v>
      </c>
      <c r="B227" s="21" t="n">
        <v>0.6997664699439146</v>
      </c>
      <c r="C227" s="21" t="n">
        <v>0.6618063266926834</v>
      </c>
      <c r="D227" s="21" t="n">
        <v>0.2751223303919884</v>
      </c>
      <c r="E227" s="21" t="n">
        <v>1.254992611644211</v>
      </c>
      <c r="F227" s="21" t="n">
        <v>1.22271299376081</v>
      </c>
      <c r="G227" s="21" t="n">
        <v>0.7894967864135531</v>
      </c>
      <c r="H227" s="21" t="n">
        <v>0.6169337666946264</v>
      </c>
      <c r="I227" s="21" t="n">
        <v>0.6128523305284391</v>
      </c>
      <c r="J227" s="21" t="n">
        <v>0.2163368582590136</v>
      </c>
      <c r="K227" s="21" t="n">
        <v>0.6967231738126929</v>
      </c>
      <c r="L227" s="21" t="n">
        <v>0.4983095256963343</v>
      </c>
      <c r="M227" s="21" t="n">
        <v>0.8106226843263047</v>
      </c>
    </row>
    <row r="228">
      <c r="A228" s="10" t="n">
        <v>0.945</v>
      </c>
      <c r="B228" s="21" t="n">
        <v>0.5759274380131838</v>
      </c>
      <c r="C228" s="21" t="n">
        <v>0.5822161488493349</v>
      </c>
      <c r="D228" s="21" t="n">
        <v>0.2366408337717013</v>
      </c>
      <c r="E228" s="21" t="n">
        <v>1.061712721644269</v>
      </c>
      <c r="F228" s="21" t="n">
        <v>1.19870439520664</v>
      </c>
      <c r="G228" s="21" t="n">
        <v>0.4571888330826782</v>
      </c>
      <c r="H228" s="21" t="n">
        <v>0.4526301101667029</v>
      </c>
      <c r="I228" s="21" t="n">
        <v>0.3484132582644852</v>
      </c>
      <c r="J228" s="21" t="n">
        <v>0.120164966042648</v>
      </c>
      <c r="K228" s="21" t="n">
        <v>0.5499446854022432</v>
      </c>
      <c r="L228" s="21" t="n">
        <v>0.4032477452684948</v>
      </c>
      <c r="M228" s="21" t="n">
        <v>0.86601773281175</v>
      </c>
    </row>
    <row r="229">
      <c r="A229" s="10" t="n">
        <v>0.955</v>
      </c>
      <c r="B229" s="21" t="n">
        <v>0.4815908013560641</v>
      </c>
      <c r="C229" s="21" t="n">
        <v>0.4863026288807808</v>
      </c>
      <c r="D229" s="21" t="n">
        <v>0.2292458077163356</v>
      </c>
      <c r="E229" s="21" t="n">
        <v>0.7639535652373973</v>
      </c>
      <c r="F229" s="21" t="n">
        <v>1.230249247712078</v>
      </c>
      <c r="G229" s="21" t="n">
        <v>0.1880716589578426</v>
      </c>
      <c r="H229" s="21" t="n">
        <v>0.395314881145334</v>
      </c>
      <c r="I229" s="21" t="n">
        <v>0.1560939329816102</v>
      </c>
      <c r="J229" s="21" t="n">
        <v>0.06954818066561354</v>
      </c>
      <c r="K229" s="21" t="n">
        <v>0.4632119422506139</v>
      </c>
      <c r="L229" s="21" t="n">
        <v>0.3426696394291693</v>
      </c>
      <c r="M229" s="21" t="n">
        <v>0.86601773281175</v>
      </c>
    </row>
    <row r="230">
      <c r="A230" s="10" t="n">
        <v>0.965</v>
      </c>
      <c r="B230" s="21" t="n">
        <v>0.4169747511229637</v>
      </c>
      <c r="C230" s="21" t="n">
        <v>0.4417250331054907</v>
      </c>
      <c r="D230" s="21" t="n">
        <v>0.1499867952538114</v>
      </c>
      <c r="E230" s="21" t="n">
        <v>0.7639535652373973</v>
      </c>
      <c r="F230" s="21" t="n">
        <v>1.05204926823218</v>
      </c>
      <c r="G230" s="21" t="n">
        <v>0.1880716589578426</v>
      </c>
      <c r="H230" s="21" t="n">
        <v>0.2523297153111589</v>
      </c>
      <c r="I230" s="21" t="n">
        <v>0.1560939329816102</v>
      </c>
      <c r="J230" s="21" t="n">
        <v>0.06954818066561354</v>
      </c>
      <c r="K230" s="21" t="n">
        <v>0.4632119422506139</v>
      </c>
      <c r="L230" s="21" t="n">
        <v>0.3426696394291693</v>
      </c>
      <c r="M230" s="21" t="n">
        <v>0.6679405062423548</v>
      </c>
    </row>
    <row r="231">
      <c r="A231" s="10" t="n">
        <v>0.975</v>
      </c>
      <c r="B231" s="21" t="n">
        <v>0.3357159279070615</v>
      </c>
      <c r="C231" s="21" t="n">
        <v>0.3300764199005129</v>
      </c>
      <c r="D231" s="21" t="n">
        <v>0.0756814710701952</v>
      </c>
      <c r="E231" s="21" t="n">
        <v>0.7639535652373973</v>
      </c>
      <c r="F231" s="21" t="n">
        <v>0.8489459175784851</v>
      </c>
      <c r="G231" s="21" t="n">
        <v>0.1839831446326721</v>
      </c>
      <c r="H231" s="21" t="n">
        <v>0.2110228896257303</v>
      </c>
      <c r="I231" s="21" t="n">
        <v>0.1560939329816102</v>
      </c>
      <c r="J231" s="21" t="n">
        <v>0.07194639379201401</v>
      </c>
      <c r="K231" s="21" t="n">
        <v>0.4632119422506139</v>
      </c>
      <c r="L231" s="21" t="n">
        <v>0.333883238418165</v>
      </c>
      <c r="M231" s="21" t="n">
        <v>0.2424728143213256</v>
      </c>
    </row>
    <row r="232">
      <c r="A232" s="10" t="n">
        <v>0.985</v>
      </c>
      <c r="B232" s="21" t="n">
        <v>0.3197549937114771</v>
      </c>
      <c r="C232" s="21" t="n">
        <v>0.3219443083364679</v>
      </c>
      <c r="D232" s="21" t="n">
        <v>0.0781228088466531</v>
      </c>
      <c r="E232" s="21" t="n">
        <v>0.7639535652373973</v>
      </c>
      <c r="F232" s="21" t="n">
        <v>0.8271780735380112</v>
      </c>
      <c r="G232" s="21" t="n">
        <v>0.1880716589578426</v>
      </c>
      <c r="H232" s="21" t="n">
        <v>0.08270646973341464</v>
      </c>
      <c r="I232" s="21" t="n">
        <v>0.1560939329816102</v>
      </c>
      <c r="J232" s="21" t="n">
        <v>0.06954818066561354</v>
      </c>
      <c r="K232" s="21" t="n">
        <v>0.4632119422506139</v>
      </c>
      <c r="L232" s="21" t="n">
        <v>0.3426696394291693</v>
      </c>
      <c r="M232" s="21" t="n">
        <v>0.2362555626720608</v>
      </c>
    </row>
    <row r="233">
      <c r="A233" s="10" t="n">
        <v>0.995</v>
      </c>
      <c r="B233" s="21" t="n">
        <v>0.3208251033776242</v>
      </c>
      <c r="C233" s="21" t="n">
        <v>0.3219443083364679</v>
      </c>
      <c r="D233" s="21" t="n">
        <v>0.0756814710701952</v>
      </c>
      <c r="E233" s="21" t="n">
        <v>0.7639535652373973</v>
      </c>
      <c r="F233" s="21" t="n">
        <v>0.8489459175784851</v>
      </c>
      <c r="G233" s="21" t="n">
        <v>0.1880716589578426</v>
      </c>
      <c r="H233" s="21" t="n">
        <v>0.06790072897660901</v>
      </c>
      <c r="I233" s="21" t="n">
        <v>0.1560939329816102</v>
      </c>
      <c r="J233" s="21" t="n">
        <v>0.06954818066561354</v>
      </c>
      <c r="K233" s="21" t="n">
        <v>0.4632119422506139</v>
      </c>
      <c r="L233" s="21" t="n">
        <v>0.3426696394291693</v>
      </c>
      <c r="M233" s="21" t="n">
        <v>0.2424728143213256</v>
      </c>
    </row>
    <row r="257">
      <c r="A257" s="6" t="inlineStr">
        <is>
          <t>■ 行程グループ別 平均カーブ(密度・面積1)</t>
        </is>
      </c>
    </row>
    <row r="258">
      <c r="A258" s="5" t="inlineStr">
        <is>
          <t>各行程グループが正準時間軸のどこで消化されるか。山が立つ位置がマイルストーン直前に来ていれば位置合わせが効いている。</t>
        </is>
      </c>
    </row>
    <row r="259">
      <c r="A259" s="7" t="inlineStr">
        <is>
          <t>t</t>
        </is>
      </c>
      <c r="B259" s="8" t="inlineStr">
        <is>
          <t>企画・プリプロ</t>
        </is>
      </c>
      <c r="C259" s="8" t="inlineStr">
        <is>
          <t>ゲームデザイン・シナリオ</t>
        </is>
      </c>
      <c r="D259" s="8" t="inlineStr">
        <is>
          <t>プログラム</t>
        </is>
      </c>
      <c r="E259" s="8" t="inlineStr">
        <is>
          <t>アート</t>
        </is>
      </c>
      <c r="F259" s="8" t="inlineStr">
        <is>
          <t>サウンド</t>
        </is>
      </c>
      <c r="G259" s="8" t="inlineStr">
        <is>
          <t>QA・デバッグ</t>
        </is>
      </c>
      <c r="H259" s="8" t="inlineStr">
        <is>
          <t>PM・運営</t>
        </is>
      </c>
    </row>
    <row r="260">
      <c r="A260" s="10" t="n">
        <v>0.005</v>
      </c>
      <c r="B260" s="21" t="n">
        <v>3.75448416607054</v>
      </c>
      <c r="C260" s="21" t="n">
        <v>0.6247123029853535</v>
      </c>
      <c r="D260" s="21" t="n">
        <v>0.1067121514493206</v>
      </c>
      <c r="E260" s="21" t="n">
        <v>0.04206172232306653</v>
      </c>
      <c r="F260" s="21" t="n">
        <v>0</v>
      </c>
      <c r="G260" s="21" t="n">
        <v>0</v>
      </c>
      <c r="H260" s="21" t="n">
        <v>0.4458153528093147</v>
      </c>
    </row>
    <row r="261">
      <c r="A261" s="10" t="n">
        <v>0.015</v>
      </c>
      <c r="B261" s="21" t="n">
        <v>3.737679658700098</v>
      </c>
      <c r="C261" s="21" t="n">
        <v>0.6210100399022639</v>
      </c>
      <c r="D261" s="21" t="n">
        <v>0.1060398563723659</v>
      </c>
      <c r="E261" s="21" t="n">
        <v>0.04177906298008648</v>
      </c>
      <c r="F261" s="21" t="n">
        <v>0</v>
      </c>
      <c r="G261" s="21" t="n">
        <v>0</v>
      </c>
      <c r="H261" s="21" t="n">
        <v>0.4431498258979335</v>
      </c>
    </row>
    <row r="262">
      <c r="A262" s="10" t="n">
        <v>0.025</v>
      </c>
      <c r="B262" s="21" t="n">
        <v>3.77982179712571</v>
      </c>
      <c r="C262" s="21" t="n">
        <v>0.6422560030446927</v>
      </c>
      <c r="D262" s="21" t="n">
        <v>0.1089680806233019</v>
      </c>
      <c r="E262" s="21" t="n">
        <v>0.04305731217620148</v>
      </c>
      <c r="F262" s="21" t="n">
        <v>0</v>
      </c>
      <c r="G262" s="21" t="n">
        <v>0</v>
      </c>
      <c r="H262" s="21" t="n">
        <v>0.453646630002644</v>
      </c>
    </row>
    <row r="263">
      <c r="A263" s="10" t="n">
        <v>0.035</v>
      </c>
      <c r="B263" s="21" t="n">
        <v>3.843055177861289</v>
      </c>
      <c r="C263" s="21" t="n">
        <v>0.7561651376935603</v>
      </c>
      <c r="D263" s="21" t="n">
        <v>0.1389195379079561</v>
      </c>
      <c r="E263" s="21" t="n">
        <v>0.06091390423783832</v>
      </c>
      <c r="F263" s="21" t="n">
        <v>0.003282281235955624</v>
      </c>
      <c r="G263" s="21" t="n">
        <v>0</v>
      </c>
      <c r="H263" s="21" t="n">
        <v>0.5143896715655407</v>
      </c>
    </row>
    <row r="264">
      <c r="A264" s="10" t="n">
        <v>0.045</v>
      </c>
      <c r="B264" s="21" t="n">
        <v>3.566006819686211</v>
      </c>
      <c r="C264" s="21" t="n">
        <v>0.8795770235568174</v>
      </c>
      <c r="D264" s="21" t="n">
        <v>0.1910408521548022</v>
      </c>
      <c r="E264" s="21" t="n">
        <v>0.1019136649393798</v>
      </c>
      <c r="F264" s="21" t="n">
        <v>0.01329768143606782</v>
      </c>
      <c r="G264" s="21" t="n">
        <v>0</v>
      </c>
      <c r="H264" s="21" t="n">
        <v>0.5772382564972885</v>
      </c>
    </row>
    <row r="265">
      <c r="A265" s="10" t="n">
        <v>0.055</v>
      </c>
      <c r="B265" s="21" t="n">
        <v>3.500490393750063</v>
      </c>
      <c r="C265" s="21" t="n">
        <v>0.9348802454736734</v>
      </c>
      <c r="D265" s="21" t="n">
        <v>0.2181308851552123</v>
      </c>
      <c r="E265" s="21" t="n">
        <v>0.1218080842648146</v>
      </c>
      <c r="F265" s="21" t="n">
        <v>0.0157311697113166</v>
      </c>
      <c r="G265" s="21" t="n">
        <v>0</v>
      </c>
      <c r="H265" s="21" t="n">
        <v>0.6121681834754266</v>
      </c>
    </row>
    <row r="266">
      <c r="A266" s="10" t="n">
        <v>0.065</v>
      </c>
      <c r="B266" s="21" t="n">
        <v>3.549072063591866</v>
      </c>
      <c r="C266" s="21" t="n">
        <v>1.159172520581283</v>
      </c>
      <c r="D266" s="21" t="n">
        <v>0.304285408838488</v>
      </c>
      <c r="E266" s="21" t="n">
        <v>0.1811459359256195</v>
      </c>
      <c r="F266" s="21" t="n">
        <v>0.0237090666050164</v>
      </c>
      <c r="G266" s="21" t="n">
        <v>0</v>
      </c>
      <c r="H266" s="21" t="n">
        <v>0.7577060938052357</v>
      </c>
    </row>
    <row r="267">
      <c r="A267" s="10" t="n">
        <v>0.075</v>
      </c>
      <c r="B267" s="21" t="n">
        <v>3.321756589195303</v>
      </c>
      <c r="C267" s="21" t="n">
        <v>1.118096414132456</v>
      </c>
      <c r="D267" s="21" t="n">
        <v>0.3181841520065099</v>
      </c>
      <c r="E267" s="21" t="n">
        <v>0.1935133339578221</v>
      </c>
      <c r="F267" s="21" t="n">
        <v>0.02871325910863043</v>
      </c>
      <c r="G267" s="21" t="n">
        <v>0</v>
      </c>
      <c r="H267" s="21" t="n">
        <v>0.7484158052205392</v>
      </c>
    </row>
    <row r="268">
      <c r="A268" s="10" t="n">
        <v>0.08500000000000001</v>
      </c>
      <c r="B268" s="21" t="n">
        <v>3.188967588854034</v>
      </c>
      <c r="C268" s="21" t="n">
        <v>1.149429453816439</v>
      </c>
      <c r="D268" s="21" t="n">
        <v>0.3372664126790611</v>
      </c>
      <c r="E268" s="21" t="n">
        <v>0.2185880633649477</v>
      </c>
      <c r="F268" s="21" t="n">
        <v>0.03960530094267773</v>
      </c>
      <c r="G268" s="21" t="n">
        <v>0.0004087253987293973</v>
      </c>
      <c r="H268" s="21" t="n">
        <v>0.775115197630703</v>
      </c>
    </row>
    <row r="269">
      <c r="A269" s="10" t="n">
        <v>0.095</v>
      </c>
      <c r="B269" s="21" t="n">
        <v>3.142643405885724</v>
      </c>
      <c r="C269" s="21" t="n">
        <v>1.164843304008989</v>
      </c>
      <c r="D269" s="21" t="n">
        <v>0.3457344549571392</v>
      </c>
      <c r="E269" s="21" t="n">
        <v>0.2323846390722157</v>
      </c>
      <c r="F269" s="21" t="n">
        <v>0.04484583649297843</v>
      </c>
      <c r="G269" s="21" t="n">
        <v>0.0006752854413790044</v>
      </c>
      <c r="H269" s="21" t="n">
        <v>0.775635599099965</v>
      </c>
    </row>
    <row r="270">
      <c r="A270" s="10" t="n">
        <v>0.105</v>
      </c>
      <c r="B270" s="21" t="n">
        <v>3.083074504357428</v>
      </c>
      <c r="C270" s="21" t="n">
        <v>1.162161881187507</v>
      </c>
      <c r="D270" s="21" t="n">
        <v>0.3564270146737322</v>
      </c>
      <c r="E270" s="21" t="n">
        <v>0.2477259870176821</v>
      </c>
      <c r="F270" s="21" t="n">
        <v>0.05172767203025785</v>
      </c>
      <c r="G270" s="21" t="n">
        <v>0.001147044648096695</v>
      </c>
      <c r="H270" s="21" t="n">
        <v>0.7715730859103691</v>
      </c>
    </row>
    <row r="271">
      <c r="A271" s="10" t="n">
        <v>0.115</v>
      </c>
      <c r="B271" s="21" t="n">
        <v>2.931972404417204</v>
      </c>
      <c r="C271" s="21" t="n">
        <v>1.232617632519252</v>
      </c>
      <c r="D271" s="21" t="n">
        <v>0.4031047729538191</v>
      </c>
      <c r="E271" s="21" t="n">
        <v>0.2929449001794934</v>
      </c>
      <c r="F271" s="21" t="n">
        <v>0.06748874017848952</v>
      </c>
      <c r="G271" s="21" t="n">
        <v>0.002090876854537919</v>
      </c>
      <c r="H271" s="21" t="n">
        <v>0.8068409517905671</v>
      </c>
    </row>
    <row r="272">
      <c r="A272" s="10" t="n">
        <v>0.125</v>
      </c>
      <c r="B272" s="21" t="n">
        <v>2.80411937057645</v>
      </c>
      <c r="C272" s="21" t="n">
        <v>1.333218933987733</v>
      </c>
      <c r="D272" s="21" t="n">
        <v>0.4742142036659885</v>
      </c>
      <c r="E272" s="21" t="n">
        <v>0.3538567662248199</v>
      </c>
      <c r="F272" s="21" t="n">
        <v>0.09133361369185443</v>
      </c>
      <c r="G272" s="21" t="n">
        <v>0.004367773791349971</v>
      </c>
      <c r="H272" s="21" t="n">
        <v>0.8682509154842099</v>
      </c>
    </row>
    <row r="273">
      <c r="A273" s="10" t="n">
        <v>0.135</v>
      </c>
      <c r="B273" s="21" t="n">
        <v>2.696671217667289</v>
      </c>
      <c r="C273" s="21" t="n">
        <v>1.337223015621948</v>
      </c>
      <c r="D273" s="21" t="n">
        <v>0.5117024552495478</v>
      </c>
      <c r="E273" s="21" t="n">
        <v>0.3868856380343227</v>
      </c>
      <c r="F273" s="21" t="n">
        <v>0.104749725454474</v>
      </c>
      <c r="G273" s="21" t="n">
        <v>0.006053629893641788</v>
      </c>
      <c r="H273" s="21" t="n">
        <v>0.8862770182191201</v>
      </c>
    </row>
    <row r="274">
      <c r="A274" s="10" t="n">
        <v>0.145</v>
      </c>
      <c r="B274" s="21" t="n">
        <v>2.627394941411572</v>
      </c>
      <c r="C274" s="21" t="n">
        <v>1.343086349582696</v>
      </c>
      <c r="D274" s="21" t="n">
        <v>0.516158519984333</v>
      </c>
      <c r="E274" s="21" t="n">
        <v>0.3919181753821587</v>
      </c>
      <c r="F274" s="21" t="n">
        <v>0.1113630280064036</v>
      </c>
      <c r="G274" s="21" t="n">
        <v>0.007087746984132283</v>
      </c>
      <c r="H274" s="21" t="n">
        <v>0.8818785229311508</v>
      </c>
    </row>
    <row r="275">
      <c r="A275" s="10" t="n">
        <v>0.155</v>
      </c>
      <c r="B275" s="21" t="n">
        <v>2.624097391354977</v>
      </c>
      <c r="C275" s="21" t="n">
        <v>1.346778165595701</v>
      </c>
      <c r="D275" s="21" t="n">
        <v>0.5187390461241081</v>
      </c>
      <c r="E275" s="21" t="n">
        <v>0.3946164418592942</v>
      </c>
      <c r="F275" s="21" t="n">
        <v>0.112596018271179</v>
      </c>
      <c r="G275" s="21" t="n">
        <v>0.007196953052226503</v>
      </c>
      <c r="H275" s="21" t="n">
        <v>0.8840598792178349</v>
      </c>
    </row>
    <row r="276">
      <c r="A276" s="10" t="n">
        <v>0.165</v>
      </c>
      <c r="B276" s="21" t="n">
        <v>2.495775922424919</v>
      </c>
      <c r="C276" s="21" t="n">
        <v>1.32403981347062</v>
      </c>
      <c r="D276" s="21" t="n">
        <v>0.5237057200590305</v>
      </c>
      <c r="E276" s="21" t="n">
        <v>0.386942184304574</v>
      </c>
      <c r="F276" s="21" t="n">
        <v>0.1149253289839289</v>
      </c>
      <c r="G276" s="21" t="n">
        <v>0.00731584984205146</v>
      </c>
      <c r="H276" s="21" t="n">
        <v>0.891225466915092</v>
      </c>
    </row>
    <row r="277">
      <c r="A277" s="10" t="n">
        <v>0.175</v>
      </c>
      <c r="B277" s="21" t="n">
        <v>2.204879825537633</v>
      </c>
      <c r="C277" s="21" t="n">
        <v>1.2841727581097</v>
      </c>
      <c r="D277" s="21" t="n">
        <v>0.5938023015423468</v>
      </c>
      <c r="E277" s="21" t="n">
        <v>0.4522800781309898</v>
      </c>
      <c r="F277" s="21" t="n">
        <v>0.1663454032186254</v>
      </c>
      <c r="G277" s="21" t="n">
        <v>0.01379305948897228</v>
      </c>
      <c r="H277" s="21" t="n">
        <v>0.9288567626581473</v>
      </c>
    </row>
    <row r="278">
      <c r="A278" s="10" t="n">
        <v>0.185</v>
      </c>
      <c r="B278" s="21" t="n">
        <v>2.087178518368791</v>
      </c>
      <c r="C278" s="21" t="n">
        <v>1.30561505725197</v>
      </c>
      <c r="D278" s="21" t="n">
        <v>0.6436767470751487</v>
      </c>
      <c r="E278" s="21" t="n">
        <v>0.496956554955203</v>
      </c>
      <c r="F278" s="21" t="n">
        <v>0.1967830998566451</v>
      </c>
      <c r="G278" s="21" t="n">
        <v>0.01645547294680927</v>
      </c>
      <c r="H278" s="21" t="n">
        <v>0.9602027141955474</v>
      </c>
    </row>
    <row r="279">
      <c r="A279" s="10" t="n">
        <v>0.195</v>
      </c>
      <c r="B279" s="21" t="n">
        <v>2.072021128946695</v>
      </c>
      <c r="C279" s="21" t="n">
        <v>1.321136368682324</v>
      </c>
      <c r="D279" s="21" t="n">
        <v>0.6518243964888987</v>
      </c>
      <c r="E279" s="21" t="n">
        <v>0.5116007029682248</v>
      </c>
      <c r="F279" s="21" t="n">
        <v>0.2016703966791119</v>
      </c>
      <c r="G279" s="21" t="n">
        <v>0.01664380044723329</v>
      </c>
      <c r="H279" s="21" t="n">
        <v>0.9350897901637327</v>
      </c>
    </row>
    <row r="280">
      <c r="A280" s="10" t="n">
        <v>0.205</v>
      </c>
      <c r="B280" s="21" t="n">
        <v>2.078659804101309</v>
      </c>
      <c r="C280" s="21" t="n">
        <v>1.330577371430724</v>
      </c>
      <c r="D280" s="21" t="n">
        <v>0.6552497235815213</v>
      </c>
      <c r="E280" s="21" t="n">
        <v>0.5183837561768329</v>
      </c>
      <c r="F280" s="21" t="n">
        <v>0.2044244423288901</v>
      </c>
      <c r="G280" s="21" t="n">
        <v>0.0169693390291656</v>
      </c>
      <c r="H280" s="21" t="n">
        <v>0.9356295536109381</v>
      </c>
    </row>
    <row r="281">
      <c r="A281" s="10" t="n">
        <v>0.215</v>
      </c>
      <c r="B281" s="21" t="n">
        <v>2.02821280169033</v>
      </c>
      <c r="C281" s="21" t="n">
        <v>1.31561377523394</v>
      </c>
      <c r="D281" s="21" t="n">
        <v>0.6643237873613418</v>
      </c>
      <c r="E281" s="21" t="n">
        <v>0.5433765075090404</v>
      </c>
      <c r="F281" s="21" t="n">
        <v>0.2270386425881178</v>
      </c>
      <c r="G281" s="21" t="n">
        <v>0.0229643279389715</v>
      </c>
      <c r="H281" s="21" t="n">
        <v>0.9259791033046973</v>
      </c>
    </row>
    <row r="282">
      <c r="A282" s="10" t="n">
        <v>0.225</v>
      </c>
      <c r="B282" s="21" t="n">
        <v>1.988114757651112</v>
      </c>
      <c r="C282" s="21" t="n">
        <v>1.330054160791501</v>
      </c>
      <c r="D282" s="21" t="n">
        <v>0.6806323079660392</v>
      </c>
      <c r="E282" s="21" t="n">
        <v>0.562036478954669</v>
      </c>
      <c r="F282" s="21" t="n">
        <v>0.2398185606703153</v>
      </c>
      <c r="G282" s="21" t="n">
        <v>0.02583930798682162</v>
      </c>
      <c r="H282" s="21" t="n">
        <v>0.9399995700285022</v>
      </c>
    </row>
    <row r="283">
      <c r="A283" s="10" t="n">
        <v>0.235</v>
      </c>
      <c r="B283" s="21" t="n">
        <v>1.807311360175358</v>
      </c>
      <c r="C283" s="21" t="n">
        <v>1.415019145951798</v>
      </c>
      <c r="D283" s="21" t="n">
        <v>0.7574263899878628</v>
      </c>
      <c r="E283" s="21" t="n">
        <v>0.6421675985697584</v>
      </c>
      <c r="F283" s="21" t="n">
        <v>0.2909182894866757</v>
      </c>
      <c r="G283" s="21" t="n">
        <v>0.03468248761995459</v>
      </c>
      <c r="H283" s="21" t="n">
        <v>0.987748463678376</v>
      </c>
    </row>
    <row r="284">
      <c r="A284" s="10" t="n">
        <v>0.245</v>
      </c>
      <c r="B284" s="21" t="n">
        <v>1.668018637966319</v>
      </c>
      <c r="C284" s="21" t="n">
        <v>1.456996426013446</v>
      </c>
      <c r="D284" s="21" t="n">
        <v>0.8041698787798842</v>
      </c>
      <c r="E284" s="21" t="n">
        <v>0.6828283039590208</v>
      </c>
      <c r="F284" s="21" t="n">
        <v>0.3232162921194661</v>
      </c>
      <c r="G284" s="21" t="n">
        <v>0.04212937037792768</v>
      </c>
      <c r="H284" s="21" t="n">
        <v>1.0221621677168</v>
      </c>
    </row>
    <row r="285">
      <c r="A285" s="10" t="n">
        <v>0.255</v>
      </c>
      <c r="B285" s="21" t="n">
        <v>1.649954048300067</v>
      </c>
      <c r="C285" s="21" t="n">
        <v>1.465193210473674</v>
      </c>
      <c r="D285" s="21" t="n">
        <v>0.8116033161025591</v>
      </c>
      <c r="E285" s="21" t="n">
        <v>0.6917856444711479</v>
      </c>
      <c r="F285" s="21" t="n">
        <v>0.3345342834396908</v>
      </c>
      <c r="G285" s="21" t="n">
        <v>0.04481031563864404</v>
      </c>
      <c r="H285" s="21" t="n">
        <v>1.027809792684287</v>
      </c>
    </row>
    <row r="286">
      <c r="A286" s="10" t="n">
        <v>0.265</v>
      </c>
      <c r="B286" s="21" t="n">
        <v>1.63274704081895</v>
      </c>
      <c r="C286" s="21" t="n">
        <v>1.501858747249437</v>
      </c>
      <c r="D286" s="21" t="n">
        <v>0.8355167595014729</v>
      </c>
      <c r="E286" s="21" t="n">
        <v>0.7323306780976828</v>
      </c>
      <c r="F286" s="21" t="n">
        <v>0.3737563474753317</v>
      </c>
      <c r="G286" s="21" t="n">
        <v>0.0522243830271857</v>
      </c>
      <c r="H286" s="21" t="n">
        <v>1.044618347500096</v>
      </c>
    </row>
    <row r="287">
      <c r="A287" s="10" t="n">
        <v>0.275</v>
      </c>
      <c r="B287" s="21" t="n">
        <v>1.619568820036921</v>
      </c>
      <c r="C287" s="21" t="n">
        <v>1.479338901130701</v>
      </c>
      <c r="D287" s="21" t="n">
        <v>0.8248283763523079</v>
      </c>
      <c r="E287" s="21" t="n">
        <v>0.7438305603347803</v>
      </c>
      <c r="F287" s="21" t="n">
        <v>0.3842409468309237</v>
      </c>
      <c r="G287" s="21" t="n">
        <v>0.0530476930963813</v>
      </c>
      <c r="H287" s="21" t="n">
        <v>1.037611993938979</v>
      </c>
    </row>
    <row r="288">
      <c r="A288" s="10" t="n">
        <v>0.285</v>
      </c>
      <c r="B288" s="21" t="n">
        <v>1.621471792243686</v>
      </c>
      <c r="C288" s="21" t="n">
        <v>1.491843102595121</v>
      </c>
      <c r="D288" s="21" t="n">
        <v>0.8333868853566689</v>
      </c>
      <c r="E288" s="21" t="n">
        <v>0.7562797566042796</v>
      </c>
      <c r="F288" s="21" t="n">
        <v>0.3913892775819283</v>
      </c>
      <c r="G288" s="21" t="n">
        <v>0.05416231786984482</v>
      </c>
      <c r="H288" s="21" t="n">
        <v>1.044348939709437</v>
      </c>
    </row>
    <row r="289">
      <c r="A289" s="10" t="n">
        <v>0.295</v>
      </c>
      <c r="B289" s="21" t="n">
        <v>1.455944705751289</v>
      </c>
      <c r="C289" s="21" t="n">
        <v>1.569666009375388</v>
      </c>
      <c r="D289" s="21" t="n">
        <v>0.9757313878998568</v>
      </c>
      <c r="E289" s="21" t="n">
        <v>0.8596142573237222</v>
      </c>
      <c r="F289" s="21" t="n">
        <v>0.4618252120621538</v>
      </c>
      <c r="G289" s="21" t="n">
        <v>0.07213492726214223</v>
      </c>
      <c r="H289" s="21" t="n">
        <v>1.095318044110036</v>
      </c>
    </row>
    <row r="290">
      <c r="A290" s="10" t="n">
        <v>0.305</v>
      </c>
      <c r="B290" s="21" t="n">
        <v>1.357505598867802</v>
      </c>
      <c r="C290" s="21" t="n">
        <v>1.595904011551561</v>
      </c>
      <c r="D290" s="21" t="n">
        <v>1.108025031474117</v>
      </c>
      <c r="E290" s="21" t="n">
        <v>0.9041995565369751</v>
      </c>
      <c r="F290" s="21" t="n">
        <v>0.4962951213871971</v>
      </c>
      <c r="G290" s="21" t="n">
        <v>0.09224203949570398</v>
      </c>
      <c r="H290" s="21" t="n">
        <v>1.10798759609053</v>
      </c>
    </row>
    <row r="291">
      <c r="A291" s="10" t="n">
        <v>0.315</v>
      </c>
      <c r="B291" s="21" t="n">
        <v>1.349637255648241</v>
      </c>
      <c r="C291" s="21" t="n">
        <v>1.570871258612038</v>
      </c>
      <c r="D291" s="21" t="n">
        <v>1.108086244276129</v>
      </c>
      <c r="E291" s="21" t="n">
        <v>0.8981453875454303</v>
      </c>
      <c r="F291" s="21" t="n">
        <v>0.4962208729207921</v>
      </c>
      <c r="G291" s="21" t="n">
        <v>0.09435667528619068</v>
      </c>
      <c r="H291" s="21" t="n">
        <v>1.106040147412517</v>
      </c>
    </row>
    <row r="292">
      <c r="A292" s="10" t="n">
        <v>0.325</v>
      </c>
      <c r="B292" s="21" t="n">
        <v>1.383248401898464</v>
      </c>
      <c r="C292" s="21" t="n">
        <v>1.692259441877506</v>
      </c>
      <c r="D292" s="21" t="n">
        <v>1.196794479192409</v>
      </c>
      <c r="E292" s="21" t="n">
        <v>0.9919920893645415</v>
      </c>
      <c r="F292" s="21" t="n">
        <v>0.5265500685192332</v>
      </c>
      <c r="G292" s="21" t="n">
        <v>0.09918182115073418</v>
      </c>
      <c r="H292" s="21" t="n">
        <v>1.185396435931407</v>
      </c>
    </row>
    <row r="293">
      <c r="A293" s="10" t="n">
        <v>0.335</v>
      </c>
      <c r="B293" s="21" t="n">
        <v>1.376864432105494</v>
      </c>
      <c r="C293" s="21" t="n">
        <v>1.711386591082448</v>
      </c>
      <c r="D293" s="21" t="n">
        <v>1.210387845362487</v>
      </c>
      <c r="E293" s="21" t="n">
        <v>1.011043028505961</v>
      </c>
      <c r="F293" s="21" t="n">
        <v>0.5309389180647437</v>
      </c>
      <c r="G293" s="21" t="n">
        <v>0.09944289364083125</v>
      </c>
      <c r="H293" s="21" t="n">
        <v>1.198452994564525</v>
      </c>
    </row>
    <row r="294">
      <c r="A294" s="10" t="n">
        <v>0.345</v>
      </c>
      <c r="B294" s="21" t="n">
        <v>1.367262265466563</v>
      </c>
      <c r="C294" s="21" t="n">
        <v>1.736973093662862</v>
      </c>
      <c r="D294" s="21" t="n">
        <v>1.229465543101106</v>
      </c>
      <c r="E294" s="21" t="n">
        <v>1.000337256609242</v>
      </c>
      <c r="F294" s="21" t="n">
        <v>0.5507923548066641</v>
      </c>
      <c r="G294" s="21" t="n">
        <v>0.1059636526121348</v>
      </c>
      <c r="H294" s="21" t="n">
        <v>1.193678995503809</v>
      </c>
    </row>
    <row r="295">
      <c r="A295" s="10" t="n">
        <v>0.355</v>
      </c>
      <c r="B295" s="21" t="n">
        <v>1.094357875793188</v>
      </c>
      <c r="C295" s="21" t="n">
        <v>1.741653197554387</v>
      </c>
      <c r="D295" s="21" t="n">
        <v>1.320147850094276</v>
      </c>
      <c r="E295" s="21" t="n">
        <v>1.110216883472434</v>
      </c>
      <c r="F295" s="21" t="n">
        <v>0.7002993502432655</v>
      </c>
      <c r="G295" s="21" t="n">
        <v>0.1411719682732709</v>
      </c>
      <c r="H295" s="21" t="n">
        <v>1.286276971959626</v>
      </c>
    </row>
    <row r="296">
      <c r="A296" s="10" t="n">
        <v>0.365</v>
      </c>
      <c r="B296" s="21" t="n">
        <v>1.040129009320489</v>
      </c>
      <c r="C296" s="21" t="n">
        <v>1.76034934904495</v>
      </c>
      <c r="D296" s="21" t="n">
        <v>1.346217777719321</v>
      </c>
      <c r="E296" s="21" t="n">
        <v>1.134557864419498</v>
      </c>
      <c r="F296" s="21" t="n">
        <v>0.7320020534495998</v>
      </c>
      <c r="G296" s="21" t="n">
        <v>0.1466740864526971</v>
      </c>
      <c r="H296" s="21" t="n">
        <v>1.328718267895508</v>
      </c>
    </row>
    <row r="297">
      <c r="A297" s="10" t="n">
        <v>0.375</v>
      </c>
      <c r="B297" s="21" t="n">
        <v>1.023453992041335</v>
      </c>
      <c r="C297" s="21" t="n">
        <v>1.754510064752713</v>
      </c>
      <c r="D297" s="21" t="n">
        <v>1.345128937682475</v>
      </c>
      <c r="E297" s="21" t="n">
        <v>1.135178877153564</v>
      </c>
      <c r="F297" s="21" t="n">
        <v>0.7379114901394761</v>
      </c>
      <c r="G297" s="21" t="n">
        <v>0.1480503936533541</v>
      </c>
      <c r="H297" s="21" t="n">
        <v>1.31776193428987</v>
      </c>
    </row>
    <row r="298">
      <c r="A298" s="10" t="n">
        <v>0.385</v>
      </c>
      <c r="B298" s="21" t="n">
        <v>1.004456972577201</v>
      </c>
      <c r="C298" s="21" t="n">
        <v>1.781804537343253</v>
      </c>
      <c r="D298" s="21" t="n">
        <v>1.388280715087496</v>
      </c>
      <c r="E298" s="21" t="n">
        <v>1.184365644256288</v>
      </c>
      <c r="F298" s="21" t="n">
        <v>0.7848479728143407</v>
      </c>
      <c r="G298" s="21" t="n">
        <v>0.1584887162982127</v>
      </c>
      <c r="H298" s="21" t="n">
        <v>1.317384695768007</v>
      </c>
    </row>
    <row r="299">
      <c r="A299" s="10" t="n">
        <v>0.395</v>
      </c>
      <c r="B299" s="21" t="n">
        <v>0.9445959453716781</v>
      </c>
      <c r="C299" s="21" t="n">
        <v>1.730011756648227</v>
      </c>
      <c r="D299" s="21" t="n">
        <v>1.39808588605445</v>
      </c>
      <c r="E299" s="21" t="n">
        <v>1.252907438653367</v>
      </c>
      <c r="F299" s="21" t="n">
        <v>0.8461781949969719</v>
      </c>
      <c r="G299" s="21" t="n">
        <v>0.1820975581218203</v>
      </c>
      <c r="H299" s="21" t="n">
        <v>1.274751942828678</v>
      </c>
    </row>
    <row r="300">
      <c r="A300" s="10" t="n">
        <v>0.405</v>
      </c>
      <c r="B300" s="21" t="n">
        <v>0.9366794931573913</v>
      </c>
      <c r="C300" s="21" t="n">
        <v>1.734300390857244</v>
      </c>
      <c r="D300" s="21" t="n">
        <v>1.42734767283963</v>
      </c>
      <c r="E300" s="21" t="n">
        <v>1.247589655350285</v>
      </c>
      <c r="F300" s="21" t="n">
        <v>0.8509025762304369</v>
      </c>
      <c r="G300" s="21" t="n">
        <v>0.1829048050797431</v>
      </c>
      <c r="H300" s="21" t="n">
        <v>1.287017197277352</v>
      </c>
    </row>
    <row r="301">
      <c r="A301" s="10" t="n">
        <v>0.415</v>
      </c>
      <c r="B301" s="21" t="n">
        <v>0.75740467037735</v>
      </c>
      <c r="C301" s="21" t="n">
        <v>1.748131434187886</v>
      </c>
      <c r="D301" s="21" t="n">
        <v>1.589218573351472</v>
      </c>
      <c r="E301" s="21" t="n">
        <v>1.317830187828995</v>
      </c>
      <c r="F301" s="21" t="n">
        <v>0.9670291825008359</v>
      </c>
      <c r="G301" s="21" t="n">
        <v>0.2306267272241539</v>
      </c>
      <c r="H301" s="21" t="n">
        <v>1.314665353016532</v>
      </c>
    </row>
    <row r="302">
      <c r="A302" s="10" t="n">
        <v>0.425</v>
      </c>
      <c r="B302" s="21" t="n">
        <v>0.6649207281549196</v>
      </c>
      <c r="C302" s="21" t="n">
        <v>1.828674004724391</v>
      </c>
      <c r="D302" s="21" t="n">
        <v>1.632588000212994</v>
      </c>
      <c r="E302" s="21" t="n">
        <v>1.36172010011521</v>
      </c>
      <c r="F302" s="21" t="n">
        <v>1.011362541231647</v>
      </c>
      <c r="G302" s="21" t="n">
        <v>0.2455487537069407</v>
      </c>
      <c r="H302" s="21" t="n">
        <v>1.359025005402151</v>
      </c>
    </row>
    <row r="303">
      <c r="A303" s="10" t="n">
        <v>0.435</v>
      </c>
      <c r="B303" s="21" t="n">
        <v>0.6341709518102816</v>
      </c>
      <c r="C303" s="21" t="n">
        <v>1.769779168337624</v>
      </c>
      <c r="D303" s="21" t="n">
        <v>1.580354601603547</v>
      </c>
      <c r="E303" s="21" t="n">
        <v>1.345051671414249</v>
      </c>
      <c r="F303" s="21" t="n">
        <v>1.027951643734919</v>
      </c>
      <c r="G303" s="21" t="n">
        <v>0.2822475605222187</v>
      </c>
      <c r="H303" s="21" t="n">
        <v>1.347951745410248</v>
      </c>
    </row>
    <row r="304">
      <c r="A304" s="10" t="n">
        <v>0.445</v>
      </c>
      <c r="B304" s="21" t="n">
        <v>0.6340935110512774</v>
      </c>
      <c r="C304" s="21" t="n">
        <v>1.786839970421279</v>
      </c>
      <c r="D304" s="21" t="n">
        <v>1.590664345192743</v>
      </c>
      <c r="E304" s="21" t="n">
        <v>1.356438930172217</v>
      </c>
      <c r="F304" s="21" t="n">
        <v>1.046535332930791</v>
      </c>
      <c r="G304" s="21" t="n">
        <v>0.2898856270095376</v>
      </c>
      <c r="H304" s="21" t="n">
        <v>1.360735099019388</v>
      </c>
    </row>
    <row r="305">
      <c r="A305" s="10" t="n">
        <v>0.455</v>
      </c>
      <c r="B305" s="21" t="n">
        <v>0.5618287141416893</v>
      </c>
      <c r="C305" s="21" t="n">
        <v>1.826431369546994</v>
      </c>
      <c r="D305" s="21" t="n">
        <v>1.690213985238394</v>
      </c>
      <c r="E305" s="21" t="n">
        <v>1.404440683551999</v>
      </c>
      <c r="F305" s="21" t="n">
        <v>1.109333007680532</v>
      </c>
      <c r="G305" s="21" t="n">
        <v>0.3140843952355543</v>
      </c>
      <c r="H305" s="21" t="n">
        <v>1.36457668338807</v>
      </c>
    </row>
    <row r="306">
      <c r="A306" s="10" t="n">
        <v>0.465</v>
      </c>
      <c r="B306" s="21" t="n">
        <v>0.5601557685641326</v>
      </c>
      <c r="C306" s="21" t="n">
        <v>1.847071266451879</v>
      </c>
      <c r="D306" s="21" t="n">
        <v>1.720889866796846</v>
      </c>
      <c r="E306" s="21" t="n">
        <v>1.426482639770737</v>
      </c>
      <c r="F306" s="21" t="n">
        <v>1.13885339118731</v>
      </c>
      <c r="G306" s="21" t="n">
        <v>0.3237277921175624</v>
      </c>
      <c r="H306" s="21" t="n">
        <v>1.370717937192266</v>
      </c>
    </row>
    <row r="307">
      <c r="A307" s="10" t="n">
        <v>0.475</v>
      </c>
      <c r="B307" s="21" t="n">
        <v>0.5036160993819874</v>
      </c>
      <c r="C307" s="21" t="n">
        <v>1.996605769426062</v>
      </c>
      <c r="D307" s="21" t="n">
        <v>2.006833051660633</v>
      </c>
      <c r="E307" s="21" t="n">
        <v>1.635384643791924</v>
      </c>
      <c r="F307" s="21" t="n">
        <v>1.349124647763572</v>
      </c>
      <c r="G307" s="21" t="n">
        <v>0.4155899661335454</v>
      </c>
      <c r="H307" s="21" t="n">
        <v>1.451261243521041</v>
      </c>
    </row>
    <row r="308">
      <c r="A308" s="10" t="n">
        <v>0.485</v>
      </c>
      <c r="B308" s="21" t="n">
        <v>0.4506985136030919</v>
      </c>
      <c r="C308" s="21" t="n">
        <v>1.868058192295654</v>
      </c>
      <c r="D308" s="21" t="n">
        <v>1.947895165411148</v>
      </c>
      <c r="E308" s="21" t="n">
        <v>1.592325036686377</v>
      </c>
      <c r="F308" s="21" t="n">
        <v>1.309220020374127</v>
      </c>
      <c r="G308" s="21" t="n">
        <v>0.415615352961451</v>
      </c>
      <c r="H308" s="21" t="n">
        <v>1.383581192672525</v>
      </c>
    </row>
    <row r="309">
      <c r="A309" s="10" t="n">
        <v>0.495</v>
      </c>
      <c r="B309" s="21" t="n">
        <v>0.4207715480869167</v>
      </c>
      <c r="C309" s="21" t="n">
        <v>1.84491658013089</v>
      </c>
      <c r="D309" s="21" t="n">
        <v>1.963870336291578</v>
      </c>
      <c r="E309" s="21" t="n">
        <v>1.589382546935123</v>
      </c>
      <c r="F309" s="21" t="n">
        <v>1.323321778361708</v>
      </c>
      <c r="G309" s="21" t="n">
        <v>0.4275511519904276</v>
      </c>
      <c r="H309" s="21" t="n">
        <v>1.368601223401622</v>
      </c>
    </row>
    <row r="310">
      <c r="A310" s="10" t="n">
        <v>0.505</v>
      </c>
      <c r="B310" s="21" t="n">
        <v>0.3742327770566811</v>
      </c>
      <c r="C310" s="21" t="n">
        <v>1.797047428230552</v>
      </c>
      <c r="D310" s="21" t="n">
        <v>1.954020269045871</v>
      </c>
      <c r="E310" s="21" t="n">
        <v>1.548227730917115</v>
      </c>
      <c r="F310" s="21" t="n">
        <v>1.311110810479089</v>
      </c>
      <c r="G310" s="21" t="n">
        <v>0.4267239838814626</v>
      </c>
      <c r="H310" s="21" t="n">
        <v>1.303992138973654</v>
      </c>
    </row>
    <row r="311">
      <c r="A311" s="10" t="n">
        <v>0.515</v>
      </c>
      <c r="B311" s="21" t="n">
        <v>0.3466058916363962</v>
      </c>
      <c r="C311" s="21" t="n">
        <v>1.722127338286506</v>
      </c>
      <c r="D311" s="21" t="n">
        <v>1.89602510868625</v>
      </c>
      <c r="E311" s="21" t="n">
        <v>1.549565132216532</v>
      </c>
      <c r="F311" s="21" t="n">
        <v>1.293611185854431</v>
      </c>
      <c r="G311" s="21" t="n">
        <v>0.4535244187841374</v>
      </c>
      <c r="H311" s="21" t="n">
        <v>1.236735899284307</v>
      </c>
    </row>
    <row r="312">
      <c r="A312" s="10" t="n">
        <v>0.525</v>
      </c>
      <c r="B312" s="21" t="n">
        <v>0.3058720336695762</v>
      </c>
      <c r="C312" s="21" t="n">
        <v>1.651651464472826</v>
      </c>
      <c r="D312" s="21" t="n">
        <v>1.92064108371088</v>
      </c>
      <c r="E312" s="21" t="n">
        <v>1.554042884499151</v>
      </c>
      <c r="F312" s="21" t="n">
        <v>1.37379601560627</v>
      </c>
      <c r="G312" s="21" t="n">
        <v>0.5093623186358623</v>
      </c>
      <c r="H312" s="21" t="n">
        <v>1.26209253499741</v>
      </c>
    </row>
    <row r="313">
      <c r="A313" s="10" t="n">
        <v>0.535</v>
      </c>
      <c r="B313" s="21" t="n">
        <v>0.2775340784500068</v>
      </c>
      <c r="C313" s="21" t="n">
        <v>1.572409454595193</v>
      </c>
      <c r="D313" s="21" t="n">
        <v>1.930511774911969</v>
      </c>
      <c r="E313" s="21" t="n">
        <v>1.615836416177444</v>
      </c>
      <c r="F313" s="21" t="n">
        <v>1.556152336606859</v>
      </c>
      <c r="G313" s="21" t="n">
        <v>0.55359477269488</v>
      </c>
      <c r="H313" s="21" t="n">
        <v>1.338404060062406</v>
      </c>
    </row>
    <row r="314">
      <c r="A314" s="10" t="n">
        <v>0.545</v>
      </c>
      <c r="B314" s="21" t="n">
        <v>0.270771142757026</v>
      </c>
      <c r="C314" s="21" t="n">
        <v>1.540457812855475</v>
      </c>
      <c r="D314" s="21" t="n">
        <v>1.93768065917743</v>
      </c>
      <c r="E314" s="21" t="n">
        <v>1.631495590301795</v>
      </c>
      <c r="F314" s="21" t="n">
        <v>1.641719917312185</v>
      </c>
      <c r="G314" s="21" t="n">
        <v>0.6471351336199527</v>
      </c>
      <c r="H314" s="21" t="n">
        <v>1.357568862438082</v>
      </c>
    </row>
    <row r="315">
      <c r="A315" s="10" t="n">
        <v>0.555</v>
      </c>
      <c r="B315" s="21" t="n">
        <v>0.2510509293966751</v>
      </c>
      <c r="C315" s="21" t="n">
        <v>1.439325588549687</v>
      </c>
      <c r="D315" s="21" t="n">
        <v>1.867729609378378</v>
      </c>
      <c r="E315" s="21" t="n">
        <v>1.646182475696661</v>
      </c>
      <c r="F315" s="21" t="n">
        <v>1.670717440896736</v>
      </c>
      <c r="G315" s="21" t="n">
        <v>0.6925042318000764</v>
      </c>
      <c r="H315" s="21" t="n">
        <v>1.350729454494234</v>
      </c>
    </row>
    <row r="316">
      <c r="A316" s="10" t="n">
        <v>0.5649999999999999</v>
      </c>
      <c r="B316" s="21" t="n">
        <v>0.1889821443051671</v>
      </c>
      <c r="C316" s="21" t="n">
        <v>1.367964005504792</v>
      </c>
      <c r="D316" s="21" t="n">
        <v>1.779588282784578</v>
      </c>
      <c r="E316" s="21" t="n">
        <v>1.674022867591523</v>
      </c>
      <c r="F316" s="21" t="n">
        <v>1.807220202202155</v>
      </c>
      <c r="G316" s="21" t="n">
        <v>0.8046290898579481</v>
      </c>
      <c r="H316" s="21" t="n">
        <v>1.366798321459276</v>
      </c>
    </row>
    <row r="317">
      <c r="A317" s="10" t="n">
        <v>0.575</v>
      </c>
      <c r="B317" s="21" t="n">
        <v>0.1682346985936224</v>
      </c>
      <c r="C317" s="21" t="n">
        <v>1.357256951433108</v>
      </c>
      <c r="D317" s="21" t="n">
        <v>1.762308972581589</v>
      </c>
      <c r="E317" s="21" t="n">
        <v>1.725890423020922</v>
      </c>
      <c r="F317" s="21" t="n">
        <v>1.824070901066112</v>
      </c>
      <c r="G317" s="21" t="n">
        <v>0.8400456290294154</v>
      </c>
      <c r="H317" s="21" t="n">
        <v>1.361070367247501</v>
      </c>
    </row>
    <row r="318">
      <c r="A318" s="10" t="n">
        <v>0.585</v>
      </c>
      <c r="B318" s="21" t="n">
        <v>0.15334849498567</v>
      </c>
      <c r="C318" s="21" t="n">
        <v>1.259423274445067</v>
      </c>
      <c r="D318" s="21" t="n">
        <v>1.707382918125599</v>
      </c>
      <c r="E318" s="21" t="n">
        <v>1.748194022849771</v>
      </c>
      <c r="F318" s="21" t="n">
        <v>1.845516652300088</v>
      </c>
      <c r="G318" s="21" t="n">
        <v>0.9054569285911594</v>
      </c>
      <c r="H318" s="21" t="n">
        <v>1.35959140242991</v>
      </c>
    </row>
    <row r="319">
      <c r="A319" s="10" t="n">
        <v>0.595</v>
      </c>
      <c r="B319" s="21" t="n">
        <v>0.1374323431346253</v>
      </c>
      <c r="C319" s="21" t="n">
        <v>1.153931820178123</v>
      </c>
      <c r="D319" s="21" t="n">
        <v>1.642180139294756</v>
      </c>
      <c r="E319" s="21" t="n">
        <v>1.766188161976474</v>
      </c>
      <c r="F319" s="21" t="n">
        <v>1.888097414483089</v>
      </c>
      <c r="G319" s="21" t="n">
        <v>0.9893508639321005</v>
      </c>
      <c r="H319" s="21" t="n">
        <v>1.354563043473384</v>
      </c>
    </row>
    <row r="320">
      <c r="A320" s="10" t="n">
        <v>0.605</v>
      </c>
      <c r="B320" s="21" t="n">
        <v>0.1274297309941567</v>
      </c>
      <c r="C320" s="21" t="n">
        <v>1.122228625705597</v>
      </c>
      <c r="D320" s="21" t="n">
        <v>1.607197516275161</v>
      </c>
      <c r="E320" s="21" t="n">
        <v>1.796600877477871</v>
      </c>
      <c r="F320" s="21" t="n">
        <v>1.925665802279007</v>
      </c>
      <c r="G320" s="21" t="n">
        <v>1.070541850925503</v>
      </c>
      <c r="H320" s="21" t="n">
        <v>1.35042069377135</v>
      </c>
    </row>
    <row r="321">
      <c r="A321" s="10" t="n">
        <v>0.615</v>
      </c>
      <c r="B321" s="21" t="n">
        <v>0.1220776274083835</v>
      </c>
      <c r="C321" s="21" t="n">
        <v>1.099657770954341</v>
      </c>
      <c r="D321" s="21" t="n">
        <v>1.588178515503553</v>
      </c>
      <c r="E321" s="21" t="n">
        <v>1.801794487066552</v>
      </c>
      <c r="F321" s="21" t="n">
        <v>1.952379015216582</v>
      </c>
      <c r="G321" s="21" t="n">
        <v>1.093496855444023</v>
      </c>
      <c r="H321" s="21" t="n">
        <v>1.35823888741412</v>
      </c>
    </row>
    <row r="322">
      <c r="A322" s="10" t="n">
        <v>0.625</v>
      </c>
      <c r="B322" s="21" t="n">
        <v>0.09878528776037367</v>
      </c>
      <c r="C322" s="21" t="n">
        <v>0.9647058063830344</v>
      </c>
      <c r="D322" s="21" t="n">
        <v>1.509710969543452</v>
      </c>
      <c r="E322" s="21" t="n">
        <v>1.776530859830426</v>
      </c>
      <c r="F322" s="21" t="n">
        <v>2.038011311976876</v>
      </c>
      <c r="G322" s="21" t="n">
        <v>1.21479377298239</v>
      </c>
      <c r="H322" s="21" t="n">
        <v>1.328798144951606</v>
      </c>
    </row>
    <row r="323">
      <c r="A323" s="10" t="n">
        <v>0.635</v>
      </c>
      <c r="B323" s="21" t="n">
        <v>0.09625096029359542</v>
      </c>
      <c r="C323" s="21" t="n">
        <v>0.9397194719865887</v>
      </c>
      <c r="D323" s="21" t="n">
        <v>1.525742156985494</v>
      </c>
      <c r="E323" s="21" t="n">
        <v>1.775753256975833</v>
      </c>
      <c r="F323" s="21" t="n">
        <v>2.089913479465121</v>
      </c>
      <c r="G323" s="21" t="n">
        <v>1.298430520696713</v>
      </c>
      <c r="H323" s="21" t="n">
        <v>1.324917934762847</v>
      </c>
    </row>
    <row r="324">
      <c r="A324" s="10" t="n">
        <v>0.645</v>
      </c>
      <c r="B324" s="21" t="n">
        <v>0.08588933808214737</v>
      </c>
      <c r="C324" s="21" t="n">
        <v>0.879451158734584</v>
      </c>
      <c r="D324" s="21" t="n">
        <v>1.507708432042804</v>
      </c>
      <c r="E324" s="21" t="n">
        <v>1.75090443122299</v>
      </c>
      <c r="F324" s="21" t="n">
        <v>2.151361630066302</v>
      </c>
      <c r="G324" s="21" t="n">
        <v>1.453786812996228</v>
      </c>
      <c r="H324" s="21" t="n">
        <v>1.309972040134189</v>
      </c>
    </row>
    <row r="325">
      <c r="A325" s="10" t="n">
        <v>0.655</v>
      </c>
      <c r="B325" s="21" t="n">
        <v>0.07236023711023361</v>
      </c>
      <c r="C325" s="21" t="n">
        <v>0.8226800178546798</v>
      </c>
      <c r="D325" s="21" t="n">
        <v>1.488452948561291</v>
      </c>
      <c r="E325" s="21" t="n">
        <v>1.789336325907962</v>
      </c>
      <c r="F325" s="21" t="n">
        <v>2.205385834995817</v>
      </c>
      <c r="G325" s="21" t="n">
        <v>1.755620078049562</v>
      </c>
      <c r="H325" s="21" t="n">
        <v>1.30668368040484</v>
      </c>
    </row>
    <row r="326">
      <c r="A326" s="10" t="n">
        <v>0.665</v>
      </c>
      <c r="B326" s="21" t="n">
        <v>0.06520231512485276</v>
      </c>
      <c r="C326" s="21" t="n">
        <v>0.7808080217966163</v>
      </c>
      <c r="D326" s="21" t="n">
        <v>1.470470470789444</v>
      </c>
      <c r="E326" s="21" t="n">
        <v>1.830660285622068</v>
      </c>
      <c r="F326" s="21" t="n">
        <v>2.242978992919617</v>
      </c>
      <c r="G326" s="21" t="n">
        <v>1.877468722033617</v>
      </c>
      <c r="H326" s="21" t="n">
        <v>1.310494476147485</v>
      </c>
    </row>
    <row r="327">
      <c r="A327" s="10" t="n">
        <v>0.675</v>
      </c>
      <c r="B327" s="21" t="n">
        <v>0.05314452804515083</v>
      </c>
      <c r="C327" s="21" t="n">
        <v>0.7082546835589726</v>
      </c>
      <c r="D327" s="21" t="n">
        <v>1.438508540054063</v>
      </c>
      <c r="E327" s="21" t="n">
        <v>1.876072400127347</v>
      </c>
      <c r="F327" s="21" t="n">
        <v>2.264604206449573</v>
      </c>
      <c r="G327" s="21" t="n">
        <v>1.977483751780386</v>
      </c>
      <c r="H327" s="21" t="n">
        <v>1.29524067092786</v>
      </c>
    </row>
    <row r="328">
      <c r="A328" s="10" t="n">
        <v>0.6850000000000001</v>
      </c>
      <c r="B328" s="21" t="n">
        <v>0.03382332956634056</v>
      </c>
      <c r="C328" s="21" t="n">
        <v>0.5819854975899525</v>
      </c>
      <c r="D328" s="21" t="n">
        <v>1.411635701316248</v>
      </c>
      <c r="E328" s="21" t="n">
        <v>1.885137661675721</v>
      </c>
      <c r="F328" s="21" t="n">
        <v>2.279850013291088</v>
      </c>
      <c r="G328" s="21" t="n">
        <v>2.235750375651111</v>
      </c>
      <c r="H328" s="21" t="n">
        <v>1.21431597867629</v>
      </c>
    </row>
    <row r="329">
      <c r="A329" s="10" t="n">
        <v>0.695</v>
      </c>
      <c r="B329" s="21" t="n">
        <v>0.0256563983874056</v>
      </c>
      <c r="C329" s="21" t="n">
        <v>0.5262109069560019</v>
      </c>
      <c r="D329" s="21" t="n">
        <v>1.390915705724579</v>
      </c>
      <c r="E329" s="21" t="n">
        <v>1.86144287210512</v>
      </c>
      <c r="F329" s="21" t="n">
        <v>2.256657077108384</v>
      </c>
      <c r="G329" s="21" t="n">
        <v>2.337772596681552</v>
      </c>
      <c r="H329" s="21" t="n">
        <v>1.171777205070348</v>
      </c>
    </row>
    <row r="330">
      <c r="A330" s="10" t="n">
        <v>0.705</v>
      </c>
      <c r="B330" s="21" t="n">
        <v>0.02508769989399637</v>
      </c>
      <c r="C330" s="21" t="n">
        <v>0.5019404472986254</v>
      </c>
      <c r="D330" s="21" t="n">
        <v>1.369781880592617</v>
      </c>
      <c r="E330" s="21" t="n">
        <v>1.832904399116281</v>
      </c>
      <c r="F330" s="21" t="n">
        <v>2.260733557590793</v>
      </c>
      <c r="G330" s="21" t="n">
        <v>2.423129573737953</v>
      </c>
      <c r="H330" s="21" t="n">
        <v>1.150817184762939</v>
      </c>
    </row>
    <row r="331">
      <c r="A331" s="10" t="n">
        <v>0.715</v>
      </c>
      <c r="B331" s="21" t="n">
        <v>0.02023699655920544</v>
      </c>
      <c r="C331" s="21" t="n">
        <v>0.4262788763545531</v>
      </c>
      <c r="D331" s="21" t="n">
        <v>1.273679817570608</v>
      </c>
      <c r="E331" s="21" t="n">
        <v>1.695295882227273</v>
      </c>
      <c r="F331" s="21" t="n">
        <v>2.117315582831959</v>
      </c>
      <c r="G331" s="21" t="n">
        <v>2.273468444485891</v>
      </c>
      <c r="H331" s="21" t="n">
        <v>1.040537423762131</v>
      </c>
    </row>
    <row r="332">
      <c r="A332" s="10" t="n">
        <v>0.725</v>
      </c>
      <c r="B332" s="21" t="n">
        <v>0.01233819017297959</v>
      </c>
      <c r="C332" s="21" t="n">
        <v>0.3609584282144271</v>
      </c>
      <c r="D332" s="21" t="n">
        <v>1.324733954619853</v>
      </c>
      <c r="E332" s="21" t="n">
        <v>1.743093894288385</v>
      </c>
      <c r="F332" s="21" t="n">
        <v>2.195826311503999</v>
      </c>
      <c r="G332" s="21" t="n">
        <v>2.614282606802</v>
      </c>
      <c r="H332" s="21" t="n">
        <v>1.047310509072332</v>
      </c>
    </row>
    <row r="333">
      <c r="A333" s="10" t="n">
        <v>0.735</v>
      </c>
      <c r="B333" s="21" t="n">
        <v>0.01340241469471421</v>
      </c>
      <c r="C333" s="21" t="n">
        <v>0.3737619164119843</v>
      </c>
      <c r="D333" s="21" t="n">
        <v>1.3268716761897</v>
      </c>
      <c r="E333" s="21" t="n">
        <v>1.775661285706196</v>
      </c>
      <c r="F333" s="21" t="n">
        <v>2.238879097980384</v>
      </c>
      <c r="G333" s="21" t="n">
        <v>2.744957923132883</v>
      </c>
      <c r="H333" s="21" t="n">
        <v>1.086439336594939</v>
      </c>
    </row>
    <row r="334">
      <c r="A334" s="10" t="n">
        <v>0.745</v>
      </c>
      <c r="B334" s="21" t="n">
        <v>0.0203712877632649</v>
      </c>
      <c r="C334" s="21" t="n">
        <v>0.4155076843429434</v>
      </c>
      <c r="D334" s="21" t="n">
        <v>1.262744001103491</v>
      </c>
      <c r="E334" s="21" t="n">
        <v>1.709480154467933</v>
      </c>
      <c r="F334" s="21" t="n">
        <v>2.172658505067512</v>
      </c>
      <c r="G334" s="21" t="n">
        <v>2.428134491588024</v>
      </c>
      <c r="H334" s="21" t="n">
        <v>1.096481139405378</v>
      </c>
    </row>
    <row r="335">
      <c r="A335" s="10" t="n">
        <v>0.755</v>
      </c>
      <c r="B335" s="21" t="n">
        <v>0.009321927081178316</v>
      </c>
      <c r="C335" s="21" t="n">
        <v>0.3183563996271149</v>
      </c>
      <c r="D335" s="21" t="n">
        <v>1.12404078939333</v>
      </c>
      <c r="E335" s="21" t="n">
        <v>1.525002145596962</v>
      </c>
      <c r="F335" s="21" t="n">
        <v>1.948882971879984</v>
      </c>
      <c r="G335" s="21" t="n">
        <v>2.335878398242066</v>
      </c>
      <c r="H335" s="21" t="n">
        <v>0.964714256637521</v>
      </c>
    </row>
    <row r="336">
      <c r="A336" s="10" t="n">
        <v>0.765</v>
      </c>
      <c r="B336" s="21" t="n">
        <v>0.008345975791242063</v>
      </c>
      <c r="C336" s="21" t="n">
        <v>0.2916415262439093</v>
      </c>
      <c r="D336" s="21" t="n">
        <v>1.069317111971114</v>
      </c>
      <c r="E336" s="21" t="n">
        <v>1.404683977240002</v>
      </c>
      <c r="F336" s="21" t="n">
        <v>1.85175131736916</v>
      </c>
      <c r="G336" s="21" t="n">
        <v>2.184770092925317</v>
      </c>
      <c r="H336" s="21" t="n">
        <v>0.9026127789680878</v>
      </c>
    </row>
    <row r="337">
      <c r="A337" s="10" t="n">
        <v>0.775</v>
      </c>
      <c r="B337" s="21" t="n">
        <v>0.006252322270813856</v>
      </c>
      <c r="C337" s="21" t="n">
        <v>0.2882402431721832</v>
      </c>
      <c r="D337" s="21" t="n">
        <v>1.107704267941163</v>
      </c>
      <c r="E337" s="21" t="n">
        <v>1.449993150621917</v>
      </c>
      <c r="F337" s="21" t="n">
        <v>1.930839041752481</v>
      </c>
      <c r="G337" s="21" t="n">
        <v>2.290436060882016</v>
      </c>
      <c r="H337" s="21" t="n">
        <v>0.9302700351677956</v>
      </c>
    </row>
    <row r="338">
      <c r="A338" s="10" t="n">
        <v>0.785</v>
      </c>
      <c r="B338" s="21" t="n">
        <v>0.002043145034286102</v>
      </c>
      <c r="C338" s="21" t="n">
        <v>0.237372091693055</v>
      </c>
      <c r="D338" s="21" t="n">
        <v>1.040843146195302</v>
      </c>
      <c r="E338" s="21" t="n">
        <v>1.373247624470345</v>
      </c>
      <c r="F338" s="21" t="n">
        <v>1.896954077111746</v>
      </c>
      <c r="G338" s="21" t="n">
        <v>2.414178996411429</v>
      </c>
      <c r="H338" s="21" t="n">
        <v>0.903285429605202</v>
      </c>
    </row>
    <row r="339">
      <c r="A339" s="10" t="n">
        <v>0.795</v>
      </c>
      <c r="B339" s="21" t="n">
        <v>0.000767091261380112</v>
      </c>
      <c r="C339" s="21" t="n">
        <v>0.1995503279099049</v>
      </c>
      <c r="D339" s="21" t="n">
        <v>0.9096364015351055</v>
      </c>
      <c r="E339" s="21" t="n">
        <v>1.245327153676925</v>
      </c>
      <c r="F339" s="21" t="n">
        <v>1.750198976004882</v>
      </c>
      <c r="G339" s="21" t="n">
        <v>2.461364489781725</v>
      </c>
      <c r="H339" s="21" t="n">
        <v>0.8551708193562846</v>
      </c>
    </row>
    <row r="340">
      <c r="A340" s="10" t="n">
        <v>0.805</v>
      </c>
      <c r="B340" s="21" t="n">
        <v>0.0001302607802343585</v>
      </c>
      <c r="C340" s="21" t="n">
        <v>0.1865391896128861</v>
      </c>
      <c r="D340" s="21" t="n">
        <v>0.8947713723052096</v>
      </c>
      <c r="E340" s="21" t="n">
        <v>1.23779663954251</v>
      </c>
      <c r="F340" s="21" t="n">
        <v>1.740824181733124</v>
      </c>
      <c r="G340" s="21" t="n">
        <v>2.498563872377387</v>
      </c>
      <c r="H340" s="21" t="n">
        <v>0.8301643217561152</v>
      </c>
    </row>
    <row r="341">
      <c r="A341" s="10" t="n">
        <v>0.8149999999999999</v>
      </c>
      <c r="B341" s="21" t="n">
        <v>0</v>
      </c>
      <c r="C341" s="21" t="n">
        <v>0.179609437919872</v>
      </c>
      <c r="D341" s="21" t="n">
        <v>0.8965255833279655</v>
      </c>
      <c r="E341" s="21" t="n">
        <v>1.2305116247629</v>
      </c>
      <c r="F341" s="21" t="n">
        <v>1.713546890245746</v>
      </c>
      <c r="G341" s="21" t="n">
        <v>2.521653513236096</v>
      </c>
      <c r="H341" s="21" t="n">
        <v>0.8309617182088218</v>
      </c>
    </row>
    <row r="342">
      <c r="A342" s="10" t="n">
        <v>0.825</v>
      </c>
      <c r="B342" s="21" t="n">
        <v>0</v>
      </c>
      <c r="C342" s="21" t="n">
        <v>0.1684091326931934</v>
      </c>
      <c r="D342" s="21" t="n">
        <v>0.8685732181595924</v>
      </c>
      <c r="E342" s="21" t="n">
        <v>1.178546274268832</v>
      </c>
      <c r="F342" s="21" t="n">
        <v>1.636335076966337</v>
      </c>
      <c r="G342" s="21" t="n">
        <v>2.502256016405209</v>
      </c>
      <c r="H342" s="21" t="n">
        <v>0.8192320680119575</v>
      </c>
    </row>
    <row r="343">
      <c r="A343" s="10" t="n">
        <v>0.835</v>
      </c>
      <c r="B343" s="21" t="n">
        <v>0</v>
      </c>
      <c r="C343" s="21" t="n">
        <v>0.1434238783997988</v>
      </c>
      <c r="D343" s="21" t="n">
        <v>0.7802373156237986</v>
      </c>
      <c r="E343" s="21" t="n">
        <v>1.047512592326926</v>
      </c>
      <c r="F343" s="21" t="n">
        <v>1.511686117271551</v>
      </c>
      <c r="G343" s="21" t="n">
        <v>2.415561086155099</v>
      </c>
      <c r="H343" s="21" t="n">
        <v>0.7939503363083901</v>
      </c>
    </row>
    <row r="344">
      <c r="A344" s="10" t="n">
        <v>0.845</v>
      </c>
      <c r="B344" s="21" t="n">
        <v>0</v>
      </c>
      <c r="C344" s="21" t="n">
        <v>0.1400774538530975</v>
      </c>
      <c r="D344" s="21" t="n">
        <v>0.8009610664586081</v>
      </c>
      <c r="E344" s="21" t="n">
        <v>1.057672992941344</v>
      </c>
      <c r="F344" s="21" t="n">
        <v>1.535448356114874</v>
      </c>
      <c r="G344" s="21" t="n">
        <v>2.437425943656529</v>
      </c>
      <c r="H344" s="21" t="n">
        <v>0.7959466817330076</v>
      </c>
    </row>
    <row r="345">
      <c r="A345" s="10" t="n">
        <v>0.855</v>
      </c>
      <c r="B345" s="21" t="n">
        <v>0</v>
      </c>
      <c r="C345" s="21" t="n">
        <v>0.1274499842757924</v>
      </c>
      <c r="D345" s="21" t="n">
        <v>0.7561187551205514</v>
      </c>
      <c r="E345" s="21" t="n">
        <v>0.9890142174825136</v>
      </c>
      <c r="F345" s="21" t="n">
        <v>1.438621389411123</v>
      </c>
      <c r="G345" s="21" t="n">
        <v>2.39126277093833</v>
      </c>
      <c r="H345" s="21" t="n">
        <v>0.7922248640403218</v>
      </c>
    </row>
    <row r="346">
      <c r="A346" s="10" t="n">
        <v>0.865</v>
      </c>
      <c r="B346" s="21" t="n">
        <v>0</v>
      </c>
      <c r="C346" s="21" t="n">
        <v>0.1171323915965309</v>
      </c>
      <c r="D346" s="21" t="n">
        <v>0.6946148175542917</v>
      </c>
      <c r="E346" s="21" t="n">
        <v>0.9157743870817535</v>
      </c>
      <c r="F346" s="21" t="n">
        <v>1.369518894673618</v>
      </c>
      <c r="G346" s="21" t="n">
        <v>2.52685437058442</v>
      </c>
      <c r="H346" s="21" t="n">
        <v>0.7686216570844778</v>
      </c>
    </row>
    <row r="347">
      <c r="A347" s="10" t="n">
        <v>0.875</v>
      </c>
      <c r="B347" s="21" t="n">
        <v>0</v>
      </c>
      <c r="C347" s="21" t="n">
        <v>0.08961606255890678</v>
      </c>
      <c r="D347" s="21" t="n">
        <v>0.5613691233792911</v>
      </c>
      <c r="E347" s="21" t="n">
        <v>0.7268975612476809</v>
      </c>
      <c r="F347" s="21" t="n">
        <v>1.123983336616431</v>
      </c>
      <c r="G347" s="21" t="n">
        <v>2.492608931789103</v>
      </c>
      <c r="H347" s="21" t="n">
        <v>0.6903094251199978</v>
      </c>
    </row>
    <row r="348">
      <c r="A348" s="10" t="n">
        <v>0.885</v>
      </c>
      <c r="B348" s="21" t="n">
        <v>0</v>
      </c>
      <c r="C348" s="21" t="n">
        <v>0.07341001972742182</v>
      </c>
      <c r="D348" s="21" t="n">
        <v>0.5164641930526974</v>
      </c>
      <c r="E348" s="21" t="n">
        <v>0.6689318898369314</v>
      </c>
      <c r="F348" s="21" t="n">
        <v>1.072902327367908</v>
      </c>
      <c r="G348" s="21" t="n">
        <v>2.513670772741984</v>
      </c>
      <c r="H348" s="21" t="n">
        <v>0.6911289677105453</v>
      </c>
    </row>
    <row r="349">
      <c r="A349" s="10" t="n">
        <v>0.895</v>
      </c>
      <c r="B349" s="21" t="n">
        <v>0</v>
      </c>
      <c r="C349" s="21" t="n">
        <v>0.06692202160630244</v>
      </c>
      <c r="D349" s="21" t="n">
        <v>0.4801412724022996</v>
      </c>
      <c r="E349" s="21" t="n">
        <v>0.6226568445574244</v>
      </c>
      <c r="F349" s="21" t="n">
        <v>1.014676093896115</v>
      </c>
      <c r="G349" s="21" t="n">
        <v>2.583665825127718</v>
      </c>
      <c r="H349" s="21" t="n">
        <v>0.6673567270013558</v>
      </c>
    </row>
    <row r="350">
      <c r="A350" s="10" t="n">
        <v>0.905</v>
      </c>
      <c r="B350" s="21" t="n">
        <v>0</v>
      </c>
      <c r="C350" s="21" t="n">
        <v>0.06199421777764504</v>
      </c>
      <c r="D350" s="21" t="n">
        <v>0.4328650931257703</v>
      </c>
      <c r="E350" s="21" t="n">
        <v>0.561677860263369</v>
      </c>
      <c r="F350" s="21" t="n">
        <v>0.9538511421304176</v>
      </c>
      <c r="G350" s="21" t="n">
        <v>2.655441313095144</v>
      </c>
      <c r="H350" s="21" t="n">
        <v>0.645172358137997</v>
      </c>
    </row>
    <row r="351">
      <c r="A351" s="10" t="n">
        <v>0.915</v>
      </c>
      <c r="B351" s="21" t="n">
        <v>0</v>
      </c>
      <c r="C351" s="21" t="n">
        <v>0.05964673451151812</v>
      </c>
      <c r="D351" s="21" t="n">
        <v>0.413686271124621</v>
      </c>
      <c r="E351" s="21" t="n">
        <v>0.5394773120482389</v>
      </c>
      <c r="F351" s="21" t="n">
        <v>0.9403283388228499</v>
      </c>
      <c r="G351" s="21" t="n">
        <v>2.752663497560823</v>
      </c>
      <c r="H351" s="21" t="n">
        <v>0.6539484643027028</v>
      </c>
    </row>
    <row r="352">
      <c r="A352" s="10" t="n">
        <v>0.925</v>
      </c>
      <c r="B352" s="21" t="n">
        <v>0</v>
      </c>
      <c r="C352" s="21" t="n">
        <v>0.05452020198636044</v>
      </c>
      <c r="D352" s="21" t="n">
        <v>0.392390225621885</v>
      </c>
      <c r="E352" s="21" t="n">
        <v>0.5087067178831959</v>
      </c>
      <c r="F352" s="21" t="n">
        <v>0.8865382753955418</v>
      </c>
      <c r="G352" s="21" t="n">
        <v>2.723975631773159</v>
      </c>
      <c r="H352" s="21" t="n">
        <v>0.6321733498578286</v>
      </c>
    </row>
    <row r="353">
      <c r="A353" s="10" t="n">
        <v>0.9350000000000001</v>
      </c>
      <c r="B353" s="21" t="n">
        <v>0</v>
      </c>
      <c r="C353" s="21" t="n">
        <v>0.04210189376020786</v>
      </c>
      <c r="D353" s="21" t="n">
        <v>0.355111794685256</v>
      </c>
      <c r="E353" s="21" t="n">
        <v>0.449530461321457</v>
      </c>
      <c r="F353" s="21" t="n">
        <v>0.8079378908876189</v>
      </c>
      <c r="G353" s="21" t="n">
        <v>2.907497070674732</v>
      </c>
      <c r="H353" s="21" t="n">
        <v>0.635070727128687</v>
      </c>
    </row>
    <row r="354">
      <c r="A354" s="10" t="n">
        <v>0.945</v>
      </c>
      <c r="B354" s="21" t="n">
        <v>0</v>
      </c>
      <c r="C354" s="21" t="n">
        <v>0.02757218612685959</v>
      </c>
      <c r="D354" s="21" t="n">
        <v>0.2728998084856005</v>
      </c>
      <c r="E354" s="21" t="n">
        <v>0.3315028966972822</v>
      </c>
      <c r="F354" s="21" t="n">
        <v>0.603752401869351</v>
      </c>
      <c r="G354" s="21" t="n">
        <v>2.53504654937251</v>
      </c>
      <c r="H354" s="21" t="n">
        <v>0.5518370493366059</v>
      </c>
    </row>
    <row r="355">
      <c r="A355" s="10" t="n">
        <v>0.955</v>
      </c>
      <c r="B355" s="21" t="n">
        <v>0</v>
      </c>
      <c r="C355" s="21" t="n">
        <v>0.01568565775219761</v>
      </c>
      <c r="D355" s="21" t="n">
        <v>0.2091244678409638</v>
      </c>
      <c r="E355" s="21" t="n">
        <v>0.2390543297618804</v>
      </c>
      <c r="F355" s="21" t="n">
        <v>0.4455727582593417</v>
      </c>
      <c r="G355" s="21" t="n">
        <v>2.264823754586521</v>
      </c>
      <c r="H355" s="21" t="n">
        <v>0.4800028774618821</v>
      </c>
    </row>
    <row r="356">
      <c r="A356" s="10" t="n">
        <v>0.965</v>
      </c>
      <c r="B356" s="21" t="n">
        <v>0</v>
      </c>
      <c r="C356" s="21" t="n">
        <v>0.01113559933779744</v>
      </c>
      <c r="D356" s="21" t="n">
        <v>0.170889223239249</v>
      </c>
      <c r="E356" s="21" t="n">
        <v>0.1905774784768765</v>
      </c>
      <c r="F356" s="21" t="n">
        <v>0.3620535632839219</v>
      </c>
      <c r="G356" s="21" t="n">
        <v>2.018600996784446</v>
      </c>
      <c r="H356" s="21" t="n">
        <v>0.4413021131552913</v>
      </c>
    </row>
    <row r="357">
      <c r="A357" s="10" t="n">
        <v>0.975</v>
      </c>
      <c r="B357" s="21" t="n">
        <v>0</v>
      </c>
      <c r="C357" s="21" t="n">
        <v>0.003672650058329888</v>
      </c>
      <c r="D357" s="21" t="n">
        <v>0.1188691828315137</v>
      </c>
      <c r="E357" s="21" t="n">
        <v>0.1242078902263963</v>
      </c>
      <c r="F357" s="21" t="n">
        <v>0.2448487198481299</v>
      </c>
      <c r="G357" s="21" t="n">
        <v>1.735606120390234</v>
      </c>
      <c r="H357" s="21" t="n">
        <v>0.3916136913472744</v>
      </c>
    </row>
    <row r="358">
      <c r="A358" s="10" t="n">
        <v>0.985</v>
      </c>
      <c r="B358" s="21" t="n">
        <v>0</v>
      </c>
      <c r="C358" s="21" t="n">
        <v>0.003618875086000952</v>
      </c>
      <c r="D358" s="21" t="n">
        <v>0.1130332521922835</v>
      </c>
      <c r="E358" s="21" t="n">
        <v>0.1179118684864043</v>
      </c>
      <c r="F358" s="21" t="n">
        <v>0.2296045528214482</v>
      </c>
      <c r="G358" s="21" t="n">
        <v>1.655751667435858</v>
      </c>
      <c r="H358" s="21" t="n">
        <v>0.3722880659144932</v>
      </c>
    </row>
    <row r="359">
      <c r="A359" s="10" t="n">
        <v>0.995</v>
      </c>
      <c r="B359" s="21" t="n">
        <v>0</v>
      </c>
      <c r="C359" s="21" t="n">
        <v>0.003672650058329888</v>
      </c>
      <c r="D359" s="21" t="n">
        <v>0.1134094503690086</v>
      </c>
      <c r="E359" s="21" t="n">
        <v>0.1183525136804846</v>
      </c>
      <c r="F359" s="21" t="n">
        <v>0.2301095768909952</v>
      </c>
      <c r="G359" s="21" t="n">
        <v>1.661343883655037</v>
      </c>
      <c r="H359" s="21" t="n">
        <v>0.3733054636103555</v>
      </c>
    </row>
    <row r="383">
      <c r="A383" s="6" t="inlineStr">
        <is>
          <t>■ 案件ごとのワープ(実位置 → 正準位置)</t>
        </is>
      </c>
    </row>
    <row r="384">
      <c r="A384" s="8" t="inlineStr">
        <is>
          <t>案件ID</t>
        </is>
      </c>
      <c r="B384" s="8" t="inlineStr">
        <is>
          <t>名称</t>
        </is>
      </c>
      <c r="C384" s="8" t="inlineStr">
        <is>
          <t>種別</t>
        </is>
      </c>
      <c r="D384" s="8" t="inlineStr">
        <is>
          <t>期間(月)</t>
        </is>
      </c>
      <c r="E384" s="8" t="inlineStr">
        <is>
          <t>プロトタイプ</t>
        </is>
      </c>
      <c r="F384" s="8" t="inlineStr">
        <is>
          <t>α版</t>
        </is>
      </c>
      <c r="G384" s="8" t="inlineStr">
        <is>
          <t>β版</t>
        </is>
      </c>
      <c r="H384" s="8" t="inlineStr">
        <is>
          <t>マスターアップ</t>
        </is>
      </c>
    </row>
    <row r="385">
      <c r="A385" s="10" t="inlineStr">
        <is>
          <t>PJ-2019-A</t>
        </is>
      </c>
      <c r="B385" s="10" t="inlineStr">
        <is>
          <t>蒼穹のレガリア</t>
        </is>
      </c>
      <c r="C385" s="10" t="inlineStr">
        <is>
          <t>新規タイトル開発</t>
        </is>
      </c>
      <c r="D385" s="10" t="n">
        <v>36</v>
      </c>
      <c r="E385" s="21" t="n">
        <v>0.181</v>
      </c>
      <c r="F385" s="21" t="n">
        <v>0.515</v>
      </c>
      <c r="G385" s="21" t="n">
        <v>0.793</v>
      </c>
      <c r="H385" s="21" t="n">
        <v>0.9320000000000001</v>
      </c>
    </row>
    <row r="386">
      <c r="A386" s="10" t="inlineStr">
        <is>
          <t>PJ-2020-B</t>
        </is>
      </c>
      <c r="B386" s="10" t="inlineStr">
        <is>
          <t>ブレイブフロンティア外伝(後半集中)</t>
        </is>
      </c>
      <c r="C386" s="10" t="inlineStr">
        <is>
          <t>大型アップデート</t>
        </is>
      </c>
      <c r="D386" s="10" t="n">
        <v>14</v>
      </c>
      <c r="E386" s="21" t="n">
        <v/>
      </c>
      <c r="F386" s="21" t="n">
        <v>0.608</v>
      </c>
      <c r="G386" s="21" t="n">
        <v>0.752</v>
      </c>
      <c r="H386" s="21" t="n">
        <v>0.899</v>
      </c>
    </row>
    <row r="387">
      <c r="A387" s="10" t="inlineStr">
        <is>
          <t>PJ-2020-C</t>
        </is>
      </c>
      <c r="B387" s="10" t="inlineStr">
        <is>
          <t>クロノスギア(二山)</t>
        </is>
      </c>
      <c r="C387" s="10" t="inlineStr">
        <is>
          <t>新規タイトル開発</t>
        </is>
      </c>
      <c r="D387" s="10" t="n">
        <v>30</v>
      </c>
      <c r="E387" s="21" t="n">
        <v>0.218</v>
      </c>
      <c r="F387" s="21" t="n">
        <v>0.483</v>
      </c>
      <c r="G387" s="21" t="n">
        <v>0.65</v>
      </c>
      <c r="H387" s="21" t="n">
        <v>0.917</v>
      </c>
    </row>
    <row r="388">
      <c r="A388" s="10" t="inlineStr">
        <is>
          <t>PJ-2021-D</t>
        </is>
      </c>
      <c r="B388" s="10" t="inlineStr">
        <is>
          <t>蒼穹のレガリア HD Edition(前倒し)</t>
        </is>
      </c>
      <c r="C388" s="10" t="inlineStr">
        <is>
          <t>移植・リマスター</t>
        </is>
      </c>
      <c r="D388" s="10" t="n">
        <v>15</v>
      </c>
      <c r="E388" s="21" t="n">
        <v/>
      </c>
      <c r="F388" s="21" t="n">
        <v>0.569</v>
      </c>
      <c r="G388" s="21" t="n">
        <v>0.767</v>
      </c>
      <c r="H388" s="21" t="n">
        <v>0.901</v>
      </c>
    </row>
    <row r="389">
      <c r="A389" s="10" t="inlineStr">
        <is>
          <t>PJ-2021-E</t>
        </is>
      </c>
      <c r="B389" s="10" t="inlineStr">
        <is>
          <t>シャドウヴェイル</t>
        </is>
      </c>
      <c r="C389" s="10" t="inlineStr">
        <is>
          <t>新規タイトル開発</t>
        </is>
      </c>
      <c r="D389" s="10" t="n">
        <v>36</v>
      </c>
      <c r="E389" s="21" t="n">
        <v>0.263</v>
      </c>
      <c r="F389" s="21" t="n">
        <v>0.429</v>
      </c>
      <c r="G389" s="21" t="n">
        <v>0.735</v>
      </c>
      <c r="H389" s="21" t="n">
        <v>0.875</v>
      </c>
    </row>
    <row r="390">
      <c r="A390" s="10" t="inlineStr">
        <is>
          <t>PJ-2022-F</t>
        </is>
      </c>
      <c r="B390" s="10" t="inlineStr">
        <is>
          <t>ネオンハーツ Season2</t>
        </is>
      </c>
      <c r="C390" s="10" t="inlineStr">
        <is>
          <t>大型アップデート</t>
        </is>
      </c>
      <c r="D390" s="10" t="n">
        <v>18</v>
      </c>
      <c r="E390" s="21" t="n">
        <v/>
      </c>
      <c r="F390" s="21" t="n">
        <v>0.473</v>
      </c>
      <c r="G390" s="21" t="n">
        <v>0.804</v>
      </c>
      <c r="H390" s="21" t="n">
        <v>0.918</v>
      </c>
    </row>
    <row r="391">
      <c r="A391" s="10" t="inlineStr">
        <is>
          <t>PJ-2022-G</t>
        </is>
      </c>
      <c r="B391" s="10" t="inlineStr">
        <is>
          <t>ギルドマスターズ(前倒し)</t>
        </is>
      </c>
      <c r="C391" s="10" t="inlineStr">
        <is>
          <t>新規タイトル開発</t>
        </is>
      </c>
      <c r="D391" s="10" t="n">
        <v>24</v>
      </c>
      <c r="E391" s="21" t="n">
        <v>0.226</v>
      </c>
      <c r="F391" s="21" t="n">
        <v>0.479</v>
      </c>
      <c r="G391" s="21" t="n">
        <v>0.727</v>
      </c>
      <c r="H391" s="21" t="n">
        <v>0.9370000000000001</v>
      </c>
    </row>
    <row r="392">
      <c r="A392" s="10" t="inlineStr">
        <is>
          <t>PJ-2023-H</t>
        </is>
      </c>
      <c r="B392" s="10" t="inlineStr">
        <is>
          <t>クロノスギア:蒼き遺産</t>
        </is>
      </c>
      <c r="C392" s="10" t="inlineStr">
        <is>
          <t>大型アップデート</t>
        </is>
      </c>
      <c r="D392" s="10" t="n">
        <v>20</v>
      </c>
      <c r="E392" s="21" t="n">
        <v/>
      </c>
      <c r="F392" s="21" t="n">
        <v>0.423</v>
      </c>
      <c r="G392" s="21" t="n">
        <v>0.773</v>
      </c>
      <c r="H392" s="21" t="n">
        <v>0.924</v>
      </c>
    </row>
    <row r="393">
      <c r="A393" s="10" t="inlineStr">
        <is>
          <t>PJ-2023-I</t>
        </is>
      </c>
      <c r="B393" s="10" t="inlineStr">
        <is>
          <t>ブレイブフロンティア Remaster</t>
        </is>
      </c>
      <c r="C393" s="10" t="inlineStr">
        <is>
          <t>移植・リマスター</t>
        </is>
      </c>
      <c r="D393" s="10" t="n">
        <v>18</v>
      </c>
      <c r="E393" s="21" t="n">
        <v/>
      </c>
      <c r="F393" s="21" t="n">
        <v>0.474</v>
      </c>
      <c r="G393" s="21" t="n">
        <v>0.694</v>
      </c>
      <c r="H393" s="21" t="n">
        <v>0.916</v>
      </c>
    </row>
    <row r="394">
      <c r="A394" s="10" t="inlineStr">
        <is>
          <t>PJ-2024-J</t>
        </is>
      </c>
      <c r="B394" s="10" t="inlineStr">
        <is>
          <t>オーヴァーロード・サーガ(後半集中)</t>
        </is>
      </c>
      <c r="C394" s="10" t="inlineStr">
        <is>
          <t>新規タイトル開発</t>
        </is>
      </c>
      <c r="D394" s="10" t="n">
        <v>30</v>
      </c>
      <c r="E394" s="21" t="n">
        <v>0.25</v>
      </c>
      <c r="F394" s="21" t="n">
        <v>0.516</v>
      </c>
      <c r="G394" s="21" t="n">
        <v>0.6840000000000001</v>
      </c>
      <c r="H394" s="21" t="n">
        <v>0.917</v>
      </c>
    </row>
    <row r="395">
      <c r="A395" s="10" t="inlineStr">
        <is>
          <t>(正準位置)</t>
        </is>
      </c>
      <c r="B395" s="10" t="inlineStr"/>
      <c r="C395" s="10" t="inlineStr"/>
      <c r="D395" s="10" t="n"/>
      <c r="E395" s="21" t="n"/>
      <c r="F395" s="21" t="n">
        <v>0.497</v>
      </c>
      <c r="G395" s="21" t="n">
        <v>0.738</v>
      </c>
      <c r="H395" s="21" t="n">
        <v>0.914</v>
      </c>
    </row>
  </sheetData>
  <printOptions horizontalCentered="0"/>
  <pageMargins left="0.75" right="0.75" top="1" bottom="1" header="0.5" footer="0.5"/>
  <pageSetup orientation="landscape" fitToHeight="0" fitToWidth="1"/>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1"/>
  </sheetPr>
  <dimension ref="A1:M1561"/>
  <sheetViews>
    <sheetView workbookViewId="0">
      <selection activeCell="A1" sqref="A1"/>
    </sheetView>
  </sheetViews>
  <sheetFormatPr baseColWidth="8" defaultRowHeight="15"/>
  <cols>
    <col width="13" customWidth="1" min="1" max="1"/>
    <col width="22" customWidth="1" min="2" max="2"/>
    <col width="10" customWidth="1" min="3" max="3"/>
    <col width="11" customWidth="1" min="4" max="4"/>
    <col width="11.4" customWidth="1" min="5" max="5"/>
    <col width="11.4" customWidth="1" min="6" max="6"/>
    <col width="11.4" customWidth="1" min="7" max="7"/>
    <col width="11" customWidth="1" min="8" max="8"/>
    <col width="11" customWidth="1" min="9" max="9"/>
    <col width="22.8" customWidth="1" min="10" max="10"/>
    <col width="17.1" customWidth="1" min="11" max="11"/>
    <col width="11.4" customWidth="1" min="12" max="12"/>
    <col width="13.3" customWidth="1" min="13" max="13"/>
  </cols>
  <sheetData>
    <row r="1">
      <c r="A1" s="1" t="inlineStr">
        <is>
          <t>leave-one-out 検証</t>
        </is>
      </c>
    </row>
    <row r="2">
      <c r="A2" s="5" t="inlineStr">
        <is>
          <t>1件を除いた残りで学習し、除いた1件を予測して実績と比較する。工数の量ではなく形を評価するため、予測値は実績合計に正規化してから比較している。</t>
        </is>
      </c>
    </row>
    <row r="3">
      <c r="A3" s="5" t="inlineStr">
        <is>
          <t>WAPE = Σ|予測-実績| / Σ実績。0 が完全一致。</t>
        </is>
      </c>
    </row>
    <row r="5">
      <c r="A5" s="6" t="inlineStr">
        <is>
          <t>■ モード別サマリ</t>
        </is>
      </c>
    </row>
    <row r="6">
      <c r="A6" s="7" t="inlineStr">
        <is>
          <t>モード</t>
        </is>
      </c>
      <c r="B6" s="8" t="inlineStr">
        <is>
          <t>案件数</t>
        </is>
      </c>
      <c r="C6" s="8" t="inlineStr">
        <is>
          <t>月次誤差WAPE_平均</t>
        </is>
      </c>
      <c r="D6" s="8" t="inlineStr">
        <is>
          <t>月次誤差WAPE_最悪</t>
        </is>
      </c>
      <c r="E6" s="8" t="inlineStr">
        <is>
          <t>月×グループ誤差WAPE_平均</t>
        </is>
      </c>
      <c r="F6" s="8" t="inlineStr">
        <is>
          <t>累積カーブ最大乖離_平均</t>
        </is>
      </c>
      <c r="G6" s="8" t="inlineStr">
        <is>
          <t>ピーク月ズレ_絶対値平均</t>
        </is>
      </c>
      <c r="H6" s="8" t="inlineStr">
        <is>
          <t>素朴版比_改善率</t>
        </is>
      </c>
    </row>
    <row r="7">
      <c r="A7" s="10" t="inlineStr">
        <is>
          <t>素朴版／月内均等</t>
        </is>
      </c>
      <c r="B7" s="10" t="n">
        <v>10</v>
      </c>
      <c r="C7" s="21" t="n">
        <v>0.3515</v>
      </c>
      <c r="D7" s="21" t="n">
        <v>0.6358</v>
      </c>
      <c r="E7" s="21" t="n">
        <v>0.4413</v>
      </c>
      <c r="F7" s="21" t="n">
        <v>0.1309</v>
      </c>
      <c r="G7" s="22" t="n">
        <v>3.3</v>
      </c>
      <c r="H7" s="13" t="n">
        <v>0</v>
      </c>
    </row>
    <row r="8">
      <c r="A8" s="10" t="inlineStr">
        <is>
          <t>位置合わせ(MS学習値)／月内均等</t>
        </is>
      </c>
      <c r="B8" s="10" t="n">
        <v>10</v>
      </c>
      <c r="C8" s="21" t="n">
        <v>0.3578</v>
      </c>
      <c r="D8" s="21" t="n">
        <v>0.6329</v>
      </c>
      <c r="E8" s="21" t="n">
        <v>0.447</v>
      </c>
      <c r="F8" s="21" t="n">
        <v>0.1362</v>
      </c>
      <c r="G8" s="22" t="n">
        <v>3.7</v>
      </c>
      <c r="H8" s="13" t="n">
        <v>-0.0179</v>
      </c>
    </row>
    <row r="9">
      <c r="A9" s="10" t="inlineStr">
        <is>
          <t>位置合わせ(MS指定)／月内均等</t>
        </is>
      </c>
      <c r="B9" s="10" t="n">
        <v>10</v>
      </c>
      <c r="C9" s="21" t="n">
        <v>0.2866</v>
      </c>
      <c r="D9" s="21" t="n">
        <v>0.4797</v>
      </c>
      <c r="E9" s="21" t="n">
        <v>0.387</v>
      </c>
      <c r="F9" s="21" t="n">
        <v>0.1151</v>
      </c>
      <c r="G9" s="22" t="n">
        <v>1.4</v>
      </c>
      <c r="H9" s="13" t="n">
        <v>0.1846</v>
      </c>
    </row>
    <row r="10">
      <c r="A10" s="10" t="inlineStr">
        <is>
          <t>素朴版／単調補間</t>
        </is>
      </c>
      <c r="B10" s="10" t="n">
        <v>10</v>
      </c>
      <c r="C10" s="21" t="n">
        <v>0.3512</v>
      </c>
      <c r="D10" s="21" t="n">
        <v>0.6358</v>
      </c>
      <c r="E10" s="21" t="n">
        <v>0.4413</v>
      </c>
      <c r="F10" s="21" t="n">
        <v>0.1311</v>
      </c>
      <c r="G10" s="22" t="n">
        <v>3.4</v>
      </c>
      <c r="H10" s="13" t="n">
        <v>0.0009</v>
      </c>
    </row>
    <row r="11">
      <c r="A11" s="10" t="inlineStr">
        <is>
          <t>位置合わせ(MS学習値)／単調補間</t>
        </is>
      </c>
      <c r="B11" s="10" t="n">
        <v>10</v>
      </c>
      <c r="C11" s="21" t="n">
        <v>0.358</v>
      </c>
      <c r="D11" s="21" t="n">
        <v>0.6324</v>
      </c>
      <c r="E11" s="21" t="n">
        <v>0.4474</v>
      </c>
      <c r="F11" s="21" t="n">
        <v>0.1366</v>
      </c>
      <c r="G11" s="22" t="n">
        <v>4.2</v>
      </c>
      <c r="H11" s="13" t="n">
        <v>-0.0185</v>
      </c>
    </row>
    <row r="12">
      <c r="A12" s="10" t="inlineStr">
        <is>
          <t>位置合わせ(MS指定)／単調補間</t>
        </is>
      </c>
      <c r="B12" s="10" t="n">
        <v>10</v>
      </c>
      <c r="C12" s="21" t="n">
        <v>0.2866</v>
      </c>
      <c r="D12" s="21" t="n">
        <v>0.4815</v>
      </c>
      <c r="E12" s="21" t="n">
        <v>0.3866</v>
      </c>
      <c r="F12" s="21" t="n">
        <v>0.1151</v>
      </c>
      <c r="G12" s="22" t="n">
        <v>1.4</v>
      </c>
      <c r="H12" s="13" t="n">
        <v>0.1846</v>
      </c>
    </row>
    <row r="14">
      <c r="A14" s="5" t="inlineStr">
        <is>
          <t>素朴版 vs 位置合わせ(MS学習値):平均カーブを鋭くしただけで当たるようになるかを測る。</t>
        </is>
      </c>
    </row>
    <row r="15">
      <c r="A15" s="5" t="inlineStr">
        <is>
          <t>位置合わせ(MS学習値) vs 位置合わせ(MS指定):マイルストーンを手入力する価値を測る。</t>
        </is>
      </c>
    </row>
    <row r="17">
      <c r="A17" s="6" t="inlineStr">
        <is>
          <t>■ 案件別 誤差</t>
        </is>
      </c>
    </row>
    <row r="18">
      <c r="A18" s="7" t="inlineStr">
        <is>
          <t>案件ID</t>
        </is>
      </c>
      <c r="B18" s="8" t="inlineStr">
        <is>
          <t>素朴版／月内均等</t>
        </is>
      </c>
      <c r="C18" s="8" t="inlineStr">
        <is>
          <t>位置合わせ(MS学習値)／月内均等</t>
        </is>
      </c>
      <c r="D18" s="8" t="inlineStr">
        <is>
          <t>位置合わせ(MS指定)／月内均等</t>
        </is>
      </c>
      <c r="E18" s="8" t="inlineStr">
        <is>
          <t>素朴版／単調補間</t>
        </is>
      </c>
      <c r="F18" s="8" t="inlineStr">
        <is>
          <t>位置合わせ(MS学習値)／単調補間</t>
        </is>
      </c>
      <c r="G18" s="8" t="inlineStr">
        <is>
          <t>位置合わせ(MS指定)／単調補間</t>
        </is>
      </c>
    </row>
    <row r="19">
      <c r="A19" s="10" t="inlineStr">
        <is>
          <t>PJ-2019-A</t>
        </is>
      </c>
      <c r="B19" s="21" t="n">
        <v>0.1921</v>
      </c>
      <c r="C19" s="21" t="n">
        <v>0.2018</v>
      </c>
      <c r="D19" s="21" t="n">
        <v>0.171</v>
      </c>
      <c r="E19" s="21" t="n">
        <v>0.1903</v>
      </c>
      <c r="F19" s="21" t="n">
        <v>0.2</v>
      </c>
      <c r="G19" s="21" t="n">
        <v>0.1695</v>
      </c>
    </row>
    <row r="20">
      <c r="A20" s="10" t="inlineStr">
        <is>
          <t>PJ-2020-B</t>
        </is>
      </c>
      <c r="B20" s="21" t="n">
        <v>0.6358</v>
      </c>
      <c r="C20" s="21" t="n">
        <v>0.6329</v>
      </c>
      <c r="D20" s="21" t="n">
        <v>0.3062</v>
      </c>
      <c r="E20" s="21" t="n">
        <v>0.6358</v>
      </c>
      <c r="F20" s="21" t="n">
        <v>0.6324</v>
      </c>
      <c r="G20" s="21" t="n">
        <v>0.3064</v>
      </c>
    </row>
    <row r="21">
      <c r="A21" s="10" t="inlineStr">
        <is>
          <t>PJ-2020-C</t>
        </is>
      </c>
      <c r="B21" s="21" t="n">
        <v>0.3825</v>
      </c>
      <c r="C21" s="21" t="n">
        <v>0.3845</v>
      </c>
      <c r="D21" s="21" t="n">
        <v>0.4602</v>
      </c>
      <c r="E21" s="21" t="n">
        <v>0.385</v>
      </c>
      <c r="F21" s="21" t="n">
        <v>0.3857</v>
      </c>
      <c r="G21" s="21" t="n">
        <v>0.4625</v>
      </c>
    </row>
    <row r="22">
      <c r="A22" s="10" t="inlineStr">
        <is>
          <t>PJ-2021-D</t>
        </is>
      </c>
      <c r="B22" s="21" t="n">
        <v>0.1611</v>
      </c>
      <c r="C22" s="21" t="n">
        <v>0.1625</v>
      </c>
      <c r="D22" s="21" t="n">
        <v>0.2935</v>
      </c>
      <c r="E22" s="21" t="n">
        <v>0.1612</v>
      </c>
      <c r="F22" s="21" t="n">
        <v>0.163</v>
      </c>
      <c r="G22" s="21" t="n">
        <v>0.2937</v>
      </c>
    </row>
    <row r="23">
      <c r="A23" s="10" t="inlineStr">
        <is>
          <t>PJ-2021-E</t>
        </is>
      </c>
      <c r="B23" s="21" t="n">
        <v>0.3767</v>
      </c>
      <c r="C23" s="21" t="n">
        <v>0.3706</v>
      </c>
      <c r="D23" s="21" t="n">
        <v>0.3008</v>
      </c>
      <c r="E23" s="21" t="n">
        <v>0.3774</v>
      </c>
      <c r="F23" s="21" t="n">
        <v>0.3705</v>
      </c>
      <c r="G23" s="21" t="n">
        <v>0.3</v>
      </c>
    </row>
    <row r="24">
      <c r="A24" s="10" t="inlineStr">
        <is>
          <t>PJ-2022-F</t>
        </is>
      </c>
      <c r="B24" s="21" t="n">
        <v>0.2442</v>
      </c>
      <c r="C24" s="21" t="n">
        <v>0.26</v>
      </c>
      <c r="D24" s="21" t="n">
        <v>0.1504</v>
      </c>
      <c r="E24" s="21" t="n">
        <v>0.2431</v>
      </c>
      <c r="F24" s="21" t="n">
        <v>0.2632</v>
      </c>
      <c r="G24" s="21" t="n">
        <v>0.1517</v>
      </c>
    </row>
    <row r="25">
      <c r="A25" s="10" t="inlineStr">
        <is>
          <t>PJ-2022-G</t>
        </is>
      </c>
      <c r="B25" s="21" t="n">
        <v>0.4951</v>
      </c>
      <c r="C25" s="21" t="n">
        <v>0.5234</v>
      </c>
      <c r="D25" s="21" t="n">
        <v>0.4797</v>
      </c>
      <c r="E25" s="21" t="n">
        <v>0.4954</v>
      </c>
      <c r="F25" s="21" t="n">
        <v>0.5249</v>
      </c>
      <c r="G25" s="21" t="n">
        <v>0.4815</v>
      </c>
    </row>
    <row r="26">
      <c r="A26" s="10" t="inlineStr">
        <is>
          <t>PJ-2023-H</t>
        </is>
      </c>
      <c r="B26" s="21" t="n">
        <v>0.2502</v>
      </c>
      <c r="C26" s="21" t="n">
        <v>0.3002</v>
      </c>
      <c r="D26" s="21" t="n">
        <v>0.1009</v>
      </c>
      <c r="E26" s="21" t="n">
        <v>0.25</v>
      </c>
      <c r="F26" s="21" t="n">
        <v>0.3034</v>
      </c>
      <c r="G26" s="21" t="n">
        <v>0.1014</v>
      </c>
    </row>
    <row r="27">
      <c r="A27" s="10" t="inlineStr">
        <is>
          <t>PJ-2023-I</t>
        </is>
      </c>
      <c r="B27" s="21" t="n">
        <v>0.3793</v>
      </c>
      <c r="C27" s="21" t="n">
        <v>0.3448</v>
      </c>
      <c r="D27" s="21" t="n">
        <v>0.2717</v>
      </c>
      <c r="E27" s="21" t="n">
        <v>0.3792</v>
      </c>
      <c r="F27" s="21" t="n">
        <v>0.3433</v>
      </c>
      <c r="G27" s="21" t="n">
        <v>0.2712</v>
      </c>
    </row>
    <row r="28">
      <c r="A28" s="10" t="inlineStr">
        <is>
          <t>PJ-2024-J</t>
        </is>
      </c>
      <c r="B28" s="21" t="n">
        <v>0.3979</v>
      </c>
      <c r="C28" s="21" t="n">
        <v>0.3971</v>
      </c>
      <c r="D28" s="21" t="n">
        <v>0.3318</v>
      </c>
      <c r="E28" s="21" t="n">
        <v>0.3945</v>
      </c>
      <c r="F28" s="21" t="n">
        <v>0.3935</v>
      </c>
      <c r="G28" s="21" t="n">
        <v>0.3282</v>
      </c>
    </row>
    <row r="50">
      <c r="A50" s="6" t="inlineStr">
        <is>
          <t>■ 案件別 詳細指標</t>
        </is>
      </c>
    </row>
    <row r="51">
      <c r="A51" s="8" t="inlineStr">
        <is>
          <t>案件ID</t>
        </is>
      </c>
      <c r="B51" s="8" t="inlineStr">
        <is>
          <t>名称</t>
        </is>
      </c>
      <c r="C51" s="8" t="inlineStr">
        <is>
          <t>種別</t>
        </is>
      </c>
      <c r="D51" s="8" t="inlineStr">
        <is>
          <t>モード</t>
        </is>
      </c>
      <c r="E51" s="8" t="inlineStr">
        <is>
          <t>復元方式</t>
        </is>
      </c>
      <c r="F51" s="8" t="inlineStr">
        <is>
          <t>契約人月</t>
        </is>
      </c>
      <c r="G51" s="8" t="inlineStr">
        <is>
          <t>期間(月)</t>
        </is>
      </c>
      <c r="H51" s="8" t="inlineStr">
        <is>
          <t>学習件数</t>
        </is>
      </c>
      <c r="I51" s="8" t="inlineStr">
        <is>
          <t>月次誤差WAPE</t>
        </is>
      </c>
      <c r="J51" s="8" t="inlineStr">
        <is>
          <t>月×グループ誤差WAPE</t>
        </is>
      </c>
      <c r="K51" s="8" t="inlineStr">
        <is>
          <t>累積カーブ最大乖離</t>
        </is>
      </c>
      <c r="L51" s="8" t="inlineStr">
        <is>
          <t>ピーク月ズレ</t>
        </is>
      </c>
      <c r="M51" s="8" t="inlineStr">
        <is>
          <t>ピーク高さ誤差</t>
        </is>
      </c>
    </row>
    <row r="52">
      <c r="A52" s="10" t="inlineStr">
        <is>
          <t>PJ-2019-A</t>
        </is>
      </c>
      <c r="B52" s="10" t="inlineStr">
        <is>
          <t>蒼穹のレガリア</t>
        </is>
      </c>
      <c r="C52" s="10" t="inlineStr">
        <is>
          <t>新規タイトル開発</t>
        </is>
      </c>
      <c r="D52" s="10" t="inlineStr">
        <is>
          <t>素朴版／月内均等</t>
        </is>
      </c>
      <c r="E52" s="10" t="inlineStr">
        <is>
          <t>月内均等</t>
        </is>
      </c>
      <c r="F52" s="12" t="n">
        <v>2400</v>
      </c>
      <c r="G52" s="10" t="n">
        <v>36</v>
      </c>
      <c r="H52" s="10" t="n">
        <v>9</v>
      </c>
      <c r="I52" s="21" t="n">
        <v>0.1921</v>
      </c>
      <c r="J52" s="21" t="n">
        <v>0.2332</v>
      </c>
      <c r="K52" s="21" t="n">
        <v>0.0434</v>
      </c>
      <c r="L52" s="10" t="n">
        <v>-5</v>
      </c>
      <c r="M52" s="13" t="n">
        <v>-0.1739</v>
      </c>
    </row>
    <row r="53">
      <c r="A53" s="10" t="inlineStr">
        <is>
          <t>PJ-2019-A</t>
        </is>
      </c>
      <c r="B53" s="10" t="inlineStr">
        <is>
          <t>蒼穹のレガリア</t>
        </is>
      </c>
      <c r="C53" s="10" t="inlineStr">
        <is>
          <t>新規タイトル開発</t>
        </is>
      </c>
      <c r="D53" s="10" t="inlineStr">
        <is>
          <t>位置合わせ(MS学習値)／月内均等</t>
        </is>
      </c>
      <c r="E53" s="10" t="inlineStr">
        <is>
          <t>月内均等</t>
        </is>
      </c>
      <c r="F53" s="12" t="n">
        <v>2400</v>
      </c>
      <c r="G53" s="10" t="n">
        <v>36</v>
      </c>
      <c r="H53" s="10" t="n">
        <v>9</v>
      </c>
      <c r="I53" s="21" t="n">
        <v>0.2018</v>
      </c>
      <c r="J53" s="21" t="n">
        <v>0.2403</v>
      </c>
      <c r="K53" s="21" t="n">
        <v>0.0506</v>
      </c>
      <c r="L53" s="10" t="n">
        <v>-5</v>
      </c>
      <c r="M53" s="13" t="n">
        <v>-0.1908</v>
      </c>
    </row>
    <row r="54">
      <c r="A54" s="10" t="inlineStr">
        <is>
          <t>PJ-2019-A</t>
        </is>
      </c>
      <c r="B54" s="10" t="inlineStr">
        <is>
          <t>蒼穹のレガリア</t>
        </is>
      </c>
      <c r="C54" s="10" t="inlineStr">
        <is>
          <t>新規タイトル開発</t>
        </is>
      </c>
      <c r="D54" s="10" t="inlineStr">
        <is>
          <t>位置合わせ(MS指定)／月内均等</t>
        </is>
      </c>
      <c r="E54" s="10" t="inlineStr">
        <is>
          <t>月内均等</t>
        </is>
      </c>
      <c r="F54" s="12" t="n">
        <v>2400</v>
      </c>
      <c r="G54" s="10" t="n">
        <v>36</v>
      </c>
      <c r="H54" s="10" t="n">
        <v>9</v>
      </c>
      <c r="I54" s="21" t="n">
        <v>0.171</v>
      </c>
      <c r="J54" s="21" t="n">
        <v>0.2259</v>
      </c>
      <c r="K54" s="21" t="n">
        <v>0.0536</v>
      </c>
      <c r="L54" s="10" t="n">
        <v>0</v>
      </c>
      <c r="M54" s="13" t="n">
        <v>-0.2013</v>
      </c>
    </row>
    <row r="55">
      <c r="A55" s="10" t="inlineStr">
        <is>
          <t>PJ-2019-A</t>
        </is>
      </c>
      <c r="B55" s="10" t="inlineStr">
        <is>
          <t>蒼穹のレガリア</t>
        </is>
      </c>
      <c r="C55" s="10" t="inlineStr">
        <is>
          <t>新規タイトル開発</t>
        </is>
      </c>
      <c r="D55" s="10" t="inlineStr">
        <is>
          <t>素朴版／単調補間</t>
        </is>
      </c>
      <c r="E55" s="10" t="inlineStr">
        <is>
          <t>単調補間</t>
        </is>
      </c>
      <c r="F55" s="12" t="n">
        <v>2400</v>
      </c>
      <c r="G55" s="10" t="n">
        <v>36</v>
      </c>
      <c r="H55" s="10" t="n">
        <v>9</v>
      </c>
      <c r="I55" s="21" t="n">
        <v>0.1903</v>
      </c>
      <c r="J55" s="21" t="n">
        <v>0.2317</v>
      </c>
      <c r="K55" s="21" t="n">
        <v>0.0436</v>
      </c>
      <c r="L55" s="10" t="n">
        <v>-5</v>
      </c>
      <c r="M55" s="13" t="n">
        <v>-0.177</v>
      </c>
    </row>
    <row r="56">
      <c r="A56" s="10" t="inlineStr">
        <is>
          <t>PJ-2019-A</t>
        </is>
      </c>
      <c r="B56" s="10" t="inlineStr">
        <is>
          <t>蒼穹のレガリア</t>
        </is>
      </c>
      <c r="C56" s="10" t="inlineStr">
        <is>
          <t>新規タイトル開発</t>
        </is>
      </c>
      <c r="D56" s="10" t="inlineStr">
        <is>
          <t>位置合わせ(MS学習値)／単調補間</t>
        </is>
      </c>
      <c r="E56" s="10" t="inlineStr">
        <is>
          <t>単調補間</t>
        </is>
      </c>
      <c r="F56" s="12" t="n">
        <v>2400</v>
      </c>
      <c r="G56" s="10" t="n">
        <v>36</v>
      </c>
      <c r="H56" s="10" t="n">
        <v>9</v>
      </c>
      <c r="I56" s="21" t="n">
        <v>0.2</v>
      </c>
      <c r="J56" s="21" t="n">
        <v>0.2388</v>
      </c>
      <c r="K56" s="21" t="n">
        <v>0.0518</v>
      </c>
      <c r="L56" s="10" t="n">
        <v>-5</v>
      </c>
      <c r="M56" s="13" t="n">
        <v>-0.1872</v>
      </c>
    </row>
    <row r="57">
      <c r="A57" s="10" t="inlineStr">
        <is>
          <t>PJ-2019-A</t>
        </is>
      </c>
      <c r="B57" s="10" t="inlineStr">
        <is>
          <t>蒼穹のレガリア</t>
        </is>
      </c>
      <c r="C57" s="10" t="inlineStr">
        <is>
          <t>新規タイトル開発</t>
        </is>
      </c>
      <c r="D57" s="10" t="inlineStr">
        <is>
          <t>位置合わせ(MS指定)／単調補間</t>
        </is>
      </c>
      <c r="E57" s="10" t="inlineStr">
        <is>
          <t>単調補間</t>
        </is>
      </c>
      <c r="F57" s="12" t="n">
        <v>2400</v>
      </c>
      <c r="G57" s="10" t="n">
        <v>36</v>
      </c>
      <c r="H57" s="10" t="n">
        <v>9</v>
      </c>
      <c r="I57" s="21" t="n">
        <v>0.1695</v>
      </c>
      <c r="J57" s="21" t="n">
        <v>0.2216</v>
      </c>
      <c r="K57" s="21" t="n">
        <v>0.0531</v>
      </c>
      <c r="L57" s="10" t="n">
        <v>0</v>
      </c>
      <c r="M57" s="13" t="n">
        <v>-0.201</v>
      </c>
    </row>
    <row r="58">
      <c r="A58" s="10" t="inlineStr">
        <is>
          <t>PJ-2020-B</t>
        </is>
      </c>
      <c r="B58" s="10" t="inlineStr">
        <is>
          <t>ブレイブフロンティア外伝(後半集中)</t>
        </is>
      </c>
      <c r="C58" s="10" t="inlineStr">
        <is>
          <t>大型アップデート</t>
        </is>
      </c>
      <c r="D58" s="10" t="inlineStr">
        <is>
          <t>素朴版／月内均等</t>
        </is>
      </c>
      <c r="E58" s="10" t="inlineStr">
        <is>
          <t>月内均等</t>
        </is>
      </c>
      <c r="F58" s="12" t="n">
        <v>620</v>
      </c>
      <c r="G58" s="10" t="n">
        <v>14</v>
      </c>
      <c r="H58" s="10" t="n">
        <v>9</v>
      </c>
      <c r="I58" s="21" t="n">
        <v>0.6358</v>
      </c>
      <c r="J58" s="21" t="n">
        <v>0.7104</v>
      </c>
      <c r="K58" s="21" t="n">
        <v>0.3179</v>
      </c>
      <c r="L58" s="10" t="n">
        <v>-2</v>
      </c>
      <c r="M58" s="13" t="n">
        <v>-0.4952</v>
      </c>
    </row>
    <row r="59">
      <c r="A59" s="10" t="inlineStr">
        <is>
          <t>PJ-2020-B</t>
        </is>
      </c>
      <c r="B59" s="10" t="inlineStr">
        <is>
          <t>ブレイブフロンティア外伝(後半集中)</t>
        </is>
      </c>
      <c r="C59" s="10" t="inlineStr">
        <is>
          <t>大型アップデート</t>
        </is>
      </c>
      <c r="D59" s="10" t="inlineStr">
        <is>
          <t>位置合わせ(MS学習値)／月内均等</t>
        </is>
      </c>
      <c r="E59" s="10" t="inlineStr">
        <is>
          <t>月内均等</t>
        </is>
      </c>
      <c r="F59" s="12" t="n">
        <v>620</v>
      </c>
      <c r="G59" s="10" t="n">
        <v>14</v>
      </c>
      <c r="H59" s="10" t="n">
        <v>9</v>
      </c>
      <c r="I59" s="21" t="n">
        <v>0.6329</v>
      </c>
      <c r="J59" s="21" t="n">
        <v>0.7086</v>
      </c>
      <c r="K59" s="21" t="n">
        <v>0.3165</v>
      </c>
      <c r="L59" s="10" t="n">
        <v>0</v>
      </c>
      <c r="M59" s="13" t="n">
        <v>-0.4952</v>
      </c>
    </row>
    <row r="60">
      <c r="A60" s="10" t="inlineStr">
        <is>
          <t>PJ-2020-B</t>
        </is>
      </c>
      <c r="B60" s="10" t="inlineStr">
        <is>
          <t>ブレイブフロンティア外伝(後半集中)</t>
        </is>
      </c>
      <c r="C60" s="10" t="inlineStr">
        <is>
          <t>大型アップデート</t>
        </is>
      </c>
      <c r="D60" s="10" t="inlineStr">
        <is>
          <t>位置合わせ(MS指定)／月内均等</t>
        </is>
      </c>
      <c r="E60" s="10" t="inlineStr">
        <is>
          <t>月内均等</t>
        </is>
      </c>
      <c r="F60" s="12" t="n">
        <v>620</v>
      </c>
      <c r="G60" s="10" t="n">
        <v>14</v>
      </c>
      <c r="H60" s="10" t="n">
        <v>9</v>
      </c>
      <c r="I60" s="21" t="n">
        <v>0.3062</v>
      </c>
      <c r="J60" s="21" t="n">
        <v>0.4069</v>
      </c>
      <c r="K60" s="21" t="n">
        <v>0.1531</v>
      </c>
      <c r="L60" s="10" t="n">
        <v>0</v>
      </c>
      <c r="M60" s="13" t="n">
        <v>-0.1475</v>
      </c>
    </row>
    <row r="61">
      <c r="A61" s="10" t="inlineStr">
        <is>
          <t>PJ-2020-B</t>
        </is>
      </c>
      <c r="B61" s="10" t="inlineStr">
        <is>
          <t>ブレイブフロンティア外伝(後半集中)</t>
        </is>
      </c>
      <c r="C61" s="10" t="inlineStr">
        <is>
          <t>大型アップデート</t>
        </is>
      </c>
      <c r="D61" s="10" t="inlineStr">
        <is>
          <t>素朴版／単調補間</t>
        </is>
      </c>
      <c r="E61" s="10" t="inlineStr">
        <is>
          <t>単調補間</t>
        </is>
      </c>
      <c r="F61" s="12" t="n">
        <v>620</v>
      </c>
      <c r="G61" s="10" t="n">
        <v>14</v>
      </c>
      <c r="H61" s="10" t="n">
        <v>9</v>
      </c>
      <c r="I61" s="21" t="n">
        <v>0.6358</v>
      </c>
      <c r="J61" s="21" t="n">
        <v>0.7108</v>
      </c>
      <c r="K61" s="21" t="n">
        <v>0.3179</v>
      </c>
      <c r="L61" s="10" t="n">
        <v>-2</v>
      </c>
      <c r="M61" s="13" t="n">
        <v>-0.4947</v>
      </c>
    </row>
    <row r="62">
      <c r="A62" s="10" t="inlineStr">
        <is>
          <t>PJ-2020-B</t>
        </is>
      </c>
      <c r="B62" s="10" t="inlineStr">
        <is>
          <t>ブレイブフロンティア外伝(後半集中)</t>
        </is>
      </c>
      <c r="C62" s="10" t="inlineStr">
        <is>
          <t>大型アップデート</t>
        </is>
      </c>
      <c r="D62" s="10" t="inlineStr">
        <is>
          <t>位置合わせ(MS学習値)／単調補間</t>
        </is>
      </c>
      <c r="E62" s="10" t="inlineStr">
        <is>
          <t>単調補間</t>
        </is>
      </c>
      <c r="F62" s="12" t="n">
        <v>620</v>
      </c>
      <c r="G62" s="10" t="n">
        <v>14</v>
      </c>
      <c r="H62" s="10" t="n">
        <v>9</v>
      </c>
      <c r="I62" s="21" t="n">
        <v>0.6324</v>
      </c>
      <c r="J62" s="21" t="n">
        <v>0.7087</v>
      </c>
      <c r="K62" s="21" t="n">
        <v>0.3162</v>
      </c>
      <c r="L62" s="10" t="n">
        <v>0</v>
      </c>
      <c r="M62" s="13" t="n">
        <v>-0.492</v>
      </c>
    </row>
    <row r="63">
      <c r="A63" s="10" t="inlineStr">
        <is>
          <t>PJ-2020-B</t>
        </is>
      </c>
      <c r="B63" s="10" t="inlineStr">
        <is>
          <t>ブレイブフロンティア外伝(後半集中)</t>
        </is>
      </c>
      <c r="C63" s="10" t="inlineStr">
        <is>
          <t>大型アップデート</t>
        </is>
      </c>
      <c r="D63" s="10" t="inlineStr">
        <is>
          <t>位置合わせ(MS指定)／単調補間</t>
        </is>
      </c>
      <c r="E63" s="10" t="inlineStr">
        <is>
          <t>単調補間</t>
        </is>
      </c>
      <c r="F63" s="12" t="n">
        <v>620</v>
      </c>
      <c r="G63" s="10" t="n">
        <v>14</v>
      </c>
      <c r="H63" s="10" t="n">
        <v>9</v>
      </c>
      <c r="I63" s="21" t="n">
        <v>0.3064</v>
      </c>
      <c r="J63" s="21" t="n">
        <v>0.4069</v>
      </c>
      <c r="K63" s="21" t="n">
        <v>0.1532</v>
      </c>
      <c r="L63" s="10" t="n">
        <v>0</v>
      </c>
      <c r="M63" s="13" t="n">
        <v>-0.1422</v>
      </c>
    </row>
    <row r="64">
      <c r="A64" s="10" t="inlineStr">
        <is>
          <t>PJ-2020-C</t>
        </is>
      </c>
      <c r="B64" s="10" t="inlineStr">
        <is>
          <t>クロノスギア(二山)</t>
        </is>
      </c>
      <c r="C64" s="10" t="inlineStr">
        <is>
          <t>新規タイトル開発</t>
        </is>
      </c>
      <c r="D64" s="10" t="inlineStr">
        <is>
          <t>素朴版／月内均等</t>
        </is>
      </c>
      <c r="E64" s="10" t="inlineStr">
        <is>
          <t>月内均等</t>
        </is>
      </c>
      <c r="F64" s="12" t="n">
        <v>1800</v>
      </c>
      <c r="G64" s="10" t="n">
        <v>30</v>
      </c>
      <c r="H64" s="10" t="n">
        <v>9</v>
      </c>
      <c r="I64" s="21" t="n">
        <v>0.3825</v>
      </c>
      <c r="J64" s="21" t="n">
        <v>0.4106</v>
      </c>
      <c r="K64" s="21" t="n">
        <v>0.089</v>
      </c>
      <c r="L64" s="10" t="n">
        <v>3</v>
      </c>
      <c r="M64" s="13" t="n">
        <v>-0.1047</v>
      </c>
    </row>
    <row r="65">
      <c r="A65" s="10" t="inlineStr">
        <is>
          <t>PJ-2020-C</t>
        </is>
      </c>
      <c r="B65" s="10" t="inlineStr">
        <is>
          <t>クロノスギア(二山)</t>
        </is>
      </c>
      <c r="C65" s="10" t="inlineStr">
        <is>
          <t>新規タイトル開発</t>
        </is>
      </c>
      <c r="D65" s="10" t="inlineStr">
        <is>
          <t>位置合わせ(MS学習値)／月内均等</t>
        </is>
      </c>
      <c r="E65" s="10" t="inlineStr">
        <is>
          <t>月内均等</t>
        </is>
      </c>
      <c r="F65" s="12" t="n">
        <v>1800</v>
      </c>
      <c r="G65" s="10" t="n">
        <v>30</v>
      </c>
      <c r="H65" s="10" t="n">
        <v>9</v>
      </c>
      <c r="I65" s="21" t="n">
        <v>0.3845</v>
      </c>
      <c r="J65" s="21" t="n">
        <v>0.4142</v>
      </c>
      <c r="K65" s="21" t="n">
        <v>0.0914</v>
      </c>
      <c r="L65" s="10" t="n">
        <v>5</v>
      </c>
      <c r="M65" s="13" t="n">
        <v>-0.1191</v>
      </c>
    </row>
    <row r="66">
      <c r="A66" s="10" t="inlineStr">
        <is>
          <t>PJ-2020-C</t>
        </is>
      </c>
      <c r="B66" s="10" t="inlineStr">
        <is>
          <t>クロノスギア(二山)</t>
        </is>
      </c>
      <c r="C66" s="10" t="inlineStr">
        <is>
          <t>新規タイトル開発</t>
        </is>
      </c>
      <c r="D66" s="10" t="inlineStr">
        <is>
          <t>位置合わせ(MS指定)／月内均等</t>
        </is>
      </c>
      <c r="E66" s="10" t="inlineStr">
        <is>
          <t>月内均等</t>
        </is>
      </c>
      <c r="F66" s="12" t="n">
        <v>1800</v>
      </c>
      <c r="G66" s="10" t="n">
        <v>30</v>
      </c>
      <c r="H66" s="10" t="n">
        <v>9</v>
      </c>
      <c r="I66" s="21" t="n">
        <v>0.4602</v>
      </c>
      <c r="J66" s="21" t="n">
        <v>0.4841</v>
      </c>
      <c r="K66" s="21" t="n">
        <v>0.1445</v>
      </c>
      <c r="L66" s="10" t="n">
        <v>3</v>
      </c>
      <c r="M66" s="13" t="n">
        <v>0.3087</v>
      </c>
    </row>
    <row r="67">
      <c r="A67" s="10" t="inlineStr">
        <is>
          <t>PJ-2020-C</t>
        </is>
      </c>
      <c r="B67" s="10" t="inlineStr">
        <is>
          <t>クロノスギア(二山)</t>
        </is>
      </c>
      <c r="C67" s="10" t="inlineStr">
        <is>
          <t>新規タイトル開発</t>
        </is>
      </c>
      <c r="D67" s="10" t="inlineStr">
        <is>
          <t>素朴版／単調補間</t>
        </is>
      </c>
      <c r="E67" s="10" t="inlineStr">
        <is>
          <t>単調補間</t>
        </is>
      </c>
      <c r="F67" s="12" t="n">
        <v>1800</v>
      </c>
      <c r="G67" s="10" t="n">
        <v>30</v>
      </c>
      <c r="H67" s="10" t="n">
        <v>9</v>
      </c>
      <c r="I67" s="21" t="n">
        <v>0.385</v>
      </c>
      <c r="J67" s="21" t="n">
        <v>0.4138</v>
      </c>
      <c r="K67" s="21" t="n">
        <v>0.0895</v>
      </c>
      <c r="L67" s="10" t="n">
        <v>3</v>
      </c>
      <c r="M67" s="13" t="n">
        <v>-0.0859</v>
      </c>
    </row>
    <row r="68">
      <c r="A68" s="10" t="inlineStr">
        <is>
          <t>PJ-2020-C</t>
        </is>
      </c>
      <c r="B68" s="10" t="inlineStr">
        <is>
          <t>クロノスギア(二山)</t>
        </is>
      </c>
      <c r="C68" s="10" t="inlineStr">
        <is>
          <t>新規タイトル開発</t>
        </is>
      </c>
      <c r="D68" s="10" t="inlineStr">
        <is>
          <t>位置合わせ(MS学習値)／単調補間</t>
        </is>
      </c>
      <c r="E68" s="10" t="inlineStr">
        <is>
          <t>単調補間</t>
        </is>
      </c>
      <c r="F68" s="12" t="n">
        <v>1800</v>
      </c>
      <c r="G68" s="10" t="n">
        <v>30</v>
      </c>
      <c r="H68" s="10" t="n">
        <v>9</v>
      </c>
      <c r="I68" s="21" t="n">
        <v>0.3857</v>
      </c>
      <c r="J68" s="21" t="n">
        <v>0.4157</v>
      </c>
      <c r="K68" s="21" t="n">
        <v>0.0917</v>
      </c>
      <c r="L68" s="10" t="n">
        <v>5</v>
      </c>
      <c r="M68" s="13" t="n">
        <v>-0.114</v>
      </c>
    </row>
    <row r="69">
      <c r="A69" s="10" t="inlineStr">
        <is>
          <t>PJ-2020-C</t>
        </is>
      </c>
      <c r="B69" s="10" t="inlineStr">
        <is>
          <t>クロノスギア(二山)</t>
        </is>
      </c>
      <c r="C69" s="10" t="inlineStr">
        <is>
          <t>新規タイトル開発</t>
        </is>
      </c>
      <c r="D69" s="10" t="inlineStr">
        <is>
          <t>位置合わせ(MS指定)／単調補間</t>
        </is>
      </c>
      <c r="E69" s="10" t="inlineStr">
        <is>
          <t>単調補間</t>
        </is>
      </c>
      <c r="F69" s="12" t="n">
        <v>1800</v>
      </c>
      <c r="G69" s="10" t="n">
        <v>30</v>
      </c>
      <c r="H69" s="10" t="n">
        <v>9</v>
      </c>
      <c r="I69" s="21" t="n">
        <v>0.4625</v>
      </c>
      <c r="J69" s="21" t="n">
        <v>0.4869</v>
      </c>
      <c r="K69" s="21" t="n">
        <v>0.1452</v>
      </c>
      <c r="L69" s="10" t="n">
        <v>3</v>
      </c>
      <c r="M69" s="13" t="n">
        <v>0.3096</v>
      </c>
    </row>
    <row r="70">
      <c r="A70" s="10" t="inlineStr">
        <is>
          <t>PJ-2021-D</t>
        </is>
      </c>
      <c r="B70" s="10" t="inlineStr">
        <is>
          <t>蒼穹のレガリア HD Edition(前倒し)</t>
        </is>
      </c>
      <c r="C70" s="10" t="inlineStr">
        <is>
          <t>移植・リマスター</t>
        </is>
      </c>
      <c r="D70" s="10" t="inlineStr">
        <is>
          <t>素朴版／月内均等</t>
        </is>
      </c>
      <c r="E70" s="10" t="inlineStr">
        <is>
          <t>月内均等</t>
        </is>
      </c>
      <c r="F70" s="12" t="n">
        <v>520</v>
      </c>
      <c r="G70" s="10" t="n">
        <v>15</v>
      </c>
      <c r="H70" s="10" t="n">
        <v>9</v>
      </c>
      <c r="I70" s="21" t="n">
        <v>0.1611</v>
      </c>
      <c r="J70" s="21" t="n">
        <v>0.4514</v>
      </c>
      <c r="K70" s="21" t="n">
        <v>0.0493</v>
      </c>
      <c r="L70" s="10" t="n">
        <v>-1</v>
      </c>
      <c r="M70" s="13" t="n">
        <v>-0.0355</v>
      </c>
    </row>
    <row r="71">
      <c r="A71" s="10" t="inlineStr">
        <is>
          <t>PJ-2021-D</t>
        </is>
      </c>
      <c r="B71" s="10" t="inlineStr">
        <is>
          <t>蒼穹のレガリア HD Edition(前倒し)</t>
        </is>
      </c>
      <c r="C71" s="10" t="inlineStr">
        <is>
          <t>移植・リマスター</t>
        </is>
      </c>
      <c r="D71" s="10" t="inlineStr">
        <is>
          <t>位置合わせ(MS学習値)／月内均等</t>
        </is>
      </c>
      <c r="E71" s="10" t="inlineStr">
        <is>
          <t>月内均等</t>
        </is>
      </c>
      <c r="F71" s="12" t="n">
        <v>520</v>
      </c>
      <c r="G71" s="10" t="n">
        <v>15</v>
      </c>
      <c r="H71" s="10" t="n">
        <v>9</v>
      </c>
      <c r="I71" s="21" t="n">
        <v>0.1625</v>
      </c>
      <c r="J71" s="21" t="n">
        <v>0.4574</v>
      </c>
      <c r="K71" s="21" t="n">
        <v>0.0574</v>
      </c>
      <c r="L71" s="10" t="n">
        <v>-2</v>
      </c>
      <c r="M71" s="13" t="n">
        <v>-0.0677</v>
      </c>
    </row>
    <row r="72">
      <c r="A72" s="10" t="inlineStr">
        <is>
          <t>PJ-2021-D</t>
        </is>
      </c>
      <c r="B72" s="10" t="inlineStr">
        <is>
          <t>蒼穹のレガリア HD Edition(前倒し)</t>
        </is>
      </c>
      <c r="C72" s="10" t="inlineStr">
        <is>
          <t>移植・リマスター</t>
        </is>
      </c>
      <c r="D72" s="10" t="inlineStr">
        <is>
          <t>位置合わせ(MS指定)／月内均等</t>
        </is>
      </c>
      <c r="E72" s="10" t="inlineStr">
        <is>
          <t>月内均等</t>
        </is>
      </c>
      <c r="F72" s="12" t="n">
        <v>520</v>
      </c>
      <c r="G72" s="10" t="n">
        <v>15</v>
      </c>
      <c r="H72" s="10" t="n">
        <v>9</v>
      </c>
      <c r="I72" s="21" t="n">
        <v>0.2935</v>
      </c>
      <c r="J72" s="21" t="n">
        <v>0.545</v>
      </c>
      <c r="K72" s="21" t="n">
        <v>0.1468</v>
      </c>
      <c r="L72" s="10" t="n">
        <v>-1</v>
      </c>
      <c r="M72" s="13" t="n">
        <v>0.1548</v>
      </c>
    </row>
    <row r="73">
      <c r="A73" s="10" t="inlineStr">
        <is>
          <t>PJ-2021-D</t>
        </is>
      </c>
      <c r="B73" s="10" t="inlineStr">
        <is>
          <t>蒼穹のレガリア HD Edition(前倒し)</t>
        </is>
      </c>
      <c r="C73" s="10" t="inlineStr">
        <is>
          <t>移植・リマスター</t>
        </is>
      </c>
      <c r="D73" s="10" t="inlineStr">
        <is>
          <t>素朴版／単調補間</t>
        </is>
      </c>
      <c r="E73" s="10" t="inlineStr">
        <is>
          <t>単調補間</t>
        </is>
      </c>
      <c r="F73" s="12" t="n">
        <v>520</v>
      </c>
      <c r="G73" s="10" t="n">
        <v>15</v>
      </c>
      <c r="H73" s="10" t="n">
        <v>9</v>
      </c>
      <c r="I73" s="21" t="n">
        <v>0.1612</v>
      </c>
      <c r="J73" s="21" t="n">
        <v>0.4505</v>
      </c>
      <c r="K73" s="21" t="n">
        <v>0.0495</v>
      </c>
      <c r="L73" s="10" t="n">
        <v>-1</v>
      </c>
      <c r="M73" s="13" t="n">
        <v>-0.0231</v>
      </c>
    </row>
    <row r="74">
      <c r="A74" s="10" t="inlineStr">
        <is>
          <t>PJ-2021-D</t>
        </is>
      </c>
      <c r="B74" s="10" t="inlineStr">
        <is>
          <t>蒼穹のレガリア HD Edition(前倒し)</t>
        </is>
      </c>
      <c r="C74" s="10" t="inlineStr">
        <is>
          <t>移植・リマスター</t>
        </is>
      </c>
      <c r="D74" s="10" t="inlineStr">
        <is>
          <t>位置合わせ(MS学習値)／単調補間</t>
        </is>
      </c>
      <c r="E74" s="10" t="inlineStr">
        <is>
          <t>単調補間</t>
        </is>
      </c>
      <c r="F74" s="12" t="n">
        <v>520</v>
      </c>
      <c r="G74" s="10" t="n">
        <v>15</v>
      </c>
      <c r="H74" s="10" t="n">
        <v>9</v>
      </c>
      <c r="I74" s="21" t="n">
        <v>0.163</v>
      </c>
      <c r="J74" s="21" t="n">
        <v>0.4574</v>
      </c>
      <c r="K74" s="21" t="n">
        <v>0.0583</v>
      </c>
      <c r="L74" s="10" t="n">
        <v>-2</v>
      </c>
      <c r="M74" s="13" t="n">
        <v>-0.0611</v>
      </c>
    </row>
    <row r="75">
      <c r="A75" s="10" t="inlineStr">
        <is>
          <t>PJ-2021-D</t>
        </is>
      </c>
      <c r="B75" s="10" t="inlineStr">
        <is>
          <t>蒼穹のレガリア HD Edition(前倒し)</t>
        </is>
      </c>
      <c r="C75" s="10" t="inlineStr">
        <is>
          <t>移植・リマスター</t>
        </is>
      </c>
      <c r="D75" s="10" t="inlineStr">
        <is>
          <t>位置合わせ(MS指定)／単調補間</t>
        </is>
      </c>
      <c r="E75" s="10" t="inlineStr">
        <is>
          <t>単調補間</t>
        </is>
      </c>
      <c r="F75" s="12" t="n">
        <v>520</v>
      </c>
      <c r="G75" s="10" t="n">
        <v>15</v>
      </c>
      <c r="H75" s="10" t="n">
        <v>9</v>
      </c>
      <c r="I75" s="21" t="n">
        <v>0.2937</v>
      </c>
      <c r="J75" s="21" t="n">
        <v>0.545</v>
      </c>
      <c r="K75" s="21" t="n">
        <v>0.1468</v>
      </c>
      <c r="L75" s="10" t="n">
        <v>-1</v>
      </c>
      <c r="M75" s="13" t="n">
        <v>0.1633</v>
      </c>
    </row>
    <row r="76">
      <c r="A76" s="10" t="inlineStr">
        <is>
          <t>PJ-2021-E</t>
        </is>
      </c>
      <c r="B76" s="10" t="inlineStr">
        <is>
          <t>シャドウヴェイル</t>
        </is>
      </c>
      <c r="C76" s="10" t="inlineStr">
        <is>
          <t>新規タイトル開発</t>
        </is>
      </c>
      <c r="D76" s="10" t="inlineStr">
        <is>
          <t>素朴版／月内均等</t>
        </is>
      </c>
      <c r="E76" s="10" t="inlineStr">
        <is>
          <t>月内均等</t>
        </is>
      </c>
      <c r="F76" s="12" t="n">
        <v>2950</v>
      </c>
      <c r="G76" s="10" t="n">
        <v>36</v>
      </c>
      <c r="H76" s="10" t="n">
        <v>9</v>
      </c>
      <c r="I76" s="21" t="n">
        <v>0.3767</v>
      </c>
      <c r="J76" s="21" t="n">
        <v>0.424</v>
      </c>
      <c r="K76" s="21" t="n">
        <v>0.1218</v>
      </c>
      <c r="L76" s="10" t="n">
        <v>7</v>
      </c>
      <c r="M76" s="13" t="n">
        <v>-0.4668</v>
      </c>
    </row>
    <row r="77">
      <c r="A77" s="10" t="inlineStr">
        <is>
          <t>PJ-2021-E</t>
        </is>
      </c>
      <c r="B77" s="10" t="inlineStr">
        <is>
          <t>シャドウヴェイル</t>
        </is>
      </c>
      <c r="C77" s="10" t="inlineStr">
        <is>
          <t>新規タイトル開発</t>
        </is>
      </c>
      <c r="D77" s="10" t="inlineStr">
        <is>
          <t>位置合わせ(MS学習値)／月内均等</t>
        </is>
      </c>
      <c r="E77" s="10" t="inlineStr">
        <is>
          <t>月内均等</t>
        </is>
      </c>
      <c r="F77" s="12" t="n">
        <v>2950</v>
      </c>
      <c r="G77" s="10" t="n">
        <v>36</v>
      </c>
      <c r="H77" s="10" t="n">
        <v>9</v>
      </c>
      <c r="I77" s="21" t="n">
        <v>0.3706</v>
      </c>
      <c r="J77" s="21" t="n">
        <v>0.4141</v>
      </c>
      <c r="K77" s="21" t="n">
        <v>0.13</v>
      </c>
      <c r="L77" s="10" t="n">
        <v>10</v>
      </c>
      <c r="M77" s="13" t="n">
        <v>-0.4705</v>
      </c>
    </row>
    <row r="78">
      <c r="A78" s="10" t="inlineStr">
        <is>
          <t>PJ-2021-E</t>
        </is>
      </c>
      <c r="B78" s="10" t="inlineStr">
        <is>
          <t>シャドウヴェイル</t>
        </is>
      </c>
      <c r="C78" s="10" t="inlineStr">
        <is>
          <t>新規タイトル開発</t>
        </is>
      </c>
      <c r="D78" s="10" t="inlineStr">
        <is>
          <t>位置合わせ(MS指定)／月内均等</t>
        </is>
      </c>
      <c r="E78" s="10" t="inlineStr">
        <is>
          <t>月内均等</t>
        </is>
      </c>
      <c r="F78" s="12" t="n">
        <v>2950</v>
      </c>
      <c r="G78" s="10" t="n">
        <v>36</v>
      </c>
      <c r="H78" s="10" t="n">
        <v>9</v>
      </c>
      <c r="I78" s="21" t="n">
        <v>0.3008</v>
      </c>
      <c r="J78" s="21" t="n">
        <v>0.3413</v>
      </c>
      <c r="K78" s="21" t="n">
        <v>0.0914</v>
      </c>
      <c r="L78" s="10" t="n">
        <v>0</v>
      </c>
      <c r="M78" s="13" t="n">
        <v>-0.4857</v>
      </c>
    </row>
    <row r="79">
      <c r="A79" s="10" t="inlineStr">
        <is>
          <t>PJ-2021-E</t>
        </is>
      </c>
      <c r="B79" s="10" t="inlineStr">
        <is>
          <t>シャドウヴェイル</t>
        </is>
      </c>
      <c r="C79" s="10" t="inlineStr">
        <is>
          <t>新規タイトル開発</t>
        </is>
      </c>
      <c r="D79" s="10" t="inlineStr">
        <is>
          <t>素朴版／単調補間</t>
        </is>
      </c>
      <c r="E79" s="10" t="inlineStr">
        <is>
          <t>単調補間</t>
        </is>
      </c>
      <c r="F79" s="12" t="n">
        <v>2950</v>
      </c>
      <c r="G79" s="10" t="n">
        <v>36</v>
      </c>
      <c r="H79" s="10" t="n">
        <v>9</v>
      </c>
      <c r="I79" s="21" t="n">
        <v>0.3774</v>
      </c>
      <c r="J79" s="21" t="n">
        <v>0.4243</v>
      </c>
      <c r="K79" s="21" t="n">
        <v>0.1221</v>
      </c>
      <c r="L79" s="10" t="n">
        <v>8</v>
      </c>
      <c r="M79" s="13" t="n">
        <v>-0.4573</v>
      </c>
    </row>
    <row r="80">
      <c r="A80" s="10" t="inlineStr">
        <is>
          <t>PJ-2021-E</t>
        </is>
      </c>
      <c r="B80" s="10" t="inlineStr">
        <is>
          <t>シャドウヴェイル</t>
        </is>
      </c>
      <c r="C80" s="10" t="inlineStr">
        <is>
          <t>新規タイトル開発</t>
        </is>
      </c>
      <c r="D80" s="10" t="inlineStr">
        <is>
          <t>位置合わせ(MS学習値)／単調補間</t>
        </is>
      </c>
      <c r="E80" s="10" t="inlineStr">
        <is>
          <t>単調補間</t>
        </is>
      </c>
      <c r="F80" s="12" t="n">
        <v>2950</v>
      </c>
      <c r="G80" s="10" t="n">
        <v>36</v>
      </c>
      <c r="H80" s="10" t="n">
        <v>9</v>
      </c>
      <c r="I80" s="21" t="n">
        <v>0.3705</v>
      </c>
      <c r="J80" s="21" t="n">
        <v>0.4132</v>
      </c>
      <c r="K80" s="21" t="n">
        <v>0.1304</v>
      </c>
      <c r="L80" s="10" t="n">
        <v>10</v>
      </c>
      <c r="M80" s="13" t="n">
        <v>-0.4662</v>
      </c>
    </row>
    <row r="81">
      <c r="A81" s="10" t="inlineStr">
        <is>
          <t>PJ-2021-E</t>
        </is>
      </c>
      <c r="B81" s="10" t="inlineStr">
        <is>
          <t>シャドウヴェイル</t>
        </is>
      </c>
      <c r="C81" s="10" t="inlineStr">
        <is>
          <t>新規タイトル開発</t>
        </is>
      </c>
      <c r="D81" s="10" t="inlineStr">
        <is>
          <t>位置合わせ(MS指定)／単調補間</t>
        </is>
      </c>
      <c r="E81" s="10" t="inlineStr">
        <is>
          <t>単調補間</t>
        </is>
      </c>
      <c r="F81" s="12" t="n">
        <v>2950</v>
      </c>
      <c r="G81" s="10" t="n">
        <v>36</v>
      </c>
      <c r="H81" s="10" t="n">
        <v>9</v>
      </c>
      <c r="I81" s="21" t="n">
        <v>0.3</v>
      </c>
      <c r="J81" s="21" t="n">
        <v>0.3392</v>
      </c>
      <c r="K81" s="21" t="n">
        <v>0.09080000000000001</v>
      </c>
      <c r="L81" s="10" t="n">
        <v>0</v>
      </c>
      <c r="M81" s="13" t="n">
        <v>-0.4926</v>
      </c>
    </row>
    <row r="82">
      <c r="A82" s="10" t="inlineStr">
        <is>
          <t>PJ-2022-F</t>
        </is>
      </c>
      <c r="B82" s="10" t="inlineStr">
        <is>
          <t>ネオンハーツ Season2</t>
        </is>
      </c>
      <c r="C82" s="10" t="inlineStr">
        <is>
          <t>大型アップデート</t>
        </is>
      </c>
      <c r="D82" s="10" t="inlineStr">
        <is>
          <t>素朴版／月内均等</t>
        </is>
      </c>
      <c r="E82" s="10" t="inlineStr">
        <is>
          <t>月内均等</t>
        </is>
      </c>
      <c r="F82" s="12" t="n">
        <v>880</v>
      </c>
      <c r="G82" s="10" t="n">
        <v>18</v>
      </c>
      <c r="H82" s="10" t="n">
        <v>9</v>
      </c>
      <c r="I82" s="21" t="n">
        <v>0.2442</v>
      </c>
      <c r="J82" s="21" t="n">
        <v>0.307</v>
      </c>
      <c r="K82" s="21" t="n">
        <v>0.0552</v>
      </c>
      <c r="L82" s="10" t="n">
        <v>-3</v>
      </c>
      <c r="M82" s="13" t="n">
        <v>-0.1619</v>
      </c>
    </row>
    <row r="83">
      <c r="A83" s="10" t="inlineStr">
        <is>
          <t>PJ-2022-F</t>
        </is>
      </c>
      <c r="B83" s="10" t="inlineStr">
        <is>
          <t>ネオンハーツ Season2</t>
        </is>
      </c>
      <c r="C83" s="10" t="inlineStr">
        <is>
          <t>大型アップデート</t>
        </is>
      </c>
      <c r="D83" s="10" t="inlineStr">
        <is>
          <t>位置合わせ(MS学習値)／月内均等</t>
        </is>
      </c>
      <c r="E83" s="10" t="inlineStr">
        <is>
          <t>月内均等</t>
        </is>
      </c>
      <c r="F83" s="12" t="n">
        <v>880</v>
      </c>
      <c r="G83" s="10" t="n">
        <v>18</v>
      </c>
      <c r="H83" s="10" t="n">
        <v>9</v>
      </c>
      <c r="I83" s="21" t="n">
        <v>0.26</v>
      </c>
      <c r="J83" s="21" t="n">
        <v>0.3203</v>
      </c>
      <c r="K83" s="21" t="n">
        <v>0.0625</v>
      </c>
      <c r="L83" s="10" t="n">
        <v>-3</v>
      </c>
      <c r="M83" s="13" t="n">
        <v>-0.1875</v>
      </c>
    </row>
    <row r="84">
      <c r="A84" s="10" t="inlineStr">
        <is>
          <t>PJ-2022-F</t>
        </is>
      </c>
      <c r="B84" s="10" t="inlineStr">
        <is>
          <t>ネオンハーツ Season2</t>
        </is>
      </c>
      <c r="C84" s="10" t="inlineStr">
        <is>
          <t>大型アップデート</t>
        </is>
      </c>
      <c r="D84" s="10" t="inlineStr">
        <is>
          <t>位置合わせ(MS指定)／月内均等</t>
        </is>
      </c>
      <c r="E84" s="10" t="inlineStr">
        <is>
          <t>月内均等</t>
        </is>
      </c>
      <c r="F84" s="12" t="n">
        <v>880</v>
      </c>
      <c r="G84" s="10" t="n">
        <v>18</v>
      </c>
      <c r="H84" s="10" t="n">
        <v>9</v>
      </c>
      <c r="I84" s="21" t="n">
        <v>0.1504</v>
      </c>
      <c r="J84" s="21" t="n">
        <v>0.2323</v>
      </c>
      <c r="K84" s="21" t="n">
        <v>0.045</v>
      </c>
      <c r="L84" s="10" t="n">
        <v>1</v>
      </c>
      <c r="M84" s="13" t="n">
        <v>-0.1234</v>
      </c>
    </row>
    <row r="85">
      <c r="A85" s="10" t="inlineStr">
        <is>
          <t>PJ-2022-F</t>
        </is>
      </c>
      <c r="B85" s="10" t="inlineStr">
        <is>
          <t>ネオンハーツ Season2</t>
        </is>
      </c>
      <c r="C85" s="10" t="inlineStr">
        <is>
          <t>大型アップデート</t>
        </is>
      </c>
      <c r="D85" s="10" t="inlineStr">
        <is>
          <t>素朴版／単調補間</t>
        </is>
      </c>
      <c r="E85" s="10" t="inlineStr">
        <is>
          <t>単調補間</t>
        </is>
      </c>
      <c r="F85" s="12" t="n">
        <v>880</v>
      </c>
      <c r="G85" s="10" t="n">
        <v>18</v>
      </c>
      <c r="H85" s="10" t="n">
        <v>9</v>
      </c>
      <c r="I85" s="21" t="n">
        <v>0.2431</v>
      </c>
      <c r="J85" s="21" t="n">
        <v>0.3059</v>
      </c>
      <c r="K85" s="21" t="n">
        <v>0.0558</v>
      </c>
      <c r="L85" s="10" t="n">
        <v>-3</v>
      </c>
      <c r="M85" s="13" t="n">
        <v>-0.1509</v>
      </c>
    </row>
    <row r="86">
      <c r="A86" s="10" t="inlineStr">
        <is>
          <t>PJ-2022-F</t>
        </is>
      </c>
      <c r="B86" s="10" t="inlineStr">
        <is>
          <t>ネオンハーツ Season2</t>
        </is>
      </c>
      <c r="C86" s="10" t="inlineStr">
        <is>
          <t>大型アップデート</t>
        </is>
      </c>
      <c r="D86" s="10" t="inlineStr">
        <is>
          <t>位置合わせ(MS学習値)／単調補間</t>
        </is>
      </c>
      <c r="E86" s="10" t="inlineStr">
        <is>
          <t>単調補間</t>
        </is>
      </c>
      <c r="F86" s="12" t="n">
        <v>880</v>
      </c>
      <c r="G86" s="10" t="n">
        <v>18</v>
      </c>
      <c r="H86" s="10" t="n">
        <v>9</v>
      </c>
      <c r="I86" s="21" t="n">
        <v>0.2632</v>
      </c>
      <c r="J86" s="21" t="n">
        <v>0.3224</v>
      </c>
      <c r="K86" s="21" t="n">
        <v>0.0635</v>
      </c>
      <c r="L86" s="10" t="n">
        <v>-3</v>
      </c>
      <c r="M86" s="13" t="n">
        <v>-0.1816</v>
      </c>
    </row>
    <row r="87">
      <c r="A87" s="10" t="inlineStr">
        <is>
          <t>PJ-2022-F</t>
        </is>
      </c>
      <c r="B87" s="10" t="inlineStr">
        <is>
          <t>ネオンハーツ Season2</t>
        </is>
      </c>
      <c r="C87" s="10" t="inlineStr">
        <is>
          <t>大型アップデート</t>
        </is>
      </c>
      <c r="D87" s="10" t="inlineStr">
        <is>
          <t>位置合わせ(MS指定)／単調補間</t>
        </is>
      </c>
      <c r="E87" s="10" t="inlineStr">
        <is>
          <t>単調補間</t>
        </is>
      </c>
      <c r="F87" s="12" t="n">
        <v>880</v>
      </c>
      <c r="G87" s="10" t="n">
        <v>18</v>
      </c>
      <c r="H87" s="10" t="n">
        <v>9</v>
      </c>
      <c r="I87" s="21" t="n">
        <v>0.1517</v>
      </c>
      <c r="J87" s="21" t="n">
        <v>0.2322</v>
      </c>
      <c r="K87" s="21" t="n">
        <v>0.0446</v>
      </c>
      <c r="L87" s="10" t="n">
        <v>1</v>
      </c>
      <c r="M87" s="13" t="n">
        <v>-0.1239</v>
      </c>
    </row>
    <row r="88">
      <c r="A88" s="10" t="inlineStr">
        <is>
          <t>PJ-2022-G</t>
        </is>
      </c>
      <c r="B88" s="10" t="inlineStr">
        <is>
          <t>ギルドマスターズ(前倒し)</t>
        </is>
      </c>
      <c r="C88" s="10" t="inlineStr">
        <is>
          <t>新規タイトル開発</t>
        </is>
      </c>
      <c r="D88" s="10" t="inlineStr">
        <is>
          <t>素朴版／月内均等</t>
        </is>
      </c>
      <c r="E88" s="10" t="inlineStr">
        <is>
          <t>月内均等</t>
        </is>
      </c>
      <c r="F88" s="12" t="n">
        <v>1450</v>
      </c>
      <c r="G88" s="10" t="n">
        <v>24</v>
      </c>
      <c r="H88" s="10" t="n">
        <v>9</v>
      </c>
      <c r="I88" s="21" t="n">
        <v>0.4951</v>
      </c>
      <c r="J88" s="21" t="n">
        <v>0.5812</v>
      </c>
      <c r="K88" s="21" t="n">
        <v>0.2476</v>
      </c>
      <c r="L88" s="10" t="n">
        <v>7</v>
      </c>
      <c r="M88" s="13" t="n">
        <v>-0.07489999999999999</v>
      </c>
    </row>
    <row r="89">
      <c r="A89" s="10" t="inlineStr">
        <is>
          <t>PJ-2022-G</t>
        </is>
      </c>
      <c r="B89" s="10" t="inlineStr">
        <is>
          <t>ギルドマスターズ(前倒し)</t>
        </is>
      </c>
      <c r="C89" s="10" t="inlineStr">
        <is>
          <t>新規タイトル開発</t>
        </is>
      </c>
      <c r="D89" s="10" t="inlineStr">
        <is>
          <t>位置合わせ(MS学習値)／月内均等</t>
        </is>
      </c>
      <c r="E89" s="10" t="inlineStr">
        <is>
          <t>月内均等</t>
        </is>
      </c>
      <c r="F89" s="12" t="n">
        <v>1450</v>
      </c>
      <c r="G89" s="10" t="n">
        <v>24</v>
      </c>
      <c r="H89" s="10" t="n">
        <v>9</v>
      </c>
      <c r="I89" s="21" t="n">
        <v>0.5234</v>
      </c>
      <c r="J89" s="21" t="n">
        <v>0.6022</v>
      </c>
      <c r="K89" s="21" t="n">
        <v>0.2617</v>
      </c>
      <c r="L89" s="10" t="n">
        <v>5</v>
      </c>
      <c r="M89" s="13" t="n">
        <v>-0.0911</v>
      </c>
    </row>
    <row r="90">
      <c r="A90" s="10" t="inlineStr">
        <is>
          <t>PJ-2022-G</t>
        </is>
      </c>
      <c r="B90" s="10" t="inlineStr">
        <is>
          <t>ギルドマスターズ(前倒し)</t>
        </is>
      </c>
      <c r="C90" s="10" t="inlineStr">
        <is>
          <t>新規タイトル開発</t>
        </is>
      </c>
      <c r="D90" s="10" t="inlineStr">
        <is>
          <t>位置合わせ(MS指定)／月内均等</t>
        </is>
      </c>
      <c r="E90" s="10" t="inlineStr">
        <is>
          <t>月内均等</t>
        </is>
      </c>
      <c r="F90" s="12" t="n">
        <v>1450</v>
      </c>
      <c r="G90" s="10" t="n">
        <v>24</v>
      </c>
      <c r="H90" s="10" t="n">
        <v>9</v>
      </c>
      <c r="I90" s="21" t="n">
        <v>0.4797</v>
      </c>
      <c r="J90" s="21" t="n">
        <v>0.5479000000000001</v>
      </c>
      <c r="K90" s="21" t="n">
        <v>0.2398</v>
      </c>
      <c r="L90" s="10" t="n">
        <v>3</v>
      </c>
      <c r="M90" s="13" t="n">
        <v>-0.09030000000000001</v>
      </c>
    </row>
    <row r="91">
      <c r="A91" s="10" t="inlineStr">
        <is>
          <t>PJ-2022-G</t>
        </is>
      </c>
      <c r="B91" s="10" t="inlineStr">
        <is>
          <t>ギルドマスターズ(前倒し)</t>
        </is>
      </c>
      <c r="C91" s="10" t="inlineStr">
        <is>
          <t>新規タイトル開発</t>
        </is>
      </c>
      <c r="D91" s="10" t="inlineStr">
        <is>
          <t>素朴版／単調補間</t>
        </is>
      </c>
      <c r="E91" s="10" t="inlineStr">
        <is>
          <t>単調補間</t>
        </is>
      </c>
      <c r="F91" s="12" t="n">
        <v>1450</v>
      </c>
      <c r="G91" s="10" t="n">
        <v>24</v>
      </c>
      <c r="H91" s="10" t="n">
        <v>9</v>
      </c>
      <c r="I91" s="21" t="n">
        <v>0.4954</v>
      </c>
      <c r="J91" s="21" t="n">
        <v>0.5824</v>
      </c>
      <c r="K91" s="21" t="n">
        <v>0.2477</v>
      </c>
      <c r="L91" s="10" t="n">
        <v>7</v>
      </c>
      <c r="M91" s="13" t="n">
        <v>-0.063</v>
      </c>
    </row>
    <row r="92">
      <c r="A92" s="10" t="inlineStr">
        <is>
          <t>PJ-2022-G</t>
        </is>
      </c>
      <c r="B92" s="10" t="inlineStr">
        <is>
          <t>ギルドマスターズ(前倒し)</t>
        </is>
      </c>
      <c r="C92" s="10" t="inlineStr">
        <is>
          <t>新規タイトル開発</t>
        </is>
      </c>
      <c r="D92" s="10" t="inlineStr">
        <is>
          <t>位置合わせ(MS学習値)／単調補間</t>
        </is>
      </c>
      <c r="E92" s="10" t="inlineStr">
        <is>
          <t>単調補間</t>
        </is>
      </c>
      <c r="F92" s="12" t="n">
        <v>1450</v>
      </c>
      <c r="G92" s="10" t="n">
        <v>24</v>
      </c>
      <c r="H92" s="10" t="n">
        <v>9</v>
      </c>
      <c r="I92" s="21" t="n">
        <v>0.5249</v>
      </c>
      <c r="J92" s="21" t="n">
        <v>0.6039</v>
      </c>
      <c r="K92" s="21" t="n">
        <v>0.2624</v>
      </c>
      <c r="L92" s="10" t="n">
        <v>9</v>
      </c>
      <c r="M92" s="13" t="n">
        <v>-0.0834</v>
      </c>
    </row>
    <row r="93">
      <c r="A93" s="10" t="inlineStr">
        <is>
          <t>PJ-2022-G</t>
        </is>
      </c>
      <c r="B93" s="10" t="inlineStr">
        <is>
          <t>ギルドマスターズ(前倒し)</t>
        </is>
      </c>
      <c r="C93" s="10" t="inlineStr">
        <is>
          <t>新規タイトル開発</t>
        </is>
      </c>
      <c r="D93" s="10" t="inlineStr">
        <is>
          <t>位置合わせ(MS指定)／単調補間</t>
        </is>
      </c>
      <c r="E93" s="10" t="inlineStr">
        <is>
          <t>単調補間</t>
        </is>
      </c>
      <c r="F93" s="12" t="n">
        <v>1450</v>
      </c>
      <c r="G93" s="10" t="n">
        <v>24</v>
      </c>
      <c r="H93" s="10" t="n">
        <v>9</v>
      </c>
      <c r="I93" s="21" t="n">
        <v>0.4815</v>
      </c>
      <c r="J93" s="21" t="n">
        <v>0.5498</v>
      </c>
      <c r="K93" s="21" t="n">
        <v>0.2408</v>
      </c>
      <c r="L93" s="10" t="n">
        <v>3</v>
      </c>
      <c r="M93" s="13" t="n">
        <v>-0.0965</v>
      </c>
    </row>
    <row r="94">
      <c r="A94" s="10" t="inlineStr">
        <is>
          <t>PJ-2023-H</t>
        </is>
      </c>
      <c r="B94" s="10" t="inlineStr">
        <is>
          <t>クロノスギア:蒼き遺産</t>
        </is>
      </c>
      <c r="C94" s="10" t="inlineStr">
        <is>
          <t>大型アップデート</t>
        </is>
      </c>
      <c r="D94" s="10" t="inlineStr">
        <is>
          <t>素朴版／月内均等</t>
        </is>
      </c>
      <c r="E94" s="10" t="inlineStr">
        <is>
          <t>月内均等</t>
        </is>
      </c>
      <c r="F94" s="12" t="n">
        <v>1100</v>
      </c>
      <c r="G94" s="10" t="n">
        <v>20</v>
      </c>
      <c r="H94" s="10" t="n">
        <v>9</v>
      </c>
      <c r="I94" s="21" t="n">
        <v>0.2502</v>
      </c>
      <c r="J94" s="21" t="n">
        <v>0.2853</v>
      </c>
      <c r="K94" s="21" t="n">
        <v>0.0712</v>
      </c>
      <c r="L94" s="10" t="n">
        <v>4</v>
      </c>
      <c r="M94" s="13" t="n">
        <v>0.0164</v>
      </c>
    </row>
    <row r="95">
      <c r="A95" s="10" t="inlineStr">
        <is>
          <t>PJ-2023-H</t>
        </is>
      </c>
      <c r="B95" s="10" t="inlineStr">
        <is>
          <t>クロノスギア:蒼き遺産</t>
        </is>
      </c>
      <c r="C95" s="10" t="inlineStr">
        <is>
          <t>大型アップデート</t>
        </is>
      </c>
      <c r="D95" s="10" t="inlineStr">
        <is>
          <t>位置合わせ(MS学習値)／月内均等</t>
        </is>
      </c>
      <c r="E95" s="10" t="inlineStr">
        <is>
          <t>月内均等</t>
        </is>
      </c>
      <c r="F95" s="12" t="n">
        <v>1100</v>
      </c>
      <c r="G95" s="10" t="n">
        <v>20</v>
      </c>
      <c r="H95" s="10" t="n">
        <v>9</v>
      </c>
      <c r="I95" s="21" t="n">
        <v>0.3002</v>
      </c>
      <c r="J95" s="21" t="n">
        <v>0.3254</v>
      </c>
      <c r="K95" s="21" t="n">
        <v>0.08400000000000001</v>
      </c>
      <c r="L95" s="10" t="n">
        <v>3</v>
      </c>
      <c r="M95" s="13" t="n">
        <v>-0.0177</v>
      </c>
    </row>
    <row r="96">
      <c r="A96" s="10" t="inlineStr">
        <is>
          <t>PJ-2023-H</t>
        </is>
      </c>
      <c r="B96" s="10" t="inlineStr">
        <is>
          <t>クロノスギア:蒼き遺産</t>
        </is>
      </c>
      <c r="C96" s="10" t="inlineStr">
        <is>
          <t>大型アップデート</t>
        </is>
      </c>
      <c r="D96" s="10" t="inlineStr">
        <is>
          <t>位置合わせ(MS指定)／月内均等</t>
        </is>
      </c>
      <c r="E96" s="10" t="inlineStr">
        <is>
          <t>月内均等</t>
        </is>
      </c>
      <c r="F96" s="12" t="n">
        <v>1100</v>
      </c>
      <c r="G96" s="10" t="n">
        <v>20</v>
      </c>
      <c r="H96" s="10" t="n">
        <v>9</v>
      </c>
      <c r="I96" s="21" t="n">
        <v>0.1009</v>
      </c>
      <c r="J96" s="21" t="n">
        <v>0.2045</v>
      </c>
      <c r="K96" s="21" t="n">
        <v>0.0336</v>
      </c>
      <c r="L96" s="10" t="n">
        <v>-1</v>
      </c>
      <c r="M96" s="13" t="n">
        <v>-0.0243</v>
      </c>
    </row>
    <row r="97">
      <c r="A97" s="10" t="inlineStr">
        <is>
          <t>PJ-2023-H</t>
        </is>
      </c>
      <c r="B97" s="10" t="inlineStr">
        <is>
          <t>クロノスギア:蒼き遺産</t>
        </is>
      </c>
      <c r="C97" s="10" t="inlineStr">
        <is>
          <t>大型アップデート</t>
        </is>
      </c>
      <c r="D97" s="10" t="inlineStr">
        <is>
          <t>素朴版／単調補間</t>
        </is>
      </c>
      <c r="E97" s="10" t="inlineStr">
        <is>
          <t>単調補間</t>
        </is>
      </c>
      <c r="F97" s="12" t="n">
        <v>1100</v>
      </c>
      <c r="G97" s="10" t="n">
        <v>20</v>
      </c>
      <c r="H97" s="10" t="n">
        <v>9</v>
      </c>
      <c r="I97" s="21" t="n">
        <v>0.25</v>
      </c>
      <c r="J97" s="21" t="n">
        <v>0.2849</v>
      </c>
      <c r="K97" s="21" t="n">
        <v>0.0713</v>
      </c>
      <c r="L97" s="10" t="n">
        <v>4</v>
      </c>
      <c r="M97" s="13" t="n">
        <v>0.0414</v>
      </c>
    </row>
    <row r="98">
      <c r="A98" s="10" t="inlineStr">
        <is>
          <t>PJ-2023-H</t>
        </is>
      </c>
      <c r="B98" s="10" t="inlineStr">
        <is>
          <t>クロノスギア:蒼き遺産</t>
        </is>
      </c>
      <c r="C98" s="10" t="inlineStr">
        <is>
          <t>大型アップデート</t>
        </is>
      </c>
      <c r="D98" s="10" t="inlineStr">
        <is>
          <t>位置合わせ(MS学習値)／単調補間</t>
        </is>
      </c>
      <c r="E98" s="10" t="inlineStr">
        <is>
          <t>単調補間</t>
        </is>
      </c>
      <c r="F98" s="12" t="n">
        <v>1100</v>
      </c>
      <c r="G98" s="10" t="n">
        <v>20</v>
      </c>
      <c r="H98" s="10" t="n">
        <v>9</v>
      </c>
      <c r="I98" s="21" t="n">
        <v>0.3034</v>
      </c>
      <c r="J98" s="21" t="n">
        <v>0.3284</v>
      </c>
      <c r="K98" s="21" t="n">
        <v>0.0848</v>
      </c>
      <c r="L98" s="10" t="n">
        <v>4</v>
      </c>
      <c r="M98" s="13" t="n">
        <v>-0.0117</v>
      </c>
    </row>
    <row r="99">
      <c r="A99" s="10" t="inlineStr">
        <is>
          <t>PJ-2023-H</t>
        </is>
      </c>
      <c r="B99" s="10" t="inlineStr">
        <is>
          <t>クロノスギア:蒼き遺産</t>
        </is>
      </c>
      <c r="C99" s="10" t="inlineStr">
        <is>
          <t>大型アップデート</t>
        </is>
      </c>
      <c r="D99" s="10" t="inlineStr">
        <is>
          <t>位置合わせ(MS指定)／単調補間</t>
        </is>
      </c>
      <c r="E99" s="10" t="inlineStr">
        <is>
          <t>単調補間</t>
        </is>
      </c>
      <c r="F99" s="12" t="n">
        <v>1100</v>
      </c>
      <c r="G99" s="10" t="n">
        <v>20</v>
      </c>
      <c r="H99" s="10" t="n">
        <v>9</v>
      </c>
      <c r="I99" s="21" t="n">
        <v>0.1014</v>
      </c>
      <c r="J99" s="21" t="n">
        <v>0.2048</v>
      </c>
      <c r="K99" s="21" t="n">
        <v>0.0334</v>
      </c>
      <c r="L99" s="10" t="n">
        <v>-1</v>
      </c>
      <c r="M99" s="13" t="n">
        <v>-0.0256</v>
      </c>
    </row>
    <row r="100">
      <c r="A100" s="10" t="inlineStr">
        <is>
          <t>PJ-2023-I</t>
        </is>
      </c>
      <c r="B100" s="10" t="inlineStr">
        <is>
          <t>ブレイブフロンティア Remaster</t>
        </is>
      </c>
      <c r="C100" s="10" t="inlineStr">
        <is>
          <t>移植・リマスター</t>
        </is>
      </c>
      <c r="D100" s="10" t="inlineStr">
        <is>
          <t>素朴版／月内均等</t>
        </is>
      </c>
      <c r="E100" s="10" t="inlineStr">
        <is>
          <t>月内均等</t>
        </is>
      </c>
      <c r="F100" s="12" t="n">
        <v>700</v>
      </c>
      <c r="G100" s="10" t="n">
        <v>18</v>
      </c>
      <c r="H100" s="10" t="n">
        <v>9</v>
      </c>
      <c r="I100" s="21" t="n">
        <v>0.3793</v>
      </c>
      <c r="J100" s="21" t="n">
        <v>0.5123</v>
      </c>
      <c r="K100" s="21" t="n">
        <v>0.1231</v>
      </c>
      <c r="L100" s="10" t="n">
        <v>0</v>
      </c>
      <c r="M100" s="13" t="n">
        <v>-0.4217</v>
      </c>
    </row>
    <row r="101">
      <c r="A101" s="10" t="inlineStr">
        <is>
          <t>PJ-2023-I</t>
        </is>
      </c>
      <c r="B101" s="10" t="inlineStr">
        <is>
          <t>ブレイブフロンティア Remaster</t>
        </is>
      </c>
      <c r="C101" s="10" t="inlineStr">
        <is>
          <t>移植・リマスター</t>
        </is>
      </c>
      <c r="D101" s="10" t="inlineStr">
        <is>
          <t>位置合わせ(MS学習値)／月内均等</t>
        </is>
      </c>
      <c r="E101" s="10" t="inlineStr">
        <is>
          <t>月内均等</t>
        </is>
      </c>
      <c r="F101" s="12" t="n">
        <v>700</v>
      </c>
      <c r="G101" s="10" t="n">
        <v>18</v>
      </c>
      <c r="H101" s="10" t="n">
        <v>9</v>
      </c>
      <c r="I101" s="21" t="n">
        <v>0.3448</v>
      </c>
      <c r="J101" s="21" t="n">
        <v>0.4983</v>
      </c>
      <c r="K101" s="21" t="n">
        <v>0.1193</v>
      </c>
      <c r="L101" s="10" t="n">
        <v>1</v>
      </c>
      <c r="M101" s="13" t="n">
        <v>-0.4065</v>
      </c>
    </row>
    <row r="102">
      <c r="A102" s="10" t="inlineStr">
        <is>
          <t>PJ-2023-I</t>
        </is>
      </c>
      <c r="B102" s="10" t="inlineStr">
        <is>
          <t>ブレイブフロンティア Remaster</t>
        </is>
      </c>
      <c r="C102" s="10" t="inlineStr">
        <is>
          <t>移植・リマスター</t>
        </is>
      </c>
      <c r="D102" s="10" t="inlineStr">
        <is>
          <t>位置合わせ(MS指定)／月内均等</t>
        </is>
      </c>
      <c r="E102" s="10" t="inlineStr">
        <is>
          <t>月内均等</t>
        </is>
      </c>
      <c r="F102" s="12" t="n">
        <v>700</v>
      </c>
      <c r="G102" s="10" t="n">
        <v>18</v>
      </c>
      <c r="H102" s="10" t="n">
        <v>9</v>
      </c>
      <c r="I102" s="21" t="n">
        <v>0.2717</v>
      </c>
      <c r="J102" s="21" t="n">
        <v>0.4293</v>
      </c>
      <c r="K102" s="21" t="n">
        <v>0.0809</v>
      </c>
      <c r="L102" s="10" t="n">
        <v>-3</v>
      </c>
      <c r="M102" s="13" t="n">
        <v>-0.353</v>
      </c>
    </row>
    <row r="103">
      <c r="A103" s="10" t="inlineStr">
        <is>
          <t>PJ-2023-I</t>
        </is>
      </c>
      <c r="B103" s="10" t="inlineStr">
        <is>
          <t>ブレイブフロンティア Remaster</t>
        </is>
      </c>
      <c r="C103" s="10" t="inlineStr">
        <is>
          <t>移植・リマスター</t>
        </is>
      </c>
      <c r="D103" s="10" t="inlineStr">
        <is>
          <t>素朴版／単調補間</t>
        </is>
      </c>
      <c r="E103" s="10" t="inlineStr">
        <is>
          <t>単調補間</t>
        </is>
      </c>
      <c r="F103" s="12" t="n">
        <v>700</v>
      </c>
      <c r="G103" s="10" t="n">
        <v>18</v>
      </c>
      <c r="H103" s="10" t="n">
        <v>9</v>
      </c>
      <c r="I103" s="21" t="n">
        <v>0.3792</v>
      </c>
      <c r="J103" s="21" t="n">
        <v>0.5128</v>
      </c>
      <c r="K103" s="21" t="n">
        <v>0.1233</v>
      </c>
      <c r="L103" s="10" t="n">
        <v>0</v>
      </c>
      <c r="M103" s="13" t="n">
        <v>-0.4153</v>
      </c>
    </row>
    <row r="104">
      <c r="A104" s="10" t="inlineStr">
        <is>
          <t>PJ-2023-I</t>
        </is>
      </c>
      <c r="B104" s="10" t="inlineStr">
        <is>
          <t>ブレイブフロンティア Remaster</t>
        </is>
      </c>
      <c r="C104" s="10" t="inlineStr">
        <is>
          <t>移植・リマスター</t>
        </is>
      </c>
      <c r="D104" s="10" t="inlineStr">
        <is>
          <t>位置合わせ(MS学習値)／単調補間</t>
        </is>
      </c>
      <c r="E104" s="10" t="inlineStr">
        <is>
          <t>単調補間</t>
        </is>
      </c>
      <c r="F104" s="12" t="n">
        <v>700</v>
      </c>
      <c r="G104" s="10" t="n">
        <v>18</v>
      </c>
      <c r="H104" s="10" t="n">
        <v>9</v>
      </c>
      <c r="I104" s="21" t="n">
        <v>0.3433</v>
      </c>
      <c r="J104" s="21" t="n">
        <v>0.4975</v>
      </c>
      <c r="K104" s="21" t="n">
        <v>0.1189</v>
      </c>
      <c r="L104" s="10" t="n">
        <v>1</v>
      </c>
      <c r="M104" s="13" t="n">
        <v>-0.4066</v>
      </c>
    </row>
    <row r="105">
      <c r="A105" s="10" t="inlineStr">
        <is>
          <t>PJ-2023-I</t>
        </is>
      </c>
      <c r="B105" s="10" t="inlineStr">
        <is>
          <t>ブレイブフロンティア Remaster</t>
        </is>
      </c>
      <c r="C105" s="10" t="inlineStr">
        <is>
          <t>移植・リマスター</t>
        </is>
      </c>
      <c r="D105" s="10" t="inlineStr">
        <is>
          <t>位置合わせ(MS指定)／単調補間</t>
        </is>
      </c>
      <c r="E105" s="10" t="inlineStr">
        <is>
          <t>単調補間</t>
        </is>
      </c>
      <c r="F105" s="12" t="n">
        <v>700</v>
      </c>
      <c r="G105" s="10" t="n">
        <v>18</v>
      </c>
      <c r="H105" s="10" t="n">
        <v>9</v>
      </c>
      <c r="I105" s="21" t="n">
        <v>0.2712</v>
      </c>
      <c r="J105" s="21" t="n">
        <v>0.4277</v>
      </c>
      <c r="K105" s="21" t="n">
        <v>0.0808</v>
      </c>
      <c r="L105" s="10" t="n">
        <v>-3</v>
      </c>
      <c r="M105" s="13" t="n">
        <v>-0.3573</v>
      </c>
    </row>
    <row r="106">
      <c r="A106" s="10" t="inlineStr">
        <is>
          <t>PJ-2024-J</t>
        </is>
      </c>
      <c r="B106" s="10" t="inlineStr">
        <is>
          <t>オーヴァーロード・サーガ(後半集中)</t>
        </is>
      </c>
      <c r="C106" s="10" t="inlineStr">
        <is>
          <t>新規タイトル開発</t>
        </is>
      </c>
      <c r="D106" s="10" t="inlineStr">
        <is>
          <t>素朴版／月内均等</t>
        </is>
      </c>
      <c r="E106" s="10" t="inlineStr">
        <is>
          <t>月内均等</t>
        </is>
      </c>
      <c r="F106" s="12" t="n">
        <v>2200</v>
      </c>
      <c r="G106" s="10" t="n">
        <v>30</v>
      </c>
      <c r="H106" s="10" t="n">
        <v>9</v>
      </c>
      <c r="I106" s="21" t="n">
        <v>0.3979</v>
      </c>
      <c r="J106" s="21" t="n">
        <v>0.4974</v>
      </c>
      <c r="K106" s="21" t="n">
        <v>0.1903</v>
      </c>
      <c r="L106" s="10" t="n">
        <v>1</v>
      </c>
      <c r="M106" s="13" t="n">
        <v>-0.4662</v>
      </c>
    </row>
    <row r="107">
      <c r="A107" s="10" t="inlineStr">
        <is>
          <t>PJ-2024-J</t>
        </is>
      </c>
      <c r="B107" s="10" t="inlineStr">
        <is>
          <t>オーヴァーロード・サーガ(後半集中)</t>
        </is>
      </c>
      <c r="C107" s="10" t="inlineStr">
        <is>
          <t>新規タイトル開発</t>
        </is>
      </c>
      <c r="D107" s="10" t="inlineStr">
        <is>
          <t>位置合わせ(MS学習値)／月内均等</t>
        </is>
      </c>
      <c r="E107" s="10" t="inlineStr">
        <is>
          <t>月内均等</t>
        </is>
      </c>
      <c r="F107" s="12" t="n">
        <v>2200</v>
      </c>
      <c r="G107" s="10" t="n">
        <v>30</v>
      </c>
      <c r="H107" s="10" t="n">
        <v>9</v>
      </c>
      <c r="I107" s="21" t="n">
        <v>0.3971</v>
      </c>
      <c r="J107" s="21" t="n">
        <v>0.4892</v>
      </c>
      <c r="K107" s="21" t="n">
        <v>0.1888</v>
      </c>
      <c r="L107" s="10" t="n">
        <v>-3</v>
      </c>
      <c r="M107" s="13" t="n">
        <v>-0.4444</v>
      </c>
    </row>
    <row r="108">
      <c r="A108" s="10" t="inlineStr">
        <is>
          <t>PJ-2024-J</t>
        </is>
      </c>
      <c r="B108" s="10" t="inlineStr">
        <is>
          <t>オーヴァーロード・サーガ(後半集中)</t>
        </is>
      </c>
      <c r="C108" s="10" t="inlineStr">
        <is>
          <t>新規タイトル開発</t>
        </is>
      </c>
      <c r="D108" s="10" t="inlineStr">
        <is>
          <t>位置合わせ(MS指定)／月内均等</t>
        </is>
      </c>
      <c r="E108" s="10" t="inlineStr">
        <is>
          <t>月内均等</t>
        </is>
      </c>
      <c r="F108" s="12" t="n">
        <v>2200</v>
      </c>
      <c r="G108" s="10" t="n">
        <v>30</v>
      </c>
      <c r="H108" s="10" t="n">
        <v>9</v>
      </c>
      <c r="I108" s="21" t="n">
        <v>0.3318</v>
      </c>
      <c r="J108" s="21" t="n">
        <v>0.4533</v>
      </c>
      <c r="K108" s="21" t="n">
        <v>0.1626</v>
      </c>
      <c r="L108" s="10" t="n">
        <v>2</v>
      </c>
      <c r="M108" s="13" t="n">
        <v>-0.1988</v>
      </c>
    </row>
    <row r="109">
      <c r="A109" s="10" t="inlineStr">
        <is>
          <t>PJ-2024-J</t>
        </is>
      </c>
      <c r="B109" s="10" t="inlineStr">
        <is>
          <t>オーヴァーロード・サーガ(後半集中)</t>
        </is>
      </c>
      <c r="C109" s="10" t="inlineStr">
        <is>
          <t>新規タイトル開発</t>
        </is>
      </c>
      <c r="D109" s="10" t="inlineStr">
        <is>
          <t>素朴版／単調補間</t>
        </is>
      </c>
      <c r="E109" s="10" t="inlineStr">
        <is>
          <t>単調補間</t>
        </is>
      </c>
      <c r="F109" s="12" t="n">
        <v>2200</v>
      </c>
      <c r="G109" s="10" t="n">
        <v>30</v>
      </c>
      <c r="H109" s="10" t="n">
        <v>9</v>
      </c>
      <c r="I109" s="21" t="n">
        <v>0.3945</v>
      </c>
      <c r="J109" s="21" t="n">
        <v>0.4961</v>
      </c>
      <c r="K109" s="21" t="n">
        <v>0.1903</v>
      </c>
      <c r="L109" s="10" t="n">
        <v>1</v>
      </c>
      <c r="M109" s="13" t="n">
        <v>-0.4534</v>
      </c>
    </row>
    <row r="110">
      <c r="A110" s="10" t="inlineStr">
        <is>
          <t>PJ-2024-J</t>
        </is>
      </c>
      <c r="B110" s="10" t="inlineStr">
        <is>
          <t>オーヴァーロード・サーガ(後半集中)</t>
        </is>
      </c>
      <c r="C110" s="10" t="inlineStr">
        <is>
          <t>新規タイトル開発</t>
        </is>
      </c>
      <c r="D110" s="10" t="inlineStr">
        <is>
          <t>位置合わせ(MS学習値)／単調補間</t>
        </is>
      </c>
      <c r="E110" s="10" t="inlineStr">
        <is>
          <t>単調補間</t>
        </is>
      </c>
      <c r="F110" s="12" t="n">
        <v>2200</v>
      </c>
      <c r="G110" s="10" t="n">
        <v>30</v>
      </c>
      <c r="H110" s="10" t="n">
        <v>9</v>
      </c>
      <c r="I110" s="21" t="n">
        <v>0.3935</v>
      </c>
      <c r="J110" s="21" t="n">
        <v>0.488</v>
      </c>
      <c r="K110" s="21" t="n">
        <v>0.1876</v>
      </c>
      <c r="L110" s="10" t="n">
        <v>-3</v>
      </c>
      <c r="M110" s="13" t="n">
        <v>-0.4574</v>
      </c>
    </row>
    <row r="111">
      <c r="A111" s="10" t="inlineStr">
        <is>
          <t>PJ-2024-J</t>
        </is>
      </c>
      <c r="B111" s="10" t="inlineStr">
        <is>
          <t>オーヴァーロード・サーガ(後半集中)</t>
        </is>
      </c>
      <c r="C111" s="10" t="inlineStr">
        <is>
          <t>新規タイトル開発</t>
        </is>
      </c>
      <c r="D111" s="10" t="inlineStr">
        <is>
          <t>位置合わせ(MS指定)／単調補間</t>
        </is>
      </c>
      <c r="E111" s="10" t="inlineStr">
        <is>
          <t>単調補間</t>
        </is>
      </c>
      <c r="F111" s="12" t="n">
        <v>2200</v>
      </c>
      <c r="G111" s="10" t="n">
        <v>30</v>
      </c>
      <c r="H111" s="10" t="n">
        <v>9</v>
      </c>
      <c r="I111" s="21" t="n">
        <v>0.3282</v>
      </c>
      <c r="J111" s="21" t="n">
        <v>0.4519</v>
      </c>
      <c r="K111" s="21" t="n">
        <v>0.1618</v>
      </c>
      <c r="L111" s="10" t="n">
        <v>2</v>
      </c>
      <c r="M111" s="13" t="n">
        <v>-0.1979</v>
      </c>
    </row>
    <row r="113">
      <c r="A113" s="6" t="inlineStr">
        <is>
          <t>■ 月次 予測 vs 実績(全案件・全モード)</t>
        </is>
      </c>
    </row>
    <row r="114">
      <c r="A114" s="5" t="inlineStr">
        <is>
          <t>ピボットテーブルで案件・モードを切り替えて確認できる形にしてある。</t>
        </is>
      </c>
    </row>
    <row r="115">
      <c r="A115" s="8" t="inlineStr">
        <is>
          <t>案件ID</t>
        </is>
      </c>
      <c r="B115" s="8" t="inlineStr">
        <is>
          <t>モード</t>
        </is>
      </c>
      <c r="C115" s="8" t="inlineStr">
        <is>
          <t>月</t>
        </is>
      </c>
      <c r="D115" s="8" t="inlineStr">
        <is>
          <t>月次番号</t>
        </is>
      </c>
      <c r="E115" s="8" t="inlineStr">
        <is>
          <t>予測(時間)</t>
        </is>
      </c>
      <c r="F115" s="8" t="inlineStr">
        <is>
          <t>実績(時間)</t>
        </is>
      </c>
      <c r="G115" s="8" t="inlineStr">
        <is>
          <t>差分(時間)</t>
        </is>
      </c>
      <c r="H115" s="8" t="inlineStr">
        <is>
          <t>予測累積率</t>
        </is>
      </c>
      <c r="I115" s="8" t="inlineStr">
        <is>
          <t>実績累積率</t>
        </is>
      </c>
    </row>
    <row r="116">
      <c r="A116" s="10" t="inlineStr">
        <is>
          <t>PJ-2019-A</t>
        </is>
      </c>
      <c r="B116" s="10" t="inlineStr">
        <is>
          <t>素朴版／月内均等</t>
        </is>
      </c>
      <c r="C116" s="10" t="inlineStr">
        <is>
          <t>2019-04</t>
        </is>
      </c>
      <c r="D116" s="10" t="n">
        <v>1</v>
      </c>
      <c r="E116" s="12" t="n">
        <v>4096.9</v>
      </c>
      <c r="F116" s="12" t="n">
        <v>3071.8</v>
      </c>
      <c r="G116" s="12" t="n">
        <v>1025.1</v>
      </c>
      <c r="H116" s="13" t="n">
        <v>0.0108</v>
      </c>
      <c r="I116" s="13" t="n">
        <v>0.0081</v>
      </c>
    </row>
    <row r="117">
      <c r="A117" s="10" t="inlineStr">
        <is>
          <t>PJ-2019-A</t>
        </is>
      </c>
      <c r="B117" s="10" t="inlineStr">
        <is>
          <t>素朴版／月内均等</t>
        </is>
      </c>
      <c r="C117" s="10" t="inlineStr">
        <is>
          <t>2019-05</t>
        </is>
      </c>
      <c r="D117" s="10" t="n">
        <v>2</v>
      </c>
      <c r="E117" s="12" t="n">
        <v>4746.3</v>
      </c>
      <c r="F117" s="12" t="n">
        <v>5541.4</v>
      </c>
      <c r="G117" s="12" t="n">
        <v>-795.1</v>
      </c>
      <c r="H117" s="13" t="n">
        <v>0.0233</v>
      </c>
      <c r="I117" s="13" t="n">
        <v>0.0227</v>
      </c>
    </row>
    <row r="118">
      <c r="A118" s="10" t="inlineStr">
        <is>
          <t>PJ-2019-A</t>
        </is>
      </c>
      <c r="B118" s="10" t="inlineStr">
        <is>
          <t>素朴版／月内均等</t>
        </is>
      </c>
      <c r="C118" s="10" t="inlineStr">
        <is>
          <t>2019-06</t>
        </is>
      </c>
      <c r="D118" s="10" t="n">
        <v>3</v>
      </c>
      <c r="E118" s="12" t="n">
        <v>5387.8</v>
      </c>
      <c r="F118" s="12" t="n">
        <v>6929.4</v>
      </c>
      <c r="G118" s="12" t="n">
        <v>-1541.6</v>
      </c>
      <c r="H118" s="13" t="n">
        <v>0.0375</v>
      </c>
      <c r="I118" s="13" t="n">
        <v>0.0409</v>
      </c>
    </row>
    <row r="119">
      <c r="A119" s="10" t="inlineStr">
        <is>
          <t>PJ-2019-A</t>
        </is>
      </c>
      <c r="B119" s="10" t="inlineStr">
        <is>
          <t>素朴版／月内均等</t>
        </is>
      </c>
      <c r="C119" s="10" t="inlineStr">
        <is>
          <t>2019-07</t>
        </is>
      </c>
      <c r="D119" s="10" t="n">
        <v>4</v>
      </c>
      <c r="E119" s="12" t="n">
        <v>5921.5</v>
      </c>
      <c r="F119" s="12" t="n">
        <v>8197.200000000001</v>
      </c>
      <c r="G119" s="12" t="n">
        <v>-2275.7</v>
      </c>
      <c r="H119" s="13" t="n">
        <v>0.0531</v>
      </c>
      <c r="I119" s="13" t="n">
        <v>0.0625</v>
      </c>
    </row>
    <row r="120">
      <c r="A120" s="10" t="inlineStr">
        <is>
          <t>PJ-2019-A</t>
        </is>
      </c>
      <c r="B120" s="10" t="inlineStr">
        <is>
          <t>素朴版／月内均等</t>
        </is>
      </c>
      <c r="C120" s="10" t="inlineStr">
        <is>
          <t>2019-08</t>
        </is>
      </c>
      <c r="D120" s="10" t="n">
        <v>5</v>
      </c>
      <c r="E120" s="12" t="n">
        <v>6419.5</v>
      </c>
      <c r="F120" s="12" t="n">
        <v>9127.4</v>
      </c>
      <c r="G120" s="12" t="n">
        <v>-2707.9</v>
      </c>
      <c r="H120" s="13" t="n">
        <v>0.07000000000000001</v>
      </c>
      <c r="I120" s="13" t="n">
        <v>0.0866</v>
      </c>
    </row>
    <row r="121">
      <c r="A121" s="10" t="inlineStr">
        <is>
          <t>PJ-2019-A</t>
        </is>
      </c>
      <c r="B121" s="10" t="inlineStr">
        <is>
          <t>素朴版／月内均等</t>
        </is>
      </c>
      <c r="C121" s="10" t="inlineStr">
        <is>
          <t>2019-09</t>
        </is>
      </c>
      <c r="D121" s="10" t="n">
        <v>6</v>
      </c>
      <c r="E121" s="12" t="n">
        <v>6613.3</v>
      </c>
      <c r="F121" s="12" t="n">
        <v>9824.700000000001</v>
      </c>
      <c r="G121" s="12" t="n">
        <v>-3211.4</v>
      </c>
      <c r="H121" s="13" t="n">
        <v>0.08740000000000001</v>
      </c>
      <c r="I121" s="13" t="n">
        <v>0.1125</v>
      </c>
    </row>
    <row r="122">
      <c r="A122" s="10" t="inlineStr">
        <is>
          <t>PJ-2019-A</t>
        </is>
      </c>
      <c r="B122" s="10" t="inlineStr">
        <is>
          <t>素朴版／月内均等</t>
        </is>
      </c>
      <c r="C122" s="10" t="inlineStr">
        <is>
          <t>2019-10</t>
        </is>
      </c>
      <c r="D122" s="10" t="n">
        <v>7</v>
      </c>
      <c r="E122" s="12" t="n">
        <v>7269.5</v>
      </c>
      <c r="F122" s="12" t="n">
        <v>7570.4</v>
      </c>
      <c r="G122" s="12" t="n">
        <v>-300.9</v>
      </c>
      <c r="H122" s="13" t="n">
        <v>0.1066</v>
      </c>
      <c r="I122" s="13" t="n">
        <v>0.1324</v>
      </c>
    </row>
    <row r="123">
      <c r="A123" s="10" t="inlineStr">
        <is>
          <t>PJ-2019-A</t>
        </is>
      </c>
      <c r="B123" s="10" t="inlineStr">
        <is>
          <t>素朴版／月内均等</t>
        </is>
      </c>
      <c r="C123" s="10" t="inlineStr">
        <is>
          <t>2019-11</t>
        </is>
      </c>
      <c r="D123" s="10" t="n">
        <v>8</v>
      </c>
      <c r="E123" s="12" t="n">
        <v>7328.5</v>
      </c>
      <c r="F123" s="12" t="n">
        <v>7669.4</v>
      </c>
      <c r="G123" s="12" t="n">
        <v>-340.9</v>
      </c>
      <c r="H123" s="13" t="n">
        <v>0.1259</v>
      </c>
      <c r="I123" s="13" t="n">
        <v>0.1526</v>
      </c>
    </row>
    <row r="124">
      <c r="A124" s="10" t="inlineStr">
        <is>
          <t>PJ-2019-A</t>
        </is>
      </c>
      <c r="B124" s="10" t="inlineStr">
        <is>
          <t>素朴版／月内均等</t>
        </is>
      </c>
      <c r="C124" s="10" t="inlineStr">
        <is>
          <t>2019-12</t>
        </is>
      </c>
      <c r="D124" s="10" t="n">
        <v>9</v>
      </c>
      <c r="E124" s="12" t="n">
        <v>8366.4</v>
      </c>
      <c r="F124" s="12" t="n">
        <v>7989.5</v>
      </c>
      <c r="G124" s="12" t="n">
        <v>376.9</v>
      </c>
      <c r="H124" s="13" t="n">
        <v>0.1479</v>
      </c>
      <c r="I124" s="13" t="n">
        <v>0.1737</v>
      </c>
    </row>
    <row r="125">
      <c r="A125" s="10" t="inlineStr">
        <is>
          <t>PJ-2019-A</t>
        </is>
      </c>
      <c r="B125" s="10" t="inlineStr">
        <is>
          <t>素朴版／月内均等</t>
        </is>
      </c>
      <c r="C125" s="10" t="inlineStr">
        <is>
          <t>2020-01</t>
        </is>
      </c>
      <c r="D125" s="10" t="n">
        <v>10</v>
      </c>
      <c r="E125" s="12" t="n">
        <v>9171.200000000001</v>
      </c>
      <c r="F125" s="12" t="n">
        <v>8507.5</v>
      </c>
      <c r="G125" s="12" t="n">
        <v>663.7</v>
      </c>
      <c r="H125" s="13" t="n">
        <v>0.1721</v>
      </c>
      <c r="I125" s="13" t="n">
        <v>0.1961</v>
      </c>
    </row>
    <row r="126">
      <c r="A126" s="10" t="inlineStr">
        <is>
          <t>PJ-2019-A</t>
        </is>
      </c>
      <c r="B126" s="10" t="inlineStr">
        <is>
          <t>素朴版／月内均等</t>
        </is>
      </c>
      <c r="C126" s="10" t="inlineStr">
        <is>
          <t>2020-02</t>
        </is>
      </c>
      <c r="D126" s="10" t="n">
        <v>11</v>
      </c>
      <c r="E126" s="12" t="n">
        <v>10283.8</v>
      </c>
      <c r="F126" s="12" t="n">
        <v>8132.8</v>
      </c>
      <c r="G126" s="12" t="n">
        <v>2151</v>
      </c>
      <c r="H126" s="13" t="n">
        <v>0.1992</v>
      </c>
      <c r="I126" s="13" t="n">
        <v>0.2175</v>
      </c>
    </row>
    <row r="127">
      <c r="A127" s="10" t="inlineStr">
        <is>
          <t>PJ-2019-A</t>
        </is>
      </c>
      <c r="B127" s="10" t="inlineStr">
        <is>
          <t>素朴版／月内均等</t>
        </is>
      </c>
      <c r="C127" s="10" t="inlineStr">
        <is>
          <t>2020-03</t>
        </is>
      </c>
      <c r="D127" s="10" t="n">
        <v>12</v>
      </c>
      <c r="E127" s="12" t="n">
        <v>11513.3</v>
      </c>
      <c r="F127" s="12" t="n">
        <v>9311.5</v>
      </c>
      <c r="G127" s="12" t="n">
        <v>2201.8</v>
      </c>
      <c r="H127" s="13" t="n">
        <v>0.2295</v>
      </c>
      <c r="I127" s="13" t="n">
        <v>0.2421</v>
      </c>
    </row>
    <row r="128">
      <c r="A128" s="10" t="inlineStr">
        <is>
          <t>PJ-2019-A</t>
        </is>
      </c>
      <c r="B128" s="10" t="inlineStr">
        <is>
          <t>素朴版／月内均等</t>
        </is>
      </c>
      <c r="C128" s="10" t="inlineStr">
        <is>
          <t>2020-04</t>
        </is>
      </c>
      <c r="D128" s="10" t="n">
        <v>13</v>
      </c>
      <c r="E128" s="12" t="n">
        <v>12210.6</v>
      </c>
      <c r="F128" s="12" t="n">
        <v>9039.6</v>
      </c>
      <c r="G128" s="12" t="n">
        <v>3171</v>
      </c>
      <c r="H128" s="13" t="n">
        <v>0.2617</v>
      </c>
      <c r="I128" s="13" t="n">
        <v>0.2659</v>
      </c>
    </row>
    <row r="129">
      <c r="A129" s="10" t="inlineStr">
        <is>
          <t>PJ-2019-A</t>
        </is>
      </c>
      <c r="B129" s="10" t="inlineStr">
        <is>
          <t>素朴版／月内均等</t>
        </is>
      </c>
      <c r="C129" s="10" t="inlineStr">
        <is>
          <t>2020-05</t>
        </is>
      </c>
      <c r="D129" s="10" t="n">
        <v>14</v>
      </c>
      <c r="E129" s="12" t="n">
        <v>13289.6</v>
      </c>
      <c r="F129" s="12" t="n">
        <v>9635.799999999999</v>
      </c>
      <c r="G129" s="12" t="n">
        <v>3653.8</v>
      </c>
      <c r="H129" s="13" t="n">
        <v>0.2967</v>
      </c>
      <c r="I129" s="13" t="n">
        <v>0.2913</v>
      </c>
    </row>
    <row r="130">
      <c r="A130" s="10" t="inlineStr">
        <is>
          <t>PJ-2019-A</t>
        </is>
      </c>
      <c r="B130" s="10" t="inlineStr">
        <is>
          <t>素朴版／月内均等</t>
        </is>
      </c>
      <c r="C130" s="10" t="inlineStr">
        <is>
          <t>2020-06</t>
        </is>
      </c>
      <c r="D130" s="10" t="n">
        <v>15</v>
      </c>
      <c r="E130" s="12" t="n">
        <v>14033.4</v>
      </c>
      <c r="F130" s="12" t="n">
        <v>10344.9</v>
      </c>
      <c r="G130" s="12" t="n">
        <v>3688.5</v>
      </c>
      <c r="H130" s="13" t="n">
        <v>0.3337</v>
      </c>
      <c r="I130" s="13" t="n">
        <v>0.3185</v>
      </c>
    </row>
    <row r="131">
      <c r="A131" s="10" t="inlineStr">
        <is>
          <t>PJ-2019-A</t>
        </is>
      </c>
      <c r="B131" s="10" t="inlineStr">
        <is>
          <t>素朴版／月内均等</t>
        </is>
      </c>
      <c r="C131" s="10" t="inlineStr">
        <is>
          <t>2020-07</t>
        </is>
      </c>
      <c r="D131" s="10" t="n">
        <v>16</v>
      </c>
      <c r="E131" s="12" t="n">
        <v>13356.9</v>
      </c>
      <c r="F131" s="12" t="n">
        <v>11426.7</v>
      </c>
      <c r="G131" s="12" t="n">
        <v>1930.2</v>
      </c>
      <c r="H131" s="13" t="n">
        <v>0.3689</v>
      </c>
      <c r="I131" s="13" t="n">
        <v>0.3486</v>
      </c>
    </row>
    <row r="132">
      <c r="A132" s="10" t="inlineStr">
        <is>
          <t>PJ-2019-A</t>
        </is>
      </c>
      <c r="B132" s="10" t="inlineStr">
        <is>
          <t>素朴版／月内均等</t>
        </is>
      </c>
      <c r="C132" s="10" t="inlineStr">
        <is>
          <t>2020-08</t>
        </is>
      </c>
      <c r="D132" s="10" t="n">
        <v>17</v>
      </c>
      <c r="E132" s="12" t="n">
        <v>12731.5</v>
      </c>
      <c r="F132" s="12" t="n">
        <v>12271.1</v>
      </c>
      <c r="G132" s="12" t="n">
        <v>460.4</v>
      </c>
      <c r="H132" s="13" t="n">
        <v>0.4024</v>
      </c>
      <c r="I132" s="13" t="n">
        <v>0.3809</v>
      </c>
    </row>
    <row r="133">
      <c r="A133" s="10" t="inlineStr">
        <is>
          <t>PJ-2019-A</t>
        </is>
      </c>
      <c r="B133" s="10" t="inlineStr">
        <is>
          <t>素朴版／月内均等</t>
        </is>
      </c>
      <c r="C133" s="10" t="inlineStr">
        <is>
          <t>2020-09</t>
        </is>
      </c>
      <c r="D133" s="10" t="n">
        <v>18</v>
      </c>
      <c r="E133" s="12" t="n">
        <v>12074</v>
      </c>
      <c r="F133" s="12" t="n">
        <v>12547.9</v>
      </c>
      <c r="G133" s="12" t="n">
        <v>-473.9</v>
      </c>
      <c r="H133" s="13" t="n">
        <v>0.4342</v>
      </c>
      <c r="I133" s="13" t="n">
        <v>0.414</v>
      </c>
    </row>
    <row r="134">
      <c r="A134" s="10" t="inlineStr">
        <is>
          <t>PJ-2019-A</t>
        </is>
      </c>
      <c r="B134" s="10" t="inlineStr">
        <is>
          <t>素朴版／月内均等</t>
        </is>
      </c>
      <c r="C134" s="10" t="inlineStr">
        <is>
          <t>2020-10</t>
        </is>
      </c>
      <c r="D134" s="10" t="n">
        <v>19</v>
      </c>
      <c r="E134" s="12" t="n">
        <v>14456.3</v>
      </c>
      <c r="F134" s="12" t="n">
        <v>14214.2</v>
      </c>
      <c r="G134" s="12" t="n">
        <v>242.1</v>
      </c>
      <c r="H134" s="13" t="n">
        <v>0.4723</v>
      </c>
      <c r="I134" s="13" t="n">
        <v>0.4515</v>
      </c>
    </row>
    <row r="135">
      <c r="A135" s="10" t="inlineStr">
        <is>
          <t>PJ-2019-A</t>
        </is>
      </c>
      <c r="B135" s="10" t="inlineStr">
        <is>
          <t>素朴版／月内均等</t>
        </is>
      </c>
      <c r="C135" s="10" t="inlineStr">
        <is>
          <t>2020-11</t>
        </is>
      </c>
      <c r="D135" s="10" t="n">
        <v>20</v>
      </c>
      <c r="E135" s="12" t="n">
        <v>14079.4</v>
      </c>
      <c r="F135" s="12" t="n">
        <v>16661.4</v>
      </c>
      <c r="G135" s="12" t="n">
        <v>-2582</v>
      </c>
      <c r="H135" s="13" t="n">
        <v>0.5094</v>
      </c>
      <c r="I135" s="13" t="n">
        <v>0.4953</v>
      </c>
    </row>
    <row r="136">
      <c r="A136" s="10" t="inlineStr">
        <is>
          <t>PJ-2019-A</t>
        </is>
      </c>
      <c r="B136" s="10" t="inlineStr">
        <is>
          <t>素朴版／月内均等</t>
        </is>
      </c>
      <c r="C136" s="10" t="inlineStr">
        <is>
          <t>2020-12</t>
        </is>
      </c>
      <c r="D136" s="10" t="n">
        <v>21</v>
      </c>
      <c r="E136" s="12" t="n">
        <v>15109.9</v>
      </c>
      <c r="F136" s="12" t="n">
        <v>15314.9</v>
      </c>
      <c r="G136" s="12" t="n">
        <v>-205</v>
      </c>
      <c r="H136" s="13" t="n">
        <v>0.5492</v>
      </c>
      <c r="I136" s="13" t="n">
        <v>0.5357</v>
      </c>
    </row>
    <row r="137">
      <c r="A137" s="10" t="inlineStr">
        <is>
          <t>PJ-2019-A</t>
        </is>
      </c>
      <c r="B137" s="10" t="inlineStr">
        <is>
          <t>素朴版／月内均等</t>
        </is>
      </c>
      <c r="C137" s="10" t="inlineStr">
        <is>
          <t>2021-01</t>
        </is>
      </c>
      <c r="D137" s="10" t="n">
        <v>22</v>
      </c>
      <c r="E137" s="12" t="n">
        <v>16302.6</v>
      </c>
      <c r="F137" s="12" t="n">
        <v>13490.4</v>
      </c>
      <c r="G137" s="12" t="n">
        <v>2812.2</v>
      </c>
      <c r="H137" s="13" t="n">
        <v>0.5921999999999999</v>
      </c>
      <c r="I137" s="13" t="n">
        <v>0.5712</v>
      </c>
    </row>
    <row r="138">
      <c r="A138" s="10" t="inlineStr">
        <is>
          <t>PJ-2019-A</t>
        </is>
      </c>
      <c r="B138" s="10" t="inlineStr">
        <is>
          <t>素朴版／月内均等</t>
        </is>
      </c>
      <c r="C138" s="10" t="inlineStr">
        <is>
          <t>2021-02</t>
        </is>
      </c>
      <c r="D138" s="10" t="n">
        <v>23</v>
      </c>
      <c r="E138" s="12" t="n">
        <v>15043.7</v>
      </c>
      <c r="F138" s="12" t="n">
        <v>11965.7</v>
      </c>
      <c r="G138" s="12" t="n">
        <v>3078</v>
      </c>
      <c r="H138" s="13" t="n">
        <v>0.6318</v>
      </c>
      <c r="I138" s="13" t="n">
        <v>0.6028</v>
      </c>
    </row>
    <row r="139">
      <c r="A139" s="10" t="inlineStr">
        <is>
          <t>PJ-2019-A</t>
        </is>
      </c>
      <c r="B139" s="10" t="inlineStr">
        <is>
          <t>素朴版／月内均等</t>
        </is>
      </c>
      <c r="C139" s="10" t="inlineStr">
        <is>
          <t>2021-03</t>
        </is>
      </c>
      <c r="D139" s="10" t="n">
        <v>24</v>
      </c>
      <c r="E139" s="12" t="n">
        <v>16398</v>
      </c>
      <c r="F139" s="12" t="n">
        <v>12853.7</v>
      </c>
      <c r="G139" s="12" t="n">
        <v>3544.3</v>
      </c>
      <c r="H139" s="13" t="n">
        <v>0.675</v>
      </c>
      <c r="I139" s="13" t="n">
        <v>0.6366000000000001</v>
      </c>
    </row>
    <row r="140">
      <c r="A140" s="10" t="inlineStr">
        <is>
          <t>PJ-2019-A</t>
        </is>
      </c>
      <c r="B140" s="10" t="inlineStr">
        <is>
          <t>素朴版／月内均等</t>
        </is>
      </c>
      <c r="C140" s="10" t="inlineStr">
        <is>
          <t>2021-04</t>
        </is>
      </c>
      <c r="D140" s="10" t="n">
        <v>25</v>
      </c>
      <c r="E140" s="12" t="n">
        <v>14442.5</v>
      </c>
      <c r="F140" s="12" t="n">
        <v>12825.4</v>
      </c>
      <c r="G140" s="12" t="n">
        <v>1617.1</v>
      </c>
      <c r="H140" s="13" t="n">
        <v>0.7131</v>
      </c>
      <c r="I140" s="13" t="n">
        <v>0.6704</v>
      </c>
    </row>
    <row r="141">
      <c r="A141" s="10" t="inlineStr">
        <is>
          <t>PJ-2019-A</t>
        </is>
      </c>
      <c r="B141" s="10" t="inlineStr">
        <is>
          <t>素朴版／月内均等</t>
        </is>
      </c>
      <c r="C141" s="10" t="inlineStr">
        <is>
          <t>2021-05</t>
        </is>
      </c>
      <c r="D141" s="10" t="n">
        <v>26</v>
      </c>
      <c r="E141" s="12" t="n">
        <v>14273.6</v>
      </c>
      <c r="F141" s="12" t="n">
        <v>13976.5</v>
      </c>
      <c r="G141" s="12" t="n">
        <v>297.1</v>
      </c>
      <c r="H141" s="13" t="n">
        <v>0.7507</v>
      </c>
      <c r="I141" s="13" t="n">
        <v>0.7072000000000001</v>
      </c>
    </row>
    <row r="142">
      <c r="A142" s="10" t="inlineStr">
        <is>
          <t>PJ-2019-A</t>
        </is>
      </c>
      <c r="B142" s="10" t="inlineStr">
        <is>
          <t>素朴版／月内均等</t>
        </is>
      </c>
      <c r="C142" s="10" t="inlineStr">
        <is>
          <t>2021-06</t>
        </is>
      </c>
      <c r="D142" s="10" t="n">
        <v>27</v>
      </c>
      <c r="E142" s="12" t="n">
        <v>13092.1</v>
      </c>
      <c r="F142" s="12" t="n">
        <v>14724.1</v>
      </c>
      <c r="G142" s="12" t="n">
        <v>-1632</v>
      </c>
      <c r="H142" s="13" t="n">
        <v>0.7851</v>
      </c>
      <c r="I142" s="13" t="n">
        <v>0.746</v>
      </c>
    </row>
    <row r="143">
      <c r="A143" s="10" t="inlineStr">
        <is>
          <t>PJ-2019-A</t>
        </is>
      </c>
      <c r="B143" s="10" t="inlineStr">
        <is>
          <t>素朴版／月内均等</t>
        </is>
      </c>
      <c r="C143" s="10" t="inlineStr">
        <is>
          <t>2021-07</t>
        </is>
      </c>
      <c r="D143" s="10" t="n">
        <v>28</v>
      </c>
      <c r="E143" s="12" t="n">
        <v>13241.6</v>
      </c>
      <c r="F143" s="12" t="n">
        <v>17311.9</v>
      </c>
      <c r="G143" s="12" t="n">
        <v>-4070.3</v>
      </c>
      <c r="H143" s="13" t="n">
        <v>0.82</v>
      </c>
      <c r="I143" s="13" t="n">
        <v>0.7916</v>
      </c>
    </row>
    <row r="144">
      <c r="A144" s="10" t="inlineStr">
        <is>
          <t>PJ-2019-A</t>
        </is>
      </c>
      <c r="B144" s="10" t="inlineStr">
        <is>
          <t>素朴版／月内均等</t>
        </is>
      </c>
      <c r="C144" s="10" t="inlineStr">
        <is>
          <t>2021-08</t>
        </is>
      </c>
      <c r="D144" s="10" t="n">
        <v>29</v>
      </c>
      <c r="E144" s="12" t="n">
        <v>13360</v>
      </c>
      <c r="F144" s="12" t="n">
        <v>19848.8</v>
      </c>
      <c r="G144" s="12" t="n">
        <v>-6488.8</v>
      </c>
      <c r="H144" s="13" t="n">
        <v>0.8552</v>
      </c>
      <c r="I144" s="13" t="n">
        <v>0.8439</v>
      </c>
    </row>
    <row r="145">
      <c r="A145" s="10" t="inlineStr">
        <is>
          <t>PJ-2019-A</t>
        </is>
      </c>
      <c r="B145" s="10" t="inlineStr">
        <is>
          <t>素朴版／月内均等</t>
        </is>
      </c>
      <c r="C145" s="10" t="inlineStr">
        <is>
          <t>2021-09</t>
        </is>
      </c>
      <c r="D145" s="10" t="n">
        <v>30</v>
      </c>
      <c r="E145" s="12" t="n">
        <v>11973.9</v>
      </c>
      <c r="F145" s="12" t="n">
        <v>17282.1</v>
      </c>
      <c r="G145" s="12" t="n">
        <v>-5308.2</v>
      </c>
      <c r="H145" s="13" t="n">
        <v>0.8868</v>
      </c>
      <c r="I145" s="13" t="n">
        <v>0.8895</v>
      </c>
    </row>
    <row r="146">
      <c r="A146" s="10" t="inlineStr">
        <is>
          <t>PJ-2019-A</t>
        </is>
      </c>
      <c r="B146" s="10" t="inlineStr">
        <is>
          <t>素朴版／月内均等</t>
        </is>
      </c>
      <c r="C146" s="10" t="inlineStr">
        <is>
          <t>2021-10</t>
        </is>
      </c>
      <c r="D146" s="10" t="n">
        <v>31</v>
      </c>
      <c r="E146" s="12" t="n">
        <v>10871.4</v>
      </c>
      <c r="F146" s="12" t="n">
        <v>13450.6</v>
      </c>
      <c r="G146" s="12" t="n">
        <v>-2579.2</v>
      </c>
      <c r="H146" s="13" t="n">
        <v>0.9154</v>
      </c>
      <c r="I146" s="13" t="n">
        <v>0.9249000000000001</v>
      </c>
    </row>
    <row r="147">
      <c r="A147" s="10" t="inlineStr">
        <is>
          <t>PJ-2019-A</t>
        </is>
      </c>
      <c r="B147" s="10" t="inlineStr">
        <is>
          <t>素朴版／月内均等</t>
        </is>
      </c>
      <c r="C147" s="10" t="inlineStr">
        <is>
          <t>2021-11</t>
        </is>
      </c>
      <c r="D147" s="10" t="n">
        <v>32</v>
      </c>
      <c r="E147" s="12" t="n">
        <v>8972.6</v>
      </c>
      <c r="F147" s="12" t="n">
        <v>9371.200000000001</v>
      </c>
      <c r="G147" s="12" t="n">
        <v>-398.6</v>
      </c>
      <c r="H147" s="13" t="n">
        <v>0.9391</v>
      </c>
      <c r="I147" s="13" t="n">
        <v>0.9496</v>
      </c>
    </row>
    <row r="148">
      <c r="A148" s="10" t="inlineStr">
        <is>
          <t>PJ-2019-A</t>
        </is>
      </c>
      <c r="B148" s="10" t="inlineStr">
        <is>
          <t>素朴版／月内均等</t>
        </is>
      </c>
      <c r="C148" s="10" t="inlineStr">
        <is>
          <t>2021-12</t>
        </is>
      </c>
      <c r="D148" s="10" t="n">
        <v>33</v>
      </c>
      <c r="E148" s="12" t="n">
        <v>7712.5</v>
      </c>
      <c r="F148" s="12" t="n">
        <v>9266</v>
      </c>
      <c r="G148" s="12" t="n">
        <v>-1553.5</v>
      </c>
      <c r="H148" s="13" t="n">
        <v>0.9594</v>
      </c>
      <c r="I148" s="13" t="n">
        <v>0.974</v>
      </c>
    </row>
    <row r="149">
      <c r="A149" s="10" t="inlineStr">
        <is>
          <t>PJ-2019-A</t>
        </is>
      </c>
      <c r="B149" s="10" t="inlineStr">
        <is>
          <t>素朴版／月内均等</t>
        </is>
      </c>
      <c r="C149" s="10" t="inlineStr">
        <is>
          <t>2022-01</t>
        </is>
      </c>
      <c r="D149" s="10" t="n">
        <v>34</v>
      </c>
      <c r="E149" s="12" t="n">
        <v>7081.5</v>
      </c>
      <c r="F149" s="12" t="n">
        <v>5982.7</v>
      </c>
      <c r="G149" s="12" t="n">
        <v>1098.8</v>
      </c>
      <c r="H149" s="13" t="n">
        <v>0.978</v>
      </c>
      <c r="I149" s="13" t="n">
        <v>0.9898</v>
      </c>
    </row>
    <row r="150">
      <c r="A150" s="10" t="inlineStr">
        <is>
          <t>PJ-2019-A</t>
        </is>
      </c>
      <c r="B150" s="10" t="inlineStr">
        <is>
          <t>素朴版／月内均等</t>
        </is>
      </c>
      <c r="C150" s="10" t="inlineStr">
        <is>
          <t>2022-02</t>
        </is>
      </c>
      <c r="D150" s="10" t="n">
        <v>35</v>
      </c>
      <c r="E150" s="12" t="n">
        <v>4682.4</v>
      </c>
      <c r="F150" s="12" t="n">
        <v>2863</v>
      </c>
      <c r="G150" s="12" t="n">
        <v>1819.4</v>
      </c>
      <c r="H150" s="13" t="n">
        <v>0.9903999999999999</v>
      </c>
      <c r="I150" s="13" t="n">
        <v>0.9973</v>
      </c>
    </row>
    <row r="151">
      <c r="A151" s="10" t="inlineStr">
        <is>
          <t>PJ-2019-A</t>
        </is>
      </c>
      <c r="B151" s="10" t="inlineStr">
        <is>
          <t>素朴版／月内均等</t>
        </is>
      </c>
      <c r="C151" s="10" t="inlineStr">
        <is>
          <t>2022-03</t>
        </is>
      </c>
      <c r="D151" s="10" t="n">
        <v>36</v>
      </c>
      <c r="E151" s="12" t="n">
        <v>3653.2</v>
      </c>
      <c r="F151" s="12" t="n">
        <v>1019.3</v>
      </c>
      <c r="G151" s="12" t="n">
        <v>2633.9</v>
      </c>
      <c r="H151" s="13" t="n">
        <v>1</v>
      </c>
      <c r="I151" s="13" t="n">
        <v>1</v>
      </c>
    </row>
    <row r="152">
      <c r="A152" s="10" t="inlineStr">
        <is>
          <t>PJ-2019-A</t>
        </is>
      </c>
      <c r="B152" s="10" t="inlineStr">
        <is>
          <t>位置合わせ(MS学習値)／月内均等</t>
        </is>
      </c>
      <c r="C152" s="10" t="inlineStr">
        <is>
          <t>2019-04</t>
        </is>
      </c>
      <c r="D152" s="10" t="n">
        <v>1</v>
      </c>
      <c r="E152" s="12" t="n">
        <v>4091.7</v>
      </c>
      <c r="F152" s="12" t="n">
        <v>3071.8</v>
      </c>
      <c r="G152" s="12" t="n">
        <v>1019.9</v>
      </c>
      <c r="H152" s="13" t="n">
        <v>0.0108</v>
      </c>
      <c r="I152" s="13" t="n">
        <v>0.0081</v>
      </c>
    </row>
    <row r="153">
      <c r="A153" s="10" t="inlineStr">
        <is>
          <t>PJ-2019-A</t>
        </is>
      </c>
      <c r="B153" s="10" t="inlineStr">
        <is>
          <t>位置合わせ(MS学習値)／月内均等</t>
        </is>
      </c>
      <c r="C153" s="10" t="inlineStr">
        <is>
          <t>2019-05</t>
        </is>
      </c>
      <c r="D153" s="10" t="n">
        <v>2</v>
      </c>
      <c r="E153" s="12" t="n">
        <v>4634.4</v>
      </c>
      <c r="F153" s="12" t="n">
        <v>5541.4</v>
      </c>
      <c r="G153" s="12" t="n">
        <v>-907</v>
      </c>
      <c r="H153" s="13" t="n">
        <v>0.023</v>
      </c>
      <c r="I153" s="13" t="n">
        <v>0.0227</v>
      </c>
    </row>
    <row r="154">
      <c r="A154" s="10" t="inlineStr">
        <is>
          <t>PJ-2019-A</t>
        </is>
      </c>
      <c r="B154" s="10" t="inlineStr">
        <is>
          <t>位置合わせ(MS学習値)／月内均等</t>
        </is>
      </c>
      <c r="C154" s="10" t="inlineStr">
        <is>
          <t>2019-06</t>
        </is>
      </c>
      <c r="D154" s="10" t="n">
        <v>3</v>
      </c>
      <c r="E154" s="12" t="n">
        <v>5358.2</v>
      </c>
      <c r="F154" s="12" t="n">
        <v>6929.4</v>
      </c>
      <c r="G154" s="12" t="n">
        <v>-1571.2</v>
      </c>
      <c r="H154" s="13" t="n">
        <v>0.0371</v>
      </c>
      <c r="I154" s="13" t="n">
        <v>0.0409</v>
      </c>
    </row>
    <row r="155">
      <c r="A155" s="10" t="inlineStr">
        <is>
          <t>PJ-2019-A</t>
        </is>
      </c>
      <c r="B155" s="10" t="inlineStr">
        <is>
          <t>位置合わせ(MS学習値)／月内均等</t>
        </is>
      </c>
      <c r="C155" s="10" t="inlineStr">
        <is>
          <t>2019-07</t>
        </is>
      </c>
      <c r="D155" s="10" t="n">
        <v>4</v>
      </c>
      <c r="E155" s="12" t="n">
        <v>5752.6</v>
      </c>
      <c r="F155" s="12" t="n">
        <v>8197.200000000001</v>
      </c>
      <c r="G155" s="12" t="n">
        <v>-2444.6</v>
      </c>
      <c r="H155" s="13" t="n">
        <v>0.0523</v>
      </c>
      <c r="I155" s="13" t="n">
        <v>0.0625</v>
      </c>
    </row>
    <row r="156">
      <c r="A156" s="10" t="inlineStr">
        <is>
          <t>PJ-2019-A</t>
        </is>
      </c>
      <c r="B156" s="10" t="inlineStr">
        <is>
          <t>位置合わせ(MS学習値)／月内均等</t>
        </is>
      </c>
      <c r="C156" s="10" t="inlineStr">
        <is>
          <t>2019-08</t>
        </is>
      </c>
      <c r="D156" s="10" t="n">
        <v>5</v>
      </c>
      <c r="E156" s="12" t="n">
        <v>6402.7</v>
      </c>
      <c r="F156" s="12" t="n">
        <v>9127.4</v>
      </c>
      <c r="G156" s="12" t="n">
        <v>-2724.7</v>
      </c>
      <c r="H156" s="13" t="n">
        <v>0.06909999999999999</v>
      </c>
      <c r="I156" s="13" t="n">
        <v>0.0866</v>
      </c>
    </row>
    <row r="157">
      <c r="A157" s="10" t="inlineStr">
        <is>
          <t>PJ-2019-A</t>
        </is>
      </c>
      <c r="B157" s="10" t="inlineStr">
        <is>
          <t>位置合わせ(MS学習値)／月内均等</t>
        </is>
      </c>
      <c r="C157" s="10" t="inlineStr">
        <is>
          <t>2019-09</t>
        </is>
      </c>
      <c r="D157" s="10" t="n">
        <v>6</v>
      </c>
      <c r="E157" s="12" t="n">
        <v>6378.7</v>
      </c>
      <c r="F157" s="12" t="n">
        <v>9824.700000000001</v>
      </c>
      <c r="G157" s="12" t="n">
        <v>-3446</v>
      </c>
      <c r="H157" s="13" t="n">
        <v>0.0859</v>
      </c>
      <c r="I157" s="13" t="n">
        <v>0.1125</v>
      </c>
    </row>
    <row r="158">
      <c r="A158" s="10" t="inlineStr">
        <is>
          <t>PJ-2019-A</t>
        </is>
      </c>
      <c r="B158" s="10" t="inlineStr">
        <is>
          <t>位置合わせ(MS学習値)／月内均等</t>
        </is>
      </c>
      <c r="C158" s="10" t="inlineStr">
        <is>
          <t>2019-10</t>
        </is>
      </c>
      <c r="D158" s="10" t="n">
        <v>7</v>
      </c>
      <c r="E158" s="12" t="n">
        <v>7202.6</v>
      </c>
      <c r="F158" s="12" t="n">
        <v>7570.4</v>
      </c>
      <c r="G158" s="12" t="n">
        <v>-367.8</v>
      </c>
      <c r="H158" s="13" t="n">
        <v>0.1049</v>
      </c>
      <c r="I158" s="13" t="n">
        <v>0.1324</v>
      </c>
    </row>
    <row r="159">
      <c r="A159" s="10" t="inlineStr">
        <is>
          <t>PJ-2019-A</t>
        </is>
      </c>
      <c r="B159" s="10" t="inlineStr">
        <is>
          <t>位置合わせ(MS学習値)／月内均等</t>
        </is>
      </c>
      <c r="C159" s="10" t="inlineStr">
        <is>
          <t>2019-11</t>
        </is>
      </c>
      <c r="D159" s="10" t="n">
        <v>8</v>
      </c>
      <c r="E159" s="12" t="n">
        <v>7170.7</v>
      </c>
      <c r="F159" s="12" t="n">
        <v>7669.4</v>
      </c>
      <c r="G159" s="12" t="n">
        <v>-498.7</v>
      </c>
      <c r="H159" s="13" t="n">
        <v>0.1238</v>
      </c>
      <c r="I159" s="13" t="n">
        <v>0.1526</v>
      </c>
    </row>
    <row r="160">
      <c r="A160" s="10" t="inlineStr">
        <is>
          <t>PJ-2019-A</t>
        </is>
      </c>
      <c r="B160" s="10" t="inlineStr">
        <is>
          <t>位置合わせ(MS学習値)／月内均等</t>
        </is>
      </c>
      <c r="C160" s="10" t="inlineStr">
        <is>
          <t>2019-12</t>
        </is>
      </c>
      <c r="D160" s="10" t="n">
        <v>9</v>
      </c>
      <c r="E160" s="12" t="n">
        <v>8254.6</v>
      </c>
      <c r="F160" s="12" t="n">
        <v>7989.5</v>
      </c>
      <c r="G160" s="12" t="n">
        <v>265.1</v>
      </c>
      <c r="H160" s="13" t="n">
        <v>0.1456</v>
      </c>
      <c r="I160" s="13" t="n">
        <v>0.1737</v>
      </c>
    </row>
    <row r="161">
      <c r="A161" s="10" t="inlineStr">
        <is>
          <t>PJ-2019-A</t>
        </is>
      </c>
      <c r="B161" s="10" t="inlineStr">
        <is>
          <t>位置合わせ(MS学習値)／月内均等</t>
        </is>
      </c>
      <c r="C161" s="10" t="inlineStr">
        <is>
          <t>2020-01</t>
        </is>
      </c>
      <c r="D161" s="10" t="n">
        <v>10</v>
      </c>
      <c r="E161" s="12" t="n">
        <v>8722.200000000001</v>
      </c>
      <c r="F161" s="12" t="n">
        <v>8507.5</v>
      </c>
      <c r="G161" s="12" t="n">
        <v>214.7</v>
      </c>
      <c r="H161" s="13" t="n">
        <v>0.1685</v>
      </c>
      <c r="I161" s="13" t="n">
        <v>0.1961</v>
      </c>
    </row>
    <row r="162">
      <c r="A162" s="10" t="inlineStr">
        <is>
          <t>PJ-2019-A</t>
        </is>
      </c>
      <c r="B162" s="10" t="inlineStr">
        <is>
          <t>位置合わせ(MS学習値)／月内均等</t>
        </is>
      </c>
      <c r="C162" s="10" t="inlineStr">
        <is>
          <t>2020-02</t>
        </is>
      </c>
      <c r="D162" s="10" t="n">
        <v>11</v>
      </c>
      <c r="E162" s="12" t="n">
        <v>9006.6</v>
      </c>
      <c r="F162" s="12" t="n">
        <v>8132.8</v>
      </c>
      <c r="G162" s="12" t="n">
        <v>873.8</v>
      </c>
      <c r="H162" s="13" t="n">
        <v>0.1923</v>
      </c>
      <c r="I162" s="13" t="n">
        <v>0.2175</v>
      </c>
    </row>
    <row r="163">
      <c r="A163" s="10" t="inlineStr">
        <is>
          <t>PJ-2019-A</t>
        </is>
      </c>
      <c r="B163" s="10" t="inlineStr">
        <is>
          <t>位置合わせ(MS学習値)／月内均等</t>
        </is>
      </c>
      <c r="C163" s="10" t="inlineStr">
        <is>
          <t>2020-03</t>
        </is>
      </c>
      <c r="D163" s="10" t="n">
        <v>12</v>
      </c>
      <c r="E163" s="12" t="n">
        <v>10840.6</v>
      </c>
      <c r="F163" s="12" t="n">
        <v>9311.5</v>
      </c>
      <c r="G163" s="12" t="n">
        <v>1529.1</v>
      </c>
      <c r="H163" s="13" t="n">
        <v>0.2208</v>
      </c>
      <c r="I163" s="13" t="n">
        <v>0.2421</v>
      </c>
    </row>
    <row r="164">
      <c r="A164" s="10" t="inlineStr">
        <is>
          <t>PJ-2019-A</t>
        </is>
      </c>
      <c r="B164" s="10" t="inlineStr">
        <is>
          <t>位置合わせ(MS学習値)／月内均等</t>
        </is>
      </c>
      <c r="C164" s="10" t="inlineStr">
        <is>
          <t>2020-04</t>
        </is>
      </c>
      <c r="D164" s="10" t="n">
        <v>13</v>
      </c>
      <c r="E164" s="12" t="n">
        <v>11468.5</v>
      </c>
      <c r="F164" s="12" t="n">
        <v>9039.6</v>
      </c>
      <c r="G164" s="12" t="n">
        <v>2428.9</v>
      </c>
      <c r="H164" s="13" t="n">
        <v>0.251</v>
      </c>
      <c r="I164" s="13" t="n">
        <v>0.2659</v>
      </c>
    </row>
    <row r="165">
      <c r="A165" s="10" t="inlineStr">
        <is>
          <t>PJ-2019-A</t>
        </is>
      </c>
      <c r="B165" s="10" t="inlineStr">
        <is>
          <t>位置合わせ(MS学習値)／月内均等</t>
        </is>
      </c>
      <c r="C165" s="10" t="inlineStr">
        <is>
          <t>2020-05</t>
        </is>
      </c>
      <c r="D165" s="10" t="n">
        <v>14</v>
      </c>
      <c r="E165" s="12" t="n">
        <v>12371.8</v>
      </c>
      <c r="F165" s="12" t="n">
        <v>9635.799999999999</v>
      </c>
      <c r="G165" s="12" t="n">
        <v>2736</v>
      </c>
      <c r="H165" s="13" t="n">
        <v>0.2836</v>
      </c>
      <c r="I165" s="13" t="n">
        <v>0.2913</v>
      </c>
    </row>
    <row r="166">
      <c r="A166" s="10" t="inlineStr">
        <is>
          <t>PJ-2019-A</t>
        </is>
      </c>
      <c r="B166" s="10" t="inlineStr">
        <is>
          <t>位置合わせ(MS学習値)／月内均等</t>
        </is>
      </c>
      <c r="C166" s="10" t="inlineStr">
        <is>
          <t>2020-06</t>
        </is>
      </c>
      <c r="D166" s="10" t="n">
        <v>15</v>
      </c>
      <c r="E166" s="12" t="n">
        <v>12620.6</v>
      </c>
      <c r="F166" s="12" t="n">
        <v>10344.9</v>
      </c>
      <c r="G166" s="12" t="n">
        <v>2275.7</v>
      </c>
      <c r="H166" s="13" t="n">
        <v>0.3169</v>
      </c>
      <c r="I166" s="13" t="n">
        <v>0.3185</v>
      </c>
    </row>
    <row r="167">
      <c r="A167" s="10" t="inlineStr">
        <is>
          <t>PJ-2019-A</t>
        </is>
      </c>
      <c r="B167" s="10" t="inlineStr">
        <is>
          <t>位置合わせ(MS学習値)／月内均等</t>
        </is>
      </c>
      <c r="C167" s="10" t="inlineStr">
        <is>
          <t>2020-07</t>
        </is>
      </c>
      <c r="D167" s="10" t="n">
        <v>16</v>
      </c>
      <c r="E167" s="12" t="n">
        <v>13937.2</v>
      </c>
      <c r="F167" s="12" t="n">
        <v>11426.7</v>
      </c>
      <c r="G167" s="12" t="n">
        <v>2510.5</v>
      </c>
      <c r="H167" s="13" t="n">
        <v>0.3536</v>
      </c>
      <c r="I167" s="13" t="n">
        <v>0.3486</v>
      </c>
    </row>
    <row r="168">
      <c r="A168" s="10" t="inlineStr">
        <is>
          <t>PJ-2019-A</t>
        </is>
      </c>
      <c r="B168" s="10" t="inlineStr">
        <is>
          <t>位置合わせ(MS学習値)／月内均等</t>
        </is>
      </c>
      <c r="C168" s="10" t="inlineStr">
        <is>
          <t>2020-08</t>
        </is>
      </c>
      <c r="D168" s="10" t="n">
        <v>17</v>
      </c>
      <c r="E168" s="12" t="n">
        <v>14827.2</v>
      </c>
      <c r="F168" s="12" t="n">
        <v>12271.1</v>
      </c>
      <c r="G168" s="12" t="n">
        <v>2556.1</v>
      </c>
      <c r="H168" s="13" t="n">
        <v>0.3927</v>
      </c>
      <c r="I168" s="13" t="n">
        <v>0.3809</v>
      </c>
    </row>
    <row r="169">
      <c r="A169" s="10" t="inlineStr">
        <is>
          <t>PJ-2019-A</t>
        </is>
      </c>
      <c r="B169" s="10" t="inlineStr">
        <is>
          <t>位置合わせ(MS学習値)／月内均等</t>
        </is>
      </c>
      <c r="C169" s="10" t="inlineStr">
        <is>
          <t>2020-09</t>
        </is>
      </c>
      <c r="D169" s="10" t="n">
        <v>18</v>
      </c>
      <c r="E169" s="12" t="n">
        <v>15461.4</v>
      </c>
      <c r="F169" s="12" t="n">
        <v>12547.9</v>
      </c>
      <c r="G169" s="12" t="n">
        <v>2913.5</v>
      </c>
      <c r="H169" s="13" t="n">
        <v>0.4334</v>
      </c>
      <c r="I169" s="13" t="n">
        <v>0.414</v>
      </c>
    </row>
    <row r="170">
      <c r="A170" s="10" t="inlineStr">
        <is>
          <t>PJ-2019-A</t>
        </is>
      </c>
      <c r="B170" s="10" t="inlineStr">
        <is>
          <t>位置合わせ(MS学習値)／月内均等</t>
        </is>
      </c>
      <c r="C170" s="10" t="inlineStr">
        <is>
          <t>2020-10</t>
        </is>
      </c>
      <c r="D170" s="10" t="n">
        <v>19</v>
      </c>
      <c r="E170" s="12" t="n">
        <v>15310.2</v>
      </c>
      <c r="F170" s="12" t="n">
        <v>14214.2</v>
      </c>
      <c r="G170" s="12" t="n">
        <v>1096</v>
      </c>
      <c r="H170" s="13" t="n">
        <v>0.4737</v>
      </c>
      <c r="I170" s="13" t="n">
        <v>0.4515</v>
      </c>
    </row>
    <row r="171">
      <c r="A171" s="10" t="inlineStr">
        <is>
          <t>PJ-2019-A</t>
        </is>
      </c>
      <c r="B171" s="10" t="inlineStr">
        <is>
          <t>位置合わせ(MS学習値)／月内均等</t>
        </is>
      </c>
      <c r="C171" s="10" t="inlineStr">
        <is>
          <t>2020-11</t>
        </is>
      </c>
      <c r="D171" s="10" t="n">
        <v>20</v>
      </c>
      <c r="E171" s="12" t="n">
        <v>15157.5</v>
      </c>
      <c r="F171" s="12" t="n">
        <v>16661.4</v>
      </c>
      <c r="G171" s="12" t="n">
        <v>-1503.9</v>
      </c>
      <c r="H171" s="13" t="n">
        <v>0.5137</v>
      </c>
      <c r="I171" s="13" t="n">
        <v>0.4953</v>
      </c>
    </row>
    <row r="172">
      <c r="A172" s="10" t="inlineStr">
        <is>
          <t>PJ-2019-A</t>
        </is>
      </c>
      <c r="B172" s="10" t="inlineStr">
        <is>
          <t>位置合わせ(MS学習値)／月内均等</t>
        </is>
      </c>
      <c r="C172" s="10" t="inlineStr">
        <is>
          <t>2020-12</t>
        </is>
      </c>
      <c r="D172" s="10" t="n">
        <v>21</v>
      </c>
      <c r="E172" s="12" t="n">
        <v>15989.7</v>
      </c>
      <c r="F172" s="12" t="n">
        <v>15314.9</v>
      </c>
      <c r="G172" s="12" t="n">
        <v>674.8</v>
      </c>
      <c r="H172" s="13" t="n">
        <v>0.5558</v>
      </c>
      <c r="I172" s="13" t="n">
        <v>0.5357</v>
      </c>
    </row>
    <row r="173">
      <c r="A173" s="10" t="inlineStr">
        <is>
          <t>PJ-2019-A</t>
        </is>
      </c>
      <c r="B173" s="10" t="inlineStr">
        <is>
          <t>位置合わせ(MS学習値)／月内均等</t>
        </is>
      </c>
      <c r="C173" s="10" t="inlineStr">
        <is>
          <t>2021-01</t>
        </is>
      </c>
      <c r="D173" s="10" t="n">
        <v>22</v>
      </c>
      <c r="E173" s="12" t="n">
        <v>15710.3</v>
      </c>
      <c r="F173" s="12" t="n">
        <v>13490.4</v>
      </c>
      <c r="G173" s="12" t="n">
        <v>2219.9</v>
      </c>
      <c r="H173" s="13" t="n">
        <v>0.5972</v>
      </c>
      <c r="I173" s="13" t="n">
        <v>0.5712</v>
      </c>
    </row>
    <row r="174">
      <c r="A174" s="10" t="inlineStr">
        <is>
          <t>PJ-2019-A</t>
        </is>
      </c>
      <c r="B174" s="10" t="inlineStr">
        <is>
          <t>位置合わせ(MS学習値)／月内均等</t>
        </is>
      </c>
      <c r="C174" s="10" t="inlineStr">
        <is>
          <t>2021-02</t>
        </is>
      </c>
      <c r="D174" s="10" t="n">
        <v>23</v>
      </c>
      <c r="E174" s="12" t="n">
        <v>13965.4</v>
      </c>
      <c r="F174" s="12" t="n">
        <v>11965.7</v>
      </c>
      <c r="G174" s="12" t="n">
        <v>1999.7</v>
      </c>
      <c r="H174" s="13" t="n">
        <v>0.634</v>
      </c>
      <c r="I174" s="13" t="n">
        <v>0.6028</v>
      </c>
    </row>
    <row r="175">
      <c r="A175" s="10" t="inlineStr">
        <is>
          <t>PJ-2019-A</t>
        </is>
      </c>
      <c r="B175" s="10" t="inlineStr">
        <is>
          <t>位置合わせ(MS学習値)／月内均等</t>
        </is>
      </c>
      <c r="C175" s="10" t="inlineStr">
        <is>
          <t>2021-03</t>
        </is>
      </c>
      <c r="D175" s="10" t="n">
        <v>24</v>
      </c>
      <c r="E175" s="12" t="n">
        <v>16061.4</v>
      </c>
      <c r="F175" s="12" t="n">
        <v>12853.7</v>
      </c>
      <c r="G175" s="12" t="n">
        <v>3207.7</v>
      </c>
      <c r="H175" s="13" t="n">
        <v>0.6763</v>
      </c>
      <c r="I175" s="13" t="n">
        <v>0.6366000000000001</v>
      </c>
    </row>
    <row r="176">
      <c r="A176" s="10" t="inlineStr">
        <is>
          <t>PJ-2019-A</t>
        </is>
      </c>
      <c r="B176" s="10" t="inlineStr">
        <is>
          <t>位置合わせ(MS学習値)／月内均等</t>
        </is>
      </c>
      <c r="C176" s="10" t="inlineStr">
        <is>
          <t>2021-04</t>
        </is>
      </c>
      <c r="D176" s="10" t="n">
        <v>25</v>
      </c>
      <c r="E176" s="12" t="n">
        <v>15820</v>
      </c>
      <c r="F176" s="12" t="n">
        <v>12825.4</v>
      </c>
      <c r="G176" s="12" t="n">
        <v>2994.6</v>
      </c>
      <c r="H176" s="13" t="n">
        <v>0.718</v>
      </c>
      <c r="I176" s="13" t="n">
        <v>0.6704</v>
      </c>
    </row>
    <row r="177">
      <c r="A177" s="10" t="inlineStr">
        <is>
          <t>PJ-2019-A</t>
        </is>
      </c>
      <c r="B177" s="10" t="inlineStr">
        <is>
          <t>位置合わせ(MS学習値)／月内均等</t>
        </is>
      </c>
      <c r="C177" s="10" t="inlineStr">
        <is>
          <t>2021-05</t>
        </is>
      </c>
      <c r="D177" s="10" t="n">
        <v>26</v>
      </c>
      <c r="E177" s="12" t="n">
        <v>15130.5</v>
      </c>
      <c r="F177" s="12" t="n">
        <v>13976.5</v>
      </c>
      <c r="G177" s="12" t="n">
        <v>1154</v>
      </c>
      <c r="H177" s="13" t="n">
        <v>0.7578</v>
      </c>
      <c r="I177" s="13" t="n">
        <v>0.7072000000000001</v>
      </c>
    </row>
    <row r="178">
      <c r="A178" s="10" t="inlineStr">
        <is>
          <t>PJ-2019-A</t>
        </is>
      </c>
      <c r="B178" s="10" t="inlineStr">
        <is>
          <t>位置合わせ(MS学習値)／月内均等</t>
        </is>
      </c>
      <c r="C178" s="10" t="inlineStr">
        <is>
          <t>2021-06</t>
        </is>
      </c>
      <c r="D178" s="10" t="n">
        <v>27</v>
      </c>
      <c r="E178" s="12" t="n">
        <v>14188.5</v>
      </c>
      <c r="F178" s="12" t="n">
        <v>14724.1</v>
      </c>
      <c r="G178" s="12" t="n">
        <v>-535.6</v>
      </c>
      <c r="H178" s="13" t="n">
        <v>0.7952</v>
      </c>
      <c r="I178" s="13" t="n">
        <v>0.746</v>
      </c>
    </row>
    <row r="179">
      <c r="A179" s="10" t="inlineStr">
        <is>
          <t>PJ-2019-A</t>
        </is>
      </c>
      <c r="B179" s="10" t="inlineStr">
        <is>
          <t>位置合わせ(MS学習値)／月内均等</t>
        </is>
      </c>
      <c r="C179" s="10" t="inlineStr">
        <is>
          <t>2021-07</t>
        </is>
      </c>
      <c r="D179" s="10" t="n">
        <v>28</v>
      </c>
      <c r="E179" s="12" t="n">
        <v>12553.1</v>
      </c>
      <c r="F179" s="12" t="n">
        <v>17311.9</v>
      </c>
      <c r="G179" s="12" t="n">
        <v>-4758.8</v>
      </c>
      <c r="H179" s="13" t="n">
        <v>0.8283</v>
      </c>
      <c r="I179" s="13" t="n">
        <v>0.7916</v>
      </c>
    </row>
    <row r="180">
      <c r="A180" s="10" t="inlineStr">
        <is>
          <t>PJ-2019-A</t>
        </is>
      </c>
      <c r="B180" s="10" t="inlineStr">
        <is>
          <t>位置合わせ(MS学習値)／月内均等</t>
        </is>
      </c>
      <c r="C180" s="10" t="inlineStr">
        <is>
          <t>2021-08</t>
        </is>
      </c>
      <c r="D180" s="10" t="n">
        <v>29</v>
      </c>
      <c r="E180" s="12" t="n">
        <v>11816.9</v>
      </c>
      <c r="F180" s="12" t="n">
        <v>19848.8</v>
      </c>
      <c r="G180" s="12" t="n">
        <v>-8031.9</v>
      </c>
      <c r="H180" s="13" t="n">
        <v>0.8594000000000001</v>
      </c>
      <c r="I180" s="13" t="n">
        <v>0.8439</v>
      </c>
    </row>
    <row r="181">
      <c r="A181" s="10" t="inlineStr">
        <is>
          <t>PJ-2019-A</t>
        </is>
      </c>
      <c r="B181" s="10" t="inlineStr">
        <is>
          <t>位置合わせ(MS学習値)／月内均等</t>
        </is>
      </c>
      <c r="C181" s="10" t="inlineStr">
        <is>
          <t>2021-09</t>
        </is>
      </c>
      <c r="D181" s="10" t="n">
        <v>30</v>
      </c>
      <c r="E181" s="12" t="n">
        <v>11004.7</v>
      </c>
      <c r="F181" s="12" t="n">
        <v>17282.1</v>
      </c>
      <c r="G181" s="12" t="n">
        <v>-6277.4</v>
      </c>
      <c r="H181" s="13" t="n">
        <v>0.8884</v>
      </c>
      <c r="I181" s="13" t="n">
        <v>0.8895</v>
      </c>
    </row>
    <row r="182">
      <c r="A182" s="10" t="inlineStr">
        <is>
          <t>PJ-2019-A</t>
        </is>
      </c>
      <c r="B182" s="10" t="inlineStr">
        <is>
          <t>位置合わせ(MS学習値)／月内均等</t>
        </is>
      </c>
      <c r="C182" s="10" t="inlineStr">
        <is>
          <t>2021-10</t>
        </is>
      </c>
      <c r="D182" s="10" t="n">
        <v>31</v>
      </c>
      <c r="E182" s="12" t="n">
        <v>10406.3</v>
      </c>
      <c r="F182" s="12" t="n">
        <v>13450.6</v>
      </c>
      <c r="G182" s="12" t="n">
        <v>-3044.3</v>
      </c>
      <c r="H182" s="13" t="n">
        <v>0.9157999999999999</v>
      </c>
      <c r="I182" s="13" t="n">
        <v>0.9249000000000001</v>
      </c>
    </row>
    <row r="183">
      <c r="A183" s="10" t="inlineStr">
        <is>
          <t>PJ-2019-A</t>
        </is>
      </c>
      <c r="B183" s="10" t="inlineStr">
        <is>
          <t>位置合わせ(MS学習値)／月内均等</t>
        </is>
      </c>
      <c r="C183" s="10" t="inlineStr">
        <is>
          <t>2021-11</t>
        </is>
      </c>
      <c r="D183" s="10" t="n">
        <v>32</v>
      </c>
      <c r="E183" s="12" t="n">
        <v>8401.200000000001</v>
      </c>
      <c r="F183" s="12" t="n">
        <v>9371.200000000001</v>
      </c>
      <c r="G183" s="12" t="n">
        <v>-970</v>
      </c>
      <c r="H183" s="13" t="n">
        <v>0.9379999999999999</v>
      </c>
      <c r="I183" s="13" t="n">
        <v>0.9496</v>
      </c>
    </row>
    <row r="184">
      <c r="A184" s="10" t="inlineStr">
        <is>
          <t>PJ-2019-A</t>
        </is>
      </c>
      <c r="B184" s="10" t="inlineStr">
        <is>
          <t>位置合わせ(MS学習値)／月内均等</t>
        </is>
      </c>
      <c r="C184" s="10" t="inlineStr">
        <is>
          <t>2021-12</t>
        </is>
      </c>
      <c r="D184" s="10" t="n">
        <v>33</v>
      </c>
      <c r="E184" s="12" t="n">
        <v>8048.9</v>
      </c>
      <c r="F184" s="12" t="n">
        <v>9266</v>
      </c>
      <c r="G184" s="12" t="n">
        <v>-1217.1</v>
      </c>
      <c r="H184" s="13" t="n">
        <v>0.9592000000000001</v>
      </c>
      <c r="I184" s="13" t="n">
        <v>0.974</v>
      </c>
    </row>
    <row r="185">
      <c r="A185" s="10" t="inlineStr">
        <is>
          <t>PJ-2019-A</t>
        </is>
      </c>
      <c r="B185" s="10" t="inlineStr">
        <is>
          <t>位置合わせ(MS学習値)／月内均等</t>
        </is>
      </c>
      <c r="C185" s="10" t="inlineStr">
        <is>
          <t>2022-01</t>
        </is>
      </c>
      <c r="D185" s="10" t="n">
        <v>34</v>
      </c>
      <c r="E185" s="12" t="n">
        <v>7390.8</v>
      </c>
      <c r="F185" s="12" t="n">
        <v>5982.7</v>
      </c>
      <c r="G185" s="12" t="n">
        <v>1408.1</v>
      </c>
      <c r="H185" s="13" t="n">
        <v>0.9787</v>
      </c>
      <c r="I185" s="13" t="n">
        <v>0.9898</v>
      </c>
    </row>
    <row r="186">
      <c r="A186" s="10" t="inlineStr">
        <is>
          <t>PJ-2019-A</t>
        </is>
      </c>
      <c r="B186" s="10" t="inlineStr">
        <is>
          <t>位置合わせ(MS学習値)／月内均等</t>
        </is>
      </c>
      <c r="C186" s="10" t="inlineStr">
        <is>
          <t>2022-02</t>
        </is>
      </c>
      <c r="D186" s="10" t="n">
        <v>35</v>
      </c>
      <c r="E186" s="12" t="n">
        <v>4494.8</v>
      </c>
      <c r="F186" s="12" t="n">
        <v>2863</v>
      </c>
      <c r="G186" s="12" t="n">
        <v>1631.8</v>
      </c>
      <c r="H186" s="13" t="n">
        <v>0.9905</v>
      </c>
      <c r="I186" s="13" t="n">
        <v>0.9973</v>
      </c>
    </row>
    <row r="187">
      <c r="A187" s="10" t="inlineStr">
        <is>
          <t>PJ-2019-A</t>
        </is>
      </c>
      <c r="B187" s="10" t="inlineStr">
        <is>
          <t>位置合わせ(MS学習値)／月内均等</t>
        </is>
      </c>
      <c r="C187" s="10" t="inlineStr">
        <is>
          <t>2022-03</t>
        </is>
      </c>
      <c r="D187" s="10" t="n">
        <v>36</v>
      </c>
      <c r="E187" s="12" t="n">
        <v>3608.5</v>
      </c>
      <c r="F187" s="12" t="n">
        <v>1019.3</v>
      </c>
      <c r="G187" s="12" t="n">
        <v>2589.2</v>
      </c>
      <c r="H187" s="13" t="n">
        <v>1</v>
      </c>
      <c r="I187" s="13" t="n">
        <v>1</v>
      </c>
    </row>
    <row r="188">
      <c r="A188" s="10" t="inlineStr">
        <is>
          <t>PJ-2019-A</t>
        </is>
      </c>
      <c r="B188" s="10" t="inlineStr">
        <is>
          <t>位置合わせ(MS指定)／月内均等</t>
        </is>
      </c>
      <c r="C188" s="10" t="inlineStr">
        <is>
          <t>2019-04</t>
        </is>
      </c>
      <c r="D188" s="10" t="n">
        <v>1</v>
      </c>
      <c r="E188" s="12" t="n">
        <v>3905.4</v>
      </c>
      <c r="F188" s="12" t="n">
        <v>3071.8</v>
      </c>
      <c r="G188" s="12" t="n">
        <v>833.6</v>
      </c>
      <c r="H188" s="13" t="n">
        <v>0.0103</v>
      </c>
      <c r="I188" s="13" t="n">
        <v>0.0081</v>
      </c>
    </row>
    <row r="189">
      <c r="A189" s="10" t="inlineStr">
        <is>
          <t>PJ-2019-A</t>
        </is>
      </c>
      <c r="B189" s="10" t="inlineStr">
        <is>
          <t>位置合わせ(MS指定)／月内均等</t>
        </is>
      </c>
      <c r="C189" s="10" t="inlineStr">
        <is>
          <t>2019-05</t>
        </is>
      </c>
      <c r="D189" s="10" t="n">
        <v>2</v>
      </c>
      <c r="E189" s="12" t="n">
        <v>4428.8</v>
      </c>
      <c r="F189" s="12" t="n">
        <v>5541.4</v>
      </c>
      <c r="G189" s="12" t="n">
        <v>-1112.6</v>
      </c>
      <c r="H189" s="13" t="n">
        <v>0.022</v>
      </c>
      <c r="I189" s="13" t="n">
        <v>0.0227</v>
      </c>
    </row>
    <row r="190">
      <c r="A190" s="10" t="inlineStr">
        <is>
          <t>PJ-2019-A</t>
        </is>
      </c>
      <c r="B190" s="10" t="inlineStr">
        <is>
          <t>位置合わせ(MS指定)／月内均等</t>
        </is>
      </c>
      <c r="C190" s="10" t="inlineStr">
        <is>
          <t>2019-06</t>
        </is>
      </c>
      <c r="D190" s="10" t="n">
        <v>3</v>
      </c>
      <c r="E190" s="12" t="n">
        <v>5103.3</v>
      </c>
      <c r="F190" s="12" t="n">
        <v>6929.4</v>
      </c>
      <c r="G190" s="12" t="n">
        <v>-1826.1</v>
      </c>
      <c r="H190" s="13" t="n">
        <v>0.0354</v>
      </c>
      <c r="I190" s="13" t="n">
        <v>0.0409</v>
      </c>
    </row>
    <row r="191">
      <c r="A191" s="10" t="inlineStr">
        <is>
          <t>PJ-2019-A</t>
        </is>
      </c>
      <c r="B191" s="10" t="inlineStr">
        <is>
          <t>位置合わせ(MS指定)／月内均等</t>
        </is>
      </c>
      <c r="C191" s="10" t="inlineStr">
        <is>
          <t>2019-07</t>
        </is>
      </c>
      <c r="D191" s="10" t="n">
        <v>4</v>
      </c>
      <c r="E191" s="12" t="n">
        <v>5478.1</v>
      </c>
      <c r="F191" s="12" t="n">
        <v>8197.200000000001</v>
      </c>
      <c r="G191" s="12" t="n">
        <v>-2719.1</v>
      </c>
      <c r="H191" s="13" t="n">
        <v>0.0498</v>
      </c>
      <c r="I191" s="13" t="n">
        <v>0.0625</v>
      </c>
    </row>
    <row r="192">
      <c r="A192" s="10" t="inlineStr">
        <is>
          <t>PJ-2019-A</t>
        </is>
      </c>
      <c r="B192" s="10" t="inlineStr">
        <is>
          <t>位置合わせ(MS指定)／月内均等</t>
        </is>
      </c>
      <c r="C192" s="10" t="inlineStr">
        <is>
          <t>2019-08</t>
        </is>
      </c>
      <c r="D192" s="10" t="n">
        <v>5</v>
      </c>
      <c r="E192" s="12" t="n">
        <v>6030.9</v>
      </c>
      <c r="F192" s="12" t="n">
        <v>9127.4</v>
      </c>
      <c r="G192" s="12" t="n">
        <v>-3096.5</v>
      </c>
      <c r="H192" s="13" t="n">
        <v>0.06569999999999999</v>
      </c>
      <c r="I192" s="13" t="n">
        <v>0.0866</v>
      </c>
    </row>
    <row r="193">
      <c r="A193" s="10" t="inlineStr">
        <is>
          <t>PJ-2019-A</t>
        </is>
      </c>
      <c r="B193" s="10" t="inlineStr">
        <is>
          <t>位置合わせ(MS指定)／月内均等</t>
        </is>
      </c>
      <c r="C193" s="10" t="inlineStr">
        <is>
          <t>2019-09</t>
        </is>
      </c>
      <c r="D193" s="10" t="n">
        <v>6</v>
      </c>
      <c r="E193" s="12" t="n">
        <v>6121.1</v>
      </c>
      <c r="F193" s="12" t="n">
        <v>9824.700000000001</v>
      </c>
      <c r="G193" s="12" t="n">
        <v>-3703.6</v>
      </c>
      <c r="H193" s="13" t="n">
        <v>0.0819</v>
      </c>
      <c r="I193" s="13" t="n">
        <v>0.1125</v>
      </c>
    </row>
    <row r="194">
      <c r="A194" s="10" t="inlineStr">
        <is>
          <t>PJ-2019-A</t>
        </is>
      </c>
      <c r="B194" s="10" t="inlineStr">
        <is>
          <t>位置合わせ(MS指定)／月内均等</t>
        </is>
      </c>
      <c r="C194" s="10" t="inlineStr">
        <is>
          <t>2019-10</t>
        </is>
      </c>
      <c r="D194" s="10" t="n">
        <v>7</v>
      </c>
      <c r="E194" s="12" t="n">
        <v>6737.9</v>
      </c>
      <c r="F194" s="12" t="n">
        <v>7570.4</v>
      </c>
      <c r="G194" s="12" t="n">
        <v>-832.5</v>
      </c>
      <c r="H194" s="13" t="n">
        <v>0.09959999999999999</v>
      </c>
      <c r="I194" s="13" t="n">
        <v>0.1324</v>
      </c>
    </row>
    <row r="195">
      <c r="A195" s="10" t="inlineStr">
        <is>
          <t>PJ-2019-A</t>
        </is>
      </c>
      <c r="B195" s="10" t="inlineStr">
        <is>
          <t>位置合わせ(MS指定)／月内均等</t>
        </is>
      </c>
      <c r="C195" s="10" t="inlineStr">
        <is>
          <t>2019-11</t>
        </is>
      </c>
      <c r="D195" s="10" t="n">
        <v>8</v>
      </c>
      <c r="E195" s="12" t="n">
        <v>6864.2</v>
      </c>
      <c r="F195" s="12" t="n">
        <v>7669.4</v>
      </c>
      <c r="G195" s="12" t="n">
        <v>-805.2</v>
      </c>
      <c r="H195" s="13" t="n">
        <v>0.1177</v>
      </c>
      <c r="I195" s="13" t="n">
        <v>0.1526</v>
      </c>
    </row>
    <row r="196">
      <c r="A196" s="10" t="inlineStr">
        <is>
          <t>PJ-2019-A</t>
        </is>
      </c>
      <c r="B196" s="10" t="inlineStr">
        <is>
          <t>位置合わせ(MS指定)／月内均等</t>
        </is>
      </c>
      <c r="C196" s="10" t="inlineStr">
        <is>
          <t>2019-12</t>
        </is>
      </c>
      <c r="D196" s="10" t="n">
        <v>9</v>
      </c>
      <c r="E196" s="12" t="n">
        <v>7591.2</v>
      </c>
      <c r="F196" s="12" t="n">
        <v>7989.5</v>
      </c>
      <c r="G196" s="12" t="n">
        <v>-398.3</v>
      </c>
      <c r="H196" s="13" t="n">
        <v>0.1377</v>
      </c>
      <c r="I196" s="13" t="n">
        <v>0.1737</v>
      </c>
    </row>
    <row r="197">
      <c r="A197" s="10" t="inlineStr">
        <is>
          <t>PJ-2019-A</t>
        </is>
      </c>
      <c r="B197" s="10" t="inlineStr">
        <is>
          <t>位置合わせ(MS指定)／月内均等</t>
        </is>
      </c>
      <c r="C197" s="10" t="inlineStr">
        <is>
          <t>2020-01</t>
        </is>
      </c>
      <c r="D197" s="10" t="n">
        <v>10</v>
      </c>
      <c r="E197" s="12" t="n">
        <v>8281.700000000001</v>
      </c>
      <c r="F197" s="12" t="n">
        <v>8507.5</v>
      </c>
      <c r="G197" s="12" t="n">
        <v>-225.8</v>
      </c>
      <c r="H197" s="13" t="n">
        <v>0.1595</v>
      </c>
      <c r="I197" s="13" t="n">
        <v>0.1961</v>
      </c>
    </row>
    <row r="198">
      <c r="A198" s="10" t="inlineStr">
        <is>
          <t>PJ-2019-A</t>
        </is>
      </c>
      <c r="B198" s="10" t="inlineStr">
        <is>
          <t>位置合わせ(MS指定)／月内均等</t>
        </is>
      </c>
      <c r="C198" s="10" t="inlineStr">
        <is>
          <t>2020-02</t>
        </is>
      </c>
      <c r="D198" s="10" t="n">
        <v>11</v>
      </c>
      <c r="E198" s="12" t="n">
        <v>8121.8</v>
      </c>
      <c r="F198" s="12" t="n">
        <v>8132.8</v>
      </c>
      <c r="G198" s="12" t="n">
        <v>-11</v>
      </c>
      <c r="H198" s="13" t="n">
        <v>0.1809</v>
      </c>
      <c r="I198" s="13" t="n">
        <v>0.2175</v>
      </c>
    </row>
    <row r="199">
      <c r="A199" s="10" t="inlineStr">
        <is>
          <t>PJ-2019-A</t>
        </is>
      </c>
      <c r="B199" s="10" t="inlineStr">
        <is>
          <t>位置合わせ(MS指定)／月内均等</t>
        </is>
      </c>
      <c r="C199" s="10" t="inlineStr">
        <is>
          <t>2020-03</t>
        </is>
      </c>
      <c r="D199" s="10" t="n">
        <v>12</v>
      </c>
      <c r="E199" s="12" t="n">
        <v>9933.1</v>
      </c>
      <c r="F199" s="12" t="n">
        <v>9311.5</v>
      </c>
      <c r="G199" s="12" t="n">
        <v>621.6</v>
      </c>
      <c r="H199" s="13" t="n">
        <v>0.2071</v>
      </c>
      <c r="I199" s="13" t="n">
        <v>0.2421</v>
      </c>
    </row>
    <row r="200">
      <c r="A200" s="10" t="inlineStr">
        <is>
          <t>PJ-2019-A</t>
        </is>
      </c>
      <c r="B200" s="10" t="inlineStr">
        <is>
          <t>位置合わせ(MS指定)／月内均等</t>
        </is>
      </c>
      <c r="C200" s="10" t="inlineStr">
        <is>
          <t>2020-04</t>
        </is>
      </c>
      <c r="D200" s="10" t="n">
        <v>13</v>
      </c>
      <c r="E200" s="12" t="n">
        <v>10590</v>
      </c>
      <c r="F200" s="12" t="n">
        <v>9039.6</v>
      </c>
      <c r="G200" s="12" t="n">
        <v>1550.4</v>
      </c>
      <c r="H200" s="13" t="n">
        <v>0.235</v>
      </c>
      <c r="I200" s="13" t="n">
        <v>0.2659</v>
      </c>
    </row>
    <row r="201">
      <c r="A201" s="10" t="inlineStr">
        <is>
          <t>PJ-2019-A</t>
        </is>
      </c>
      <c r="B201" s="10" t="inlineStr">
        <is>
          <t>位置合わせ(MS指定)／月内均等</t>
        </is>
      </c>
      <c r="C201" s="10" t="inlineStr">
        <is>
          <t>2020-05</t>
        </is>
      </c>
      <c r="D201" s="10" t="n">
        <v>14</v>
      </c>
      <c r="E201" s="12" t="n">
        <v>11751.1</v>
      </c>
      <c r="F201" s="12" t="n">
        <v>9635.799999999999</v>
      </c>
      <c r="G201" s="12" t="n">
        <v>2115.3</v>
      </c>
      <c r="H201" s="13" t="n">
        <v>0.2659</v>
      </c>
      <c r="I201" s="13" t="n">
        <v>0.2913</v>
      </c>
    </row>
    <row r="202">
      <c r="A202" s="10" t="inlineStr">
        <is>
          <t>PJ-2019-A</t>
        </is>
      </c>
      <c r="B202" s="10" t="inlineStr">
        <is>
          <t>位置合わせ(MS指定)／月内均等</t>
        </is>
      </c>
      <c r="C202" s="10" t="inlineStr">
        <is>
          <t>2020-06</t>
        </is>
      </c>
      <c r="D202" s="10" t="n">
        <v>15</v>
      </c>
      <c r="E202" s="12" t="n">
        <v>11711</v>
      </c>
      <c r="F202" s="12" t="n">
        <v>10344.9</v>
      </c>
      <c r="G202" s="12" t="n">
        <v>1366.1</v>
      </c>
      <c r="H202" s="13" t="n">
        <v>0.2968</v>
      </c>
      <c r="I202" s="13" t="n">
        <v>0.3185</v>
      </c>
    </row>
    <row r="203">
      <c r="A203" s="10" t="inlineStr">
        <is>
          <t>PJ-2019-A</t>
        </is>
      </c>
      <c r="B203" s="10" t="inlineStr">
        <is>
          <t>位置合わせ(MS指定)／月内均等</t>
        </is>
      </c>
      <c r="C203" s="10" t="inlineStr">
        <is>
          <t>2020-07</t>
        </is>
      </c>
      <c r="D203" s="10" t="n">
        <v>16</v>
      </c>
      <c r="E203" s="12" t="n">
        <v>13066.2</v>
      </c>
      <c r="F203" s="12" t="n">
        <v>11426.7</v>
      </c>
      <c r="G203" s="12" t="n">
        <v>1639.5</v>
      </c>
      <c r="H203" s="13" t="n">
        <v>0.3312</v>
      </c>
      <c r="I203" s="13" t="n">
        <v>0.3486</v>
      </c>
    </row>
    <row r="204">
      <c r="A204" s="10" t="inlineStr">
        <is>
          <t>PJ-2019-A</t>
        </is>
      </c>
      <c r="B204" s="10" t="inlineStr">
        <is>
          <t>位置合わせ(MS指定)／月内均等</t>
        </is>
      </c>
      <c r="C204" s="10" t="inlineStr">
        <is>
          <t>2020-08</t>
        </is>
      </c>
      <c r="D204" s="10" t="n">
        <v>17</v>
      </c>
      <c r="E204" s="12" t="n">
        <v>13375.5</v>
      </c>
      <c r="F204" s="12" t="n">
        <v>12271.1</v>
      </c>
      <c r="G204" s="12" t="n">
        <v>1104.4</v>
      </c>
      <c r="H204" s="13" t="n">
        <v>0.3665</v>
      </c>
      <c r="I204" s="13" t="n">
        <v>0.3809</v>
      </c>
    </row>
    <row r="205">
      <c r="A205" s="10" t="inlineStr">
        <is>
          <t>PJ-2019-A</t>
        </is>
      </c>
      <c r="B205" s="10" t="inlineStr">
        <is>
          <t>位置合わせ(MS指定)／月内均等</t>
        </is>
      </c>
      <c r="C205" s="10" t="inlineStr">
        <is>
          <t>2020-09</t>
        </is>
      </c>
      <c r="D205" s="10" t="n">
        <v>18</v>
      </c>
      <c r="E205" s="12" t="n">
        <v>14444.8</v>
      </c>
      <c r="F205" s="12" t="n">
        <v>12547.9</v>
      </c>
      <c r="G205" s="12" t="n">
        <v>1896.9</v>
      </c>
      <c r="H205" s="13" t="n">
        <v>0.4045</v>
      </c>
      <c r="I205" s="13" t="n">
        <v>0.414</v>
      </c>
    </row>
    <row r="206">
      <c r="A206" s="10" t="inlineStr">
        <is>
          <t>PJ-2019-A</t>
        </is>
      </c>
      <c r="B206" s="10" t="inlineStr">
        <is>
          <t>位置合わせ(MS指定)／月内均等</t>
        </is>
      </c>
      <c r="C206" s="10" t="inlineStr">
        <is>
          <t>2020-10</t>
        </is>
      </c>
      <c r="D206" s="10" t="n">
        <v>19</v>
      </c>
      <c r="E206" s="12" t="n">
        <v>14305.9</v>
      </c>
      <c r="F206" s="12" t="n">
        <v>14214.2</v>
      </c>
      <c r="G206" s="12" t="n">
        <v>91.7</v>
      </c>
      <c r="H206" s="13" t="n">
        <v>0.4422</v>
      </c>
      <c r="I206" s="13" t="n">
        <v>0.4515</v>
      </c>
    </row>
    <row r="207">
      <c r="A207" s="10" t="inlineStr">
        <is>
          <t>PJ-2019-A</t>
        </is>
      </c>
      <c r="B207" s="10" t="inlineStr">
        <is>
          <t>位置合わせ(MS指定)／月内均等</t>
        </is>
      </c>
      <c r="C207" s="10" t="inlineStr">
        <is>
          <t>2020-11</t>
        </is>
      </c>
      <c r="D207" s="10" t="n">
        <v>20</v>
      </c>
      <c r="E207" s="12" t="n">
        <v>12522.7</v>
      </c>
      <c r="F207" s="12" t="n">
        <v>16661.4</v>
      </c>
      <c r="G207" s="12" t="n">
        <v>-4138.7</v>
      </c>
      <c r="H207" s="13" t="n">
        <v>0.4752</v>
      </c>
      <c r="I207" s="13" t="n">
        <v>0.4953</v>
      </c>
    </row>
    <row r="208">
      <c r="A208" s="10" t="inlineStr">
        <is>
          <t>PJ-2019-A</t>
        </is>
      </c>
      <c r="B208" s="10" t="inlineStr">
        <is>
          <t>位置合わせ(MS指定)／月内均等</t>
        </is>
      </c>
      <c r="C208" s="10" t="inlineStr">
        <is>
          <t>2020-12</t>
        </is>
      </c>
      <c r="D208" s="10" t="n">
        <v>21</v>
      </c>
      <c r="E208" s="12" t="n">
        <v>13490.1</v>
      </c>
      <c r="F208" s="12" t="n">
        <v>15314.9</v>
      </c>
      <c r="G208" s="12" t="n">
        <v>-1824.8</v>
      </c>
      <c r="H208" s="13" t="n">
        <v>0.5107</v>
      </c>
      <c r="I208" s="13" t="n">
        <v>0.5357</v>
      </c>
    </row>
    <row r="209">
      <c r="A209" s="10" t="inlineStr">
        <is>
          <t>PJ-2019-A</t>
        </is>
      </c>
      <c r="B209" s="10" t="inlineStr">
        <is>
          <t>位置合わせ(MS指定)／月内均等</t>
        </is>
      </c>
      <c r="C209" s="10" t="inlineStr">
        <is>
          <t>2021-01</t>
        </is>
      </c>
      <c r="D209" s="10" t="n">
        <v>22</v>
      </c>
      <c r="E209" s="12" t="n">
        <v>13510.8</v>
      </c>
      <c r="F209" s="12" t="n">
        <v>13490.4</v>
      </c>
      <c r="G209" s="12" t="n">
        <v>20.4</v>
      </c>
      <c r="H209" s="13" t="n">
        <v>0.5463</v>
      </c>
      <c r="I209" s="13" t="n">
        <v>0.5712</v>
      </c>
    </row>
    <row r="210">
      <c r="A210" s="10" t="inlineStr">
        <is>
          <t>PJ-2019-A</t>
        </is>
      </c>
      <c r="B210" s="10" t="inlineStr">
        <is>
          <t>位置合わせ(MS指定)／月内均等</t>
        </is>
      </c>
      <c r="C210" s="10" t="inlineStr">
        <is>
          <t>2021-02</t>
        </is>
      </c>
      <c r="D210" s="10" t="n">
        <v>23</v>
      </c>
      <c r="E210" s="12" t="n">
        <v>12089.1</v>
      </c>
      <c r="F210" s="12" t="n">
        <v>11965.7</v>
      </c>
      <c r="G210" s="12" t="n">
        <v>123.4</v>
      </c>
      <c r="H210" s="13" t="n">
        <v>0.5782</v>
      </c>
      <c r="I210" s="13" t="n">
        <v>0.6028</v>
      </c>
    </row>
    <row r="211">
      <c r="A211" s="10" t="inlineStr">
        <is>
          <t>PJ-2019-A</t>
        </is>
      </c>
      <c r="B211" s="10" t="inlineStr">
        <is>
          <t>位置合わせ(MS指定)／月内均等</t>
        </is>
      </c>
      <c r="C211" s="10" t="inlineStr">
        <is>
          <t>2021-03</t>
        </is>
      </c>
      <c r="D211" s="10" t="n">
        <v>24</v>
      </c>
      <c r="E211" s="12" t="n">
        <v>13364.8</v>
      </c>
      <c r="F211" s="12" t="n">
        <v>12853.7</v>
      </c>
      <c r="G211" s="12" t="n">
        <v>511.1</v>
      </c>
      <c r="H211" s="13" t="n">
        <v>0.6133999999999999</v>
      </c>
      <c r="I211" s="13" t="n">
        <v>0.6366000000000001</v>
      </c>
    </row>
    <row r="212">
      <c r="A212" s="10" t="inlineStr">
        <is>
          <t>PJ-2019-A</t>
        </is>
      </c>
      <c r="B212" s="10" t="inlineStr">
        <is>
          <t>位置合わせ(MS指定)／月内均等</t>
        </is>
      </c>
      <c r="C212" s="10" t="inlineStr">
        <is>
          <t>2021-04</t>
        </is>
      </c>
      <c r="D212" s="10" t="n">
        <v>25</v>
      </c>
      <c r="E212" s="12" t="n">
        <v>13048.3</v>
      </c>
      <c r="F212" s="12" t="n">
        <v>12825.4</v>
      </c>
      <c r="G212" s="12" t="n">
        <v>222.9</v>
      </c>
      <c r="H212" s="13" t="n">
        <v>0.6478</v>
      </c>
      <c r="I212" s="13" t="n">
        <v>0.6704</v>
      </c>
    </row>
    <row r="213">
      <c r="A213" s="10" t="inlineStr">
        <is>
          <t>PJ-2019-A</t>
        </is>
      </c>
      <c r="B213" s="10" t="inlineStr">
        <is>
          <t>位置合わせ(MS指定)／月内均等</t>
        </is>
      </c>
      <c r="C213" s="10" t="inlineStr">
        <is>
          <t>2021-05</t>
        </is>
      </c>
      <c r="D213" s="10" t="n">
        <v>26</v>
      </c>
      <c r="E213" s="12" t="n">
        <v>13701.9</v>
      </c>
      <c r="F213" s="12" t="n">
        <v>13976.5</v>
      </c>
      <c r="G213" s="12" t="n">
        <v>-274.6</v>
      </c>
      <c r="H213" s="13" t="n">
        <v>0.6839</v>
      </c>
      <c r="I213" s="13" t="n">
        <v>0.7072000000000001</v>
      </c>
    </row>
    <row r="214">
      <c r="A214" s="10" t="inlineStr">
        <is>
          <t>PJ-2019-A</t>
        </is>
      </c>
      <c r="B214" s="10" t="inlineStr">
        <is>
          <t>位置合わせ(MS指定)／月内均等</t>
        </is>
      </c>
      <c r="C214" s="10" t="inlineStr">
        <is>
          <t>2021-06</t>
        </is>
      </c>
      <c r="D214" s="10" t="n">
        <v>27</v>
      </c>
      <c r="E214" s="12" t="n">
        <v>13514</v>
      </c>
      <c r="F214" s="12" t="n">
        <v>14724.1</v>
      </c>
      <c r="G214" s="12" t="n">
        <v>-1210.1</v>
      </c>
      <c r="H214" s="13" t="n">
        <v>0.7195</v>
      </c>
      <c r="I214" s="13" t="n">
        <v>0.746</v>
      </c>
    </row>
    <row r="215">
      <c r="A215" s="10" t="inlineStr">
        <is>
          <t>PJ-2019-A</t>
        </is>
      </c>
      <c r="B215" s="10" t="inlineStr">
        <is>
          <t>位置合わせ(MS指定)／月内均等</t>
        </is>
      </c>
      <c r="C215" s="10" t="inlineStr">
        <is>
          <t>2021-07</t>
        </is>
      </c>
      <c r="D215" s="10" t="n">
        <v>28</v>
      </c>
      <c r="E215" s="12" t="n">
        <v>12787</v>
      </c>
      <c r="F215" s="12" t="n">
        <v>17311.9</v>
      </c>
      <c r="G215" s="12" t="n">
        <v>-4524.9</v>
      </c>
      <c r="H215" s="13" t="n">
        <v>0.7532</v>
      </c>
      <c r="I215" s="13" t="n">
        <v>0.7916</v>
      </c>
    </row>
    <row r="216">
      <c r="A216" s="10" t="inlineStr">
        <is>
          <t>PJ-2019-A</t>
        </is>
      </c>
      <c r="B216" s="10" t="inlineStr">
        <is>
          <t>位置合わせ(MS指定)／月内均等</t>
        </is>
      </c>
      <c r="C216" s="10" t="inlineStr">
        <is>
          <t>2021-08</t>
        </is>
      </c>
      <c r="D216" s="10" t="n">
        <v>29</v>
      </c>
      <c r="E216" s="12" t="n">
        <v>15854</v>
      </c>
      <c r="F216" s="12" t="n">
        <v>19848.8</v>
      </c>
      <c r="G216" s="12" t="n">
        <v>-3994.8</v>
      </c>
      <c r="H216" s="13" t="n">
        <v>0.7949000000000001</v>
      </c>
      <c r="I216" s="13" t="n">
        <v>0.8439</v>
      </c>
    </row>
    <row r="217">
      <c r="A217" s="10" t="inlineStr">
        <is>
          <t>PJ-2019-A</t>
        </is>
      </c>
      <c r="B217" s="10" t="inlineStr">
        <is>
          <t>位置合わせ(MS指定)／月内均等</t>
        </is>
      </c>
      <c r="C217" s="10" t="inlineStr">
        <is>
          <t>2021-09</t>
        </is>
      </c>
      <c r="D217" s="10" t="n">
        <v>30</v>
      </c>
      <c r="E217" s="12" t="n">
        <v>15532.3</v>
      </c>
      <c r="F217" s="12" t="n">
        <v>17282.1</v>
      </c>
      <c r="G217" s="12" t="n">
        <v>-1749.8</v>
      </c>
      <c r="H217" s="13" t="n">
        <v>0.8359</v>
      </c>
      <c r="I217" s="13" t="n">
        <v>0.8895</v>
      </c>
    </row>
    <row r="218">
      <c r="A218" s="10" t="inlineStr">
        <is>
          <t>PJ-2019-A</t>
        </is>
      </c>
      <c r="B218" s="10" t="inlineStr">
        <is>
          <t>位置合わせ(MS指定)／月内均等</t>
        </is>
      </c>
      <c r="C218" s="10" t="inlineStr">
        <is>
          <t>2021-10</t>
        </is>
      </c>
      <c r="D218" s="10" t="n">
        <v>31</v>
      </c>
      <c r="E218" s="12" t="n">
        <v>15121.3</v>
      </c>
      <c r="F218" s="12" t="n">
        <v>13450.6</v>
      </c>
      <c r="G218" s="12" t="n">
        <v>1670.7</v>
      </c>
      <c r="H218" s="13" t="n">
        <v>0.8757</v>
      </c>
      <c r="I218" s="13" t="n">
        <v>0.9249000000000001</v>
      </c>
    </row>
    <row r="219">
      <c r="A219" s="10" t="inlineStr">
        <is>
          <t>PJ-2019-A</t>
        </is>
      </c>
      <c r="B219" s="10" t="inlineStr">
        <is>
          <t>位置合わせ(MS指定)／月内均等</t>
        </is>
      </c>
      <c r="C219" s="10" t="inlineStr">
        <is>
          <t>2021-11</t>
        </is>
      </c>
      <c r="D219" s="10" t="n">
        <v>32</v>
      </c>
      <c r="E219" s="12" t="n">
        <v>13313.3</v>
      </c>
      <c r="F219" s="12" t="n">
        <v>9371.200000000001</v>
      </c>
      <c r="G219" s="12" t="n">
        <v>3942.1</v>
      </c>
      <c r="H219" s="13" t="n">
        <v>0.9108000000000001</v>
      </c>
      <c r="I219" s="13" t="n">
        <v>0.9496</v>
      </c>
    </row>
    <row r="220">
      <c r="A220" s="10" t="inlineStr">
        <is>
          <t>PJ-2019-A</t>
        </is>
      </c>
      <c r="B220" s="10" t="inlineStr">
        <is>
          <t>位置合わせ(MS指定)／月内均等</t>
        </is>
      </c>
      <c r="C220" s="10" t="inlineStr">
        <is>
          <t>2021-12</t>
        </is>
      </c>
      <c r="D220" s="10" t="n">
        <v>33</v>
      </c>
      <c r="E220" s="12" t="n">
        <v>11257.9</v>
      </c>
      <c r="F220" s="12" t="n">
        <v>9266</v>
      </c>
      <c r="G220" s="12" t="n">
        <v>1991.9</v>
      </c>
      <c r="H220" s="13" t="n">
        <v>0.9404</v>
      </c>
      <c r="I220" s="13" t="n">
        <v>0.974</v>
      </c>
    </row>
    <row r="221">
      <c r="A221" s="10" t="inlineStr">
        <is>
          <t>PJ-2019-A</t>
        </is>
      </c>
      <c r="B221" s="10" t="inlineStr">
        <is>
          <t>位置合わせ(MS指定)／月内均等</t>
        </is>
      </c>
      <c r="C221" s="10" t="inlineStr">
        <is>
          <t>2022-01</t>
        </is>
      </c>
      <c r="D221" s="10" t="n">
        <v>34</v>
      </c>
      <c r="E221" s="12" t="n">
        <v>10318.2</v>
      </c>
      <c r="F221" s="12" t="n">
        <v>5982.7</v>
      </c>
      <c r="G221" s="12" t="n">
        <v>4335.5</v>
      </c>
      <c r="H221" s="13" t="n">
        <v>0.9676</v>
      </c>
      <c r="I221" s="13" t="n">
        <v>0.9898</v>
      </c>
    </row>
    <row r="222">
      <c r="A222" s="10" t="inlineStr">
        <is>
          <t>PJ-2019-A</t>
        </is>
      </c>
      <c r="B222" s="10" t="inlineStr">
        <is>
          <t>位置合わせ(MS指定)／月内均等</t>
        </is>
      </c>
      <c r="C222" s="10" t="inlineStr">
        <is>
          <t>2022-02</t>
        </is>
      </c>
      <c r="D222" s="10" t="n">
        <v>35</v>
      </c>
      <c r="E222" s="12" t="n">
        <v>7370.8</v>
      </c>
      <c r="F222" s="12" t="n">
        <v>2863</v>
      </c>
      <c r="G222" s="12" t="n">
        <v>4507.8</v>
      </c>
      <c r="H222" s="13" t="n">
        <v>0.987</v>
      </c>
      <c r="I222" s="13" t="n">
        <v>0.9973</v>
      </c>
    </row>
    <row r="223">
      <c r="A223" s="10" t="inlineStr">
        <is>
          <t>PJ-2019-A</t>
        </is>
      </c>
      <c r="B223" s="10" t="inlineStr">
        <is>
          <t>位置合わせ(MS指定)／月内均等</t>
        </is>
      </c>
      <c r="C223" s="10" t="inlineStr">
        <is>
          <t>2022-03</t>
        </is>
      </c>
      <c r="D223" s="10" t="n">
        <v>36</v>
      </c>
      <c r="E223" s="12" t="n">
        <v>4922.4</v>
      </c>
      <c r="F223" s="12" t="n">
        <v>1019.3</v>
      </c>
      <c r="G223" s="12" t="n">
        <v>3903.1</v>
      </c>
      <c r="H223" s="13" t="n">
        <v>1</v>
      </c>
      <c r="I223" s="13" t="n">
        <v>1</v>
      </c>
    </row>
    <row r="224">
      <c r="A224" s="10" t="inlineStr">
        <is>
          <t>PJ-2019-A</t>
        </is>
      </c>
      <c r="B224" s="10" t="inlineStr">
        <is>
          <t>素朴版／単調補間</t>
        </is>
      </c>
      <c r="C224" s="10" t="inlineStr">
        <is>
          <t>2019-04</t>
        </is>
      </c>
      <c r="D224" s="10" t="n">
        <v>1</v>
      </c>
      <c r="E224" s="12" t="n">
        <v>3955.2</v>
      </c>
      <c r="F224" s="12" t="n">
        <v>3071.8</v>
      </c>
      <c r="G224" s="12" t="n">
        <v>883.4</v>
      </c>
      <c r="H224" s="13" t="n">
        <v>0.0104</v>
      </c>
      <c r="I224" s="13" t="n">
        <v>0.0081</v>
      </c>
    </row>
    <row r="225">
      <c r="A225" s="10" t="inlineStr">
        <is>
          <t>PJ-2019-A</t>
        </is>
      </c>
      <c r="B225" s="10" t="inlineStr">
        <is>
          <t>素朴版／単調補間</t>
        </is>
      </c>
      <c r="C225" s="10" t="inlineStr">
        <is>
          <t>2019-05</t>
        </is>
      </c>
      <c r="D225" s="10" t="n">
        <v>2</v>
      </c>
      <c r="E225" s="12" t="n">
        <v>4793.2</v>
      </c>
      <c r="F225" s="12" t="n">
        <v>5541.4</v>
      </c>
      <c r="G225" s="12" t="n">
        <v>-748.2</v>
      </c>
      <c r="H225" s="13" t="n">
        <v>0.023</v>
      </c>
      <c r="I225" s="13" t="n">
        <v>0.0227</v>
      </c>
    </row>
    <row r="226">
      <c r="A226" s="10" t="inlineStr">
        <is>
          <t>PJ-2019-A</t>
        </is>
      </c>
      <c r="B226" s="10" t="inlineStr">
        <is>
          <t>素朴版／単調補間</t>
        </is>
      </c>
      <c r="C226" s="10" t="inlineStr">
        <is>
          <t>2019-06</t>
        </is>
      </c>
      <c r="D226" s="10" t="n">
        <v>3</v>
      </c>
      <c r="E226" s="12" t="n">
        <v>5272.7</v>
      </c>
      <c r="F226" s="12" t="n">
        <v>6929.4</v>
      </c>
      <c r="G226" s="12" t="n">
        <v>-1656.7</v>
      </c>
      <c r="H226" s="13" t="n">
        <v>0.0369</v>
      </c>
      <c r="I226" s="13" t="n">
        <v>0.0409</v>
      </c>
    </row>
    <row r="227">
      <c r="A227" s="10" t="inlineStr">
        <is>
          <t>PJ-2019-A</t>
        </is>
      </c>
      <c r="B227" s="10" t="inlineStr">
        <is>
          <t>素朴版／単調補間</t>
        </is>
      </c>
      <c r="C227" s="10" t="inlineStr">
        <is>
          <t>2019-07</t>
        </is>
      </c>
      <c r="D227" s="10" t="n">
        <v>4</v>
      </c>
      <c r="E227" s="12" t="n">
        <v>5999.8</v>
      </c>
      <c r="F227" s="12" t="n">
        <v>8197.200000000001</v>
      </c>
      <c r="G227" s="12" t="n">
        <v>-2197.4</v>
      </c>
      <c r="H227" s="13" t="n">
        <v>0.0527</v>
      </c>
      <c r="I227" s="13" t="n">
        <v>0.0625</v>
      </c>
    </row>
    <row r="228">
      <c r="A228" s="10" t="inlineStr">
        <is>
          <t>PJ-2019-A</t>
        </is>
      </c>
      <c r="B228" s="10" t="inlineStr">
        <is>
          <t>素朴版／単調補間</t>
        </is>
      </c>
      <c r="C228" s="10" t="inlineStr">
        <is>
          <t>2019-08</t>
        </is>
      </c>
      <c r="D228" s="10" t="n">
        <v>5</v>
      </c>
      <c r="E228" s="12" t="n">
        <v>6402.2</v>
      </c>
      <c r="F228" s="12" t="n">
        <v>9127.4</v>
      </c>
      <c r="G228" s="12" t="n">
        <v>-2725.2</v>
      </c>
      <c r="H228" s="13" t="n">
        <v>0.0696</v>
      </c>
      <c r="I228" s="13" t="n">
        <v>0.0866</v>
      </c>
    </row>
    <row r="229">
      <c r="A229" s="10" t="inlineStr">
        <is>
          <t>PJ-2019-A</t>
        </is>
      </c>
      <c r="B229" s="10" t="inlineStr">
        <is>
          <t>素朴版／単調補間</t>
        </is>
      </c>
      <c r="C229" s="10" t="inlineStr">
        <is>
          <t>2019-09</t>
        </is>
      </c>
      <c r="D229" s="10" t="n">
        <v>6</v>
      </c>
      <c r="E229" s="12" t="n">
        <v>6621.9</v>
      </c>
      <c r="F229" s="12" t="n">
        <v>9824.700000000001</v>
      </c>
      <c r="G229" s="12" t="n">
        <v>-3202.8</v>
      </c>
      <c r="H229" s="13" t="n">
        <v>0.0871</v>
      </c>
      <c r="I229" s="13" t="n">
        <v>0.1125</v>
      </c>
    </row>
    <row r="230">
      <c r="A230" s="10" t="inlineStr">
        <is>
          <t>PJ-2019-A</t>
        </is>
      </c>
      <c r="B230" s="10" t="inlineStr">
        <is>
          <t>素朴版／単調補間</t>
        </is>
      </c>
      <c r="C230" s="10" t="inlineStr">
        <is>
          <t>2019-10</t>
        </is>
      </c>
      <c r="D230" s="10" t="n">
        <v>7</v>
      </c>
      <c r="E230" s="12" t="n">
        <v>7262.9</v>
      </c>
      <c r="F230" s="12" t="n">
        <v>7570.4</v>
      </c>
      <c r="G230" s="12" t="n">
        <v>-307.5</v>
      </c>
      <c r="H230" s="13" t="n">
        <v>0.1062</v>
      </c>
      <c r="I230" s="13" t="n">
        <v>0.1324</v>
      </c>
    </row>
    <row r="231">
      <c r="A231" s="10" t="inlineStr">
        <is>
          <t>PJ-2019-A</t>
        </is>
      </c>
      <c r="B231" s="10" t="inlineStr">
        <is>
          <t>素朴版／単調補間</t>
        </is>
      </c>
      <c r="C231" s="10" t="inlineStr">
        <is>
          <t>2019-11</t>
        </is>
      </c>
      <c r="D231" s="10" t="n">
        <v>8</v>
      </c>
      <c r="E231" s="12" t="n">
        <v>7319.7</v>
      </c>
      <c r="F231" s="12" t="n">
        <v>7669.4</v>
      </c>
      <c r="G231" s="12" t="n">
        <v>-349.7</v>
      </c>
      <c r="H231" s="13" t="n">
        <v>0.1255</v>
      </c>
      <c r="I231" s="13" t="n">
        <v>0.1526</v>
      </c>
    </row>
    <row r="232">
      <c r="A232" s="10" t="inlineStr">
        <is>
          <t>PJ-2019-A</t>
        </is>
      </c>
      <c r="B232" s="10" t="inlineStr">
        <is>
          <t>素朴版／単調補間</t>
        </is>
      </c>
      <c r="C232" s="10" t="inlineStr">
        <is>
          <t>2019-12</t>
        </is>
      </c>
      <c r="D232" s="10" t="n">
        <v>9</v>
      </c>
      <c r="E232" s="12" t="n">
        <v>8322</v>
      </c>
      <c r="F232" s="12" t="n">
        <v>7989.5</v>
      </c>
      <c r="G232" s="12" t="n">
        <v>332.5</v>
      </c>
      <c r="H232" s="13" t="n">
        <v>0.1474</v>
      </c>
      <c r="I232" s="13" t="n">
        <v>0.1737</v>
      </c>
    </row>
    <row r="233">
      <c r="A233" s="10" t="inlineStr">
        <is>
          <t>PJ-2019-A</t>
        </is>
      </c>
      <c r="B233" s="10" t="inlineStr">
        <is>
          <t>素朴版／単調補間</t>
        </is>
      </c>
      <c r="C233" s="10" t="inlineStr">
        <is>
          <t>2020-01</t>
        </is>
      </c>
      <c r="D233" s="10" t="n">
        <v>10</v>
      </c>
      <c r="E233" s="12" t="n">
        <v>9205.700000000001</v>
      </c>
      <c r="F233" s="12" t="n">
        <v>8507.5</v>
      </c>
      <c r="G233" s="12" t="n">
        <v>698.2</v>
      </c>
      <c r="H233" s="13" t="n">
        <v>0.1717</v>
      </c>
      <c r="I233" s="13" t="n">
        <v>0.1961</v>
      </c>
    </row>
    <row r="234">
      <c r="A234" s="10" t="inlineStr">
        <is>
          <t>PJ-2019-A</t>
        </is>
      </c>
      <c r="B234" s="10" t="inlineStr">
        <is>
          <t>素朴版／単調補間</t>
        </is>
      </c>
      <c r="C234" s="10" t="inlineStr">
        <is>
          <t>2020-02</t>
        </is>
      </c>
      <c r="D234" s="10" t="n">
        <v>11</v>
      </c>
      <c r="E234" s="12" t="n">
        <v>10201.9</v>
      </c>
      <c r="F234" s="12" t="n">
        <v>8132.8</v>
      </c>
      <c r="G234" s="12" t="n">
        <v>2069.1</v>
      </c>
      <c r="H234" s="13" t="n">
        <v>0.1985</v>
      </c>
      <c r="I234" s="13" t="n">
        <v>0.2175</v>
      </c>
    </row>
    <row r="235">
      <c r="A235" s="10" t="inlineStr">
        <is>
          <t>PJ-2019-A</t>
        </is>
      </c>
      <c r="B235" s="10" t="inlineStr">
        <is>
          <t>素朴版／単調補間</t>
        </is>
      </c>
      <c r="C235" s="10" t="inlineStr">
        <is>
          <t>2020-03</t>
        </is>
      </c>
      <c r="D235" s="10" t="n">
        <v>12</v>
      </c>
      <c r="E235" s="12" t="n">
        <v>11624.3</v>
      </c>
      <c r="F235" s="12" t="n">
        <v>9311.5</v>
      </c>
      <c r="G235" s="12" t="n">
        <v>2312.8</v>
      </c>
      <c r="H235" s="13" t="n">
        <v>0.2292</v>
      </c>
      <c r="I235" s="13" t="n">
        <v>0.2421</v>
      </c>
    </row>
    <row r="236">
      <c r="A236" s="10" t="inlineStr">
        <is>
          <t>PJ-2019-A</t>
        </is>
      </c>
      <c r="B236" s="10" t="inlineStr">
        <is>
          <t>素朴版／単調補間</t>
        </is>
      </c>
      <c r="C236" s="10" t="inlineStr">
        <is>
          <t>2020-04</t>
        </is>
      </c>
      <c r="D236" s="10" t="n">
        <v>13</v>
      </c>
      <c r="E236" s="12" t="n">
        <v>12143</v>
      </c>
      <c r="F236" s="12" t="n">
        <v>9039.6</v>
      </c>
      <c r="G236" s="12" t="n">
        <v>3103.4</v>
      </c>
      <c r="H236" s="13" t="n">
        <v>0.2612</v>
      </c>
      <c r="I236" s="13" t="n">
        <v>0.2659</v>
      </c>
    </row>
    <row r="237">
      <c r="A237" s="10" t="inlineStr">
        <is>
          <t>PJ-2019-A</t>
        </is>
      </c>
      <c r="B237" s="10" t="inlineStr">
        <is>
          <t>素朴版／単調補間</t>
        </is>
      </c>
      <c r="C237" s="10" t="inlineStr">
        <is>
          <t>2020-05</t>
        </is>
      </c>
      <c r="D237" s="10" t="n">
        <v>14</v>
      </c>
      <c r="E237" s="12" t="n">
        <v>13392.3</v>
      </c>
      <c r="F237" s="12" t="n">
        <v>9635.799999999999</v>
      </c>
      <c r="G237" s="12" t="n">
        <v>3756.5</v>
      </c>
      <c r="H237" s="13" t="n">
        <v>0.2964</v>
      </c>
      <c r="I237" s="13" t="n">
        <v>0.2913</v>
      </c>
    </row>
    <row r="238">
      <c r="A238" s="10" t="inlineStr">
        <is>
          <t>PJ-2019-A</t>
        </is>
      </c>
      <c r="B238" s="10" t="inlineStr">
        <is>
          <t>素朴版／単調補間</t>
        </is>
      </c>
      <c r="C238" s="10" t="inlineStr">
        <is>
          <t>2020-06</t>
        </is>
      </c>
      <c r="D238" s="10" t="n">
        <v>15</v>
      </c>
      <c r="E238" s="12" t="n">
        <v>14106</v>
      </c>
      <c r="F238" s="12" t="n">
        <v>10344.9</v>
      </c>
      <c r="G238" s="12" t="n">
        <v>3761.1</v>
      </c>
      <c r="H238" s="13" t="n">
        <v>0.3336</v>
      </c>
      <c r="I238" s="13" t="n">
        <v>0.3185</v>
      </c>
    </row>
    <row r="239">
      <c r="A239" s="10" t="inlineStr">
        <is>
          <t>PJ-2019-A</t>
        </is>
      </c>
      <c r="B239" s="10" t="inlineStr">
        <is>
          <t>素朴版／単調補間</t>
        </is>
      </c>
      <c r="C239" s="10" t="inlineStr">
        <is>
          <t>2020-07</t>
        </is>
      </c>
      <c r="D239" s="10" t="n">
        <v>16</v>
      </c>
      <c r="E239" s="12" t="n">
        <v>13421</v>
      </c>
      <c r="F239" s="12" t="n">
        <v>11426.7</v>
      </c>
      <c r="G239" s="12" t="n">
        <v>1994.3</v>
      </c>
      <c r="H239" s="13" t="n">
        <v>0.369</v>
      </c>
      <c r="I239" s="13" t="n">
        <v>0.3486</v>
      </c>
    </row>
    <row r="240">
      <c r="A240" s="10" t="inlineStr">
        <is>
          <t>PJ-2019-A</t>
        </is>
      </c>
      <c r="B240" s="10" t="inlineStr">
        <is>
          <t>素朴版／単調補間</t>
        </is>
      </c>
      <c r="C240" s="10" t="inlineStr">
        <is>
          <t>2020-08</t>
        </is>
      </c>
      <c r="D240" s="10" t="n">
        <v>17</v>
      </c>
      <c r="E240" s="12" t="n">
        <v>12612.9</v>
      </c>
      <c r="F240" s="12" t="n">
        <v>12271.1</v>
      </c>
      <c r="G240" s="12" t="n">
        <v>341.8</v>
      </c>
      <c r="H240" s="13" t="n">
        <v>0.4022</v>
      </c>
      <c r="I240" s="13" t="n">
        <v>0.3809</v>
      </c>
    </row>
    <row r="241">
      <c r="A241" s="10" t="inlineStr">
        <is>
          <t>PJ-2019-A</t>
        </is>
      </c>
      <c r="B241" s="10" t="inlineStr">
        <is>
          <t>素朴版／単調補間</t>
        </is>
      </c>
      <c r="C241" s="10" t="inlineStr">
        <is>
          <t>2020-09</t>
        </is>
      </c>
      <c r="D241" s="10" t="n">
        <v>18</v>
      </c>
      <c r="E241" s="12" t="n">
        <v>12129.6</v>
      </c>
      <c r="F241" s="12" t="n">
        <v>12547.9</v>
      </c>
      <c r="G241" s="12" t="n">
        <v>-418.3</v>
      </c>
      <c r="H241" s="13" t="n">
        <v>0.4341</v>
      </c>
      <c r="I241" s="13" t="n">
        <v>0.414</v>
      </c>
    </row>
    <row r="242">
      <c r="A242" s="10" t="inlineStr">
        <is>
          <t>PJ-2019-A</t>
        </is>
      </c>
      <c r="B242" s="10" t="inlineStr">
        <is>
          <t>素朴版／単調補間</t>
        </is>
      </c>
      <c r="C242" s="10" t="inlineStr">
        <is>
          <t>2020-10</t>
        </is>
      </c>
      <c r="D242" s="10" t="n">
        <v>19</v>
      </c>
      <c r="E242" s="12" t="n">
        <v>14360.9</v>
      </c>
      <c r="F242" s="12" t="n">
        <v>14214.2</v>
      </c>
      <c r="G242" s="12" t="n">
        <v>146.7</v>
      </c>
      <c r="H242" s="13" t="n">
        <v>0.472</v>
      </c>
      <c r="I242" s="13" t="n">
        <v>0.4515</v>
      </c>
    </row>
    <row r="243">
      <c r="A243" s="10" t="inlineStr">
        <is>
          <t>PJ-2019-A</t>
        </is>
      </c>
      <c r="B243" s="10" t="inlineStr">
        <is>
          <t>素朴版／単調補間</t>
        </is>
      </c>
      <c r="C243" s="10" t="inlineStr">
        <is>
          <t>2020-11</t>
        </is>
      </c>
      <c r="D243" s="10" t="n">
        <v>20</v>
      </c>
      <c r="E243" s="12" t="n">
        <v>13965.9</v>
      </c>
      <c r="F243" s="12" t="n">
        <v>16661.4</v>
      </c>
      <c r="G243" s="12" t="n">
        <v>-2695.5</v>
      </c>
      <c r="H243" s="13" t="n">
        <v>0.5088</v>
      </c>
      <c r="I243" s="13" t="n">
        <v>0.4953</v>
      </c>
    </row>
    <row r="244">
      <c r="A244" s="10" t="inlineStr">
        <is>
          <t>PJ-2019-A</t>
        </is>
      </c>
      <c r="B244" s="10" t="inlineStr">
        <is>
          <t>素朴版／単調補間</t>
        </is>
      </c>
      <c r="C244" s="10" t="inlineStr">
        <is>
          <t>2020-12</t>
        </is>
      </c>
      <c r="D244" s="10" t="n">
        <v>21</v>
      </c>
      <c r="E244" s="12" t="n">
        <v>15031.4</v>
      </c>
      <c r="F244" s="12" t="n">
        <v>15314.9</v>
      </c>
      <c r="G244" s="12" t="n">
        <v>-283.5</v>
      </c>
      <c r="H244" s="13" t="n">
        <v>0.5484</v>
      </c>
      <c r="I244" s="13" t="n">
        <v>0.5357</v>
      </c>
    </row>
    <row r="245">
      <c r="A245" s="10" t="inlineStr">
        <is>
          <t>PJ-2019-A</t>
        </is>
      </c>
      <c r="B245" s="10" t="inlineStr">
        <is>
          <t>素朴版／単調補間</t>
        </is>
      </c>
      <c r="C245" s="10" t="inlineStr">
        <is>
          <t>2021-01</t>
        </is>
      </c>
      <c r="D245" s="10" t="n">
        <v>22</v>
      </c>
      <c r="E245" s="12" t="n">
        <v>16205.1</v>
      </c>
      <c r="F245" s="12" t="n">
        <v>13490.4</v>
      </c>
      <c r="G245" s="12" t="n">
        <v>2714.7</v>
      </c>
      <c r="H245" s="13" t="n">
        <v>0.5911</v>
      </c>
      <c r="I245" s="13" t="n">
        <v>0.5712</v>
      </c>
    </row>
    <row r="246">
      <c r="A246" s="10" t="inlineStr">
        <is>
          <t>PJ-2019-A</t>
        </is>
      </c>
      <c r="B246" s="10" t="inlineStr">
        <is>
          <t>素朴版／単調補間</t>
        </is>
      </c>
      <c r="C246" s="10" t="inlineStr">
        <is>
          <t>2021-02</t>
        </is>
      </c>
      <c r="D246" s="10" t="n">
        <v>23</v>
      </c>
      <c r="E246" s="12" t="n">
        <v>15532.1</v>
      </c>
      <c r="F246" s="12" t="n">
        <v>11965.7</v>
      </c>
      <c r="G246" s="12" t="n">
        <v>3566.4</v>
      </c>
      <c r="H246" s="13" t="n">
        <v>0.632</v>
      </c>
      <c r="I246" s="13" t="n">
        <v>0.6028</v>
      </c>
    </row>
    <row r="247">
      <c r="A247" s="10" t="inlineStr">
        <is>
          <t>PJ-2019-A</t>
        </is>
      </c>
      <c r="B247" s="10" t="inlineStr">
        <is>
          <t>素朴版／単調補間</t>
        </is>
      </c>
      <c r="C247" s="10" t="inlineStr">
        <is>
          <t>2021-03</t>
        </is>
      </c>
      <c r="D247" s="10" t="n">
        <v>24</v>
      </c>
      <c r="E247" s="12" t="n">
        <v>16336.1</v>
      </c>
      <c r="F247" s="12" t="n">
        <v>12853.7</v>
      </c>
      <c r="G247" s="12" t="n">
        <v>3482.4</v>
      </c>
      <c r="H247" s="13" t="n">
        <v>0.675</v>
      </c>
      <c r="I247" s="13" t="n">
        <v>0.6366000000000001</v>
      </c>
    </row>
    <row r="248">
      <c r="A248" s="10" t="inlineStr">
        <is>
          <t>PJ-2019-A</t>
        </is>
      </c>
      <c r="B248" s="10" t="inlineStr">
        <is>
          <t>素朴版／単調補間</t>
        </is>
      </c>
      <c r="C248" s="10" t="inlineStr">
        <is>
          <t>2021-04</t>
        </is>
      </c>
      <c r="D248" s="10" t="n">
        <v>25</v>
      </c>
      <c r="E248" s="12" t="n">
        <v>14768.7</v>
      </c>
      <c r="F248" s="12" t="n">
        <v>12825.4</v>
      </c>
      <c r="G248" s="12" t="n">
        <v>1943.3</v>
      </c>
      <c r="H248" s="13" t="n">
        <v>0.7139</v>
      </c>
      <c r="I248" s="13" t="n">
        <v>0.6704</v>
      </c>
    </row>
    <row r="249">
      <c r="A249" s="10" t="inlineStr">
        <is>
          <t>PJ-2019-A</t>
        </is>
      </c>
      <c r="B249" s="10" t="inlineStr">
        <is>
          <t>素朴版／単調補間</t>
        </is>
      </c>
      <c r="C249" s="10" t="inlineStr">
        <is>
          <t>2021-05</t>
        </is>
      </c>
      <c r="D249" s="10" t="n">
        <v>26</v>
      </c>
      <c r="E249" s="12" t="n">
        <v>13997.6</v>
      </c>
      <c r="F249" s="12" t="n">
        <v>13976.5</v>
      </c>
      <c r="G249" s="12" t="n">
        <v>21.1</v>
      </c>
      <c r="H249" s="13" t="n">
        <v>0.7508</v>
      </c>
      <c r="I249" s="13" t="n">
        <v>0.7072000000000001</v>
      </c>
    </row>
    <row r="250">
      <c r="A250" s="10" t="inlineStr">
        <is>
          <t>PJ-2019-A</t>
        </is>
      </c>
      <c r="B250" s="10" t="inlineStr">
        <is>
          <t>素朴版／単調補間</t>
        </is>
      </c>
      <c r="C250" s="10" t="inlineStr">
        <is>
          <t>2021-06</t>
        </is>
      </c>
      <c r="D250" s="10" t="n">
        <v>27</v>
      </c>
      <c r="E250" s="12" t="n">
        <v>13157.8</v>
      </c>
      <c r="F250" s="12" t="n">
        <v>14724.1</v>
      </c>
      <c r="G250" s="12" t="n">
        <v>-1566.3</v>
      </c>
      <c r="H250" s="13" t="n">
        <v>0.7855</v>
      </c>
      <c r="I250" s="13" t="n">
        <v>0.746</v>
      </c>
    </row>
    <row r="251">
      <c r="A251" s="10" t="inlineStr">
        <is>
          <t>PJ-2019-A</t>
        </is>
      </c>
      <c r="B251" s="10" t="inlineStr">
        <is>
          <t>素朴版／単調補間</t>
        </is>
      </c>
      <c r="C251" s="10" t="inlineStr">
        <is>
          <t>2021-07</t>
        </is>
      </c>
      <c r="D251" s="10" t="n">
        <v>28</v>
      </c>
      <c r="E251" s="12" t="n">
        <v>13286.2</v>
      </c>
      <c r="F251" s="12" t="n">
        <v>17311.9</v>
      </c>
      <c r="G251" s="12" t="n">
        <v>-4025.7</v>
      </c>
      <c r="H251" s="13" t="n">
        <v>0.8205</v>
      </c>
      <c r="I251" s="13" t="n">
        <v>0.7916</v>
      </c>
    </row>
    <row r="252">
      <c r="A252" s="10" t="inlineStr">
        <is>
          <t>PJ-2019-A</t>
        </is>
      </c>
      <c r="B252" s="10" t="inlineStr">
        <is>
          <t>素朴版／単調補間</t>
        </is>
      </c>
      <c r="C252" s="10" t="inlineStr">
        <is>
          <t>2021-08</t>
        </is>
      </c>
      <c r="D252" s="10" t="n">
        <v>29</v>
      </c>
      <c r="E252" s="12" t="n">
        <v>13401.2</v>
      </c>
      <c r="F252" s="12" t="n">
        <v>19848.8</v>
      </c>
      <c r="G252" s="12" t="n">
        <v>-6447.6</v>
      </c>
      <c r="H252" s="13" t="n">
        <v>0.8558</v>
      </c>
      <c r="I252" s="13" t="n">
        <v>0.8439</v>
      </c>
    </row>
    <row r="253">
      <c r="A253" s="10" t="inlineStr">
        <is>
          <t>PJ-2019-A</t>
        </is>
      </c>
      <c r="B253" s="10" t="inlineStr">
        <is>
          <t>素朴版／単調補間</t>
        </is>
      </c>
      <c r="C253" s="10" t="inlineStr">
        <is>
          <t>2021-09</t>
        </is>
      </c>
      <c r="D253" s="10" t="n">
        <v>30</v>
      </c>
      <c r="E253" s="12" t="n">
        <v>12282.1</v>
      </c>
      <c r="F253" s="12" t="n">
        <v>17282.1</v>
      </c>
      <c r="G253" s="12" t="n">
        <v>-5000</v>
      </c>
      <c r="H253" s="13" t="n">
        <v>0.8882</v>
      </c>
      <c r="I253" s="13" t="n">
        <v>0.8895</v>
      </c>
    </row>
    <row r="254">
      <c r="A254" s="10" t="inlineStr">
        <is>
          <t>PJ-2019-A</t>
        </is>
      </c>
      <c r="B254" s="10" t="inlineStr">
        <is>
          <t>素朴版／単調補間</t>
        </is>
      </c>
      <c r="C254" s="10" t="inlineStr">
        <is>
          <t>2021-10</t>
        </is>
      </c>
      <c r="D254" s="10" t="n">
        <v>31</v>
      </c>
      <c r="E254" s="12" t="n">
        <v>10804</v>
      </c>
      <c r="F254" s="12" t="n">
        <v>13450.6</v>
      </c>
      <c r="G254" s="12" t="n">
        <v>-2646.6</v>
      </c>
      <c r="H254" s="13" t="n">
        <v>0.9166</v>
      </c>
      <c r="I254" s="13" t="n">
        <v>0.9249000000000001</v>
      </c>
    </row>
    <row r="255">
      <c r="A255" s="10" t="inlineStr">
        <is>
          <t>PJ-2019-A</t>
        </is>
      </c>
      <c r="B255" s="10" t="inlineStr">
        <is>
          <t>素朴版／単調補間</t>
        </is>
      </c>
      <c r="C255" s="10" t="inlineStr">
        <is>
          <t>2021-11</t>
        </is>
      </c>
      <c r="D255" s="10" t="n">
        <v>32</v>
      </c>
      <c r="E255" s="12" t="n">
        <v>8898</v>
      </c>
      <c r="F255" s="12" t="n">
        <v>9371.200000000001</v>
      </c>
      <c r="G255" s="12" t="n">
        <v>-473.2</v>
      </c>
      <c r="H255" s="13" t="n">
        <v>0.9401</v>
      </c>
      <c r="I255" s="13" t="n">
        <v>0.9496</v>
      </c>
    </row>
    <row r="256">
      <c r="A256" s="10" t="inlineStr">
        <is>
          <t>PJ-2019-A</t>
        </is>
      </c>
      <c r="B256" s="10" t="inlineStr">
        <is>
          <t>素朴版／単調補間</t>
        </is>
      </c>
      <c r="C256" s="10" t="inlineStr">
        <is>
          <t>2021-12</t>
        </is>
      </c>
      <c r="D256" s="10" t="n">
        <v>33</v>
      </c>
      <c r="E256" s="12" t="n">
        <v>7895.3</v>
      </c>
      <c r="F256" s="12" t="n">
        <v>9266</v>
      </c>
      <c r="G256" s="12" t="n">
        <v>-1370.7</v>
      </c>
      <c r="H256" s="13" t="n">
        <v>0.9609</v>
      </c>
      <c r="I256" s="13" t="n">
        <v>0.974</v>
      </c>
    </row>
    <row r="257">
      <c r="A257" s="10" t="inlineStr">
        <is>
          <t>PJ-2019-A</t>
        </is>
      </c>
      <c r="B257" s="10" t="inlineStr">
        <is>
          <t>素朴版／単調補間</t>
        </is>
      </c>
      <c r="C257" s="10" t="inlineStr">
        <is>
          <t>2022-01</t>
        </is>
      </c>
      <c r="D257" s="10" t="n">
        <v>34</v>
      </c>
      <c r="E257" s="12" t="n">
        <v>6775.9</v>
      </c>
      <c r="F257" s="12" t="n">
        <v>5982.7</v>
      </c>
      <c r="G257" s="12" t="n">
        <v>793.2</v>
      </c>
      <c r="H257" s="13" t="n">
        <v>0.9787</v>
      </c>
      <c r="I257" s="13" t="n">
        <v>0.9898</v>
      </c>
    </row>
    <row r="258">
      <c r="A258" s="10" t="inlineStr">
        <is>
          <t>PJ-2019-A</t>
        </is>
      </c>
      <c r="B258" s="10" t="inlineStr">
        <is>
          <t>素朴版／単調補間</t>
        </is>
      </c>
      <c r="C258" s="10" t="inlineStr">
        <is>
          <t>2022-02</t>
        </is>
      </c>
      <c r="D258" s="10" t="n">
        <v>35</v>
      </c>
      <c r="E258" s="12" t="n">
        <v>4822</v>
      </c>
      <c r="F258" s="12" t="n">
        <v>2863</v>
      </c>
      <c r="G258" s="12" t="n">
        <v>1959</v>
      </c>
      <c r="H258" s="13" t="n">
        <v>0.9913999999999999</v>
      </c>
      <c r="I258" s="13" t="n">
        <v>0.9973</v>
      </c>
    </row>
    <row r="259">
      <c r="A259" s="10" t="inlineStr">
        <is>
          <t>PJ-2019-A</t>
        </is>
      </c>
      <c r="B259" s="10" t="inlineStr">
        <is>
          <t>素朴版／単調補間</t>
        </is>
      </c>
      <c r="C259" s="10" t="inlineStr">
        <is>
          <t>2022-03</t>
        </is>
      </c>
      <c r="D259" s="10" t="n">
        <v>36</v>
      </c>
      <c r="E259" s="12" t="n">
        <v>3254.4</v>
      </c>
      <c r="F259" s="12" t="n">
        <v>1019.3</v>
      </c>
      <c r="G259" s="12" t="n">
        <v>2235.1</v>
      </c>
      <c r="H259" s="13" t="n">
        <v>1</v>
      </c>
      <c r="I259" s="13" t="n">
        <v>1</v>
      </c>
    </row>
    <row r="260">
      <c r="A260" s="10" t="inlineStr">
        <is>
          <t>PJ-2019-A</t>
        </is>
      </c>
      <c r="B260" s="10" t="inlineStr">
        <is>
          <t>位置合わせ(MS学習値)／単調補間</t>
        </is>
      </c>
      <c r="C260" s="10" t="inlineStr">
        <is>
          <t>2019-04</t>
        </is>
      </c>
      <c r="D260" s="10" t="n">
        <v>1</v>
      </c>
      <c r="E260" s="12" t="n">
        <v>3953.7</v>
      </c>
      <c r="F260" s="12" t="n">
        <v>3071.8</v>
      </c>
      <c r="G260" s="12" t="n">
        <v>881.9</v>
      </c>
      <c r="H260" s="13" t="n">
        <v>0.0104</v>
      </c>
      <c r="I260" s="13" t="n">
        <v>0.0081</v>
      </c>
    </row>
    <row r="261">
      <c r="A261" s="10" t="inlineStr">
        <is>
          <t>PJ-2019-A</t>
        </is>
      </c>
      <c r="B261" s="10" t="inlineStr">
        <is>
          <t>位置合わせ(MS学習値)／単調補間</t>
        </is>
      </c>
      <c r="C261" s="10" t="inlineStr">
        <is>
          <t>2019-05</t>
        </is>
      </c>
      <c r="D261" s="10" t="n">
        <v>2</v>
      </c>
      <c r="E261" s="12" t="n">
        <v>4697.2</v>
      </c>
      <c r="F261" s="12" t="n">
        <v>5541.4</v>
      </c>
      <c r="G261" s="12" t="n">
        <v>-844.2</v>
      </c>
      <c r="H261" s="13" t="n">
        <v>0.0228</v>
      </c>
      <c r="I261" s="13" t="n">
        <v>0.0227</v>
      </c>
    </row>
    <row r="262">
      <c r="A262" s="10" t="inlineStr">
        <is>
          <t>PJ-2019-A</t>
        </is>
      </c>
      <c r="B262" s="10" t="inlineStr">
        <is>
          <t>位置合わせ(MS学習値)／単調補間</t>
        </is>
      </c>
      <c r="C262" s="10" t="inlineStr">
        <is>
          <t>2019-06</t>
        </is>
      </c>
      <c r="D262" s="10" t="n">
        <v>3</v>
      </c>
      <c r="E262" s="12" t="n">
        <v>5192.4</v>
      </c>
      <c r="F262" s="12" t="n">
        <v>6929.4</v>
      </c>
      <c r="G262" s="12" t="n">
        <v>-1737</v>
      </c>
      <c r="H262" s="13" t="n">
        <v>0.0365</v>
      </c>
      <c r="I262" s="13" t="n">
        <v>0.0409</v>
      </c>
    </row>
    <row r="263">
      <c r="A263" s="10" t="inlineStr">
        <is>
          <t>PJ-2019-A</t>
        </is>
      </c>
      <c r="B263" s="10" t="inlineStr">
        <is>
          <t>位置合わせ(MS学習値)／単調補間</t>
        </is>
      </c>
      <c r="C263" s="10" t="inlineStr">
        <is>
          <t>2019-07</t>
        </is>
      </c>
      <c r="D263" s="10" t="n">
        <v>4</v>
      </c>
      <c r="E263" s="12" t="n">
        <v>5916.3</v>
      </c>
      <c r="F263" s="12" t="n">
        <v>8197.200000000001</v>
      </c>
      <c r="G263" s="12" t="n">
        <v>-2280.9</v>
      </c>
      <c r="H263" s="13" t="n">
        <v>0.0521</v>
      </c>
      <c r="I263" s="13" t="n">
        <v>0.0625</v>
      </c>
    </row>
    <row r="264">
      <c r="A264" s="10" t="inlineStr">
        <is>
          <t>PJ-2019-A</t>
        </is>
      </c>
      <c r="B264" s="10" t="inlineStr">
        <is>
          <t>位置合わせ(MS学習値)／単調補間</t>
        </is>
      </c>
      <c r="C264" s="10" t="inlineStr">
        <is>
          <t>2019-08</t>
        </is>
      </c>
      <c r="D264" s="10" t="n">
        <v>5</v>
      </c>
      <c r="E264" s="12" t="n">
        <v>6227.3</v>
      </c>
      <c r="F264" s="12" t="n">
        <v>9127.4</v>
      </c>
      <c r="G264" s="12" t="n">
        <v>-2900.1</v>
      </c>
      <c r="H264" s="13" t="n">
        <v>0.06850000000000001</v>
      </c>
      <c r="I264" s="13" t="n">
        <v>0.0866</v>
      </c>
    </row>
    <row r="265">
      <c r="A265" s="10" t="inlineStr">
        <is>
          <t>PJ-2019-A</t>
        </is>
      </c>
      <c r="B265" s="10" t="inlineStr">
        <is>
          <t>位置合わせ(MS学習値)／単調補間</t>
        </is>
      </c>
      <c r="C265" s="10" t="inlineStr">
        <is>
          <t>2019-09</t>
        </is>
      </c>
      <c r="D265" s="10" t="n">
        <v>6</v>
      </c>
      <c r="E265" s="12" t="n">
        <v>6549.7</v>
      </c>
      <c r="F265" s="12" t="n">
        <v>9824.700000000001</v>
      </c>
      <c r="G265" s="12" t="n">
        <v>-3275</v>
      </c>
      <c r="H265" s="13" t="n">
        <v>0.0857</v>
      </c>
      <c r="I265" s="13" t="n">
        <v>0.1125</v>
      </c>
    </row>
    <row r="266">
      <c r="A266" s="10" t="inlineStr">
        <is>
          <t>PJ-2019-A</t>
        </is>
      </c>
      <c r="B266" s="10" t="inlineStr">
        <is>
          <t>位置合わせ(MS学習値)／単調補間</t>
        </is>
      </c>
      <c r="C266" s="10" t="inlineStr">
        <is>
          <t>2019-10</t>
        </is>
      </c>
      <c r="D266" s="10" t="n">
        <v>7</v>
      </c>
      <c r="E266" s="12" t="n">
        <v>7091.3</v>
      </c>
      <c r="F266" s="12" t="n">
        <v>7570.4</v>
      </c>
      <c r="G266" s="12" t="n">
        <v>-479.1</v>
      </c>
      <c r="H266" s="13" t="n">
        <v>0.1044</v>
      </c>
      <c r="I266" s="13" t="n">
        <v>0.1324</v>
      </c>
    </row>
    <row r="267">
      <c r="A267" s="10" t="inlineStr">
        <is>
          <t>PJ-2019-A</t>
        </is>
      </c>
      <c r="B267" s="10" t="inlineStr">
        <is>
          <t>位置合わせ(MS学習値)／単調補間</t>
        </is>
      </c>
      <c r="C267" s="10" t="inlineStr">
        <is>
          <t>2019-11</t>
        </is>
      </c>
      <c r="D267" s="10" t="n">
        <v>8</v>
      </c>
      <c r="E267" s="12" t="n">
        <v>7251.6</v>
      </c>
      <c r="F267" s="12" t="n">
        <v>7669.4</v>
      </c>
      <c r="G267" s="12" t="n">
        <v>-417.8</v>
      </c>
      <c r="H267" s="13" t="n">
        <v>0.1235</v>
      </c>
      <c r="I267" s="13" t="n">
        <v>0.1526</v>
      </c>
    </row>
    <row r="268">
      <c r="A268" s="10" t="inlineStr">
        <is>
          <t>PJ-2019-A</t>
        </is>
      </c>
      <c r="B268" s="10" t="inlineStr">
        <is>
          <t>位置合わせ(MS学習値)／単調補間</t>
        </is>
      </c>
      <c r="C268" s="10" t="inlineStr">
        <is>
          <t>2019-12</t>
        </is>
      </c>
      <c r="D268" s="10" t="n">
        <v>9</v>
      </c>
      <c r="E268" s="12" t="n">
        <v>8138.7</v>
      </c>
      <c r="F268" s="12" t="n">
        <v>7989.5</v>
      </c>
      <c r="G268" s="12" t="n">
        <v>149.2</v>
      </c>
      <c r="H268" s="13" t="n">
        <v>0.145</v>
      </c>
      <c r="I268" s="13" t="n">
        <v>0.1737</v>
      </c>
    </row>
    <row r="269">
      <c r="A269" s="10" t="inlineStr">
        <is>
          <t>PJ-2019-A</t>
        </is>
      </c>
      <c r="B269" s="10" t="inlineStr">
        <is>
          <t>位置合わせ(MS学習値)／単調補間</t>
        </is>
      </c>
      <c r="C269" s="10" t="inlineStr">
        <is>
          <t>2020-01</t>
        </is>
      </c>
      <c r="D269" s="10" t="n">
        <v>10</v>
      </c>
      <c r="E269" s="12" t="n">
        <v>8746.299999999999</v>
      </c>
      <c r="F269" s="12" t="n">
        <v>8507.5</v>
      </c>
      <c r="G269" s="12" t="n">
        <v>238.8</v>
      </c>
      <c r="H269" s="13" t="n">
        <v>0.168</v>
      </c>
      <c r="I269" s="13" t="n">
        <v>0.1961</v>
      </c>
    </row>
    <row r="270">
      <c r="A270" s="10" t="inlineStr">
        <is>
          <t>PJ-2019-A</t>
        </is>
      </c>
      <c r="B270" s="10" t="inlineStr">
        <is>
          <t>位置合わせ(MS学習値)／単調補間</t>
        </is>
      </c>
      <c r="C270" s="10" t="inlineStr">
        <is>
          <t>2020-02</t>
        </is>
      </c>
      <c r="D270" s="10" t="n">
        <v>11</v>
      </c>
      <c r="E270" s="12" t="n">
        <v>8935.1</v>
      </c>
      <c r="F270" s="12" t="n">
        <v>8132.8</v>
      </c>
      <c r="G270" s="12" t="n">
        <v>802.3</v>
      </c>
      <c r="H270" s="13" t="n">
        <v>0.1915</v>
      </c>
      <c r="I270" s="13" t="n">
        <v>0.2175</v>
      </c>
    </row>
    <row r="271">
      <c r="A271" s="10" t="inlineStr">
        <is>
          <t>PJ-2019-A</t>
        </is>
      </c>
      <c r="B271" s="10" t="inlineStr">
        <is>
          <t>位置合わせ(MS学習値)／単調補間</t>
        </is>
      </c>
      <c r="C271" s="10" t="inlineStr">
        <is>
          <t>2020-03</t>
        </is>
      </c>
      <c r="D271" s="10" t="n">
        <v>12</v>
      </c>
      <c r="E271" s="12" t="n">
        <v>10890.6</v>
      </c>
      <c r="F271" s="12" t="n">
        <v>9311.5</v>
      </c>
      <c r="G271" s="12" t="n">
        <v>1579.1</v>
      </c>
      <c r="H271" s="13" t="n">
        <v>0.2202</v>
      </c>
      <c r="I271" s="13" t="n">
        <v>0.2421</v>
      </c>
    </row>
    <row r="272">
      <c r="A272" s="10" t="inlineStr">
        <is>
          <t>PJ-2019-A</t>
        </is>
      </c>
      <c r="B272" s="10" t="inlineStr">
        <is>
          <t>位置合わせ(MS学習値)／単調補間</t>
        </is>
      </c>
      <c r="C272" s="10" t="inlineStr">
        <is>
          <t>2020-04</t>
        </is>
      </c>
      <c r="D272" s="10" t="n">
        <v>13</v>
      </c>
      <c r="E272" s="12" t="n">
        <v>11545.1</v>
      </c>
      <c r="F272" s="12" t="n">
        <v>9039.6</v>
      </c>
      <c r="G272" s="12" t="n">
        <v>2505.5</v>
      </c>
      <c r="H272" s="13" t="n">
        <v>0.2506</v>
      </c>
      <c r="I272" s="13" t="n">
        <v>0.2659</v>
      </c>
    </row>
    <row r="273">
      <c r="A273" s="10" t="inlineStr">
        <is>
          <t>PJ-2019-A</t>
        </is>
      </c>
      <c r="B273" s="10" t="inlineStr">
        <is>
          <t>位置合わせ(MS学習値)／単調補間</t>
        </is>
      </c>
      <c r="C273" s="10" t="inlineStr">
        <is>
          <t>2020-05</t>
        </is>
      </c>
      <c r="D273" s="10" t="n">
        <v>14</v>
      </c>
      <c r="E273" s="12" t="n">
        <v>12358.8</v>
      </c>
      <c r="F273" s="12" t="n">
        <v>9635.799999999999</v>
      </c>
      <c r="G273" s="12" t="n">
        <v>2723</v>
      </c>
      <c r="H273" s="13" t="n">
        <v>0.2832</v>
      </c>
      <c r="I273" s="13" t="n">
        <v>0.2913</v>
      </c>
    </row>
    <row r="274">
      <c r="A274" s="10" t="inlineStr">
        <is>
          <t>PJ-2019-A</t>
        </is>
      </c>
      <c r="B274" s="10" t="inlineStr">
        <is>
          <t>位置合わせ(MS学習値)／単調補間</t>
        </is>
      </c>
      <c r="C274" s="10" t="inlineStr">
        <is>
          <t>2020-06</t>
        </is>
      </c>
      <c r="D274" s="10" t="n">
        <v>15</v>
      </c>
      <c r="E274" s="12" t="n">
        <v>12670.4</v>
      </c>
      <c r="F274" s="12" t="n">
        <v>10344.9</v>
      </c>
      <c r="G274" s="12" t="n">
        <v>2325.5</v>
      </c>
      <c r="H274" s="13" t="n">
        <v>0.3166</v>
      </c>
      <c r="I274" s="13" t="n">
        <v>0.3185</v>
      </c>
    </row>
    <row r="275">
      <c r="A275" s="10" t="inlineStr">
        <is>
          <t>PJ-2019-A</t>
        </is>
      </c>
      <c r="B275" s="10" t="inlineStr">
        <is>
          <t>位置合わせ(MS学習値)／単調補間</t>
        </is>
      </c>
      <c r="C275" s="10" t="inlineStr">
        <is>
          <t>2020-07</t>
        </is>
      </c>
      <c r="D275" s="10" t="n">
        <v>16</v>
      </c>
      <c r="E275" s="12" t="n">
        <v>13765.9</v>
      </c>
      <c r="F275" s="12" t="n">
        <v>11426.7</v>
      </c>
      <c r="G275" s="12" t="n">
        <v>2339.2</v>
      </c>
      <c r="H275" s="13" t="n">
        <v>0.3529</v>
      </c>
      <c r="I275" s="13" t="n">
        <v>0.3486</v>
      </c>
    </row>
    <row r="276">
      <c r="A276" s="10" t="inlineStr">
        <is>
          <t>PJ-2019-A</t>
        </is>
      </c>
      <c r="B276" s="10" t="inlineStr">
        <is>
          <t>位置合わせ(MS学習値)／単調補間</t>
        </is>
      </c>
      <c r="C276" s="10" t="inlineStr">
        <is>
          <t>2020-08</t>
        </is>
      </c>
      <c r="D276" s="10" t="n">
        <v>17</v>
      </c>
      <c r="E276" s="12" t="n">
        <v>14904.8</v>
      </c>
      <c r="F276" s="12" t="n">
        <v>12271.1</v>
      </c>
      <c r="G276" s="12" t="n">
        <v>2633.7</v>
      </c>
      <c r="H276" s="13" t="n">
        <v>0.3921</v>
      </c>
      <c r="I276" s="13" t="n">
        <v>0.3809</v>
      </c>
    </row>
    <row r="277">
      <c r="A277" s="10" t="inlineStr">
        <is>
          <t>PJ-2019-A</t>
        </is>
      </c>
      <c r="B277" s="10" t="inlineStr">
        <is>
          <t>位置合わせ(MS学習値)／単調補間</t>
        </is>
      </c>
      <c r="C277" s="10" t="inlineStr">
        <is>
          <t>2020-09</t>
        </is>
      </c>
      <c r="D277" s="10" t="n">
        <v>18</v>
      </c>
      <c r="E277" s="12" t="n">
        <v>15167</v>
      </c>
      <c r="F277" s="12" t="n">
        <v>12547.9</v>
      </c>
      <c r="G277" s="12" t="n">
        <v>2619.1</v>
      </c>
      <c r="H277" s="13" t="n">
        <v>0.4321</v>
      </c>
      <c r="I277" s="13" t="n">
        <v>0.414</v>
      </c>
    </row>
    <row r="278">
      <c r="A278" s="10" t="inlineStr">
        <is>
          <t>PJ-2019-A</t>
        </is>
      </c>
      <c r="B278" s="10" t="inlineStr">
        <is>
          <t>位置合わせ(MS学習値)／単調補間</t>
        </is>
      </c>
      <c r="C278" s="10" t="inlineStr">
        <is>
          <t>2020-10</t>
        </is>
      </c>
      <c r="D278" s="10" t="n">
        <v>19</v>
      </c>
      <c r="E278" s="12" t="n">
        <v>15545.2</v>
      </c>
      <c r="F278" s="12" t="n">
        <v>14214.2</v>
      </c>
      <c r="G278" s="12" t="n">
        <v>1331</v>
      </c>
      <c r="H278" s="13" t="n">
        <v>0.473</v>
      </c>
      <c r="I278" s="13" t="n">
        <v>0.4515</v>
      </c>
    </row>
    <row r="279">
      <c r="A279" s="10" t="inlineStr">
        <is>
          <t>PJ-2019-A</t>
        </is>
      </c>
      <c r="B279" s="10" t="inlineStr">
        <is>
          <t>位置合わせ(MS学習値)／単調補間</t>
        </is>
      </c>
      <c r="C279" s="10" t="inlineStr">
        <is>
          <t>2020-11</t>
        </is>
      </c>
      <c r="D279" s="10" t="n">
        <v>20</v>
      </c>
      <c r="E279" s="12" t="n">
        <v>15239.3</v>
      </c>
      <c r="F279" s="12" t="n">
        <v>16661.4</v>
      </c>
      <c r="G279" s="12" t="n">
        <v>-1422.1</v>
      </c>
      <c r="H279" s="13" t="n">
        <v>0.5132</v>
      </c>
      <c r="I279" s="13" t="n">
        <v>0.4953</v>
      </c>
    </row>
    <row r="280">
      <c r="A280" s="10" t="inlineStr">
        <is>
          <t>PJ-2019-A</t>
        </is>
      </c>
      <c r="B280" s="10" t="inlineStr">
        <is>
          <t>位置合わせ(MS学習値)／単調補間</t>
        </is>
      </c>
      <c r="C280" s="10" t="inlineStr">
        <is>
          <t>2020-12</t>
        </is>
      </c>
      <c r="D280" s="10" t="n">
        <v>21</v>
      </c>
      <c r="E280" s="12" t="n">
        <v>15990.1</v>
      </c>
      <c r="F280" s="12" t="n">
        <v>15314.9</v>
      </c>
      <c r="G280" s="12" t="n">
        <v>675.2</v>
      </c>
      <c r="H280" s="13" t="n">
        <v>0.5553</v>
      </c>
      <c r="I280" s="13" t="n">
        <v>0.5357</v>
      </c>
    </row>
    <row r="281">
      <c r="A281" s="10" t="inlineStr">
        <is>
          <t>PJ-2019-A</t>
        </is>
      </c>
      <c r="B281" s="10" t="inlineStr">
        <is>
          <t>位置合わせ(MS学習値)／単調補間</t>
        </is>
      </c>
      <c r="C281" s="10" t="inlineStr">
        <is>
          <t>2021-01</t>
        </is>
      </c>
      <c r="D281" s="10" t="n">
        <v>22</v>
      </c>
      <c r="E281" s="12" t="n">
        <v>15898.7</v>
      </c>
      <c r="F281" s="12" t="n">
        <v>13490.4</v>
      </c>
      <c r="G281" s="12" t="n">
        <v>2408.3</v>
      </c>
      <c r="H281" s="13" t="n">
        <v>0.5972</v>
      </c>
      <c r="I281" s="13" t="n">
        <v>0.5712</v>
      </c>
    </row>
    <row r="282">
      <c r="A282" s="10" t="inlineStr">
        <is>
          <t>PJ-2019-A</t>
        </is>
      </c>
      <c r="B282" s="10" t="inlineStr">
        <is>
          <t>位置合わせ(MS学習値)／単調補間</t>
        </is>
      </c>
      <c r="C282" s="10" t="inlineStr">
        <is>
          <t>2021-02</t>
        </is>
      </c>
      <c r="D282" s="10" t="n">
        <v>23</v>
      </c>
      <c r="E282" s="12" t="n">
        <v>14137.9</v>
      </c>
      <c r="F282" s="12" t="n">
        <v>11965.7</v>
      </c>
      <c r="G282" s="12" t="n">
        <v>2172.2</v>
      </c>
      <c r="H282" s="13" t="n">
        <v>0.6345</v>
      </c>
      <c r="I282" s="13" t="n">
        <v>0.6028</v>
      </c>
    </row>
    <row r="283">
      <c r="A283" s="10" t="inlineStr">
        <is>
          <t>PJ-2019-A</t>
        </is>
      </c>
      <c r="B283" s="10" t="inlineStr">
        <is>
          <t>位置合わせ(MS学習値)／単調補間</t>
        </is>
      </c>
      <c r="C283" s="10" t="inlineStr">
        <is>
          <t>2021-03</t>
        </is>
      </c>
      <c r="D283" s="10" t="n">
        <v>24</v>
      </c>
      <c r="E283" s="12" t="n">
        <v>16132.1</v>
      </c>
      <c r="F283" s="12" t="n">
        <v>12853.7</v>
      </c>
      <c r="G283" s="12" t="n">
        <v>3278.4</v>
      </c>
      <c r="H283" s="13" t="n">
        <v>0.677</v>
      </c>
      <c r="I283" s="13" t="n">
        <v>0.6366000000000001</v>
      </c>
    </row>
    <row r="284">
      <c r="A284" s="10" t="inlineStr">
        <is>
          <t>PJ-2019-A</t>
        </is>
      </c>
      <c r="B284" s="10" t="inlineStr">
        <is>
          <t>位置合わせ(MS学習値)／単調補間</t>
        </is>
      </c>
      <c r="C284" s="10" t="inlineStr">
        <is>
          <t>2021-04</t>
        </is>
      </c>
      <c r="D284" s="10" t="n">
        <v>25</v>
      </c>
      <c r="E284" s="12" t="n">
        <v>15808</v>
      </c>
      <c r="F284" s="12" t="n">
        <v>12825.4</v>
      </c>
      <c r="G284" s="12" t="n">
        <v>2982.6</v>
      </c>
      <c r="H284" s="13" t="n">
        <v>0.7186</v>
      </c>
      <c r="I284" s="13" t="n">
        <v>0.6704</v>
      </c>
    </row>
    <row r="285">
      <c r="A285" s="10" t="inlineStr">
        <is>
          <t>PJ-2019-A</t>
        </is>
      </c>
      <c r="B285" s="10" t="inlineStr">
        <is>
          <t>位置合わせ(MS学習値)／単調補間</t>
        </is>
      </c>
      <c r="C285" s="10" t="inlineStr">
        <is>
          <t>2021-05</t>
        </is>
      </c>
      <c r="D285" s="10" t="n">
        <v>26</v>
      </c>
      <c r="E285" s="12" t="n">
        <v>15337.4</v>
      </c>
      <c r="F285" s="12" t="n">
        <v>13976.5</v>
      </c>
      <c r="G285" s="12" t="n">
        <v>1360.9</v>
      </c>
      <c r="H285" s="13" t="n">
        <v>0.759</v>
      </c>
      <c r="I285" s="13" t="n">
        <v>0.7072000000000001</v>
      </c>
    </row>
    <row r="286">
      <c r="A286" s="10" t="inlineStr">
        <is>
          <t>PJ-2019-A</t>
        </is>
      </c>
      <c r="B286" s="10" t="inlineStr">
        <is>
          <t>位置合わせ(MS学習値)／単調補間</t>
        </is>
      </c>
      <c r="C286" s="10" t="inlineStr">
        <is>
          <t>2021-06</t>
        </is>
      </c>
      <c r="D286" s="10" t="n">
        <v>27</v>
      </c>
      <c r="E286" s="12" t="n">
        <v>14142.8</v>
      </c>
      <c r="F286" s="12" t="n">
        <v>14724.1</v>
      </c>
      <c r="G286" s="12" t="n">
        <v>-581.3</v>
      </c>
      <c r="H286" s="13" t="n">
        <v>0.7963</v>
      </c>
      <c r="I286" s="13" t="n">
        <v>0.746</v>
      </c>
    </row>
    <row r="287">
      <c r="A287" s="10" t="inlineStr">
        <is>
          <t>PJ-2019-A</t>
        </is>
      </c>
      <c r="B287" s="10" t="inlineStr">
        <is>
          <t>位置合わせ(MS学習値)／単調補間</t>
        </is>
      </c>
      <c r="C287" s="10" t="inlineStr">
        <is>
          <t>2021-07</t>
        </is>
      </c>
      <c r="D287" s="10" t="n">
        <v>28</v>
      </c>
      <c r="E287" s="12" t="n">
        <v>12288.9</v>
      </c>
      <c r="F287" s="12" t="n">
        <v>17311.9</v>
      </c>
      <c r="G287" s="12" t="n">
        <v>-5023</v>
      </c>
      <c r="H287" s="13" t="n">
        <v>0.8286</v>
      </c>
      <c r="I287" s="13" t="n">
        <v>0.7916</v>
      </c>
    </row>
    <row r="288">
      <c r="A288" s="10" t="inlineStr">
        <is>
          <t>PJ-2019-A</t>
        </is>
      </c>
      <c r="B288" s="10" t="inlineStr">
        <is>
          <t>位置合わせ(MS学習値)／単調補間</t>
        </is>
      </c>
      <c r="C288" s="10" t="inlineStr">
        <is>
          <t>2021-08</t>
        </is>
      </c>
      <c r="D288" s="10" t="n">
        <v>29</v>
      </c>
      <c r="E288" s="12" t="n">
        <v>12239.4</v>
      </c>
      <c r="F288" s="12" t="n">
        <v>19848.8</v>
      </c>
      <c r="G288" s="12" t="n">
        <v>-7609.4</v>
      </c>
      <c r="H288" s="13" t="n">
        <v>0.8609</v>
      </c>
      <c r="I288" s="13" t="n">
        <v>0.8439</v>
      </c>
    </row>
    <row r="289">
      <c r="A289" s="10" t="inlineStr">
        <is>
          <t>PJ-2019-A</t>
        </is>
      </c>
      <c r="B289" s="10" t="inlineStr">
        <is>
          <t>位置合わせ(MS学習値)／単調補間</t>
        </is>
      </c>
      <c r="C289" s="10" t="inlineStr">
        <is>
          <t>2021-09</t>
        </is>
      </c>
      <c r="D289" s="10" t="n">
        <v>30</v>
      </c>
      <c r="E289" s="12" t="n">
        <v>11197.8</v>
      </c>
      <c r="F289" s="12" t="n">
        <v>17282.1</v>
      </c>
      <c r="G289" s="12" t="n">
        <v>-6084.3</v>
      </c>
      <c r="H289" s="13" t="n">
        <v>0.8904</v>
      </c>
      <c r="I289" s="13" t="n">
        <v>0.8895</v>
      </c>
    </row>
    <row r="290">
      <c r="A290" s="10" t="inlineStr">
        <is>
          <t>PJ-2019-A</t>
        </is>
      </c>
      <c r="B290" s="10" t="inlineStr">
        <is>
          <t>位置合わせ(MS学習値)／単調補間</t>
        </is>
      </c>
      <c r="C290" s="10" t="inlineStr">
        <is>
          <t>2021-10</t>
        </is>
      </c>
      <c r="D290" s="10" t="n">
        <v>31</v>
      </c>
      <c r="E290" s="12" t="n">
        <v>9972.4</v>
      </c>
      <c r="F290" s="12" t="n">
        <v>13450.6</v>
      </c>
      <c r="G290" s="12" t="n">
        <v>-3478.2</v>
      </c>
      <c r="H290" s="13" t="n">
        <v>0.9167</v>
      </c>
      <c r="I290" s="13" t="n">
        <v>0.9249000000000001</v>
      </c>
    </row>
    <row r="291">
      <c r="A291" s="10" t="inlineStr">
        <is>
          <t>PJ-2019-A</t>
        </is>
      </c>
      <c r="B291" s="10" t="inlineStr">
        <is>
          <t>位置合わせ(MS学習値)／単調補間</t>
        </is>
      </c>
      <c r="C291" s="10" t="inlineStr">
        <is>
          <t>2021-11</t>
        </is>
      </c>
      <c r="D291" s="10" t="n">
        <v>32</v>
      </c>
      <c r="E291" s="12" t="n">
        <v>8460.799999999999</v>
      </c>
      <c r="F291" s="12" t="n">
        <v>9371.200000000001</v>
      </c>
      <c r="G291" s="12" t="n">
        <v>-910.4</v>
      </c>
      <c r="H291" s="13" t="n">
        <v>0.9389999999999999</v>
      </c>
      <c r="I291" s="13" t="n">
        <v>0.9496</v>
      </c>
    </row>
    <row r="292">
      <c r="A292" s="10" t="inlineStr">
        <is>
          <t>PJ-2019-A</t>
        </is>
      </c>
      <c r="B292" s="10" t="inlineStr">
        <is>
          <t>位置合わせ(MS学習値)／単調補間</t>
        </is>
      </c>
      <c r="C292" s="10" t="inlineStr">
        <is>
          <t>2021-12</t>
        </is>
      </c>
      <c r="D292" s="10" t="n">
        <v>33</v>
      </c>
      <c r="E292" s="12" t="n">
        <v>8359.4</v>
      </c>
      <c r="F292" s="12" t="n">
        <v>9266</v>
      </c>
      <c r="G292" s="12" t="n">
        <v>-906.6</v>
      </c>
      <c r="H292" s="13" t="n">
        <v>0.961</v>
      </c>
      <c r="I292" s="13" t="n">
        <v>0.974</v>
      </c>
    </row>
    <row r="293">
      <c r="A293" s="10" t="inlineStr">
        <is>
          <t>PJ-2019-A</t>
        </is>
      </c>
      <c r="B293" s="10" t="inlineStr">
        <is>
          <t>位置合わせ(MS学習値)／単調補間</t>
        </is>
      </c>
      <c r="C293" s="10" t="inlineStr">
        <is>
          <t>2022-01</t>
        </is>
      </c>
      <c r="D293" s="10" t="n">
        <v>34</v>
      </c>
      <c r="E293" s="12" t="n">
        <v>6962.4</v>
      </c>
      <c r="F293" s="12" t="n">
        <v>5982.7</v>
      </c>
      <c r="G293" s="12" t="n">
        <v>979.7</v>
      </c>
      <c r="H293" s="13" t="n">
        <v>0.9792999999999999</v>
      </c>
      <c r="I293" s="13" t="n">
        <v>0.9898</v>
      </c>
    </row>
    <row r="294">
      <c r="A294" s="10" t="inlineStr">
        <is>
          <t>PJ-2019-A</t>
        </is>
      </c>
      <c r="B294" s="10" t="inlineStr">
        <is>
          <t>位置合わせ(MS学習値)／単調補間</t>
        </is>
      </c>
      <c r="C294" s="10" t="inlineStr">
        <is>
          <t>2022-02</t>
        </is>
      </c>
      <c r="D294" s="10" t="n">
        <v>35</v>
      </c>
      <c r="E294" s="12" t="n">
        <v>4669.7</v>
      </c>
      <c r="F294" s="12" t="n">
        <v>2863</v>
      </c>
      <c r="G294" s="12" t="n">
        <v>1806.7</v>
      </c>
      <c r="H294" s="13" t="n">
        <v>0.9916</v>
      </c>
      <c r="I294" s="13" t="n">
        <v>0.9973</v>
      </c>
    </row>
    <row r="295">
      <c r="A295" s="10" t="inlineStr">
        <is>
          <t>PJ-2019-A</t>
        </is>
      </c>
      <c r="B295" s="10" t="inlineStr">
        <is>
          <t>位置合わせ(MS学習値)／単調補間</t>
        </is>
      </c>
      <c r="C295" s="10" t="inlineStr">
        <is>
          <t>2022-03</t>
        </is>
      </c>
      <c r="D295" s="10" t="n">
        <v>36</v>
      </c>
      <c r="E295" s="12" t="n">
        <v>3176.3</v>
      </c>
      <c r="F295" s="12" t="n">
        <v>1019.3</v>
      </c>
      <c r="G295" s="12" t="n">
        <v>2157</v>
      </c>
      <c r="H295" s="13" t="n">
        <v>1</v>
      </c>
      <c r="I295" s="13" t="n">
        <v>1</v>
      </c>
    </row>
    <row r="296">
      <c r="A296" s="10" t="inlineStr">
        <is>
          <t>PJ-2019-A</t>
        </is>
      </c>
      <c r="B296" s="10" t="inlineStr">
        <is>
          <t>位置合わせ(MS指定)／単調補間</t>
        </is>
      </c>
      <c r="C296" s="10" t="inlineStr">
        <is>
          <t>2019-04</t>
        </is>
      </c>
      <c r="D296" s="10" t="n">
        <v>1</v>
      </c>
      <c r="E296" s="12" t="n">
        <v>3762.9</v>
      </c>
      <c r="F296" s="12" t="n">
        <v>3071.8</v>
      </c>
      <c r="G296" s="12" t="n">
        <v>691.1</v>
      </c>
      <c r="H296" s="13" t="n">
        <v>0.009900000000000001</v>
      </c>
      <c r="I296" s="13" t="n">
        <v>0.0081</v>
      </c>
    </row>
    <row r="297">
      <c r="A297" s="10" t="inlineStr">
        <is>
          <t>PJ-2019-A</t>
        </is>
      </c>
      <c r="B297" s="10" t="inlineStr">
        <is>
          <t>位置合わせ(MS指定)／単調補間</t>
        </is>
      </c>
      <c r="C297" s="10" t="inlineStr">
        <is>
          <t>2019-05</t>
        </is>
      </c>
      <c r="D297" s="10" t="n">
        <v>2</v>
      </c>
      <c r="E297" s="12" t="n">
        <v>4486</v>
      </c>
      <c r="F297" s="12" t="n">
        <v>5541.4</v>
      </c>
      <c r="G297" s="12" t="n">
        <v>-1055.4</v>
      </c>
      <c r="H297" s="13" t="n">
        <v>0.0217</v>
      </c>
      <c r="I297" s="13" t="n">
        <v>0.0227</v>
      </c>
    </row>
    <row r="298">
      <c r="A298" s="10" t="inlineStr">
        <is>
          <t>PJ-2019-A</t>
        </is>
      </c>
      <c r="B298" s="10" t="inlineStr">
        <is>
          <t>位置合わせ(MS指定)／単調補間</t>
        </is>
      </c>
      <c r="C298" s="10" t="inlineStr">
        <is>
          <t>2019-06</t>
        </is>
      </c>
      <c r="D298" s="10" t="n">
        <v>3</v>
      </c>
      <c r="E298" s="12" t="n">
        <v>4936.3</v>
      </c>
      <c r="F298" s="12" t="n">
        <v>6929.4</v>
      </c>
      <c r="G298" s="12" t="n">
        <v>-1993.1</v>
      </c>
      <c r="H298" s="13" t="n">
        <v>0.0347</v>
      </c>
      <c r="I298" s="13" t="n">
        <v>0.0409</v>
      </c>
    </row>
    <row r="299">
      <c r="A299" s="10" t="inlineStr">
        <is>
          <t>PJ-2019-A</t>
        </is>
      </c>
      <c r="B299" s="10" t="inlineStr">
        <is>
          <t>位置合わせ(MS指定)／単調補間</t>
        </is>
      </c>
      <c r="C299" s="10" t="inlineStr">
        <is>
          <t>2019-07</t>
        </is>
      </c>
      <c r="D299" s="10" t="n">
        <v>4</v>
      </c>
      <c r="E299" s="12" t="n">
        <v>5627.5</v>
      </c>
      <c r="F299" s="12" t="n">
        <v>8197.200000000001</v>
      </c>
      <c r="G299" s="12" t="n">
        <v>-2569.7</v>
      </c>
      <c r="H299" s="13" t="n">
        <v>0.0496</v>
      </c>
      <c r="I299" s="13" t="n">
        <v>0.0625</v>
      </c>
    </row>
    <row r="300">
      <c r="A300" s="10" t="inlineStr">
        <is>
          <t>PJ-2019-A</t>
        </is>
      </c>
      <c r="B300" s="10" t="inlineStr">
        <is>
          <t>位置合わせ(MS指定)／単調補間</t>
        </is>
      </c>
      <c r="C300" s="10" t="inlineStr">
        <is>
          <t>2019-08</t>
        </is>
      </c>
      <c r="D300" s="10" t="n">
        <v>5</v>
      </c>
      <c r="E300" s="12" t="n">
        <v>5910</v>
      </c>
      <c r="F300" s="12" t="n">
        <v>9127.4</v>
      </c>
      <c r="G300" s="12" t="n">
        <v>-3217.4</v>
      </c>
      <c r="H300" s="13" t="n">
        <v>0.06510000000000001</v>
      </c>
      <c r="I300" s="13" t="n">
        <v>0.0866</v>
      </c>
    </row>
    <row r="301">
      <c r="A301" s="10" t="inlineStr">
        <is>
          <t>PJ-2019-A</t>
        </is>
      </c>
      <c r="B301" s="10" t="inlineStr">
        <is>
          <t>位置合わせ(MS指定)／単調補間</t>
        </is>
      </c>
      <c r="C301" s="10" t="inlineStr">
        <is>
          <t>2019-09</t>
        </is>
      </c>
      <c r="D301" s="10" t="n">
        <v>6</v>
      </c>
      <c r="E301" s="12" t="n">
        <v>6234</v>
      </c>
      <c r="F301" s="12" t="n">
        <v>9824.700000000001</v>
      </c>
      <c r="G301" s="12" t="n">
        <v>-3590.7</v>
      </c>
      <c r="H301" s="13" t="n">
        <v>0.08160000000000001</v>
      </c>
      <c r="I301" s="13" t="n">
        <v>0.1125</v>
      </c>
    </row>
    <row r="302">
      <c r="A302" s="10" t="inlineStr">
        <is>
          <t>PJ-2019-A</t>
        </is>
      </c>
      <c r="B302" s="10" t="inlineStr">
        <is>
          <t>位置合わせ(MS指定)／単調補間</t>
        </is>
      </c>
      <c r="C302" s="10" t="inlineStr">
        <is>
          <t>2019-10</t>
        </is>
      </c>
      <c r="D302" s="10" t="n">
        <v>7</v>
      </c>
      <c r="E302" s="12" t="n">
        <v>6692.4</v>
      </c>
      <c r="F302" s="12" t="n">
        <v>7570.4</v>
      </c>
      <c r="G302" s="12" t="n">
        <v>-878</v>
      </c>
      <c r="H302" s="13" t="n">
        <v>0.0992</v>
      </c>
      <c r="I302" s="13" t="n">
        <v>0.1324</v>
      </c>
    </row>
    <row r="303">
      <c r="A303" s="10" t="inlineStr">
        <is>
          <t>PJ-2019-A</t>
        </is>
      </c>
      <c r="B303" s="10" t="inlineStr">
        <is>
          <t>位置合わせ(MS指定)／単調補間</t>
        </is>
      </c>
      <c r="C303" s="10" t="inlineStr">
        <is>
          <t>2019-11</t>
        </is>
      </c>
      <c r="D303" s="10" t="n">
        <v>8</v>
      </c>
      <c r="E303" s="12" t="n">
        <v>6851.8</v>
      </c>
      <c r="F303" s="12" t="n">
        <v>7669.4</v>
      </c>
      <c r="G303" s="12" t="n">
        <v>-817.6</v>
      </c>
      <c r="H303" s="13" t="n">
        <v>0.1172</v>
      </c>
      <c r="I303" s="13" t="n">
        <v>0.1526</v>
      </c>
    </row>
    <row r="304">
      <c r="A304" s="10" t="inlineStr">
        <is>
          <t>PJ-2019-A</t>
        </is>
      </c>
      <c r="B304" s="10" t="inlineStr">
        <is>
          <t>位置合わせ(MS指定)／単調補間</t>
        </is>
      </c>
      <c r="C304" s="10" t="inlineStr">
        <is>
          <t>2019-12</t>
        </is>
      </c>
      <c r="D304" s="10" t="n">
        <v>9</v>
      </c>
      <c r="E304" s="12" t="n">
        <v>7575.5</v>
      </c>
      <c r="F304" s="12" t="n">
        <v>7989.5</v>
      </c>
      <c r="G304" s="12" t="n">
        <v>-414</v>
      </c>
      <c r="H304" s="13" t="n">
        <v>0.1372</v>
      </c>
      <c r="I304" s="13" t="n">
        <v>0.1737</v>
      </c>
    </row>
    <row r="305">
      <c r="A305" s="10" t="inlineStr">
        <is>
          <t>PJ-2019-A</t>
        </is>
      </c>
      <c r="B305" s="10" t="inlineStr">
        <is>
          <t>位置合わせ(MS指定)／単調補間</t>
        </is>
      </c>
      <c r="C305" s="10" t="inlineStr">
        <is>
          <t>2020-01</t>
        </is>
      </c>
      <c r="D305" s="10" t="n">
        <v>10</v>
      </c>
      <c r="E305" s="12" t="n">
        <v>8206.200000000001</v>
      </c>
      <c r="F305" s="12" t="n">
        <v>8507.5</v>
      </c>
      <c r="G305" s="12" t="n">
        <v>-301.3</v>
      </c>
      <c r="H305" s="13" t="n">
        <v>0.1588</v>
      </c>
      <c r="I305" s="13" t="n">
        <v>0.1961</v>
      </c>
    </row>
    <row r="306">
      <c r="A306" s="10" t="inlineStr">
        <is>
          <t>PJ-2019-A</t>
        </is>
      </c>
      <c r="B306" s="10" t="inlineStr">
        <is>
          <t>位置合わせ(MS指定)／単調補間</t>
        </is>
      </c>
      <c r="C306" s="10" t="inlineStr">
        <is>
          <t>2020-02</t>
        </is>
      </c>
      <c r="D306" s="10" t="n">
        <v>11</v>
      </c>
      <c r="E306" s="12" t="n">
        <v>8261.4</v>
      </c>
      <c r="F306" s="12" t="n">
        <v>8132.8</v>
      </c>
      <c r="G306" s="12" t="n">
        <v>128.6</v>
      </c>
      <c r="H306" s="13" t="n">
        <v>0.1806</v>
      </c>
      <c r="I306" s="13" t="n">
        <v>0.2175</v>
      </c>
    </row>
    <row r="307">
      <c r="A307" s="10" t="inlineStr">
        <is>
          <t>PJ-2019-A</t>
        </is>
      </c>
      <c r="B307" s="10" t="inlineStr">
        <is>
          <t>位置合わせ(MS指定)／単調補間</t>
        </is>
      </c>
      <c r="C307" s="10" t="inlineStr">
        <is>
          <t>2020-03</t>
        </is>
      </c>
      <c r="D307" s="10" t="n">
        <v>12</v>
      </c>
      <c r="E307" s="12" t="n">
        <v>9804</v>
      </c>
      <c r="F307" s="12" t="n">
        <v>9311.5</v>
      </c>
      <c r="G307" s="12" t="n">
        <v>492.5</v>
      </c>
      <c r="H307" s="13" t="n">
        <v>0.2064</v>
      </c>
      <c r="I307" s="13" t="n">
        <v>0.2421</v>
      </c>
    </row>
    <row r="308">
      <c r="A308" s="10" t="inlineStr">
        <is>
          <t>PJ-2019-A</t>
        </is>
      </c>
      <c r="B308" s="10" t="inlineStr">
        <is>
          <t>位置合わせ(MS指定)／単調補間</t>
        </is>
      </c>
      <c r="C308" s="10" t="inlineStr">
        <is>
          <t>2020-04</t>
        </is>
      </c>
      <c r="D308" s="10" t="n">
        <v>13</v>
      </c>
      <c r="E308" s="12" t="n">
        <v>10792.3</v>
      </c>
      <c r="F308" s="12" t="n">
        <v>9039.6</v>
      </c>
      <c r="G308" s="12" t="n">
        <v>1752.7</v>
      </c>
      <c r="H308" s="13" t="n">
        <v>0.2349</v>
      </c>
      <c r="I308" s="13" t="n">
        <v>0.2659</v>
      </c>
    </row>
    <row r="309">
      <c r="A309" s="10" t="inlineStr">
        <is>
          <t>PJ-2019-A</t>
        </is>
      </c>
      <c r="B309" s="10" t="inlineStr">
        <is>
          <t>位置合わせ(MS指定)／単調補間</t>
        </is>
      </c>
      <c r="C309" s="10" t="inlineStr">
        <is>
          <t>2020-05</t>
        </is>
      </c>
      <c r="D309" s="10" t="n">
        <v>14</v>
      </c>
      <c r="E309" s="12" t="n">
        <v>11598.5</v>
      </c>
      <c r="F309" s="12" t="n">
        <v>9635.799999999999</v>
      </c>
      <c r="G309" s="12" t="n">
        <v>1962.7</v>
      </c>
      <c r="H309" s="13" t="n">
        <v>0.2654</v>
      </c>
      <c r="I309" s="13" t="n">
        <v>0.2913</v>
      </c>
    </row>
    <row r="310">
      <c r="A310" s="10" t="inlineStr">
        <is>
          <t>PJ-2019-A</t>
        </is>
      </c>
      <c r="B310" s="10" t="inlineStr">
        <is>
          <t>位置合わせ(MS指定)／単調補間</t>
        </is>
      </c>
      <c r="C310" s="10" t="inlineStr">
        <is>
          <t>2020-06</t>
        </is>
      </c>
      <c r="D310" s="10" t="n">
        <v>15</v>
      </c>
      <c r="E310" s="12" t="n">
        <v>11806.6</v>
      </c>
      <c r="F310" s="12" t="n">
        <v>10344.9</v>
      </c>
      <c r="G310" s="12" t="n">
        <v>1461.7</v>
      </c>
      <c r="H310" s="13" t="n">
        <v>0.2965</v>
      </c>
      <c r="I310" s="13" t="n">
        <v>0.3185</v>
      </c>
    </row>
    <row r="311">
      <c r="A311" s="10" t="inlineStr">
        <is>
          <t>PJ-2019-A</t>
        </is>
      </c>
      <c r="B311" s="10" t="inlineStr">
        <is>
          <t>位置合わせ(MS指定)／単調補間</t>
        </is>
      </c>
      <c r="C311" s="10" t="inlineStr">
        <is>
          <t>2020-07</t>
        </is>
      </c>
      <c r="D311" s="10" t="n">
        <v>16</v>
      </c>
      <c r="E311" s="12" t="n">
        <v>12849.4</v>
      </c>
      <c r="F311" s="12" t="n">
        <v>11426.7</v>
      </c>
      <c r="G311" s="12" t="n">
        <v>1422.7</v>
      </c>
      <c r="H311" s="13" t="n">
        <v>0.3304</v>
      </c>
      <c r="I311" s="13" t="n">
        <v>0.3486</v>
      </c>
    </row>
    <row r="312">
      <c r="A312" s="10" t="inlineStr">
        <is>
          <t>PJ-2019-A</t>
        </is>
      </c>
      <c r="B312" s="10" t="inlineStr">
        <is>
          <t>位置合わせ(MS指定)／単調補間</t>
        </is>
      </c>
      <c r="C312" s="10" t="inlineStr">
        <is>
          <t>2020-08</t>
        </is>
      </c>
      <c r="D312" s="10" t="n">
        <v>17</v>
      </c>
      <c r="E312" s="12" t="n">
        <v>13524.5</v>
      </c>
      <c r="F312" s="12" t="n">
        <v>12271.1</v>
      </c>
      <c r="G312" s="12" t="n">
        <v>1253.4</v>
      </c>
      <c r="H312" s="13" t="n">
        <v>0.366</v>
      </c>
      <c r="I312" s="13" t="n">
        <v>0.3809</v>
      </c>
    </row>
    <row r="313">
      <c r="A313" s="10" t="inlineStr">
        <is>
          <t>PJ-2019-A</t>
        </is>
      </c>
      <c r="B313" s="10" t="inlineStr">
        <is>
          <t>位置合わせ(MS指定)／単調補間</t>
        </is>
      </c>
      <c r="C313" s="10" t="inlineStr">
        <is>
          <t>2020-09</t>
        </is>
      </c>
      <c r="D313" s="10" t="n">
        <v>18</v>
      </c>
      <c r="E313" s="12" t="n">
        <v>14175.1</v>
      </c>
      <c r="F313" s="12" t="n">
        <v>12547.9</v>
      </c>
      <c r="G313" s="12" t="n">
        <v>1627.2</v>
      </c>
      <c r="H313" s="13" t="n">
        <v>0.4033</v>
      </c>
      <c r="I313" s="13" t="n">
        <v>0.414</v>
      </c>
    </row>
    <row r="314">
      <c r="A314" s="10" t="inlineStr">
        <is>
          <t>PJ-2019-A</t>
        </is>
      </c>
      <c r="B314" s="10" t="inlineStr">
        <is>
          <t>位置合わせ(MS指定)／単調補間</t>
        </is>
      </c>
      <c r="C314" s="10" t="inlineStr">
        <is>
          <t>2020-10</t>
        </is>
      </c>
      <c r="D314" s="10" t="n">
        <v>19</v>
      </c>
      <c r="E314" s="12" t="n">
        <v>14239.6</v>
      </c>
      <c r="F314" s="12" t="n">
        <v>14214.2</v>
      </c>
      <c r="G314" s="12" t="n">
        <v>25.4</v>
      </c>
      <c r="H314" s="13" t="n">
        <v>0.4409</v>
      </c>
      <c r="I314" s="13" t="n">
        <v>0.4515</v>
      </c>
    </row>
    <row r="315">
      <c r="A315" s="10" t="inlineStr">
        <is>
          <t>PJ-2019-A</t>
        </is>
      </c>
      <c r="B315" s="10" t="inlineStr">
        <is>
          <t>位置合わせ(MS指定)／単調補間</t>
        </is>
      </c>
      <c r="C315" s="10" t="inlineStr">
        <is>
          <t>2020-11</t>
        </is>
      </c>
      <c r="D315" s="10" t="n">
        <v>20</v>
      </c>
      <c r="E315" s="12" t="n">
        <v>12761.9</v>
      </c>
      <c r="F315" s="12" t="n">
        <v>16661.4</v>
      </c>
      <c r="G315" s="12" t="n">
        <v>-3899.5</v>
      </c>
      <c r="H315" s="13" t="n">
        <v>0.4745</v>
      </c>
      <c r="I315" s="13" t="n">
        <v>0.4953</v>
      </c>
    </row>
    <row r="316">
      <c r="A316" s="10" t="inlineStr">
        <is>
          <t>PJ-2019-A</t>
        </is>
      </c>
      <c r="B316" s="10" t="inlineStr">
        <is>
          <t>位置合わせ(MS指定)／単調補間</t>
        </is>
      </c>
      <c r="C316" s="10" t="inlineStr">
        <is>
          <t>2020-12</t>
        </is>
      </c>
      <c r="D316" s="10" t="n">
        <v>21</v>
      </c>
      <c r="E316" s="12" t="n">
        <v>13555.8</v>
      </c>
      <c r="F316" s="12" t="n">
        <v>15314.9</v>
      </c>
      <c r="G316" s="12" t="n">
        <v>-1759.1</v>
      </c>
      <c r="H316" s="13" t="n">
        <v>0.5102</v>
      </c>
      <c r="I316" s="13" t="n">
        <v>0.5357</v>
      </c>
    </row>
    <row r="317">
      <c r="A317" s="10" t="inlineStr">
        <is>
          <t>PJ-2019-A</t>
        </is>
      </c>
      <c r="B317" s="10" t="inlineStr">
        <is>
          <t>位置合わせ(MS指定)／単調補間</t>
        </is>
      </c>
      <c r="C317" s="10" t="inlineStr">
        <is>
          <t>2021-01</t>
        </is>
      </c>
      <c r="D317" s="10" t="n">
        <v>22</v>
      </c>
      <c r="E317" s="12" t="n">
        <v>13491.6</v>
      </c>
      <c r="F317" s="12" t="n">
        <v>13490.4</v>
      </c>
      <c r="G317" s="12" t="n">
        <v>1.2</v>
      </c>
      <c r="H317" s="13" t="n">
        <v>0.5457</v>
      </c>
      <c r="I317" s="13" t="n">
        <v>0.5712</v>
      </c>
    </row>
    <row r="318">
      <c r="A318" s="10" t="inlineStr">
        <is>
          <t>PJ-2019-A</t>
        </is>
      </c>
      <c r="B318" s="10" t="inlineStr">
        <is>
          <t>位置合わせ(MS指定)／単調補間</t>
        </is>
      </c>
      <c r="C318" s="10" t="inlineStr">
        <is>
          <t>2021-02</t>
        </is>
      </c>
      <c r="D318" s="10" t="n">
        <v>23</v>
      </c>
      <c r="E318" s="12" t="n">
        <v>12217.1</v>
      </c>
      <c r="F318" s="12" t="n">
        <v>11965.7</v>
      </c>
      <c r="G318" s="12" t="n">
        <v>251.4</v>
      </c>
      <c r="H318" s="13" t="n">
        <v>0.5779</v>
      </c>
      <c r="I318" s="13" t="n">
        <v>0.6028</v>
      </c>
    </row>
    <row r="319">
      <c r="A319" s="10" t="inlineStr">
        <is>
          <t>PJ-2019-A</t>
        </is>
      </c>
      <c r="B319" s="10" t="inlineStr">
        <is>
          <t>位置合わせ(MS指定)／単調補間</t>
        </is>
      </c>
      <c r="C319" s="10" t="inlineStr">
        <is>
          <t>2021-03</t>
        </is>
      </c>
      <c r="D319" s="10" t="n">
        <v>24</v>
      </c>
      <c r="E319" s="12" t="n">
        <v>13564.3</v>
      </c>
      <c r="F319" s="12" t="n">
        <v>12853.7</v>
      </c>
      <c r="G319" s="12" t="n">
        <v>710.6</v>
      </c>
      <c r="H319" s="13" t="n">
        <v>0.6137</v>
      </c>
      <c r="I319" s="13" t="n">
        <v>0.6366000000000001</v>
      </c>
    </row>
    <row r="320">
      <c r="A320" s="10" t="inlineStr">
        <is>
          <t>PJ-2019-A</t>
        </is>
      </c>
      <c r="B320" s="10" t="inlineStr">
        <is>
          <t>位置合わせ(MS指定)／単調補間</t>
        </is>
      </c>
      <c r="C320" s="10" t="inlineStr">
        <is>
          <t>2021-04</t>
        </is>
      </c>
      <c r="D320" s="10" t="n">
        <v>25</v>
      </c>
      <c r="E320" s="12" t="n">
        <v>13077.2</v>
      </c>
      <c r="F320" s="12" t="n">
        <v>12825.4</v>
      </c>
      <c r="G320" s="12" t="n">
        <v>251.8</v>
      </c>
      <c r="H320" s="13" t="n">
        <v>0.6481</v>
      </c>
      <c r="I320" s="13" t="n">
        <v>0.6704</v>
      </c>
    </row>
    <row r="321">
      <c r="A321" s="10" t="inlineStr">
        <is>
          <t>PJ-2019-A</t>
        </is>
      </c>
      <c r="B321" s="10" t="inlineStr">
        <is>
          <t>位置合わせ(MS指定)／単調補間</t>
        </is>
      </c>
      <c r="C321" s="10" t="inlineStr">
        <is>
          <t>2021-05</t>
        </is>
      </c>
      <c r="D321" s="10" t="n">
        <v>26</v>
      </c>
      <c r="E321" s="12" t="n">
        <v>13850.5</v>
      </c>
      <c r="F321" s="12" t="n">
        <v>13976.5</v>
      </c>
      <c r="G321" s="12" t="n">
        <v>-126</v>
      </c>
      <c r="H321" s="13" t="n">
        <v>0.6846</v>
      </c>
      <c r="I321" s="13" t="n">
        <v>0.7072000000000001</v>
      </c>
    </row>
    <row r="322">
      <c r="A322" s="10" t="inlineStr">
        <is>
          <t>PJ-2019-A</t>
        </is>
      </c>
      <c r="B322" s="10" t="inlineStr">
        <is>
          <t>位置合わせ(MS指定)／単調補間</t>
        </is>
      </c>
      <c r="C322" s="10" t="inlineStr">
        <is>
          <t>2021-06</t>
        </is>
      </c>
      <c r="D322" s="10" t="n">
        <v>27</v>
      </c>
      <c r="E322" s="12" t="n">
        <v>13458.1</v>
      </c>
      <c r="F322" s="12" t="n">
        <v>14724.1</v>
      </c>
      <c r="G322" s="12" t="n">
        <v>-1266</v>
      </c>
      <c r="H322" s="13" t="n">
        <v>0.7201</v>
      </c>
      <c r="I322" s="13" t="n">
        <v>0.746</v>
      </c>
    </row>
    <row r="323">
      <c r="A323" s="10" t="inlineStr">
        <is>
          <t>PJ-2019-A</t>
        </is>
      </c>
      <c r="B323" s="10" t="inlineStr">
        <is>
          <t>位置合わせ(MS指定)／単調補間</t>
        </is>
      </c>
      <c r="C323" s="10" t="inlineStr">
        <is>
          <t>2021-07</t>
        </is>
      </c>
      <c r="D323" s="10" t="n">
        <v>28</v>
      </c>
      <c r="E323" s="12" t="n">
        <v>12953.7</v>
      </c>
      <c r="F323" s="12" t="n">
        <v>17311.9</v>
      </c>
      <c r="G323" s="12" t="n">
        <v>-4358.2</v>
      </c>
      <c r="H323" s="13" t="n">
        <v>0.7542</v>
      </c>
      <c r="I323" s="13" t="n">
        <v>0.7916</v>
      </c>
    </row>
    <row r="324">
      <c r="A324" s="10" t="inlineStr">
        <is>
          <t>PJ-2019-A</t>
        </is>
      </c>
      <c r="B324" s="10" t="inlineStr">
        <is>
          <t>位置合わせ(MS指定)／単調補間</t>
        </is>
      </c>
      <c r="C324" s="10" t="inlineStr">
        <is>
          <t>2021-08</t>
        </is>
      </c>
      <c r="D324" s="10" t="n">
        <v>29</v>
      </c>
      <c r="E324" s="12" t="n">
        <v>15859.8</v>
      </c>
      <c r="F324" s="12" t="n">
        <v>19848.8</v>
      </c>
      <c r="G324" s="12" t="n">
        <v>-3989</v>
      </c>
      <c r="H324" s="13" t="n">
        <v>0.796</v>
      </c>
      <c r="I324" s="13" t="n">
        <v>0.8439</v>
      </c>
    </row>
    <row r="325">
      <c r="A325" s="10" t="inlineStr">
        <is>
          <t>PJ-2019-A</t>
        </is>
      </c>
      <c r="B325" s="10" t="inlineStr">
        <is>
          <t>位置合わせ(MS指定)／単調補間</t>
        </is>
      </c>
      <c r="C325" s="10" t="inlineStr">
        <is>
          <t>2021-09</t>
        </is>
      </c>
      <c r="D325" s="10" t="n">
        <v>30</v>
      </c>
      <c r="E325" s="12" t="n">
        <v>15342.9</v>
      </c>
      <c r="F325" s="12" t="n">
        <v>17282.1</v>
      </c>
      <c r="G325" s="12" t="n">
        <v>-1939.2</v>
      </c>
      <c r="H325" s="13" t="n">
        <v>0.8364</v>
      </c>
      <c r="I325" s="13" t="n">
        <v>0.8895</v>
      </c>
    </row>
    <row r="326">
      <c r="A326" s="10" t="inlineStr">
        <is>
          <t>PJ-2019-A</t>
        </is>
      </c>
      <c r="B326" s="10" t="inlineStr">
        <is>
          <t>位置合わせ(MS指定)／単調補間</t>
        </is>
      </c>
      <c r="C326" s="10" t="inlineStr">
        <is>
          <t>2021-10</t>
        </is>
      </c>
      <c r="D326" s="10" t="n">
        <v>31</v>
      </c>
      <c r="E326" s="12" t="n">
        <v>15574</v>
      </c>
      <c r="F326" s="12" t="n">
        <v>13450.6</v>
      </c>
      <c r="G326" s="12" t="n">
        <v>2123.4</v>
      </c>
      <c r="H326" s="13" t="n">
        <v>0.8774</v>
      </c>
      <c r="I326" s="13" t="n">
        <v>0.9249000000000001</v>
      </c>
    </row>
    <row r="327">
      <c r="A327" s="10" t="inlineStr">
        <is>
          <t>PJ-2019-A</t>
        </is>
      </c>
      <c r="B327" s="10" t="inlineStr">
        <is>
          <t>位置合わせ(MS指定)／単調補間</t>
        </is>
      </c>
      <c r="C327" s="10" t="inlineStr">
        <is>
          <t>2021-11</t>
        </is>
      </c>
      <c r="D327" s="10" t="n">
        <v>32</v>
      </c>
      <c r="E327" s="12" t="n">
        <v>13096.9</v>
      </c>
      <c r="F327" s="12" t="n">
        <v>9371.200000000001</v>
      </c>
      <c r="G327" s="12" t="n">
        <v>3725.7</v>
      </c>
      <c r="H327" s="13" t="n">
        <v>0.9119</v>
      </c>
      <c r="I327" s="13" t="n">
        <v>0.9496</v>
      </c>
    </row>
    <row r="328">
      <c r="A328" s="10" t="inlineStr">
        <is>
          <t>PJ-2019-A</t>
        </is>
      </c>
      <c r="B328" s="10" t="inlineStr">
        <is>
          <t>位置合わせ(MS指定)／単調補間</t>
        </is>
      </c>
      <c r="C328" s="10" t="inlineStr">
        <is>
          <t>2021-12</t>
        </is>
      </c>
      <c r="D328" s="10" t="n">
        <v>33</v>
      </c>
      <c r="E328" s="12" t="n">
        <v>11229.3</v>
      </c>
      <c r="F328" s="12" t="n">
        <v>9266</v>
      </c>
      <c r="G328" s="12" t="n">
        <v>1963.3</v>
      </c>
      <c r="H328" s="13" t="n">
        <v>0.9415</v>
      </c>
      <c r="I328" s="13" t="n">
        <v>0.974</v>
      </c>
    </row>
    <row r="329">
      <c r="A329" s="10" t="inlineStr">
        <is>
          <t>PJ-2019-A</t>
        </is>
      </c>
      <c r="B329" s="10" t="inlineStr">
        <is>
          <t>位置合わせ(MS指定)／単調補間</t>
        </is>
      </c>
      <c r="C329" s="10" t="inlineStr">
        <is>
          <t>2022-01</t>
        </is>
      </c>
      <c r="D329" s="10" t="n">
        <v>34</v>
      </c>
      <c r="E329" s="12" t="n">
        <v>10486</v>
      </c>
      <c r="F329" s="12" t="n">
        <v>5982.7</v>
      </c>
      <c r="G329" s="12" t="n">
        <v>4503.3</v>
      </c>
      <c r="H329" s="13" t="n">
        <v>0.9692</v>
      </c>
      <c r="I329" s="13" t="n">
        <v>0.9898</v>
      </c>
    </row>
    <row r="330">
      <c r="A330" s="10" t="inlineStr">
        <is>
          <t>PJ-2019-A</t>
        </is>
      </c>
      <c r="B330" s="10" t="inlineStr">
        <is>
          <t>位置合わせ(MS指定)／単調補間</t>
        </is>
      </c>
      <c r="C330" s="10" t="inlineStr">
        <is>
          <t>2022-02</t>
        </is>
      </c>
      <c r="D330" s="10" t="n">
        <v>35</v>
      </c>
      <c r="E330" s="12" t="n">
        <v>7199.4</v>
      </c>
      <c r="F330" s="12" t="n">
        <v>2863</v>
      </c>
      <c r="G330" s="12" t="n">
        <v>4336.4</v>
      </c>
      <c r="H330" s="13" t="n">
        <v>0.9881</v>
      </c>
      <c r="I330" s="13" t="n">
        <v>0.9973</v>
      </c>
    </row>
    <row r="331">
      <c r="A331" s="10" t="inlineStr">
        <is>
          <t>PJ-2019-A</t>
        </is>
      </c>
      <c r="B331" s="10" t="inlineStr">
        <is>
          <t>位置合わせ(MS指定)／単調補間</t>
        </is>
      </c>
      <c r="C331" s="10" t="inlineStr">
        <is>
          <t>2022-03</t>
        </is>
      </c>
      <c r="D331" s="10" t="n">
        <v>36</v>
      </c>
      <c r="E331" s="12" t="n">
        <v>4508.5</v>
      </c>
      <c r="F331" s="12" t="n">
        <v>1019.3</v>
      </c>
      <c r="G331" s="12" t="n">
        <v>3489.2</v>
      </c>
      <c r="H331" s="13" t="n">
        <v>1</v>
      </c>
      <c r="I331" s="13" t="n">
        <v>1</v>
      </c>
    </row>
    <row r="332">
      <c r="A332" s="10" t="inlineStr">
        <is>
          <t>PJ-2020-B</t>
        </is>
      </c>
      <c r="B332" s="10" t="inlineStr">
        <is>
          <t>素朴版／月内均等</t>
        </is>
      </c>
      <c r="C332" s="10" t="inlineStr">
        <is>
          <t>2020-01</t>
        </is>
      </c>
      <c r="D332" s="10" t="n">
        <v>1</v>
      </c>
      <c r="E332" s="12" t="n">
        <v>3552.9</v>
      </c>
      <c r="F332" s="12" t="n">
        <v>320.5</v>
      </c>
      <c r="G332" s="12" t="n">
        <v>3232.4</v>
      </c>
      <c r="H332" s="13" t="n">
        <v>0.0355</v>
      </c>
      <c r="I332" s="13" t="n">
        <v>0.0032</v>
      </c>
    </row>
    <row r="333">
      <c r="A333" s="10" t="inlineStr">
        <is>
          <t>PJ-2020-B</t>
        </is>
      </c>
      <c r="B333" s="10" t="inlineStr">
        <is>
          <t>素朴版／月内均等</t>
        </is>
      </c>
      <c r="C333" s="10" t="inlineStr">
        <is>
          <t>2020-02</t>
        </is>
      </c>
      <c r="D333" s="10" t="n">
        <v>2</v>
      </c>
      <c r="E333" s="12" t="n">
        <v>4365.9</v>
      </c>
      <c r="F333" s="12" t="n">
        <v>930.3</v>
      </c>
      <c r="G333" s="12" t="n">
        <v>3435.6</v>
      </c>
      <c r="H333" s="13" t="n">
        <v>0.07920000000000001</v>
      </c>
      <c r="I333" s="13" t="n">
        <v>0.0125</v>
      </c>
    </row>
    <row r="334">
      <c r="A334" s="10" t="inlineStr">
        <is>
          <t>PJ-2020-B</t>
        </is>
      </c>
      <c r="B334" s="10" t="inlineStr">
        <is>
          <t>素朴版／月内均等</t>
        </is>
      </c>
      <c r="C334" s="10" t="inlineStr">
        <is>
          <t>2020-03</t>
        </is>
      </c>
      <c r="D334" s="10" t="n">
        <v>3</v>
      </c>
      <c r="E334" s="12" t="n">
        <v>5319.9</v>
      </c>
      <c r="F334" s="12" t="n">
        <v>1814.8</v>
      </c>
      <c r="G334" s="12" t="n">
        <v>3505.1</v>
      </c>
      <c r="H334" s="13" t="n">
        <v>0.1324</v>
      </c>
      <c r="I334" s="13" t="n">
        <v>0.0306</v>
      </c>
    </row>
    <row r="335">
      <c r="A335" s="10" t="inlineStr">
        <is>
          <t>PJ-2020-B</t>
        </is>
      </c>
      <c r="B335" s="10" t="inlineStr">
        <is>
          <t>素朴版／月内均等</t>
        </is>
      </c>
      <c r="C335" s="10" t="inlineStr">
        <is>
          <t>2020-04</t>
        </is>
      </c>
      <c r="D335" s="10" t="n">
        <v>4</v>
      </c>
      <c r="E335" s="12" t="n">
        <v>6152.9</v>
      </c>
      <c r="F335" s="12" t="n">
        <v>2405.7</v>
      </c>
      <c r="G335" s="12" t="n">
        <v>3747.2</v>
      </c>
      <c r="H335" s="13" t="n">
        <v>0.1939</v>
      </c>
      <c r="I335" s="13" t="n">
        <v>0.0547</v>
      </c>
    </row>
    <row r="336">
      <c r="A336" s="10" t="inlineStr">
        <is>
          <t>PJ-2020-B</t>
        </is>
      </c>
      <c r="B336" s="10" t="inlineStr">
        <is>
          <t>素朴版／月内均等</t>
        </is>
      </c>
      <c r="C336" s="10" t="inlineStr">
        <is>
          <t>2020-05</t>
        </is>
      </c>
      <c r="D336" s="10" t="n">
        <v>5</v>
      </c>
      <c r="E336" s="12" t="n">
        <v>8301.299999999999</v>
      </c>
      <c r="F336" s="12" t="n">
        <v>3424.8</v>
      </c>
      <c r="G336" s="12" t="n">
        <v>4876.5</v>
      </c>
      <c r="H336" s="13" t="n">
        <v>0.2769</v>
      </c>
      <c r="I336" s="13" t="n">
        <v>0.08890000000000001</v>
      </c>
    </row>
    <row r="337">
      <c r="A337" s="10" t="inlineStr">
        <is>
          <t>PJ-2020-B</t>
        </is>
      </c>
      <c r="B337" s="10" t="inlineStr">
        <is>
          <t>素朴版／月内均等</t>
        </is>
      </c>
      <c r="C337" s="10" t="inlineStr">
        <is>
          <t>2020-06</t>
        </is>
      </c>
      <c r="D337" s="10" t="n">
        <v>6</v>
      </c>
      <c r="E337" s="12" t="n">
        <v>9396.4</v>
      </c>
      <c r="F337" s="12" t="n">
        <v>4082.4</v>
      </c>
      <c r="G337" s="12" t="n">
        <v>5314</v>
      </c>
      <c r="H337" s="13" t="n">
        <v>0.3708</v>
      </c>
      <c r="I337" s="13" t="n">
        <v>0.1298</v>
      </c>
    </row>
    <row r="338">
      <c r="A338" s="10" t="inlineStr">
        <is>
          <t>PJ-2020-B</t>
        </is>
      </c>
      <c r="B338" s="10" t="inlineStr">
        <is>
          <t>素朴版／月内均等</t>
        </is>
      </c>
      <c r="C338" s="10" t="inlineStr">
        <is>
          <t>2020-07</t>
        </is>
      </c>
      <c r="D338" s="10" t="n">
        <v>7</v>
      </c>
      <c r="E338" s="12" t="n">
        <v>9074.200000000001</v>
      </c>
      <c r="F338" s="12" t="n">
        <v>5263.5</v>
      </c>
      <c r="G338" s="12" t="n">
        <v>3810.7</v>
      </c>
      <c r="H338" s="13" t="n">
        <v>0.4615</v>
      </c>
      <c r="I338" s="13" t="n">
        <v>0.1824</v>
      </c>
    </row>
    <row r="339">
      <c r="A339" s="10" t="inlineStr">
        <is>
          <t>PJ-2020-B</t>
        </is>
      </c>
      <c r="B339" s="10" t="inlineStr">
        <is>
          <t>素朴版／月内均等</t>
        </is>
      </c>
      <c r="C339" s="10" t="inlineStr">
        <is>
          <t>2020-08</t>
        </is>
      </c>
      <c r="D339" s="10" t="n">
        <v>8</v>
      </c>
      <c r="E339" s="12" t="n">
        <v>10342</v>
      </c>
      <c r="F339" s="12" t="n">
        <v>6466.9</v>
      </c>
      <c r="G339" s="12" t="n">
        <v>3875.1</v>
      </c>
      <c r="H339" s="13" t="n">
        <v>0.5649</v>
      </c>
      <c r="I339" s="13" t="n">
        <v>0.247</v>
      </c>
    </row>
    <row r="340">
      <c r="A340" s="10" t="inlineStr">
        <is>
          <t>PJ-2020-B</t>
        </is>
      </c>
      <c r="B340" s="10" t="inlineStr">
        <is>
          <t>素朴版／月内均等</t>
        </is>
      </c>
      <c r="C340" s="10" t="inlineStr">
        <is>
          <t>2020-09</t>
        </is>
      </c>
      <c r="D340" s="10" t="n">
        <v>9</v>
      </c>
      <c r="E340" s="12" t="n">
        <v>10101</v>
      </c>
      <c r="F340" s="12" t="n">
        <v>15257.1</v>
      </c>
      <c r="G340" s="12" t="n">
        <v>-5156.1</v>
      </c>
      <c r="H340" s="13" t="n">
        <v>0.6659</v>
      </c>
      <c r="I340" s="13" t="n">
        <v>0.3996</v>
      </c>
    </row>
    <row r="341">
      <c r="A341" s="10" t="inlineStr">
        <is>
          <t>PJ-2020-B</t>
        </is>
      </c>
      <c r="B341" s="10" t="inlineStr">
        <is>
          <t>素朴版／月内均等</t>
        </is>
      </c>
      <c r="C341" s="10" t="inlineStr">
        <is>
          <t>2020-10</t>
        </is>
      </c>
      <c r="D341" s="10" t="n">
        <v>10</v>
      </c>
      <c r="E341" s="12" t="n">
        <v>9046.799999999999</v>
      </c>
      <c r="F341" s="12" t="n">
        <v>20485.7</v>
      </c>
      <c r="G341" s="12" t="n">
        <v>-11438.9</v>
      </c>
      <c r="H341" s="13" t="n">
        <v>0.7564</v>
      </c>
      <c r="I341" s="13" t="n">
        <v>0.6044</v>
      </c>
    </row>
    <row r="342">
      <c r="A342" s="10" t="inlineStr">
        <is>
          <t>PJ-2020-B</t>
        </is>
      </c>
      <c r="B342" s="10" t="inlineStr">
        <is>
          <t>素朴版／月内均等</t>
        </is>
      </c>
      <c r="C342" s="10" t="inlineStr">
        <is>
          <t>2020-11</t>
        </is>
      </c>
      <c r="D342" s="10" t="n">
        <v>11</v>
      </c>
      <c r="E342" s="12" t="n">
        <v>8484.700000000001</v>
      </c>
      <c r="F342" s="12" t="n">
        <v>14239.1</v>
      </c>
      <c r="G342" s="12" t="n">
        <v>-5754.4</v>
      </c>
      <c r="H342" s="13" t="n">
        <v>0.8411999999999999</v>
      </c>
      <c r="I342" s="13" t="n">
        <v>0.7468</v>
      </c>
    </row>
    <row r="343">
      <c r="A343" s="10" t="inlineStr">
        <is>
          <t>PJ-2020-B</t>
        </is>
      </c>
      <c r="B343" s="10" t="inlineStr">
        <is>
          <t>素朴版／月内均等</t>
        </is>
      </c>
      <c r="C343" s="10" t="inlineStr">
        <is>
          <t>2020-12</t>
        </is>
      </c>
      <c r="D343" s="10" t="n">
        <v>12</v>
      </c>
      <c r="E343" s="12" t="n">
        <v>7961.4</v>
      </c>
      <c r="F343" s="12" t="n">
        <v>13215.8</v>
      </c>
      <c r="G343" s="12" t="n">
        <v>-5254.4</v>
      </c>
      <c r="H343" s="13" t="n">
        <v>0.9208</v>
      </c>
      <c r="I343" s="13" t="n">
        <v>0.8789</v>
      </c>
    </row>
    <row r="344">
      <c r="A344" s="10" t="inlineStr">
        <is>
          <t>PJ-2020-B</t>
        </is>
      </c>
      <c r="B344" s="10" t="inlineStr">
        <is>
          <t>素朴版／月内均等</t>
        </is>
      </c>
      <c r="C344" s="10" t="inlineStr">
        <is>
          <t>2021-01</t>
        </is>
      </c>
      <c r="D344" s="10" t="n">
        <v>13</v>
      </c>
      <c r="E344" s="12" t="n">
        <v>5351.7</v>
      </c>
      <c r="F344" s="12" t="n">
        <v>7968.1</v>
      </c>
      <c r="G344" s="12" t="n">
        <v>-2616.4</v>
      </c>
      <c r="H344" s="13" t="n">
        <v>0.9743000000000001</v>
      </c>
      <c r="I344" s="13" t="n">
        <v>0.9586</v>
      </c>
    </row>
    <row r="345">
      <c r="A345" s="10" t="inlineStr">
        <is>
          <t>PJ-2020-B</t>
        </is>
      </c>
      <c r="B345" s="10" t="inlineStr">
        <is>
          <t>素朴版／月内均等</t>
        </is>
      </c>
      <c r="C345" s="10" t="inlineStr">
        <is>
          <t>2021-02</t>
        </is>
      </c>
      <c r="D345" s="10" t="n">
        <v>14</v>
      </c>
      <c r="E345" s="12" t="n">
        <v>2569.2</v>
      </c>
      <c r="F345" s="12" t="n">
        <v>4145.7</v>
      </c>
      <c r="G345" s="12" t="n">
        <v>-1576.5</v>
      </c>
      <c r="H345" s="13" t="n">
        <v>1</v>
      </c>
      <c r="I345" s="13" t="n">
        <v>1</v>
      </c>
    </row>
    <row r="346">
      <c r="A346" s="10" t="inlineStr">
        <is>
          <t>PJ-2020-B</t>
        </is>
      </c>
      <c r="B346" s="10" t="inlineStr">
        <is>
          <t>位置合わせ(MS学習値)／月内均等</t>
        </is>
      </c>
      <c r="C346" s="10" t="inlineStr">
        <is>
          <t>2020-01</t>
        </is>
      </c>
      <c r="D346" s="10" t="n">
        <v>1</v>
      </c>
      <c r="E346" s="12" t="n">
        <v>3608.8</v>
      </c>
      <c r="F346" s="12" t="n">
        <v>320.5</v>
      </c>
      <c r="G346" s="12" t="n">
        <v>3288.3</v>
      </c>
      <c r="H346" s="13" t="n">
        <v>0.0361</v>
      </c>
      <c r="I346" s="13" t="n">
        <v>0.0032</v>
      </c>
    </row>
    <row r="347">
      <c r="A347" s="10" t="inlineStr">
        <is>
          <t>PJ-2020-B</t>
        </is>
      </c>
      <c r="B347" s="10" t="inlineStr">
        <is>
          <t>位置合わせ(MS学習値)／月内均等</t>
        </is>
      </c>
      <c r="C347" s="10" t="inlineStr">
        <is>
          <t>2020-02</t>
        </is>
      </c>
      <c r="D347" s="10" t="n">
        <v>2</v>
      </c>
      <c r="E347" s="12" t="n">
        <v>4396.3</v>
      </c>
      <c r="F347" s="12" t="n">
        <v>930.3</v>
      </c>
      <c r="G347" s="12" t="n">
        <v>3466</v>
      </c>
      <c r="H347" s="13" t="n">
        <v>0.08</v>
      </c>
      <c r="I347" s="13" t="n">
        <v>0.0125</v>
      </c>
    </row>
    <row r="348">
      <c r="A348" s="10" t="inlineStr">
        <is>
          <t>PJ-2020-B</t>
        </is>
      </c>
      <c r="B348" s="10" t="inlineStr">
        <is>
          <t>位置合わせ(MS学習値)／月内均等</t>
        </is>
      </c>
      <c r="C348" s="10" t="inlineStr">
        <is>
          <t>2020-03</t>
        </is>
      </c>
      <c r="D348" s="10" t="n">
        <v>3</v>
      </c>
      <c r="E348" s="12" t="n">
        <v>5278.7</v>
      </c>
      <c r="F348" s="12" t="n">
        <v>1814.8</v>
      </c>
      <c r="G348" s="12" t="n">
        <v>3463.9</v>
      </c>
      <c r="H348" s="13" t="n">
        <v>0.1328</v>
      </c>
      <c r="I348" s="13" t="n">
        <v>0.0306</v>
      </c>
    </row>
    <row r="349">
      <c r="A349" s="10" t="inlineStr">
        <is>
          <t>PJ-2020-B</t>
        </is>
      </c>
      <c r="B349" s="10" t="inlineStr">
        <is>
          <t>位置合わせ(MS学習値)／月内均等</t>
        </is>
      </c>
      <c r="C349" s="10" t="inlineStr">
        <is>
          <t>2020-04</t>
        </is>
      </c>
      <c r="D349" s="10" t="n">
        <v>4</v>
      </c>
      <c r="E349" s="12" t="n">
        <v>5982</v>
      </c>
      <c r="F349" s="12" t="n">
        <v>2405.7</v>
      </c>
      <c r="G349" s="12" t="n">
        <v>3576.3</v>
      </c>
      <c r="H349" s="13" t="n">
        <v>0.1926</v>
      </c>
      <c r="I349" s="13" t="n">
        <v>0.0547</v>
      </c>
    </row>
    <row r="350">
      <c r="A350" s="10" t="inlineStr">
        <is>
          <t>PJ-2020-B</t>
        </is>
      </c>
      <c r="B350" s="10" t="inlineStr">
        <is>
          <t>位置合わせ(MS学習値)／月内均等</t>
        </is>
      </c>
      <c r="C350" s="10" t="inlineStr">
        <is>
          <t>2020-05</t>
        </is>
      </c>
      <c r="D350" s="10" t="n">
        <v>5</v>
      </c>
      <c r="E350" s="12" t="n">
        <v>7874.3</v>
      </c>
      <c r="F350" s="12" t="n">
        <v>3424.8</v>
      </c>
      <c r="G350" s="12" t="n">
        <v>4449.5</v>
      </c>
      <c r="H350" s="13" t="n">
        <v>0.2713</v>
      </c>
      <c r="I350" s="13" t="n">
        <v>0.08890000000000001</v>
      </c>
    </row>
    <row r="351">
      <c r="A351" s="10" t="inlineStr">
        <is>
          <t>PJ-2020-B</t>
        </is>
      </c>
      <c r="B351" s="10" t="inlineStr">
        <is>
          <t>位置合わせ(MS学習値)／月内均等</t>
        </is>
      </c>
      <c r="C351" s="10" t="inlineStr">
        <is>
          <t>2020-06</t>
        </is>
      </c>
      <c r="D351" s="10" t="n">
        <v>6</v>
      </c>
      <c r="E351" s="12" t="n">
        <v>8916.4</v>
      </c>
      <c r="F351" s="12" t="n">
        <v>4082.4</v>
      </c>
      <c r="G351" s="12" t="n">
        <v>4834</v>
      </c>
      <c r="H351" s="13" t="n">
        <v>0.3605</v>
      </c>
      <c r="I351" s="13" t="n">
        <v>0.1298</v>
      </c>
    </row>
    <row r="352">
      <c r="A352" s="10" t="inlineStr">
        <is>
          <t>PJ-2020-B</t>
        </is>
      </c>
      <c r="B352" s="10" t="inlineStr">
        <is>
          <t>位置合わせ(MS学習値)／月内均等</t>
        </is>
      </c>
      <c r="C352" s="10" t="inlineStr">
        <is>
          <t>2020-07</t>
        </is>
      </c>
      <c r="D352" s="10" t="n">
        <v>7</v>
      </c>
      <c r="E352" s="12" t="n">
        <v>10117.7</v>
      </c>
      <c r="F352" s="12" t="n">
        <v>5263.5</v>
      </c>
      <c r="G352" s="12" t="n">
        <v>4854.2</v>
      </c>
      <c r="H352" s="13" t="n">
        <v>0.4616</v>
      </c>
      <c r="I352" s="13" t="n">
        <v>0.1824</v>
      </c>
    </row>
    <row r="353">
      <c r="A353" s="10" t="inlineStr">
        <is>
          <t>PJ-2020-B</t>
        </is>
      </c>
      <c r="B353" s="10" t="inlineStr">
        <is>
          <t>位置合わせ(MS学習値)／月内均等</t>
        </is>
      </c>
      <c r="C353" s="10" t="inlineStr">
        <is>
          <t>2020-08</t>
        </is>
      </c>
      <c r="D353" s="10" t="n">
        <v>8</v>
      </c>
      <c r="E353" s="12" t="n">
        <v>10187.6</v>
      </c>
      <c r="F353" s="12" t="n">
        <v>6466.9</v>
      </c>
      <c r="G353" s="12" t="n">
        <v>3720.7</v>
      </c>
      <c r="H353" s="13" t="n">
        <v>0.5635</v>
      </c>
      <c r="I353" s="13" t="n">
        <v>0.247</v>
      </c>
    </row>
    <row r="354">
      <c r="A354" s="10" t="inlineStr">
        <is>
          <t>PJ-2020-B</t>
        </is>
      </c>
      <c r="B354" s="10" t="inlineStr">
        <is>
          <t>位置合わせ(MS学習値)／月内均等</t>
        </is>
      </c>
      <c r="C354" s="10" t="inlineStr">
        <is>
          <t>2020-09</t>
        </is>
      </c>
      <c r="D354" s="10" t="n">
        <v>9</v>
      </c>
      <c r="E354" s="12" t="n">
        <v>9503.6</v>
      </c>
      <c r="F354" s="12" t="n">
        <v>15257.1</v>
      </c>
      <c r="G354" s="12" t="n">
        <v>-5753.5</v>
      </c>
      <c r="H354" s="13" t="n">
        <v>0.6585</v>
      </c>
      <c r="I354" s="13" t="n">
        <v>0.3996</v>
      </c>
    </row>
    <row r="355">
      <c r="A355" s="10" t="inlineStr">
        <is>
          <t>PJ-2020-B</t>
        </is>
      </c>
      <c r="B355" s="10" t="inlineStr">
        <is>
          <t>位置合わせ(MS学習値)／月内均等</t>
        </is>
      </c>
      <c r="C355" s="10" t="inlineStr">
        <is>
          <t>2020-10</t>
        </is>
      </c>
      <c r="D355" s="10" t="n">
        <v>10</v>
      </c>
      <c r="E355" s="12" t="n">
        <v>10341.6</v>
      </c>
      <c r="F355" s="12" t="n">
        <v>20485.7</v>
      </c>
      <c r="G355" s="12" t="n">
        <v>-10144.1</v>
      </c>
      <c r="H355" s="13" t="n">
        <v>0.7619</v>
      </c>
      <c r="I355" s="13" t="n">
        <v>0.6044</v>
      </c>
    </row>
    <row r="356">
      <c r="A356" s="10" t="inlineStr">
        <is>
          <t>PJ-2020-B</t>
        </is>
      </c>
      <c r="B356" s="10" t="inlineStr">
        <is>
          <t>位置合わせ(MS学習値)／月内均等</t>
        </is>
      </c>
      <c r="C356" s="10" t="inlineStr">
        <is>
          <t>2020-11</t>
        </is>
      </c>
      <c r="D356" s="10" t="n">
        <v>11</v>
      </c>
      <c r="E356" s="12" t="n">
        <v>8877.4</v>
      </c>
      <c r="F356" s="12" t="n">
        <v>14239.1</v>
      </c>
      <c r="G356" s="12" t="n">
        <v>-5361.7</v>
      </c>
      <c r="H356" s="13" t="n">
        <v>0.8507</v>
      </c>
      <c r="I356" s="13" t="n">
        <v>0.7468</v>
      </c>
    </row>
    <row r="357">
      <c r="A357" s="10" t="inlineStr">
        <is>
          <t>PJ-2020-B</t>
        </is>
      </c>
      <c r="B357" s="10" t="inlineStr">
        <is>
          <t>位置合わせ(MS学習値)／月内均等</t>
        </is>
      </c>
      <c r="C357" s="10" t="inlineStr">
        <is>
          <t>2020-12</t>
        </is>
      </c>
      <c r="D357" s="10" t="n">
        <v>12</v>
      </c>
      <c r="E357" s="12" t="n">
        <v>7126.2</v>
      </c>
      <c r="F357" s="12" t="n">
        <v>13215.8</v>
      </c>
      <c r="G357" s="12" t="n">
        <v>-6089.6</v>
      </c>
      <c r="H357" s="13" t="n">
        <v>0.9219000000000001</v>
      </c>
      <c r="I357" s="13" t="n">
        <v>0.8789</v>
      </c>
    </row>
    <row r="358">
      <c r="A358" s="10" t="inlineStr">
        <is>
          <t>PJ-2020-B</t>
        </is>
      </c>
      <c r="B358" s="10" t="inlineStr">
        <is>
          <t>位置合わせ(MS学習値)／月内均等</t>
        </is>
      </c>
      <c r="C358" s="10" t="inlineStr">
        <is>
          <t>2021-01</t>
        </is>
      </c>
      <c r="D358" s="10" t="n">
        <v>13</v>
      </c>
      <c r="E358" s="12" t="n">
        <v>5304</v>
      </c>
      <c r="F358" s="12" t="n">
        <v>7968.1</v>
      </c>
      <c r="G358" s="12" t="n">
        <v>-2664.1</v>
      </c>
      <c r="H358" s="13" t="n">
        <v>0.9749</v>
      </c>
      <c r="I358" s="13" t="n">
        <v>0.9586</v>
      </c>
    </row>
    <row r="359">
      <c r="A359" s="10" t="inlineStr">
        <is>
          <t>PJ-2020-B</t>
        </is>
      </c>
      <c r="B359" s="10" t="inlineStr">
        <is>
          <t>位置合わせ(MS学習値)／月内均等</t>
        </is>
      </c>
      <c r="C359" s="10" t="inlineStr">
        <is>
          <t>2021-02</t>
        </is>
      </c>
      <c r="D359" s="10" t="n">
        <v>14</v>
      </c>
      <c r="E359" s="12" t="n">
        <v>2505.8</v>
      </c>
      <c r="F359" s="12" t="n">
        <v>4145.7</v>
      </c>
      <c r="G359" s="12" t="n">
        <v>-1639.9</v>
      </c>
      <c r="H359" s="13" t="n">
        <v>1</v>
      </c>
      <c r="I359" s="13" t="n">
        <v>1</v>
      </c>
    </row>
    <row r="360">
      <c r="A360" s="10" t="inlineStr">
        <is>
          <t>PJ-2020-B</t>
        </is>
      </c>
      <c r="B360" s="10" t="inlineStr">
        <is>
          <t>位置合わせ(MS指定)／月内均等</t>
        </is>
      </c>
      <c r="C360" s="10" t="inlineStr">
        <is>
          <t>2020-01</t>
        </is>
      </c>
      <c r="D360" s="10" t="n">
        <v>1</v>
      </c>
      <c r="E360" s="12" t="n">
        <v>2730.8</v>
      </c>
      <c r="F360" s="12" t="n">
        <v>320.5</v>
      </c>
      <c r="G360" s="12" t="n">
        <v>2410.3</v>
      </c>
      <c r="H360" s="13" t="n">
        <v>0.0273</v>
      </c>
      <c r="I360" s="13" t="n">
        <v>0.0032</v>
      </c>
    </row>
    <row r="361">
      <c r="A361" s="10" t="inlineStr">
        <is>
          <t>PJ-2020-B</t>
        </is>
      </c>
      <c r="B361" s="10" t="inlineStr">
        <is>
          <t>位置合わせ(MS指定)／月内均等</t>
        </is>
      </c>
      <c r="C361" s="10" t="inlineStr">
        <is>
          <t>2020-02</t>
        </is>
      </c>
      <c r="D361" s="10" t="n">
        <v>2</v>
      </c>
      <c r="E361" s="12" t="n">
        <v>3304.8</v>
      </c>
      <c r="F361" s="12" t="n">
        <v>930.3</v>
      </c>
      <c r="G361" s="12" t="n">
        <v>2374.5</v>
      </c>
      <c r="H361" s="13" t="n">
        <v>0.0603</v>
      </c>
      <c r="I361" s="13" t="n">
        <v>0.0125</v>
      </c>
    </row>
    <row r="362">
      <c r="A362" s="10" t="inlineStr">
        <is>
          <t>PJ-2020-B</t>
        </is>
      </c>
      <c r="B362" s="10" t="inlineStr">
        <is>
          <t>位置合わせ(MS指定)／月内均等</t>
        </is>
      </c>
      <c r="C362" s="10" t="inlineStr">
        <is>
          <t>2020-03</t>
        </is>
      </c>
      <c r="D362" s="10" t="n">
        <v>3</v>
      </c>
      <c r="E362" s="12" t="n">
        <v>4029.3</v>
      </c>
      <c r="F362" s="12" t="n">
        <v>1814.8</v>
      </c>
      <c r="G362" s="12" t="n">
        <v>2214.5</v>
      </c>
      <c r="H362" s="13" t="n">
        <v>0.1006</v>
      </c>
      <c r="I362" s="13" t="n">
        <v>0.0306</v>
      </c>
    </row>
    <row r="363">
      <c r="A363" s="10" t="inlineStr">
        <is>
          <t>PJ-2020-B</t>
        </is>
      </c>
      <c r="B363" s="10" t="inlineStr">
        <is>
          <t>位置合わせ(MS指定)／月内均等</t>
        </is>
      </c>
      <c r="C363" s="10" t="inlineStr">
        <is>
          <t>2020-04</t>
        </is>
      </c>
      <c r="D363" s="10" t="n">
        <v>4</v>
      </c>
      <c r="E363" s="12" t="n">
        <v>4204.8</v>
      </c>
      <c r="F363" s="12" t="n">
        <v>2405.7</v>
      </c>
      <c r="G363" s="12" t="n">
        <v>1799.1</v>
      </c>
      <c r="H363" s="13" t="n">
        <v>0.1427</v>
      </c>
      <c r="I363" s="13" t="n">
        <v>0.0547</v>
      </c>
    </row>
    <row r="364">
      <c r="A364" s="10" t="inlineStr">
        <is>
          <t>PJ-2020-B</t>
        </is>
      </c>
      <c r="B364" s="10" t="inlineStr">
        <is>
          <t>位置合わせ(MS指定)／月内均等</t>
        </is>
      </c>
      <c r="C364" s="10" t="inlineStr">
        <is>
          <t>2020-05</t>
        </is>
      </c>
      <c r="D364" s="10" t="n">
        <v>5</v>
      </c>
      <c r="E364" s="12" t="n">
        <v>4996</v>
      </c>
      <c r="F364" s="12" t="n">
        <v>3424.8</v>
      </c>
      <c r="G364" s="12" t="n">
        <v>1571.2</v>
      </c>
      <c r="H364" s="13" t="n">
        <v>0.1926</v>
      </c>
      <c r="I364" s="13" t="n">
        <v>0.08890000000000001</v>
      </c>
    </row>
    <row r="365">
      <c r="A365" s="10" t="inlineStr">
        <is>
          <t>PJ-2020-B</t>
        </is>
      </c>
      <c r="B365" s="10" t="inlineStr">
        <is>
          <t>位置合わせ(MS指定)／月内均等</t>
        </is>
      </c>
      <c r="C365" s="10" t="inlineStr">
        <is>
          <t>2020-06</t>
        </is>
      </c>
      <c r="D365" s="10" t="n">
        <v>6</v>
      </c>
      <c r="E365" s="12" t="n">
        <v>5919.2</v>
      </c>
      <c r="F365" s="12" t="n">
        <v>4082.4</v>
      </c>
      <c r="G365" s="12" t="n">
        <v>1836.8</v>
      </c>
      <c r="H365" s="13" t="n">
        <v>0.2518</v>
      </c>
      <c r="I365" s="13" t="n">
        <v>0.1298</v>
      </c>
    </row>
    <row r="366">
      <c r="A366" s="10" t="inlineStr">
        <is>
          <t>PJ-2020-B</t>
        </is>
      </c>
      <c r="B366" s="10" t="inlineStr">
        <is>
          <t>位置合わせ(MS指定)／月内均等</t>
        </is>
      </c>
      <c r="C366" s="10" t="inlineStr">
        <is>
          <t>2020-07</t>
        </is>
      </c>
      <c r="D366" s="10" t="n">
        <v>7</v>
      </c>
      <c r="E366" s="12" t="n">
        <v>7005.3</v>
      </c>
      <c r="F366" s="12" t="n">
        <v>5263.5</v>
      </c>
      <c r="G366" s="12" t="n">
        <v>1741.8</v>
      </c>
      <c r="H366" s="13" t="n">
        <v>0.3218</v>
      </c>
      <c r="I366" s="13" t="n">
        <v>0.1824</v>
      </c>
    </row>
    <row r="367">
      <c r="A367" s="10" t="inlineStr">
        <is>
          <t>PJ-2020-B</t>
        </is>
      </c>
      <c r="B367" s="10" t="inlineStr">
        <is>
          <t>位置合わせ(MS指定)／月内均等</t>
        </is>
      </c>
      <c r="C367" s="10" t="inlineStr">
        <is>
          <t>2020-08</t>
        </is>
      </c>
      <c r="D367" s="10" t="n">
        <v>8</v>
      </c>
      <c r="E367" s="12" t="n">
        <v>7831.6</v>
      </c>
      <c r="F367" s="12" t="n">
        <v>6466.9</v>
      </c>
      <c r="G367" s="12" t="n">
        <v>1364.7</v>
      </c>
      <c r="H367" s="13" t="n">
        <v>0.4001</v>
      </c>
      <c r="I367" s="13" t="n">
        <v>0.247</v>
      </c>
    </row>
    <row r="368">
      <c r="A368" s="10" t="inlineStr">
        <is>
          <t>PJ-2020-B</t>
        </is>
      </c>
      <c r="B368" s="10" t="inlineStr">
        <is>
          <t>位置合わせ(MS指定)／月内均等</t>
        </is>
      </c>
      <c r="C368" s="10" t="inlineStr">
        <is>
          <t>2020-09</t>
        </is>
      </c>
      <c r="D368" s="10" t="n">
        <v>9</v>
      </c>
      <c r="E368" s="12" t="n">
        <v>12904.8</v>
      </c>
      <c r="F368" s="12" t="n">
        <v>15257.1</v>
      </c>
      <c r="G368" s="12" t="n">
        <v>-2352.3</v>
      </c>
      <c r="H368" s="13" t="n">
        <v>0.5292</v>
      </c>
      <c r="I368" s="13" t="n">
        <v>0.3996</v>
      </c>
    </row>
    <row r="369">
      <c r="A369" s="10" t="inlineStr">
        <is>
          <t>PJ-2020-B</t>
        </is>
      </c>
      <c r="B369" s="10" t="inlineStr">
        <is>
          <t>位置合わせ(MS指定)／月内均等</t>
        </is>
      </c>
      <c r="C369" s="10" t="inlineStr">
        <is>
          <t>2020-10</t>
        </is>
      </c>
      <c r="D369" s="10" t="n">
        <v>10</v>
      </c>
      <c r="E369" s="12" t="n">
        <v>17463.7</v>
      </c>
      <c r="F369" s="12" t="n">
        <v>20485.7</v>
      </c>
      <c r="G369" s="12" t="n">
        <v>-3022</v>
      </c>
      <c r="H369" s="13" t="n">
        <v>0.7038</v>
      </c>
      <c r="I369" s="13" t="n">
        <v>0.6044</v>
      </c>
    </row>
    <row r="370">
      <c r="A370" s="10" t="inlineStr">
        <is>
          <t>PJ-2020-B</t>
        </is>
      </c>
      <c r="B370" s="10" t="inlineStr">
        <is>
          <t>位置合わせ(MS指定)／月内均等</t>
        </is>
      </c>
      <c r="C370" s="10" t="inlineStr">
        <is>
          <t>2020-11</t>
        </is>
      </c>
      <c r="D370" s="10" t="n">
        <v>11</v>
      </c>
      <c r="E370" s="12" t="n">
        <v>13842.3</v>
      </c>
      <c r="F370" s="12" t="n">
        <v>14239.1</v>
      </c>
      <c r="G370" s="12" t="n">
        <v>-396.8</v>
      </c>
      <c r="H370" s="13" t="n">
        <v>0.8421999999999999</v>
      </c>
      <c r="I370" s="13" t="n">
        <v>0.7468</v>
      </c>
    </row>
    <row r="371">
      <c r="A371" s="10" t="inlineStr">
        <is>
          <t>PJ-2020-B</t>
        </is>
      </c>
      <c r="B371" s="10" t="inlineStr">
        <is>
          <t>位置合わせ(MS指定)／月内均等</t>
        </is>
      </c>
      <c r="C371" s="10" t="inlineStr">
        <is>
          <t>2020-12</t>
        </is>
      </c>
      <c r="D371" s="10" t="n">
        <v>12</v>
      </c>
      <c r="E371" s="12" t="n">
        <v>8706.700000000001</v>
      </c>
      <c r="F371" s="12" t="n">
        <v>13215.8</v>
      </c>
      <c r="G371" s="12" t="n">
        <v>-4509.1</v>
      </c>
      <c r="H371" s="13" t="n">
        <v>0.9292</v>
      </c>
      <c r="I371" s="13" t="n">
        <v>0.8789</v>
      </c>
    </row>
    <row r="372">
      <c r="A372" s="10" t="inlineStr">
        <is>
          <t>PJ-2020-B</t>
        </is>
      </c>
      <c r="B372" s="10" t="inlineStr">
        <is>
          <t>位置合わせ(MS指定)／月内均等</t>
        </is>
      </c>
      <c r="C372" s="10" t="inlineStr">
        <is>
          <t>2021-01</t>
        </is>
      </c>
      <c r="D372" s="10" t="n">
        <v>13</v>
      </c>
      <c r="E372" s="12" t="n">
        <v>5194.5</v>
      </c>
      <c r="F372" s="12" t="n">
        <v>7968.1</v>
      </c>
      <c r="G372" s="12" t="n">
        <v>-2773.6</v>
      </c>
      <c r="H372" s="13" t="n">
        <v>0.9811</v>
      </c>
      <c r="I372" s="13" t="n">
        <v>0.9586</v>
      </c>
    </row>
    <row r="373">
      <c r="A373" s="10" t="inlineStr">
        <is>
          <t>PJ-2020-B</t>
        </is>
      </c>
      <c r="B373" s="10" t="inlineStr">
        <is>
          <t>位置合わせ(MS指定)／月内均等</t>
        </is>
      </c>
      <c r="C373" s="10" t="inlineStr">
        <is>
          <t>2021-02</t>
        </is>
      </c>
      <c r="D373" s="10" t="n">
        <v>14</v>
      </c>
      <c r="E373" s="12" t="n">
        <v>1886.5</v>
      </c>
      <c r="F373" s="12" t="n">
        <v>4145.7</v>
      </c>
      <c r="G373" s="12" t="n">
        <v>-2259.2</v>
      </c>
      <c r="H373" s="13" t="n">
        <v>1</v>
      </c>
      <c r="I373" s="13" t="n">
        <v>1</v>
      </c>
    </row>
    <row r="374">
      <c r="A374" s="10" t="inlineStr">
        <is>
          <t>PJ-2020-B</t>
        </is>
      </c>
      <c r="B374" s="10" t="inlineStr">
        <is>
          <t>素朴版／単調補間</t>
        </is>
      </c>
      <c r="C374" s="10" t="inlineStr">
        <is>
          <t>2020-01</t>
        </is>
      </c>
      <c r="D374" s="10" t="n">
        <v>1</v>
      </c>
      <c r="E374" s="12" t="n">
        <v>3498.3</v>
      </c>
      <c r="F374" s="12" t="n">
        <v>320.5</v>
      </c>
      <c r="G374" s="12" t="n">
        <v>3177.8</v>
      </c>
      <c r="H374" s="13" t="n">
        <v>0.035</v>
      </c>
      <c r="I374" s="13" t="n">
        <v>0.0032</v>
      </c>
    </row>
    <row r="375">
      <c r="A375" s="10" t="inlineStr">
        <is>
          <t>PJ-2020-B</t>
        </is>
      </c>
      <c r="B375" s="10" t="inlineStr">
        <is>
          <t>素朴版／単調補間</t>
        </is>
      </c>
      <c r="C375" s="10" t="inlineStr">
        <is>
          <t>2020-02</t>
        </is>
      </c>
      <c r="D375" s="10" t="n">
        <v>2</v>
      </c>
      <c r="E375" s="12" t="n">
        <v>4383.3</v>
      </c>
      <c r="F375" s="12" t="n">
        <v>930.3</v>
      </c>
      <c r="G375" s="12" t="n">
        <v>3453</v>
      </c>
      <c r="H375" s="13" t="n">
        <v>0.0788</v>
      </c>
      <c r="I375" s="13" t="n">
        <v>0.0125</v>
      </c>
    </row>
    <row r="376">
      <c r="A376" s="10" t="inlineStr">
        <is>
          <t>PJ-2020-B</t>
        </is>
      </c>
      <c r="B376" s="10" t="inlineStr">
        <is>
          <t>素朴版／単調補間</t>
        </is>
      </c>
      <c r="C376" s="10" t="inlineStr">
        <is>
          <t>2020-03</t>
        </is>
      </c>
      <c r="D376" s="10" t="n">
        <v>3</v>
      </c>
      <c r="E376" s="12" t="n">
        <v>5322.1</v>
      </c>
      <c r="F376" s="12" t="n">
        <v>1814.8</v>
      </c>
      <c r="G376" s="12" t="n">
        <v>3507.3</v>
      </c>
      <c r="H376" s="13" t="n">
        <v>0.132</v>
      </c>
      <c r="I376" s="13" t="n">
        <v>0.0306</v>
      </c>
    </row>
    <row r="377">
      <c r="A377" s="10" t="inlineStr">
        <is>
          <t>PJ-2020-B</t>
        </is>
      </c>
      <c r="B377" s="10" t="inlineStr">
        <is>
          <t>素朴版／単調補間</t>
        </is>
      </c>
      <c r="C377" s="10" t="inlineStr">
        <is>
          <t>2020-04</t>
        </is>
      </c>
      <c r="D377" s="10" t="n">
        <v>4</v>
      </c>
      <c r="E377" s="12" t="n">
        <v>6138</v>
      </c>
      <c r="F377" s="12" t="n">
        <v>2405.7</v>
      </c>
      <c r="G377" s="12" t="n">
        <v>3732.3</v>
      </c>
      <c r="H377" s="13" t="n">
        <v>0.1934</v>
      </c>
      <c r="I377" s="13" t="n">
        <v>0.0547</v>
      </c>
    </row>
    <row r="378">
      <c r="A378" s="10" t="inlineStr">
        <is>
          <t>PJ-2020-B</t>
        </is>
      </c>
      <c r="B378" s="10" t="inlineStr">
        <is>
          <t>素朴版／単調補間</t>
        </is>
      </c>
      <c r="C378" s="10" t="inlineStr">
        <is>
          <t>2020-05</t>
        </is>
      </c>
      <c r="D378" s="10" t="n">
        <v>5</v>
      </c>
      <c r="E378" s="12" t="n">
        <v>8303.200000000001</v>
      </c>
      <c r="F378" s="12" t="n">
        <v>3424.8</v>
      </c>
      <c r="G378" s="12" t="n">
        <v>4878.4</v>
      </c>
      <c r="H378" s="13" t="n">
        <v>0.2764</v>
      </c>
      <c r="I378" s="13" t="n">
        <v>0.08890000000000001</v>
      </c>
    </row>
    <row r="379">
      <c r="A379" s="10" t="inlineStr">
        <is>
          <t>PJ-2020-B</t>
        </is>
      </c>
      <c r="B379" s="10" t="inlineStr">
        <is>
          <t>素朴版／単調補間</t>
        </is>
      </c>
      <c r="C379" s="10" t="inlineStr">
        <is>
          <t>2020-06</t>
        </is>
      </c>
      <c r="D379" s="10" t="n">
        <v>6</v>
      </c>
      <c r="E379" s="12" t="n">
        <v>9473.5</v>
      </c>
      <c r="F379" s="12" t="n">
        <v>4082.4</v>
      </c>
      <c r="G379" s="12" t="n">
        <v>5391.1</v>
      </c>
      <c r="H379" s="13" t="n">
        <v>0.3711</v>
      </c>
      <c r="I379" s="13" t="n">
        <v>0.1298</v>
      </c>
    </row>
    <row r="380">
      <c r="A380" s="10" t="inlineStr">
        <is>
          <t>PJ-2020-B</t>
        </is>
      </c>
      <c r="B380" s="10" t="inlineStr">
        <is>
          <t>素朴版／単調補間</t>
        </is>
      </c>
      <c r="C380" s="10" t="inlineStr">
        <is>
          <t>2020-07</t>
        </is>
      </c>
      <c r="D380" s="10" t="n">
        <v>7</v>
      </c>
      <c r="E380" s="12" t="n">
        <v>9033.700000000001</v>
      </c>
      <c r="F380" s="12" t="n">
        <v>5263.5</v>
      </c>
      <c r="G380" s="12" t="n">
        <v>3770.2</v>
      </c>
      <c r="H380" s="13" t="n">
        <v>0.4614</v>
      </c>
      <c r="I380" s="13" t="n">
        <v>0.1824</v>
      </c>
    </row>
    <row r="381">
      <c r="A381" s="10" t="inlineStr">
        <is>
          <t>PJ-2020-B</t>
        </is>
      </c>
      <c r="B381" s="10" t="inlineStr">
        <is>
          <t>素朴版／単調補間</t>
        </is>
      </c>
      <c r="C381" s="10" t="inlineStr">
        <is>
          <t>2020-08</t>
        </is>
      </c>
      <c r="D381" s="10" t="n">
        <v>8</v>
      </c>
      <c r="E381" s="12" t="n">
        <v>10351.3</v>
      </c>
      <c r="F381" s="12" t="n">
        <v>6466.9</v>
      </c>
      <c r="G381" s="12" t="n">
        <v>3884.4</v>
      </c>
      <c r="H381" s="13" t="n">
        <v>0.5649</v>
      </c>
      <c r="I381" s="13" t="n">
        <v>0.247</v>
      </c>
    </row>
    <row r="382">
      <c r="A382" s="10" t="inlineStr">
        <is>
          <t>PJ-2020-B</t>
        </is>
      </c>
      <c r="B382" s="10" t="inlineStr">
        <is>
          <t>素朴版／単調補間</t>
        </is>
      </c>
      <c r="C382" s="10" t="inlineStr">
        <is>
          <t>2020-09</t>
        </is>
      </c>
      <c r="D382" s="10" t="n">
        <v>9</v>
      </c>
      <c r="E382" s="12" t="n">
        <v>10172.6</v>
      </c>
      <c r="F382" s="12" t="n">
        <v>15257.1</v>
      </c>
      <c r="G382" s="12" t="n">
        <v>-5084.5</v>
      </c>
      <c r="H382" s="13" t="n">
        <v>0.6666</v>
      </c>
      <c r="I382" s="13" t="n">
        <v>0.3996</v>
      </c>
    </row>
    <row r="383">
      <c r="A383" s="10" t="inlineStr">
        <is>
          <t>PJ-2020-B</t>
        </is>
      </c>
      <c r="B383" s="10" t="inlineStr">
        <is>
          <t>素朴版／単調補間</t>
        </is>
      </c>
      <c r="C383" s="10" t="inlineStr">
        <is>
          <t>2020-10</t>
        </is>
      </c>
      <c r="D383" s="10" t="n">
        <v>10</v>
      </c>
      <c r="E383" s="12" t="n">
        <v>8993.1</v>
      </c>
      <c r="F383" s="12" t="n">
        <v>20485.7</v>
      </c>
      <c r="G383" s="12" t="n">
        <v>-11492.6</v>
      </c>
      <c r="H383" s="13" t="n">
        <v>0.7565</v>
      </c>
      <c r="I383" s="13" t="n">
        <v>0.6044</v>
      </c>
    </row>
    <row r="384">
      <c r="A384" s="10" t="inlineStr">
        <is>
          <t>PJ-2020-B</t>
        </is>
      </c>
      <c r="B384" s="10" t="inlineStr">
        <is>
          <t>素朴版／単調補間</t>
        </is>
      </c>
      <c r="C384" s="10" t="inlineStr">
        <is>
          <t>2020-11</t>
        </is>
      </c>
      <c r="D384" s="10" t="n">
        <v>11</v>
      </c>
      <c r="E384" s="12" t="n">
        <v>8487.1</v>
      </c>
      <c r="F384" s="12" t="n">
        <v>14239.1</v>
      </c>
      <c r="G384" s="12" t="n">
        <v>-5752</v>
      </c>
      <c r="H384" s="13" t="n">
        <v>0.8414</v>
      </c>
      <c r="I384" s="13" t="n">
        <v>0.7468</v>
      </c>
    </row>
    <row r="385">
      <c r="A385" s="10" t="inlineStr">
        <is>
          <t>PJ-2020-B</t>
        </is>
      </c>
      <c r="B385" s="10" t="inlineStr">
        <is>
          <t>素朴版／単調補間</t>
        </is>
      </c>
      <c r="C385" s="10" t="inlineStr">
        <is>
          <t>2020-12</t>
        </is>
      </c>
      <c r="D385" s="10" t="n">
        <v>12</v>
      </c>
      <c r="E385" s="12" t="n">
        <v>8053.4</v>
      </c>
      <c r="F385" s="12" t="n">
        <v>13215.8</v>
      </c>
      <c r="G385" s="12" t="n">
        <v>-5162.4</v>
      </c>
      <c r="H385" s="13" t="n">
        <v>0.9219000000000001</v>
      </c>
      <c r="I385" s="13" t="n">
        <v>0.8789</v>
      </c>
    </row>
    <row r="386">
      <c r="A386" s="10" t="inlineStr">
        <is>
          <t>PJ-2020-B</t>
        </is>
      </c>
      <c r="B386" s="10" t="inlineStr">
        <is>
          <t>素朴版／単調補間</t>
        </is>
      </c>
      <c r="C386" s="10" t="inlineStr">
        <is>
          <t>2021-01</t>
        </is>
      </c>
      <c r="D386" s="10" t="n">
        <v>13</v>
      </c>
      <c r="E386" s="12" t="n">
        <v>5326.7</v>
      </c>
      <c r="F386" s="12" t="n">
        <v>7968.1</v>
      </c>
      <c r="G386" s="12" t="n">
        <v>-2641.4</v>
      </c>
      <c r="H386" s="13" t="n">
        <v>0.9752</v>
      </c>
      <c r="I386" s="13" t="n">
        <v>0.9586</v>
      </c>
    </row>
    <row r="387">
      <c r="A387" s="10" t="inlineStr">
        <is>
          <t>PJ-2020-B</t>
        </is>
      </c>
      <c r="B387" s="10" t="inlineStr">
        <is>
          <t>素朴版／単調補間</t>
        </is>
      </c>
      <c r="C387" s="10" t="inlineStr">
        <is>
          <t>2021-02</t>
        </is>
      </c>
      <c r="D387" s="10" t="n">
        <v>14</v>
      </c>
      <c r="E387" s="12" t="n">
        <v>2484.2</v>
      </c>
      <c r="F387" s="12" t="n">
        <v>4145.7</v>
      </c>
      <c r="G387" s="12" t="n">
        <v>-1661.5</v>
      </c>
      <c r="H387" s="13" t="n">
        <v>1</v>
      </c>
      <c r="I387" s="13" t="n">
        <v>1</v>
      </c>
    </row>
    <row r="388">
      <c r="A388" s="10" t="inlineStr">
        <is>
          <t>PJ-2020-B</t>
        </is>
      </c>
      <c r="B388" s="10" t="inlineStr">
        <is>
          <t>位置合わせ(MS学習値)／単調補間</t>
        </is>
      </c>
      <c r="C388" s="10" t="inlineStr">
        <is>
          <t>2020-01</t>
        </is>
      </c>
      <c r="D388" s="10" t="n">
        <v>1</v>
      </c>
      <c r="E388" s="12" t="n">
        <v>3549.4</v>
      </c>
      <c r="F388" s="12" t="n">
        <v>320.5</v>
      </c>
      <c r="G388" s="12" t="n">
        <v>3228.9</v>
      </c>
      <c r="H388" s="13" t="n">
        <v>0.0355</v>
      </c>
      <c r="I388" s="13" t="n">
        <v>0.0032</v>
      </c>
    </row>
    <row r="389">
      <c r="A389" s="10" t="inlineStr">
        <is>
          <t>PJ-2020-B</t>
        </is>
      </c>
      <c r="B389" s="10" t="inlineStr">
        <is>
          <t>位置合わせ(MS学習値)／単調補間</t>
        </is>
      </c>
      <c r="C389" s="10" t="inlineStr">
        <is>
          <t>2020-02</t>
        </is>
      </c>
      <c r="D389" s="10" t="n">
        <v>2</v>
      </c>
      <c r="E389" s="12" t="n">
        <v>4408.4</v>
      </c>
      <c r="F389" s="12" t="n">
        <v>930.3</v>
      </c>
      <c r="G389" s="12" t="n">
        <v>3478.1</v>
      </c>
      <c r="H389" s="13" t="n">
        <v>0.0796</v>
      </c>
      <c r="I389" s="13" t="n">
        <v>0.0125</v>
      </c>
    </row>
    <row r="390">
      <c r="A390" s="10" t="inlineStr">
        <is>
          <t>PJ-2020-B</t>
        </is>
      </c>
      <c r="B390" s="10" t="inlineStr">
        <is>
          <t>位置合わせ(MS学習値)／単調補間</t>
        </is>
      </c>
      <c r="C390" s="10" t="inlineStr">
        <is>
          <t>2020-03</t>
        </is>
      </c>
      <c r="D390" s="10" t="n">
        <v>3</v>
      </c>
      <c r="E390" s="12" t="n">
        <v>5295.3</v>
      </c>
      <c r="F390" s="12" t="n">
        <v>1814.8</v>
      </c>
      <c r="G390" s="12" t="n">
        <v>3480.5</v>
      </c>
      <c r="H390" s="13" t="n">
        <v>0.1325</v>
      </c>
      <c r="I390" s="13" t="n">
        <v>0.0306</v>
      </c>
    </row>
    <row r="391">
      <c r="A391" s="10" t="inlineStr">
        <is>
          <t>PJ-2020-B</t>
        </is>
      </c>
      <c r="B391" s="10" t="inlineStr">
        <is>
          <t>位置合わせ(MS学習値)／単調補間</t>
        </is>
      </c>
      <c r="C391" s="10" t="inlineStr">
        <is>
          <t>2020-04</t>
        </is>
      </c>
      <c r="D391" s="10" t="n">
        <v>4</v>
      </c>
      <c r="E391" s="12" t="n">
        <v>5977.8</v>
      </c>
      <c r="F391" s="12" t="n">
        <v>2405.7</v>
      </c>
      <c r="G391" s="12" t="n">
        <v>3572.1</v>
      </c>
      <c r="H391" s="13" t="n">
        <v>0.1923</v>
      </c>
      <c r="I391" s="13" t="n">
        <v>0.0547</v>
      </c>
    </row>
    <row r="392">
      <c r="A392" s="10" t="inlineStr">
        <is>
          <t>PJ-2020-B</t>
        </is>
      </c>
      <c r="B392" s="10" t="inlineStr">
        <is>
          <t>位置合わせ(MS学習値)／単調補間</t>
        </is>
      </c>
      <c r="C392" s="10" t="inlineStr">
        <is>
          <t>2020-05</t>
        </is>
      </c>
      <c r="D392" s="10" t="n">
        <v>5</v>
      </c>
      <c r="E392" s="12" t="n">
        <v>7872.3</v>
      </c>
      <c r="F392" s="12" t="n">
        <v>3424.8</v>
      </c>
      <c r="G392" s="12" t="n">
        <v>4447.5</v>
      </c>
      <c r="H392" s="13" t="n">
        <v>0.271</v>
      </c>
      <c r="I392" s="13" t="n">
        <v>0.08890000000000001</v>
      </c>
    </row>
    <row r="393">
      <c r="A393" s="10" t="inlineStr">
        <is>
          <t>PJ-2020-B</t>
        </is>
      </c>
      <c r="B393" s="10" t="inlineStr">
        <is>
          <t>位置合わせ(MS学習値)／単調補間</t>
        </is>
      </c>
      <c r="C393" s="10" t="inlineStr">
        <is>
          <t>2020-06</t>
        </is>
      </c>
      <c r="D393" s="10" t="n">
        <v>6</v>
      </c>
      <c r="E393" s="12" t="n">
        <v>8902.1</v>
      </c>
      <c r="F393" s="12" t="n">
        <v>4082.4</v>
      </c>
      <c r="G393" s="12" t="n">
        <v>4819.7</v>
      </c>
      <c r="H393" s="13" t="n">
        <v>0.36</v>
      </c>
      <c r="I393" s="13" t="n">
        <v>0.1298</v>
      </c>
    </row>
    <row r="394">
      <c r="A394" s="10" t="inlineStr">
        <is>
          <t>PJ-2020-B</t>
        </is>
      </c>
      <c r="B394" s="10" t="inlineStr">
        <is>
          <t>位置合わせ(MS学習値)／単調補間</t>
        </is>
      </c>
      <c r="C394" s="10" t="inlineStr">
        <is>
          <t>2020-07</t>
        </is>
      </c>
      <c r="D394" s="10" t="n">
        <v>7</v>
      </c>
      <c r="E394" s="12" t="n">
        <v>10136.2</v>
      </c>
      <c r="F394" s="12" t="n">
        <v>5263.5</v>
      </c>
      <c r="G394" s="12" t="n">
        <v>4872.7</v>
      </c>
      <c r="H394" s="13" t="n">
        <v>0.4613</v>
      </c>
      <c r="I394" s="13" t="n">
        <v>0.1824</v>
      </c>
    </row>
    <row r="395">
      <c r="A395" s="10" t="inlineStr">
        <is>
          <t>PJ-2020-B</t>
        </is>
      </c>
      <c r="B395" s="10" t="inlineStr">
        <is>
          <t>位置合わせ(MS学習値)／単調補間</t>
        </is>
      </c>
      <c r="C395" s="10" t="inlineStr">
        <is>
          <t>2020-08</t>
        </is>
      </c>
      <c r="D395" s="10" t="n">
        <v>8</v>
      </c>
      <c r="E395" s="12" t="n">
        <v>10194.3</v>
      </c>
      <c r="F395" s="12" t="n">
        <v>6466.9</v>
      </c>
      <c r="G395" s="12" t="n">
        <v>3727.4</v>
      </c>
      <c r="H395" s="13" t="n">
        <v>0.5632</v>
      </c>
      <c r="I395" s="13" t="n">
        <v>0.247</v>
      </c>
    </row>
    <row r="396">
      <c r="A396" s="10" t="inlineStr">
        <is>
          <t>PJ-2020-B</t>
        </is>
      </c>
      <c r="B396" s="10" t="inlineStr">
        <is>
          <t>位置合わせ(MS学習値)／単調補間</t>
        </is>
      </c>
      <c r="C396" s="10" t="inlineStr">
        <is>
          <t>2020-09</t>
        </is>
      </c>
      <c r="D396" s="10" t="n">
        <v>9</v>
      </c>
      <c r="E396" s="12" t="n">
        <v>9522.799999999999</v>
      </c>
      <c r="F396" s="12" t="n">
        <v>15257.1</v>
      </c>
      <c r="G396" s="12" t="n">
        <v>-5734.3</v>
      </c>
      <c r="H396" s="13" t="n">
        <v>0.6585</v>
      </c>
      <c r="I396" s="13" t="n">
        <v>0.3996</v>
      </c>
    </row>
    <row r="397">
      <c r="A397" s="10" t="inlineStr">
        <is>
          <t>PJ-2020-B</t>
        </is>
      </c>
      <c r="B397" s="10" t="inlineStr">
        <is>
          <t>位置合わせ(MS学習値)／単調補間</t>
        </is>
      </c>
      <c r="C397" s="10" t="inlineStr">
        <is>
          <t>2020-10</t>
        </is>
      </c>
      <c r="D397" s="10" t="n">
        <v>10</v>
      </c>
      <c r="E397" s="12" t="n">
        <v>10405.8</v>
      </c>
      <c r="F397" s="12" t="n">
        <v>20485.7</v>
      </c>
      <c r="G397" s="12" t="n">
        <v>-10079.9</v>
      </c>
      <c r="H397" s="13" t="n">
        <v>0.7625</v>
      </c>
      <c r="I397" s="13" t="n">
        <v>0.6044</v>
      </c>
    </row>
    <row r="398">
      <c r="A398" s="10" t="inlineStr">
        <is>
          <t>PJ-2020-B</t>
        </is>
      </c>
      <c r="B398" s="10" t="inlineStr">
        <is>
          <t>位置合わせ(MS学習値)／単調補間</t>
        </is>
      </c>
      <c r="C398" s="10" t="inlineStr">
        <is>
          <t>2020-11</t>
        </is>
      </c>
      <c r="D398" s="10" t="n">
        <v>11</v>
      </c>
      <c r="E398" s="12" t="n">
        <v>8860.200000000001</v>
      </c>
      <c r="F398" s="12" t="n">
        <v>14239.1</v>
      </c>
      <c r="G398" s="12" t="n">
        <v>-5378.9</v>
      </c>
      <c r="H398" s="13" t="n">
        <v>0.8511</v>
      </c>
      <c r="I398" s="13" t="n">
        <v>0.7468</v>
      </c>
    </row>
    <row r="399">
      <c r="A399" s="10" t="inlineStr">
        <is>
          <t>PJ-2020-B</t>
        </is>
      </c>
      <c r="B399" s="10" t="inlineStr">
        <is>
          <t>位置合わせ(MS学習値)／単調補間</t>
        </is>
      </c>
      <c r="C399" s="10" t="inlineStr">
        <is>
          <t>2020-12</t>
        </is>
      </c>
      <c r="D399" s="10" t="n">
        <v>12</v>
      </c>
      <c r="E399" s="12" t="n">
        <v>7163.8</v>
      </c>
      <c r="F399" s="12" t="n">
        <v>13215.8</v>
      </c>
      <c r="G399" s="12" t="n">
        <v>-6052</v>
      </c>
      <c r="H399" s="13" t="n">
        <v>0.9227</v>
      </c>
      <c r="I399" s="13" t="n">
        <v>0.8789</v>
      </c>
    </row>
    <row r="400">
      <c r="A400" s="10" t="inlineStr">
        <is>
          <t>PJ-2020-B</t>
        </is>
      </c>
      <c r="B400" s="10" t="inlineStr">
        <is>
          <t>位置合わせ(MS学習値)／単調補間</t>
        </is>
      </c>
      <c r="C400" s="10" t="inlineStr">
        <is>
          <t>2021-01</t>
        </is>
      </c>
      <c r="D400" s="10" t="n">
        <v>13</v>
      </c>
      <c r="E400" s="12" t="n">
        <v>5314.4</v>
      </c>
      <c r="F400" s="12" t="n">
        <v>7968.1</v>
      </c>
      <c r="G400" s="12" t="n">
        <v>-2653.7</v>
      </c>
      <c r="H400" s="13" t="n">
        <v>0.9758</v>
      </c>
      <c r="I400" s="13" t="n">
        <v>0.9586</v>
      </c>
    </row>
    <row r="401">
      <c r="A401" s="10" t="inlineStr">
        <is>
          <t>PJ-2020-B</t>
        </is>
      </c>
      <c r="B401" s="10" t="inlineStr">
        <is>
          <t>位置合わせ(MS学習値)／単調補間</t>
        </is>
      </c>
      <c r="C401" s="10" t="inlineStr">
        <is>
          <t>2021-02</t>
        </is>
      </c>
      <c r="D401" s="10" t="n">
        <v>14</v>
      </c>
      <c r="E401" s="12" t="n">
        <v>2417.7</v>
      </c>
      <c r="F401" s="12" t="n">
        <v>4145.7</v>
      </c>
      <c r="G401" s="12" t="n">
        <v>-1728</v>
      </c>
      <c r="H401" s="13" t="n">
        <v>1</v>
      </c>
      <c r="I401" s="13" t="n">
        <v>1</v>
      </c>
    </row>
    <row r="402">
      <c r="A402" s="10" t="inlineStr">
        <is>
          <t>PJ-2020-B</t>
        </is>
      </c>
      <c r="B402" s="10" t="inlineStr">
        <is>
          <t>位置合わせ(MS指定)／単調補間</t>
        </is>
      </c>
      <c r="C402" s="10" t="inlineStr">
        <is>
          <t>2020-01</t>
        </is>
      </c>
      <c r="D402" s="10" t="n">
        <v>1</v>
      </c>
      <c r="E402" s="12" t="n">
        <v>2707.3</v>
      </c>
      <c r="F402" s="12" t="n">
        <v>320.5</v>
      </c>
      <c r="G402" s="12" t="n">
        <v>2386.8</v>
      </c>
      <c r="H402" s="13" t="n">
        <v>0.0271</v>
      </c>
      <c r="I402" s="13" t="n">
        <v>0.0032</v>
      </c>
    </row>
    <row r="403">
      <c r="A403" s="10" t="inlineStr">
        <is>
          <t>PJ-2020-B</t>
        </is>
      </c>
      <c r="B403" s="10" t="inlineStr">
        <is>
          <t>位置合わせ(MS指定)／単調補間</t>
        </is>
      </c>
      <c r="C403" s="10" t="inlineStr">
        <is>
          <t>2020-02</t>
        </is>
      </c>
      <c r="D403" s="10" t="n">
        <v>2</v>
      </c>
      <c r="E403" s="12" t="n">
        <v>3308.7</v>
      </c>
      <c r="F403" s="12" t="n">
        <v>930.3</v>
      </c>
      <c r="G403" s="12" t="n">
        <v>2378.4</v>
      </c>
      <c r="H403" s="13" t="n">
        <v>0.0601</v>
      </c>
      <c r="I403" s="13" t="n">
        <v>0.0125</v>
      </c>
    </row>
    <row r="404">
      <c r="A404" s="10" t="inlineStr">
        <is>
          <t>PJ-2020-B</t>
        </is>
      </c>
      <c r="B404" s="10" t="inlineStr">
        <is>
          <t>位置合わせ(MS指定)／単調補間</t>
        </is>
      </c>
      <c r="C404" s="10" t="inlineStr">
        <is>
          <t>2020-03</t>
        </is>
      </c>
      <c r="D404" s="10" t="n">
        <v>3</v>
      </c>
      <c r="E404" s="12" t="n">
        <v>4038.3</v>
      </c>
      <c r="F404" s="12" t="n">
        <v>1814.8</v>
      </c>
      <c r="G404" s="12" t="n">
        <v>2223.5</v>
      </c>
      <c r="H404" s="13" t="n">
        <v>0.1005</v>
      </c>
      <c r="I404" s="13" t="n">
        <v>0.0306</v>
      </c>
    </row>
    <row r="405">
      <c r="A405" s="10" t="inlineStr">
        <is>
          <t>PJ-2020-B</t>
        </is>
      </c>
      <c r="B405" s="10" t="inlineStr">
        <is>
          <t>位置合わせ(MS指定)／単調補間</t>
        </is>
      </c>
      <c r="C405" s="10" t="inlineStr">
        <is>
          <t>2020-04</t>
        </is>
      </c>
      <c r="D405" s="10" t="n">
        <v>4</v>
      </c>
      <c r="E405" s="12" t="n">
        <v>4191.7</v>
      </c>
      <c r="F405" s="12" t="n">
        <v>2405.7</v>
      </c>
      <c r="G405" s="12" t="n">
        <v>1786</v>
      </c>
      <c r="H405" s="13" t="n">
        <v>0.1424</v>
      </c>
      <c r="I405" s="13" t="n">
        <v>0.0547</v>
      </c>
    </row>
    <row r="406">
      <c r="A406" s="10" t="inlineStr">
        <is>
          <t>PJ-2020-B</t>
        </is>
      </c>
      <c r="B406" s="10" t="inlineStr">
        <is>
          <t>位置合わせ(MS指定)／単調補間</t>
        </is>
      </c>
      <c r="C406" s="10" t="inlineStr">
        <is>
          <t>2020-05</t>
        </is>
      </c>
      <c r="D406" s="10" t="n">
        <v>5</v>
      </c>
      <c r="E406" s="12" t="n">
        <v>4985</v>
      </c>
      <c r="F406" s="12" t="n">
        <v>3424.8</v>
      </c>
      <c r="G406" s="12" t="n">
        <v>1560.2</v>
      </c>
      <c r="H406" s="13" t="n">
        <v>0.1923</v>
      </c>
      <c r="I406" s="13" t="n">
        <v>0.08890000000000001</v>
      </c>
    </row>
    <row r="407">
      <c r="A407" s="10" t="inlineStr">
        <is>
          <t>PJ-2020-B</t>
        </is>
      </c>
      <c r="B407" s="10" t="inlineStr">
        <is>
          <t>位置合わせ(MS指定)／単調補間</t>
        </is>
      </c>
      <c r="C407" s="10" t="inlineStr">
        <is>
          <t>2020-06</t>
        </is>
      </c>
      <c r="D407" s="10" t="n">
        <v>6</v>
      </c>
      <c r="E407" s="12" t="n">
        <v>5944.9</v>
      </c>
      <c r="F407" s="12" t="n">
        <v>4082.4</v>
      </c>
      <c r="G407" s="12" t="n">
        <v>1862.5</v>
      </c>
      <c r="H407" s="13" t="n">
        <v>0.2517</v>
      </c>
      <c r="I407" s="13" t="n">
        <v>0.1298</v>
      </c>
    </row>
    <row r="408">
      <c r="A408" s="10" t="inlineStr">
        <is>
          <t>PJ-2020-B</t>
        </is>
      </c>
      <c r="B408" s="10" t="inlineStr">
        <is>
          <t>位置合わせ(MS指定)／単調補間</t>
        </is>
      </c>
      <c r="C408" s="10" t="inlineStr">
        <is>
          <t>2020-07</t>
        </is>
      </c>
      <c r="D408" s="10" t="n">
        <v>7</v>
      </c>
      <c r="E408" s="12" t="n">
        <v>7008.1</v>
      </c>
      <c r="F408" s="12" t="n">
        <v>5263.5</v>
      </c>
      <c r="G408" s="12" t="n">
        <v>1744.6</v>
      </c>
      <c r="H408" s="13" t="n">
        <v>0.3218</v>
      </c>
      <c r="I408" s="13" t="n">
        <v>0.1824</v>
      </c>
    </row>
    <row r="409">
      <c r="A409" s="10" t="inlineStr">
        <is>
          <t>PJ-2020-B</t>
        </is>
      </c>
      <c r="B409" s="10" t="inlineStr">
        <is>
          <t>位置合わせ(MS指定)／単調補間</t>
        </is>
      </c>
      <c r="C409" s="10" t="inlineStr">
        <is>
          <t>2020-08</t>
        </is>
      </c>
      <c r="D409" s="10" t="n">
        <v>8</v>
      </c>
      <c r="E409" s="12" t="n">
        <v>7847.3</v>
      </c>
      <c r="F409" s="12" t="n">
        <v>6466.9</v>
      </c>
      <c r="G409" s="12" t="n">
        <v>1380.4</v>
      </c>
      <c r="H409" s="13" t="n">
        <v>0.4002</v>
      </c>
      <c r="I409" s="13" t="n">
        <v>0.247</v>
      </c>
    </row>
    <row r="410">
      <c r="A410" s="10" t="inlineStr">
        <is>
          <t>PJ-2020-B</t>
        </is>
      </c>
      <c r="B410" s="10" t="inlineStr">
        <is>
          <t>位置合わせ(MS指定)／単調補間</t>
        </is>
      </c>
      <c r="C410" s="10" t="inlineStr">
        <is>
          <t>2020-09</t>
        </is>
      </c>
      <c r="D410" s="10" t="n">
        <v>9</v>
      </c>
      <c r="E410" s="12" t="n">
        <v>12857.6</v>
      </c>
      <c r="F410" s="12" t="n">
        <v>15257.1</v>
      </c>
      <c r="G410" s="12" t="n">
        <v>-2399.5</v>
      </c>
      <c r="H410" s="13" t="n">
        <v>0.5288</v>
      </c>
      <c r="I410" s="13" t="n">
        <v>0.3996</v>
      </c>
    </row>
    <row r="411">
      <c r="A411" s="10" t="inlineStr">
        <is>
          <t>PJ-2020-B</t>
        </is>
      </c>
      <c r="B411" s="10" t="inlineStr">
        <is>
          <t>位置合わせ(MS指定)／単調補間</t>
        </is>
      </c>
      <c r="C411" s="10" t="inlineStr">
        <is>
          <t>2020-10</t>
        </is>
      </c>
      <c r="D411" s="10" t="n">
        <v>10</v>
      </c>
      <c r="E411" s="12" t="n">
        <v>17572.9</v>
      </c>
      <c r="F411" s="12" t="n">
        <v>20485.7</v>
      </c>
      <c r="G411" s="12" t="n">
        <v>-2912.8</v>
      </c>
      <c r="H411" s="13" t="n">
        <v>0.7045</v>
      </c>
      <c r="I411" s="13" t="n">
        <v>0.6044</v>
      </c>
    </row>
    <row r="412">
      <c r="A412" s="10" t="inlineStr">
        <is>
          <t>PJ-2020-B</t>
        </is>
      </c>
      <c r="B412" s="10" t="inlineStr">
        <is>
          <t>位置合わせ(MS指定)／単調補間</t>
        </is>
      </c>
      <c r="C412" s="10" t="inlineStr">
        <is>
          <t>2020-11</t>
        </is>
      </c>
      <c r="D412" s="10" t="n">
        <v>11</v>
      </c>
      <c r="E412" s="12" t="n">
        <v>13826.8</v>
      </c>
      <c r="F412" s="12" t="n">
        <v>14239.1</v>
      </c>
      <c r="G412" s="12" t="n">
        <v>-412.3</v>
      </c>
      <c r="H412" s="13" t="n">
        <v>0.8427</v>
      </c>
      <c r="I412" s="13" t="n">
        <v>0.7468</v>
      </c>
    </row>
    <row r="413">
      <c r="A413" s="10" t="inlineStr">
        <is>
          <t>PJ-2020-B</t>
        </is>
      </c>
      <c r="B413" s="10" t="inlineStr">
        <is>
          <t>位置合わせ(MS指定)／単調補間</t>
        </is>
      </c>
      <c r="C413" s="10" t="inlineStr">
        <is>
          <t>2020-12</t>
        </is>
      </c>
      <c r="D413" s="10" t="n">
        <v>12</v>
      </c>
      <c r="E413" s="12" t="n">
        <v>8697.6</v>
      </c>
      <c r="F413" s="12" t="n">
        <v>13215.8</v>
      </c>
      <c r="G413" s="12" t="n">
        <v>-4518.2</v>
      </c>
      <c r="H413" s="13" t="n">
        <v>0.9297</v>
      </c>
      <c r="I413" s="13" t="n">
        <v>0.8789</v>
      </c>
    </row>
    <row r="414">
      <c r="A414" s="10" t="inlineStr">
        <is>
          <t>PJ-2020-B</t>
        </is>
      </c>
      <c r="B414" s="10" t="inlineStr">
        <is>
          <t>位置合わせ(MS指定)／単調補間</t>
        </is>
      </c>
      <c r="C414" s="10" t="inlineStr">
        <is>
          <t>2021-01</t>
        </is>
      </c>
      <c r="D414" s="10" t="n">
        <v>13</v>
      </c>
      <c r="E414" s="12" t="n">
        <v>5210</v>
      </c>
      <c r="F414" s="12" t="n">
        <v>7968.1</v>
      </c>
      <c r="G414" s="12" t="n">
        <v>-2758.1</v>
      </c>
      <c r="H414" s="13" t="n">
        <v>0.9818</v>
      </c>
      <c r="I414" s="13" t="n">
        <v>0.9586</v>
      </c>
    </row>
    <row r="415">
      <c r="A415" s="10" t="inlineStr">
        <is>
          <t>PJ-2020-B</t>
        </is>
      </c>
      <c r="B415" s="10" t="inlineStr">
        <is>
          <t>位置合わせ(MS指定)／単調補間</t>
        </is>
      </c>
      <c r="C415" s="10" t="inlineStr">
        <is>
          <t>2021-02</t>
        </is>
      </c>
      <c r="D415" s="10" t="n">
        <v>14</v>
      </c>
      <c r="E415" s="12" t="n">
        <v>1824.2</v>
      </c>
      <c r="F415" s="12" t="n">
        <v>4145.7</v>
      </c>
      <c r="G415" s="12" t="n">
        <v>-2321.5</v>
      </c>
      <c r="H415" s="13" t="n">
        <v>1</v>
      </c>
      <c r="I415" s="13" t="n">
        <v>1</v>
      </c>
    </row>
    <row r="416">
      <c r="A416" s="10" t="inlineStr">
        <is>
          <t>PJ-2020-C</t>
        </is>
      </c>
      <c r="B416" s="10" t="inlineStr">
        <is>
          <t>素朴版／月内均等</t>
        </is>
      </c>
      <c r="C416" s="10" t="inlineStr">
        <is>
          <t>2020-07</t>
        </is>
      </c>
      <c r="D416" s="10" t="n">
        <v>1</v>
      </c>
      <c r="E416" s="12" t="n">
        <v>3236.2</v>
      </c>
      <c r="F416" s="12" t="n">
        <v>9891.799999999999</v>
      </c>
      <c r="G416" s="12" t="n">
        <v>-6655.6</v>
      </c>
      <c r="H416" s="13" t="n">
        <v>0.0112</v>
      </c>
      <c r="I416" s="13" t="n">
        <v>0.0342</v>
      </c>
    </row>
    <row r="417">
      <c r="A417" s="10" t="inlineStr">
        <is>
          <t>PJ-2020-C</t>
        </is>
      </c>
      <c r="B417" s="10" t="inlineStr">
        <is>
          <t>素朴版／月内均等</t>
        </is>
      </c>
      <c r="C417" s="10" t="inlineStr">
        <is>
          <t>2020-08</t>
        </is>
      </c>
      <c r="D417" s="10" t="n">
        <v>2</v>
      </c>
      <c r="E417" s="12" t="n">
        <v>4033.6</v>
      </c>
      <c r="F417" s="12" t="n">
        <v>11800.4</v>
      </c>
      <c r="G417" s="12" t="n">
        <v>-7766.8</v>
      </c>
      <c r="H417" s="13" t="n">
        <v>0.0252</v>
      </c>
      <c r="I417" s="13" t="n">
        <v>0.075</v>
      </c>
    </row>
    <row r="418">
      <c r="A418" s="10" t="inlineStr">
        <is>
          <t>PJ-2020-C</t>
        </is>
      </c>
      <c r="B418" s="10" t="inlineStr">
        <is>
          <t>素朴版／月内均等</t>
        </is>
      </c>
      <c r="C418" s="10" t="inlineStr">
        <is>
          <t>2020-09</t>
        </is>
      </c>
      <c r="D418" s="10" t="n">
        <v>3</v>
      </c>
      <c r="E418" s="12" t="n">
        <v>4728.3</v>
      </c>
      <c r="F418" s="12" t="n">
        <v>9726.200000000001</v>
      </c>
      <c r="G418" s="12" t="n">
        <v>-4997.9</v>
      </c>
      <c r="H418" s="13" t="n">
        <v>0.0415</v>
      </c>
      <c r="I418" s="13" t="n">
        <v>0.1087</v>
      </c>
    </row>
    <row r="419">
      <c r="A419" s="10" t="inlineStr">
        <is>
          <t>PJ-2020-C</t>
        </is>
      </c>
      <c r="B419" s="10" t="inlineStr">
        <is>
          <t>素朴版／月内均等</t>
        </is>
      </c>
      <c r="C419" s="10" t="inlineStr">
        <is>
          <t>2020-10</t>
        </is>
      </c>
      <c r="D419" s="10" t="n">
        <v>4</v>
      </c>
      <c r="E419" s="12" t="n">
        <v>5649.5</v>
      </c>
      <c r="F419" s="12" t="n">
        <v>8645.4</v>
      </c>
      <c r="G419" s="12" t="n">
        <v>-2995.9</v>
      </c>
      <c r="H419" s="13" t="n">
        <v>0.0611</v>
      </c>
      <c r="I419" s="13" t="n">
        <v>0.1386</v>
      </c>
    </row>
    <row r="420">
      <c r="A420" s="10" t="inlineStr">
        <is>
          <t>PJ-2020-C</t>
        </is>
      </c>
      <c r="B420" s="10" t="inlineStr">
        <is>
          <t>素朴版／月内均等</t>
        </is>
      </c>
      <c r="C420" s="10" t="inlineStr">
        <is>
          <t>2020-11</t>
        </is>
      </c>
      <c r="D420" s="10" t="n">
        <v>5</v>
      </c>
      <c r="E420" s="12" t="n">
        <v>6087.6</v>
      </c>
      <c r="F420" s="12" t="n">
        <v>7717.1</v>
      </c>
      <c r="G420" s="12" t="n">
        <v>-1629.5</v>
      </c>
      <c r="H420" s="13" t="n">
        <v>0.08210000000000001</v>
      </c>
      <c r="I420" s="13" t="n">
        <v>0.1653</v>
      </c>
    </row>
    <row r="421">
      <c r="A421" s="10" t="inlineStr">
        <is>
          <t>PJ-2020-C</t>
        </is>
      </c>
      <c r="B421" s="10" t="inlineStr">
        <is>
          <t>素朴版／月内均等</t>
        </is>
      </c>
      <c r="C421" s="10" t="inlineStr">
        <is>
          <t>2020-12</t>
        </is>
      </c>
      <c r="D421" s="10" t="n">
        <v>6</v>
      </c>
      <c r="E421" s="12" t="n">
        <v>6533.2</v>
      </c>
      <c r="F421" s="12" t="n">
        <v>7821.7</v>
      </c>
      <c r="G421" s="12" t="n">
        <v>-1288.5</v>
      </c>
      <c r="H421" s="13" t="n">
        <v>0.1047</v>
      </c>
      <c r="I421" s="13" t="n">
        <v>0.1924</v>
      </c>
    </row>
    <row r="422">
      <c r="A422" s="10" t="inlineStr">
        <is>
          <t>PJ-2020-C</t>
        </is>
      </c>
      <c r="B422" s="10" t="inlineStr">
        <is>
          <t>素朴版／月内均等</t>
        </is>
      </c>
      <c r="C422" s="10" t="inlineStr">
        <is>
          <t>2021-01</t>
        </is>
      </c>
      <c r="D422" s="10" t="n">
        <v>7</v>
      </c>
      <c r="E422" s="12" t="n">
        <v>7153.6</v>
      </c>
      <c r="F422" s="12" t="n">
        <v>7531.5</v>
      </c>
      <c r="G422" s="12" t="n">
        <v>-377.9</v>
      </c>
      <c r="H422" s="13" t="n">
        <v>0.1295</v>
      </c>
      <c r="I422" s="13" t="n">
        <v>0.2184</v>
      </c>
    </row>
    <row r="423">
      <c r="A423" s="10" t="inlineStr">
        <is>
          <t>PJ-2020-C</t>
        </is>
      </c>
      <c r="B423" s="10" t="inlineStr">
        <is>
          <t>素朴版／月内均等</t>
        </is>
      </c>
      <c r="C423" s="10" t="inlineStr">
        <is>
          <t>2021-02</t>
        </is>
      </c>
      <c r="D423" s="10" t="n">
        <v>8</v>
      </c>
      <c r="E423" s="12" t="n">
        <v>7233.8</v>
      </c>
      <c r="F423" s="12" t="n">
        <v>6551.1</v>
      </c>
      <c r="G423" s="12" t="n">
        <v>682.7</v>
      </c>
      <c r="H423" s="13" t="n">
        <v>0.1545</v>
      </c>
      <c r="I423" s="13" t="n">
        <v>0.2411</v>
      </c>
    </row>
    <row r="424">
      <c r="A424" s="10" t="inlineStr">
        <is>
          <t>PJ-2020-C</t>
        </is>
      </c>
      <c r="B424" s="10" t="inlineStr">
        <is>
          <t>素朴版／月内均等</t>
        </is>
      </c>
      <c r="C424" s="10" t="inlineStr">
        <is>
          <t>2021-03</t>
        </is>
      </c>
      <c r="D424" s="10" t="n">
        <v>9</v>
      </c>
      <c r="E424" s="12" t="n">
        <v>9365.799999999999</v>
      </c>
      <c r="F424" s="12" t="n">
        <v>7387.7</v>
      </c>
      <c r="G424" s="12" t="n">
        <v>1978.1</v>
      </c>
      <c r="H424" s="13" t="n">
        <v>0.1869</v>
      </c>
      <c r="I424" s="13" t="n">
        <v>0.2666</v>
      </c>
    </row>
    <row r="425">
      <c r="A425" s="10" t="inlineStr">
        <is>
          <t>PJ-2020-C</t>
        </is>
      </c>
      <c r="B425" s="10" t="inlineStr">
        <is>
          <t>素朴版／月内均等</t>
        </is>
      </c>
      <c r="C425" s="10" t="inlineStr">
        <is>
          <t>2021-04</t>
        </is>
      </c>
      <c r="D425" s="10" t="n">
        <v>10</v>
      </c>
      <c r="E425" s="12" t="n">
        <v>10351.8</v>
      </c>
      <c r="F425" s="12" t="n">
        <v>6822.6</v>
      </c>
      <c r="G425" s="12" t="n">
        <v>3529.2</v>
      </c>
      <c r="H425" s="13" t="n">
        <v>0.2227</v>
      </c>
      <c r="I425" s="13" t="n">
        <v>0.2903</v>
      </c>
    </row>
    <row r="426">
      <c r="A426" s="10" t="inlineStr">
        <is>
          <t>PJ-2020-C</t>
        </is>
      </c>
      <c r="B426" s="10" t="inlineStr">
        <is>
          <t>素朴版／月内均等</t>
        </is>
      </c>
      <c r="C426" s="10" t="inlineStr">
        <is>
          <t>2021-05</t>
        </is>
      </c>
      <c r="D426" s="10" t="n">
        <v>11</v>
      </c>
      <c r="E426" s="12" t="n">
        <v>11734</v>
      </c>
      <c r="F426" s="12" t="n">
        <v>6920.5</v>
      </c>
      <c r="G426" s="12" t="n">
        <v>4813.5</v>
      </c>
      <c r="H426" s="13" t="n">
        <v>0.2633</v>
      </c>
      <c r="I426" s="13" t="n">
        <v>0.3142</v>
      </c>
    </row>
    <row r="427">
      <c r="A427" s="10" t="inlineStr">
        <is>
          <t>PJ-2020-C</t>
        </is>
      </c>
      <c r="B427" s="10" t="inlineStr">
        <is>
          <t>素朴版／月内均等</t>
        </is>
      </c>
      <c r="C427" s="10" t="inlineStr">
        <is>
          <t>2021-06</t>
        </is>
      </c>
      <c r="D427" s="10" t="n">
        <v>12</v>
      </c>
      <c r="E427" s="12" t="n">
        <v>12223.7</v>
      </c>
      <c r="F427" s="12" t="n">
        <v>7298.5</v>
      </c>
      <c r="G427" s="12" t="n">
        <v>4925.2</v>
      </c>
      <c r="H427" s="13" t="n">
        <v>0.3056</v>
      </c>
      <c r="I427" s="13" t="n">
        <v>0.3394</v>
      </c>
    </row>
    <row r="428">
      <c r="A428" s="10" t="inlineStr">
        <is>
          <t>PJ-2020-C</t>
        </is>
      </c>
      <c r="B428" s="10" t="inlineStr">
        <is>
          <t>素朴版／月内均等</t>
        </is>
      </c>
      <c r="C428" s="10" t="inlineStr">
        <is>
          <t>2021-07</t>
        </is>
      </c>
      <c r="D428" s="10" t="n">
        <v>13</v>
      </c>
      <c r="E428" s="12" t="n">
        <v>12943</v>
      </c>
      <c r="F428" s="12" t="n">
        <v>8554.799999999999</v>
      </c>
      <c r="G428" s="12" t="n">
        <v>4388.2</v>
      </c>
      <c r="H428" s="13" t="n">
        <v>0.3504</v>
      </c>
      <c r="I428" s="13" t="n">
        <v>0.369</v>
      </c>
    </row>
    <row r="429">
      <c r="A429" s="10" t="inlineStr">
        <is>
          <t>PJ-2020-C</t>
        </is>
      </c>
      <c r="B429" s="10" t="inlineStr">
        <is>
          <t>素朴版／月内均等</t>
        </is>
      </c>
      <c r="C429" s="10" t="inlineStr">
        <is>
          <t>2021-08</t>
        </is>
      </c>
      <c r="D429" s="10" t="n">
        <v>14</v>
      </c>
      <c r="E429" s="12" t="n">
        <v>12124.9</v>
      </c>
      <c r="F429" s="12" t="n">
        <v>8486.799999999999</v>
      </c>
      <c r="G429" s="12" t="n">
        <v>3638.1</v>
      </c>
      <c r="H429" s="13" t="n">
        <v>0.3923</v>
      </c>
      <c r="I429" s="13" t="n">
        <v>0.3984</v>
      </c>
    </row>
    <row r="430">
      <c r="A430" s="10" t="inlineStr">
        <is>
          <t>PJ-2020-C</t>
        </is>
      </c>
      <c r="B430" s="10" t="inlineStr">
        <is>
          <t>素朴版／月内均等</t>
        </is>
      </c>
      <c r="C430" s="10" t="inlineStr">
        <is>
          <t>2021-09</t>
        </is>
      </c>
      <c r="D430" s="10" t="n">
        <v>15</v>
      </c>
      <c r="E430" s="12" t="n">
        <v>11246.4</v>
      </c>
      <c r="F430" s="12" t="n">
        <v>9279.9</v>
      </c>
      <c r="G430" s="12" t="n">
        <v>1966.5</v>
      </c>
      <c r="H430" s="13" t="n">
        <v>0.4312</v>
      </c>
      <c r="I430" s="13" t="n">
        <v>0.4305</v>
      </c>
    </row>
    <row r="431">
      <c r="A431" s="10" t="inlineStr">
        <is>
          <t>PJ-2020-C</t>
        </is>
      </c>
      <c r="B431" s="10" t="inlineStr">
        <is>
          <t>素朴版／月内均等</t>
        </is>
      </c>
      <c r="C431" s="10" t="inlineStr">
        <is>
          <t>2021-10</t>
        </is>
      </c>
      <c r="D431" s="10" t="n">
        <v>16</v>
      </c>
      <c r="E431" s="12" t="n">
        <v>12812.1</v>
      </c>
      <c r="F431" s="12" t="n">
        <v>16636.5</v>
      </c>
      <c r="G431" s="12" t="n">
        <v>-3824.4</v>
      </c>
      <c r="H431" s="13" t="n">
        <v>0.4756</v>
      </c>
      <c r="I431" s="13" t="n">
        <v>0.4881</v>
      </c>
    </row>
    <row r="432">
      <c r="A432" s="10" t="inlineStr">
        <is>
          <t>PJ-2020-C</t>
        </is>
      </c>
      <c r="B432" s="10" t="inlineStr">
        <is>
          <t>素朴版／月内均等</t>
        </is>
      </c>
      <c r="C432" s="10" t="inlineStr">
        <is>
          <t>2021-11</t>
        </is>
      </c>
      <c r="D432" s="10" t="n">
        <v>17</v>
      </c>
      <c r="E432" s="12" t="n">
        <v>12822.3</v>
      </c>
      <c r="F432" s="12" t="n">
        <v>14453.3</v>
      </c>
      <c r="G432" s="12" t="n">
        <v>-1631</v>
      </c>
      <c r="H432" s="13" t="n">
        <v>0.5199</v>
      </c>
      <c r="I432" s="13" t="n">
        <v>0.5381</v>
      </c>
    </row>
    <row r="433">
      <c r="A433" s="10" t="inlineStr">
        <is>
          <t>PJ-2020-C</t>
        </is>
      </c>
      <c r="B433" s="10" t="inlineStr">
        <is>
          <t>素朴版／月内均等</t>
        </is>
      </c>
      <c r="C433" s="10" t="inlineStr">
        <is>
          <t>2021-12</t>
        </is>
      </c>
      <c r="D433" s="10" t="n">
        <v>18</v>
      </c>
      <c r="E433" s="12" t="n">
        <v>14386.9</v>
      </c>
      <c r="F433" s="12" t="n">
        <v>13884.1</v>
      </c>
      <c r="G433" s="12" t="n">
        <v>502.8</v>
      </c>
      <c r="H433" s="13" t="n">
        <v>0.5697</v>
      </c>
      <c r="I433" s="13" t="n">
        <v>0.5861</v>
      </c>
    </row>
    <row r="434">
      <c r="A434" s="10" t="inlineStr">
        <is>
          <t>PJ-2020-C</t>
        </is>
      </c>
      <c r="B434" s="10" t="inlineStr">
        <is>
          <t>素朴版／月内均等</t>
        </is>
      </c>
      <c r="C434" s="10" t="inlineStr">
        <is>
          <t>2022-01</t>
        </is>
      </c>
      <c r="D434" s="10" t="n">
        <v>19</v>
      </c>
      <c r="E434" s="12" t="n">
        <v>14894.3</v>
      </c>
      <c r="F434" s="12" t="n">
        <v>15419</v>
      </c>
      <c r="G434" s="12" t="n">
        <v>-524.7</v>
      </c>
      <c r="H434" s="13" t="n">
        <v>0.6212</v>
      </c>
      <c r="I434" s="13" t="n">
        <v>0.6395</v>
      </c>
    </row>
    <row r="435">
      <c r="A435" s="10" t="inlineStr">
        <is>
          <t>PJ-2020-C</t>
        </is>
      </c>
      <c r="B435" s="10" t="inlineStr">
        <is>
          <t>素朴版／月内均等</t>
        </is>
      </c>
      <c r="C435" s="10" t="inlineStr">
        <is>
          <t>2022-02</t>
        </is>
      </c>
      <c r="D435" s="10" t="n">
        <v>20</v>
      </c>
      <c r="E435" s="12" t="n">
        <v>13841.2</v>
      </c>
      <c r="F435" s="12" t="n">
        <v>8277.799999999999</v>
      </c>
      <c r="G435" s="12" t="n">
        <v>5563.4</v>
      </c>
      <c r="H435" s="13" t="n">
        <v>0.6691</v>
      </c>
      <c r="I435" s="13" t="n">
        <v>0.6681</v>
      </c>
    </row>
    <row r="436">
      <c r="A436" s="10" t="inlineStr">
        <is>
          <t>PJ-2020-C</t>
        </is>
      </c>
      <c r="B436" s="10" t="inlineStr">
        <is>
          <t>素朴版／月内均等</t>
        </is>
      </c>
      <c r="C436" s="10" t="inlineStr">
        <is>
          <t>2022-03</t>
        </is>
      </c>
      <c r="D436" s="10" t="n">
        <v>21</v>
      </c>
      <c r="E436" s="12" t="n">
        <v>14289.1</v>
      </c>
      <c r="F436" s="12" t="n">
        <v>6160.3</v>
      </c>
      <c r="G436" s="12" t="n">
        <v>8128.8</v>
      </c>
      <c r="H436" s="13" t="n">
        <v>0.7185</v>
      </c>
      <c r="I436" s="13" t="n">
        <v>0.6894</v>
      </c>
    </row>
    <row r="437">
      <c r="A437" s="10" t="inlineStr">
        <is>
          <t>PJ-2020-C</t>
        </is>
      </c>
      <c r="B437" s="10" t="inlineStr">
        <is>
          <t>素朴版／月内均等</t>
        </is>
      </c>
      <c r="C437" s="10" t="inlineStr">
        <is>
          <t>2022-04</t>
        </is>
      </c>
      <c r="D437" s="10" t="n">
        <v>22</v>
      </c>
      <c r="E437" s="12" t="n">
        <v>12949.2</v>
      </c>
      <c r="F437" s="12" t="n">
        <v>7057.5</v>
      </c>
      <c r="G437" s="12" t="n">
        <v>5891.7</v>
      </c>
      <c r="H437" s="13" t="n">
        <v>0.7633</v>
      </c>
      <c r="I437" s="13" t="n">
        <v>0.7138</v>
      </c>
    </row>
    <row r="438">
      <c r="A438" s="10" t="inlineStr">
        <is>
          <t>PJ-2020-C</t>
        </is>
      </c>
      <c r="B438" s="10" t="inlineStr">
        <is>
          <t>素朴版／月内均等</t>
        </is>
      </c>
      <c r="C438" s="10" t="inlineStr">
        <is>
          <t>2022-05</t>
        </is>
      </c>
      <c r="D438" s="10" t="n">
        <v>23</v>
      </c>
      <c r="E438" s="12" t="n">
        <v>12947.5</v>
      </c>
      <c r="F438" s="12" t="n">
        <v>8005.3</v>
      </c>
      <c r="G438" s="12" t="n">
        <v>4942.2</v>
      </c>
      <c r="H438" s="13" t="n">
        <v>0.8081</v>
      </c>
      <c r="I438" s="13" t="n">
        <v>0.7415</v>
      </c>
    </row>
    <row r="439">
      <c r="A439" s="10" t="inlineStr">
        <is>
          <t>PJ-2020-C</t>
        </is>
      </c>
      <c r="B439" s="10" t="inlineStr">
        <is>
          <t>素朴版／月内均等</t>
        </is>
      </c>
      <c r="C439" s="10" t="inlineStr">
        <is>
          <t>2022-06</t>
        </is>
      </c>
      <c r="D439" s="10" t="n">
        <v>24</v>
      </c>
      <c r="E439" s="12" t="n">
        <v>12737.7</v>
      </c>
      <c r="F439" s="12" t="n">
        <v>9533.200000000001</v>
      </c>
      <c r="G439" s="12" t="n">
        <v>3204.5</v>
      </c>
      <c r="H439" s="13" t="n">
        <v>0.8522</v>
      </c>
      <c r="I439" s="13" t="n">
        <v>0.7745</v>
      </c>
    </row>
    <row r="440">
      <c r="A440" s="10" t="inlineStr">
        <is>
          <t>PJ-2020-C</t>
        </is>
      </c>
      <c r="B440" s="10" t="inlineStr">
        <is>
          <t>素朴版／月内均等</t>
        </is>
      </c>
      <c r="C440" s="10" t="inlineStr">
        <is>
          <t>2022-07</t>
        </is>
      </c>
      <c r="D440" s="10" t="n">
        <v>25</v>
      </c>
      <c r="E440" s="12" t="n">
        <v>12041</v>
      </c>
      <c r="F440" s="12" t="n">
        <v>10920.6</v>
      </c>
      <c r="G440" s="12" t="n">
        <v>1120.4</v>
      </c>
      <c r="H440" s="13" t="n">
        <v>0.8939</v>
      </c>
      <c r="I440" s="13" t="n">
        <v>0.8123</v>
      </c>
    </row>
    <row r="441">
      <c r="A441" s="10" t="inlineStr">
        <is>
          <t>PJ-2020-C</t>
        </is>
      </c>
      <c r="B441" s="10" t="inlineStr">
        <is>
          <t>素朴版／月内均等</t>
        </is>
      </c>
      <c r="C441" s="10" t="inlineStr">
        <is>
          <t>2022-08</t>
        </is>
      </c>
      <c r="D441" s="10" t="n">
        <v>26</v>
      </c>
      <c r="E441" s="12" t="n">
        <v>9966.799999999999</v>
      </c>
      <c r="F441" s="12" t="n">
        <v>11191.5</v>
      </c>
      <c r="G441" s="12" t="n">
        <v>-1224.7</v>
      </c>
      <c r="H441" s="13" t="n">
        <v>0.9284</v>
      </c>
      <c r="I441" s="13" t="n">
        <v>0.851</v>
      </c>
    </row>
    <row r="442">
      <c r="A442" s="10" t="inlineStr">
        <is>
          <t>PJ-2020-C</t>
        </is>
      </c>
      <c r="B442" s="10" t="inlineStr">
        <is>
          <t>素朴版／月内均等</t>
        </is>
      </c>
      <c r="C442" s="10" t="inlineStr">
        <is>
          <t>2022-09</t>
        </is>
      </c>
      <c r="D442" s="10" t="n">
        <v>27</v>
      </c>
      <c r="E442" s="12" t="n">
        <v>7474.4</v>
      </c>
      <c r="F442" s="12" t="n">
        <v>10812.6</v>
      </c>
      <c r="G442" s="12" t="n">
        <v>-3338.2</v>
      </c>
      <c r="H442" s="13" t="n">
        <v>0.9542</v>
      </c>
      <c r="I442" s="13" t="n">
        <v>0.8884</v>
      </c>
    </row>
    <row r="443">
      <c r="A443" s="10" t="inlineStr">
        <is>
          <t>PJ-2020-C</t>
        </is>
      </c>
      <c r="B443" s="10" t="inlineStr">
        <is>
          <t>素朴版／月内均等</t>
        </is>
      </c>
      <c r="C443" s="10" t="inlineStr">
        <is>
          <t>2022-10</t>
        </is>
      </c>
      <c r="D443" s="10" t="n">
        <v>28</v>
      </c>
      <c r="E443" s="12" t="n">
        <v>6338.3</v>
      </c>
      <c r="F443" s="12" t="n">
        <v>11977</v>
      </c>
      <c r="G443" s="12" t="n">
        <v>-5638.7</v>
      </c>
      <c r="H443" s="13" t="n">
        <v>0.9761</v>
      </c>
      <c r="I443" s="13" t="n">
        <v>0.9298</v>
      </c>
    </row>
    <row r="444">
      <c r="A444" s="10" t="inlineStr">
        <is>
          <t>PJ-2020-C</t>
        </is>
      </c>
      <c r="B444" s="10" t="inlineStr">
        <is>
          <t>素朴版／月内均等</t>
        </is>
      </c>
      <c r="C444" s="10" t="inlineStr">
        <is>
          <t>2022-11</t>
        </is>
      </c>
      <c r="D444" s="10" t="n">
        <v>29</v>
      </c>
      <c r="E444" s="12" t="n">
        <v>4348.4</v>
      </c>
      <c r="F444" s="12" t="n">
        <v>12035.5</v>
      </c>
      <c r="G444" s="12" t="n">
        <v>-7687.1</v>
      </c>
      <c r="H444" s="13" t="n">
        <v>0.9912</v>
      </c>
      <c r="I444" s="13" t="n">
        <v>0.9715</v>
      </c>
    </row>
    <row r="445">
      <c r="A445" s="10" t="inlineStr">
        <is>
          <t>PJ-2020-C</t>
        </is>
      </c>
      <c r="B445" s="10" t="inlineStr">
        <is>
          <t>素朴版／月内均等</t>
        </is>
      </c>
      <c r="C445" s="10" t="inlineStr">
        <is>
          <t>2022-12</t>
        </is>
      </c>
      <c r="D445" s="10" t="n">
        <v>30</v>
      </c>
      <c r="E445" s="12" t="n">
        <v>2548.1</v>
      </c>
      <c r="F445" s="12" t="n">
        <v>8242.299999999999</v>
      </c>
      <c r="G445" s="12" t="n">
        <v>-5694.2</v>
      </c>
      <c r="H445" s="13" t="n">
        <v>1</v>
      </c>
      <c r="I445" s="13" t="n">
        <v>1</v>
      </c>
    </row>
    <row r="446">
      <c r="A446" s="10" t="inlineStr">
        <is>
          <t>PJ-2020-C</t>
        </is>
      </c>
      <c r="B446" s="10" t="inlineStr">
        <is>
          <t>位置合わせ(MS学習値)／月内均等</t>
        </is>
      </c>
      <c r="C446" s="10" t="inlineStr">
        <is>
          <t>2020-07</t>
        </is>
      </c>
      <c r="D446" s="10" t="n">
        <v>1</v>
      </c>
      <c r="E446" s="12" t="n">
        <v>3246.3</v>
      </c>
      <c r="F446" s="12" t="n">
        <v>9891.799999999999</v>
      </c>
      <c r="G446" s="12" t="n">
        <v>-6645.5</v>
      </c>
      <c r="H446" s="13" t="n">
        <v>0.0112</v>
      </c>
      <c r="I446" s="13" t="n">
        <v>0.0342</v>
      </c>
    </row>
    <row r="447">
      <c r="A447" s="10" t="inlineStr">
        <is>
          <t>PJ-2020-C</t>
        </is>
      </c>
      <c r="B447" s="10" t="inlineStr">
        <is>
          <t>位置合わせ(MS学習値)／月内均等</t>
        </is>
      </c>
      <c r="C447" s="10" t="inlineStr">
        <is>
          <t>2020-08</t>
        </is>
      </c>
      <c r="D447" s="10" t="n">
        <v>2</v>
      </c>
      <c r="E447" s="12" t="n">
        <v>3958.9</v>
      </c>
      <c r="F447" s="12" t="n">
        <v>11800.4</v>
      </c>
      <c r="G447" s="12" t="n">
        <v>-7841.5</v>
      </c>
      <c r="H447" s="13" t="n">
        <v>0.0249</v>
      </c>
      <c r="I447" s="13" t="n">
        <v>0.075</v>
      </c>
    </row>
    <row r="448">
      <c r="A448" s="10" t="inlineStr">
        <is>
          <t>PJ-2020-C</t>
        </is>
      </c>
      <c r="B448" s="10" t="inlineStr">
        <is>
          <t>位置合わせ(MS学習値)／月内均等</t>
        </is>
      </c>
      <c r="C448" s="10" t="inlineStr">
        <is>
          <t>2020-09</t>
        </is>
      </c>
      <c r="D448" s="10" t="n">
        <v>3</v>
      </c>
      <c r="E448" s="12" t="n">
        <v>4680.9</v>
      </c>
      <c r="F448" s="12" t="n">
        <v>9726.200000000001</v>
      </c>
      <c r="G448" s="12" t="n">
        <v>-5045.3</v>
      </c>
      <c r="H448" s="13" t="n">
        <v>0.0411</v>
      </c>
      <c r="I448" s="13" t="n">
        <v>0.1087</v>
      </c>
    </row>
    <row r="449">
      <c r="A449" s="10" t="inlineStr">
        <is>
          <t>PJ-2020-C</t>
        </is>
      </c>
      <c r="B449" s="10" t="inlineStr">
        <is>
          <t>位置合わせ(MS学習値)／月内均等</t>
        </is>
      </c>
      <c r="C449" s="10" t="inlineStr">
        <is>
          <t>2020-10</t>
        </is>
      </c>
      <c r="D449" s="10" t="n">
        <v>4</v>
      </c>
      <c r="E449" s="12" t="n">
        <v>5549.7</v>
      </c>
      <c r="F449" s="12" t="n">
        <v>8645.4</v>
      </c>
      <c r="G449" s="12" t="n">
        <v>-3095.7</v>
      </c>
      <c r="H449" s="13" t="n">
        <v>0.0603</v>
      </c>
      <c r="I449" s="13" t="n">
        <v>0.1386</v>
      </c>
    </row>
    <row r="450">
      <c r="A450" s="10" t="inlineStr">
        <is>
          <t>PJ-2020-C</t>
        </is>
      </c>
      <c r="B450" s="10" t="inlineStr">
        <is>
          <t>位置合わせ(MS学習値)／月内均等</t>
        </is>
      </c>
      <c r="C450" s="10" t="inlineStr">
        <is>
          <t>2020-11</t>
        </is>
      </c>
      <c r="D450" s="10" t="n">
        <v>5</v>
      </c>
      <c r="E450" s="12" t="n">
        <v>5910</v>
      </c>
      <c r="F450" s="12" t="n">
        <v>7717.1</v>
      </c>
      <c r="G450" s="12" t="n">
        <v>-1807.1</v>
      </c>
      <c r="H450" s="13" t="n">
        <v>0.0808</v>
      </c>
      <c r="I450" s="13" t="n">
        <v>0.1653</v>
      </c>
    </row>
    <row r="451">
      <c r="A451" s="10" t="inlineStr">
        <is>
          <t>PJ-2020-C</t>
        </is>
      </c>
      <c r="B451" s="10" t="inlineStr">
        <is>
          <t>位置合わせ(MS学習値)／月内均等</t>
        </is>
      </c>
      <c r="C451" s="10" t="inlineStr">
        <is>
          <t>2020-12</t>
        </is>
      </c>
      <c r="D451" s="10" t="n">
        <v>6</v>
      </c>
      <c r="E451" s="12" t="n">
        <v>6470.5</v>
      </c>
      <c r="F451" s="12" t="n">
        <v>7821.7</v>
      </c>
      <c r="G451" s="12" t="n">
        <v>-1351.2</v>
      </c>
      <c r="H451" s="13" t="n">
        <v>0.1032</v>
      </c>
      <c r="I451" s="13" t="n">
        <v>0.1924</v>
      </c>
    </row>
    <row r="452">
      <c r="A452" s="10" t="inlineStr">
        <is>
          <t>PJ-2020-C</t>
        </is>
      </c>
      <c r="B452" s="10" t="inlineStr">
        <is>
          <t>位置合わせ(MS学習値)／月内均等</t>
        </is>
      </c>
      <c r="C452" s="10" t="inlineStr">
        <is>
          <t>2021-01</t>
        </is>
      </c>
      <c r="D452" s="10" t="n">
        <v>7</v>
      </c>
      <c r="E452" s="12" t="n">
        <v>6906.9</v>
      </c>
      <c r="F452" s="12" t="n">
        <v>7531.5</v>
      </c>
      <c r="G452" s="12" t="n">
        <v>-624.6</v>
      </c>
      <c r="H452" s="13" t="n">
        <v>0.1271</v>
      </c>
      <c r="I452" s="13" t="n">
        <v>0.2184</v>
      </c>
    </row>
    <row r="453">
      <c r="A453" s="10" t="inlineStr">
        <is>
          <t>PJ-2020-C</t>
        </is>
      </c>
      <c r="B453" s="10" t="inlineStr">
        <is>
          <t>位置合わせ(MS学習値)／月内均等</t>
        </is>
      </c>
      <c r="C453" s="10" t="inlineStr">
        <is>
          <t>2021-02</t>
        </is>
      </c>
      <c r="D453" s="10" t="n">
        <v>8</v>
      </c>
      <c r="E453" s="12" t="n">
        <v>7060.4</v>
      </c>
      <c r="F453" s="12" t="n">
        <v>6551.1</v>
      </c>
      <c r="G453" s="12" t="n">
        <v>509.3</v>
      </c>
      <c r="H453" s="13" t="n">
        <v>0.1515</v>
      </c>
      <c r="I453" s="13" t="n">
        <v>0.2411</v>
      </c>
    </row>
    <row r="454">
      <c r="A454" s="10" t="inlineStr">
        <is>
          <t>PJ-2020-C</t>
        </is>
      </c>
      <c r="B454" s="10" t="inlineStr">
        <is>
          <t>位置合わせ(MS学習値)／月内均等</t>
        </is>
      </c>
      <c r="C454" s="10" t="inlineStr">
        <is>
          <t>2021-03</t>
        </is>
      </c>
      <c r="D454" s="10" t="n">
        <v>9</v>
      </c>
      <c r="E454" s="12" t="n">
        <v>8305.5</v>
      </c>
      <c r="F454" s="12" t="n">
        <v>7387.7</v>
      </c>
      <c r="G454" s="12" t="n">
        <v>917.8</v>
      </c>
      <c r="H454" s="13" t="n">
        <v>0.1802</v>
      </c>
      <c r="I454" s="13" t="n">
        <v>0.2666</v>
      </c>
    </row>
    <row r="455">
      <c r="A455" s="10" t="inlineStr">
        <is>
          <t>PJ-2020-C</t>
        </is>
      </c>
      <c r="B455" s="10" t="inlineStr">
        <is>
          <t>位置合わせ(MS学習値)／月内均等</t>
        </is>
      </c>
      <c r="C455" s="10" t="inlineStr">
        <is>
          <t>2021-04</t>
        </is>
      </c>
      <c r="D455" s="10" t="n">
        <v>10</v>
      </c>
      <c r="E455" s="12" t="n">
        <v>9589.299999999999</v>
      </c>
      <c r="F455" s="12" t="n">
        <v>6822.6</v>
      </c>
      <c r="G455" s="12" t="n">
        <v>2766.7</v>
      </c>
      <c r="H455" s="13" t="n">
        <v>0.2134</v>
      </c>
      <c r="I455" s="13" t="n">
        <v>0.2903</v>
      </c>
    </row>
    <row r="456">
      <c r="A456" s="10" t="inlineStr">
        <is>
          <t>PJ-2020-C</t>
        </is>
      </c>
      <c r="B456" s="10" t="inlineStr">
        <is>
          <t>位置合わせ(MS学習値)／月内均等</t>
        </is>
      </c>
      <c r="C456" s="10" t="inlineStr">
        <is>
          <t>2021-05</t>
        </is>
      </c>
      <c r="D456" s="10" t="n">
        <v>11</v>
      </c>
      <c r="E456" s="12" t="n">
        <v>10967.7</v>
      </c>
      <c r="F456" s="12" t="n">
        <v>6920.5</v>
      </c>
      <c r="G456" s="12" t="n">
        <v>4047.2</v>
      </c>
      <c r="H456" s="13" t="n">
        <v>0.2513</v>
      </c>
      <c r="I456" s="13" t="n">
        <v>0.3142</v>
      </c>
    </row>
    <row r="457">
      <c r="A457" s="10" t="inlineStr">
        <is>
          <t>PJ-2020-C</t>
        </is>
      </c>
      <c r="B457" s="10" t="inlineStr">
        <is>
          <t>位置合わせ(MS学習値)／月内均等</t>
        </is>
      </c>
      <c r="C457" s="10" t="inlineStr">
        <is>
          <t>2021-06</t>
        </is>
      </c>
      <c r="D457" s="10" t="n">
        <v>12</v>
      </c>
      <c r="E457" s="12" t="n">
        <v>11203.4</v>
      </c>
      <c r="F457" s="12" t="n">
        <v>7298.5</v>
      </c>
      <c r="G457" s="12" t="n">
        <v>3904.9</v>
      </c>
      <c r="H457" s="13" t="n">
        <v>0.2901</v>
      </c>
      <c r="I457" s="13" t="n">
        <v>0.3394</v>
      </c>
    </row>
    <row r="458">
      <c r="A458" s="10" t="inlineStr">
        <is>
          <t>PJ-2020-C</t>
        </is>
      </c>
      <c r="B458" s="10" t="inlineStr">
        <is>
          <t>位置合わせ(MS学習値)／月内均等</t>
        </is>
      </c>
      <c r="C458" s="10" t="inlineStr">
        <is>
          <t>2021-07</t>
        </is>
      </c>
      <c r="D458" s="10" t="n">
        <v>13</v>
      </c>
      <c r="E458" s="12" t="n">
        <v>12572.3</v>
      </c>
      <c r="F458" s="12" t="n">
        <v>8554.799999999999</v>
      </c>
      <c r="G458" s="12" t="n">
        <v>4017.5</v>
      </c>
      <c r="H458" s="13" t="n">
        <v>0.3336</v>
      </c>
      <c r="I458" s="13" t="n">
        <v>0.369</v>
      </c>
    </row>
    <row r="459">
      <c r="A459" s="10" t="inlineStr">
        <is>
          <t>PJ-2020-C</t>
        </is>
      </c>
      <c r="B459" s="10" t="inlineStr">
        <is>
          <t>位置合わせ(MS学習値)／月内均等</t>
        </is>
      </c>
      <c r="C459" s="10" t="inlineStr">
        <is>
          <t>2021-08</t>
        </is>
      </c>
      <c r="D459" s="10" t="n">
        <v>14</v>
      </c>
      <c r="E459" s="12" t="n">
        <v>13174.8</v>
      </c>
      <c r="F459" s="12" t="n">
        <v>8486.799999999999</v>
      </c>
      <c r="G459" s="12" t="n">
        <v>4688</v>
      </c>
      <c r="H459" s="13" t="n">
        <v>0.3792</v>
      </c>
      <c r="I459" s="13" t="n">
        <v>0.3984</v>
      </c>
    </row>
    <row r="460">
      <c r="A460" s="10" t="inlineStr">
        <is>
          <t>PJ-2020-C</t>
        </is>
      </c>
      <c r="B460" s="10" t="inlineStr">
        <is>
          <t>位置合わせ(MS学習値)／月内均等</t>
        </is>
      </c>
      <c r="C460" s="10" t="inlineStr">
        <is>
          <t>2021-09</t>
        </is>
      </c>
      <c r="D460" s="10" t="n">
        <v>15</v>
      </c>
      <c r="E460" s="12" t="n">
        <v>14490.3</v>
      </c>
      <c r="F460" s="12" t="n">
        <v>9279.9</v>
      </c>
      <c r="G460" s="12" t="n">
        <v>5210.4</v>
      </c>
      <c r="H460" s="13" t="n">
        <v>0.4293</v>
      </c>
      <c r="I460" s="13" t="n">
        <v>0.4305</v>
      </c>
    </row>
    <row r="461">
      <c r="A461" s="10" t="inlineStr">
        <is>
          <t>PJ-2020-C</t>
        </is>
      </c>
      <c r="B461" s="10" t="inlineStr">
        <is>
          <t>位置合わせ(MS学習値)／月内均等</t>
        </is>
      </c>
      <c r="C461" s="10" t="inlineStr">
        <is>
          <t>2021-10</t>
        </is>
      </c>
      <c r="D461" s="10" t="n">
        <v>16</v>
      </c>
      <c r="E461" s="12" t="n">
        <v>14250.6</v>
      </c>
      <c r="F461" s="12" t="n">
        <v>16636.5</v>
      </c>
      <c r="G461" s="12" t="n">
        <v>-2385.9</v>
      </c>
      <c r="H461" s="13" t="n">
        <v>0.4786</v>
      </c>
      <c r="I461" s="13" t="n">
        <v>0.4881</v>
      </c>
    </row>
    <row r="462">
      <c r="A462" s="10" t="inlineStr">
        <is>
          <t>PJ-2020-C</t>
        </is>
      </c>
      <c r="B462" s="10" t="inlineStr">
        <is>
          <t>位置合わせ(MS学習値)／月内均等</t>
        </is>
      </c>
      <c r="C462" s="10" t="inlineStr">
        <is>
          <t>2021-11</t>
        </is>
      </c>
      <c r="D462" s="10" t="n">
        <v>17</v>
      </c>
      <c r="E462" s="12" t="n">
        <v>13634.7</v>
      </c>
      <c r="F462" s="12" t="n">
        <v>14453.3</v>
      </c>
      <c r="G462" s="12" t="n">
        <v>-818.6</v>
      </c>
      <c r="H462" s="13" t="n">
        <v>0.5258</v>
      </c>
      <c r="I462" s="13" t="n">
        <v>0.5381</v>
      </c>
    </row>
    <row r="463">
      <c r="A463" s="10" t="inlineStr">
        <is>
          <t>PJ-2020-C</t>
        </is>
      </c>
      <c r="B463" s="10" t="inlineStr">
        <is>
          <t>位置合わせ(MS学習値)／月内均等</t>
        </is>
      </c>
      <c r="C463" s="10" t="inlineStr">
        <is>
          <t>2021-12</t>
        </is>
      </c>
      <c r="D463" s="10" t="n">
        <v>18</v>
      </c>
      <c r="E463" s="12" t="n">
        <v>14160.7</v>
      </c>
      <c r="F463" s="12" t="n">
        <v>13884.1</v>
      </c>
      <c r="G463" s="12" t="n">
        <v>276.6</v>
      </c>
      <c r="H463" s="13" t="n">
        <v>0.5748</v>
      </c>
      <c r="I463" s="13" t="n">
        <v>0.5861</v>
      </c>
    </row>
    <row r="464">
      <c r="A464" s="10" t="inlineStr">
        <is>
          <t>PJ-2020-C</t>
        </is>
      </c>
      <c r="B464" s="10" t="inlineStr">
        <is>
          <t>位置合わせ(MS学習値)／月内均等</t>
        </is>
      </c>
      <c r="C464" s="10" t="inlineStr">
        <is>
          <t>2022-01</t>
        </is>
      </c>
      <c r="D464" s="10" t="n">
        <v>19</v>
      </c>
      <c r="E464" s="12" t="n">
        <v>14019</v>
      </c>
      <c r="F464" s="12" t="n">
        <v>15419</v>
      </c>
      <c r="G464" s="12" t="n">
        <v>-1400</v>
      </c>
      <c r="H464" s="13" t="n">
        <v>0.6233</v>
      </c>
      <c r="I464" s="13" t="n">
        <v>0.6395</v>
      </c>
    </row>
    <row r="465">
      <c r="A465" s="10" t="inlineStr">
        <is>
          <t>PJ-2020-C</t>
        </is>
      </c>
      <c r="B465" s="10" t="inlineStr">
        <is>
          <t>位置合わせ(MS学習値)／月内均等</t>
        </is>
      </c>
      <c r="C465" s="10" t="inlineStr">
        <is>
          <t>2022-02</t>
        </is>
      </c>
      <c r="D465" s="10" t="n">
        <v>20</v>
      </c>
      <c r="E465" s="12" t="n">
        <v>12837.3</v>
      </c>
      <c r="F465" s="12" t="n">
        <v>8277.799999999999</v>
      </c>
      <c r="G465" s="12" t="n">
        <v>4559.5</v>
      </c>
      <c r="H465" s="13" t="n">
        <v>0.6677</v>
      </c>
      <c r="I465" s="13" t="n">
        <v>0.6681</v>
      </c>
    </row>
    <row r="466">
      <c r="A466" s="10" t="inlineStr">
        <is>
          <t>PJ-2020-C</t>
        </is>
      </c>
      <c r="B466" s="10" t="inlineStr">
        <is>
          <t>位置合わせ(MS学習値)／月内均等</t>
        </is>
      </c>
      <c r="C466" s="10" t="inlineStr">
        <is>
          <t>2022-03</t>
        </is>
      </c>
      <c r="D466" s="10" t="n">
        <v>21</v>
      </c>
      <c r="E466" s="12" t="n">
        <v>14655.4</v>
      </c>
      <c r="F466" s="12" t="n">
        <v>6160.3</v>
      </c>
      <c r="G466" s="12" t="n">
        <v>8495.1</v>
      </c>
      <c r="H466" s="13" t="n">
        <v>0.7184</v>
      </c>
      <c r="I466" s="13" t="n">
        <v>0.6894</v>
      </c>
    </row>
    <row r="467">
      <c r="A467" s="10" t="inlineStr">
        <is>
          <t>PJ-2020-C</t>
        </is>
      </c>
      <c r="B467" s="10" t="inlineStr">
        <is>
          <t>位置合わせ(MS学習値)／月内均等</t>
        </is>
      </c>
      <c r="C467" s="10" t="inlineStr">
        <is>
          <t>2022-04</t>
        </is>
      </c>
      <c r="D467" s="10" t="n">
        <v>22</v>
      </c>
      <c r="E467" s="12" t="n">
        <v>13802.3</v>
      </c>
      <c r="F467" s="12" t="n">
        <v>7057.5</v>
      </c>
      <c r="G467" s="12" t="n">
        <v>6744.8</v>
      </c>
      <c r="H467" s="13" t="n">
        <v>0.7661</v>
      </c>
      <c r="I467" s="13" t="n">
        <v>0.7138</v>
      </c>
    </row>
    <row r="468">
      <c r="A468" s="10" t="inlineStr">
        <is>
          <t>PJ-2020-C</t>
        </is>
      </c>
      <c r="B468" s="10" t="inlineStr">
        <is>
          <t>位置合わせ(MS学習値)／月内均等</t>
        </is>
      </c>
      <c r="C468" s="10" t="inlineStr">
        <is>
          <t>2022-05</t>
        </is>
      </c>
      <c r="D468" s="10" t="n">
        <v>23</v>
      </c>
      <c r="E468" s="12" t="n">
        <v>14533.9</v>
      </c>
      <c r="F468" s="12" t="n">
        <v>8005.3</v>
      </c>
      <c r="G468" s="12" t="n">
        <v>6528.6</v>
      </c>
      <c r="H468" s="13" t="n">
        <v>0.8164</v>
      </c>
      <c r="I468" s="13" t="n">
        <v>0.7415</v>
      </c>
    </row>
    <row r="469">
      <c r="A469" s="10" t="inlineStr">
        <is>
          <t>PJ-2020-C</t>
        </is>
      </c>
      <c r="B469" s="10" t="inlineStr">
        <is>
          <t>位置合わせ(MS学習値)／月内均等</t>
        </is>
      </c>
      <c r="C469" s="10" t="inlineStr">
        <is>
          <t>2022-06</t>
        </is>
      </c>
      <c r="D469" s="10" t="n">
        <v>24</v>
      </c>
      <c r="E469" s="12" t="n">
        <v>12198.7</v>
      </c>
      <c r="F469" s="12" t="n">
        <v>9533.200000000001</v>
      </c>
      <c r="G469" s="12" t="n">
        <v>2665.5</v>
      </c>
      <c r="H469" s="13" t="n">
        <v>0.8586</v>
      </c>
      <c r="I469" s="13" t="n">
        <v>0.7745</v>
      </c>
    </row>
    <row r="470">
      <c r="A470" s="10" t="inlineStr">
        <is>
          <t>PJ-2020-C</t>
        </is>
      </c>
      <c r="B470" s="10" t="inlineStr">
        <is>
          <t>位置合わせ(MS学習値)／月内均等</t>
        </is>
      </c>
      <c r="C470" s="10" t="inlineStr">
        <is>
          <t>2022-07</t>
        </is>
      </c>
      <c r="D470" s="10" t="n">
        <v>25</v>
      </c>
      <c r="E470" s="12" t="n">
        <v>11160.4</v>
      </c>
      <c r="F470" s="12" t="n">
        <v>10920.6</v>
      </c>
      <c r="G470" s="12" t="n">
        <v>239.8</v>
      </c>
      <c r="H470" s="13" t="n">
        <v>0.8972</v>
      </c>
      <c r="I470" s="13" t="n">
        <v>0.8123</v>
      </c>
    </row>
    <row r="471">
      <c r="A471" s="10" t="inlineStr">
        <is>
          <t>PJ-2020-C</t>
        </is>
      </c>
      <c r="B471" s="10" t="inlineStr">
        <is>
          <t>位置合わせ(MS学習値)／月内均等</t>
        </is>
      </c>
      <c r="C471" s="10" t="inlineStr">
        <is>
          <t>2022-08</t>
        </is>
      </c>
      <c r="D471" s="10" t="n">
        <v>26</v>
      </c>
      <c r="E471" s="12" t="n">
        <v>9374.299999999999</v>
      </c>
      <c r="F471" s="12" t="n">
        <v>11191.5</v>
      </c>
      <c r="G471" s="12" t="n">
        <v>-1817.2</v>
      </c>
      <c r="H471" s="13" t="n">
        <v>0.9297</v>
      </c>
      <c r="I471" s="13" t="n">
        <v>0.851</v>
      </c>
    </row>
    <row r="472">
      <c r="A472" s="10" t="inlineStr">
        <is>
          <t>PJ-2020-C</t>
        </is>
      </c>
      <c r="B472" s="10" t="inlineStr">
        <is>
          <t>位置合わせ(MS学習値)／月内均等</t>
        </is>
      </c>
      <c r="C472" s="10" t="inlineStr">
        <is>
          <t>2022-09</t>
        </is>
      </c>
      <c r="D472" s="10" t="n">
        <v>27</v>
      </c>
      <c r="E472" s="12" t="n">
        <v>7000.3</v>
      </c>
      <c r="F472" s="12" t="n">
        <v>10812.6</v>
      </c>
      <c r="G472" s="12" t="n">
        <v>-3812.3</v>
      </c>
      <c r="H472" s="13" t="n">
        <v>0.9539</v>
      </c>
      <c r="I472" s="13" t="n">
        <v>0.8884</v>
      </c>
    </row>
    <row r="473">
      <c r="A473" s="10" t="inlineStr">
        <is>
          <t>PJ-2020-C</t>
        </is>
      </c>
      <c r="B473" s="10" t="inlineStr">
        <is>
          <t>位置合わせ(MS学習値)／月内均等</t>
        </is>
      </c>
      <c r="C473" s="10" t="inlineStr">
        <is>
          <t>2022-10</t>
        </is>
      </c>
      <c r="D473" s="10" t="n">
        <v>28</v>
      </c>
      <c r="E473" s="12" t="n">
        <v>6424.7</v>
      </c>
      <c r="F473" s="12" t="n">
        <v>11977</v>
      </c>
      <c r="G473" s="12" t="n">
        <v>-5552.3</v>
      </c>
      <c r="H473" s="13" t="n">
        <v>0.9761</v>
      </c>
      <c r="I473" s="13" t="n">
        <v>0.9298</v>
      </c>
    </row>
    <row r="474">
      <c r="A474" s="10" t="inlineStr">
        <is>
          <t>PJ-2020-C</t>
        </is>
      </c>
      <c r="B474" s="10" t="inlineStr">
        <is>
          <t>位置合わせ(MS学習値)／月内均等</t>
        </is>
      </c>
      <c r="C474" s="10" t="inlineStr">
        <is>
          <t>2022-11</t>
        </is>
      </c>
      <c r="D474" s="10" t="n">
        <v>29</v>
      </c>
      <c r="E474" s="12" t="n">
        <v>4343</v>
      </c>
      <c r="F474" s="12" t="n">
        <v>12035.5</v>
      </c>
      <c r="G474" s="12" t="n">
        <v>-7692.5</v>
      </c>
      <c r="H474" s="13" t="n">
        <v>0.9911</v>
      </c>
      <c r="I474" s="13" t="n">
        <v>0.9715</v>
      </c>
    </row>
    <row r="475">
      <c r="A475" s="10" t="inlineStr">
        <is>
          <t>PJ-2020-C</t>
        </is>
      </c>
      <c r="B475" s="10" t="inlineStr">
        <is>
          <t>位置合わせ(MS学習値)／月内均等</t>
        </is>
      </c>
      <c r="C475" s="10" t="inlineStr">
        <is>
          <t>2022-12</t>
        </is>
      </c>
      <c r="D475" s="10" t="n">
        <v>30</v>
      </c>
      <c r="E475" s="12" t="n">
        <v>2560.3</v>
      </c>
      <c r="F475" s="12" t="n">
        <v>8242.299999999999</v>
      </c>
      <c r="G475" s="12" t="n">
        <v>-5682</v>
      </c>
      <c r="H475" s="13" t="n">
        <v>1</v>
      </c>
      <c r="I475" s="13" t="n">
        <v>1</v>
      </c>
    </row>
    <row r="476">
      <c r="A476" s="10" t="inlineStr">
        <is>
          <t>PJ-2020-C</t>
        </is>
      </c>
      <c r="B476" s="10" t="inlineStr">
        <is>
          <t>位置合わせ(MS指定)／月内均等</t>
        </is>
      </c>
      <c r="C476" s="10" t="inlineStr">
        <is>
          <t>2020-07</t>
        </is>
      </c>
      <c r="D476" s="10" t="n">
        <v>1</v>
      </c>
      <c r="E476" s="12" t="n">
        <v>3350.1</v>
      </c>
      <c r="F476" s="12" t="n">
        <v>9891.799999999999</v>
      </c>
      <c r="G476" s="12" t="n">
        <v>-6541.7</v>
      </c>
      <c r="H476" s="13" t="n">
        <v>0.0116</v>
      </c>
      <c r="I476" s="13" t="n">
        <v>0.0342</v>
      </c>
    </row>
    <row r="477">
      <c r="A477" s="10" t="inlineStr">
        <is>
          <t>PJ-2020-C</t>
        </is>
      </c>
      <c r="B477" s="10" t="inlineStr">
        <is>
          <t>位置合わせ(MS指定)／月内均等</t>
        </is>
      </c>
      <c r="C477" s="10" t="inlineStr">
        <is>
          <t>2020-08</t>
        </is>
      </c>
      <c r="D477" s="10" t="n">
        <v>2</v>
      </c>
      <c r="E477" s="12" t="n">
        <v>4132.8</v>
      </c>
      <c r="F477" s="12" t="n">
        <v>11800.4</v>
      </c>
      <c r="G477" s="12" t="n">
        <v>-7667.6</v>
      </c>
      <c r="H477" s="13" t="n">
        <v>0.0259</v>
      </c>
      <c r="I477" s="13" t="n">
        <v>0.075</v>
      </c>
    </row>
    <row r="478">
      <c r="A478" s="10" t="inlineStr">
        <is>
          <t>PJ-2020-C</t>
        </is>
      </c>
      <c r="B478" s="10" t="inlineStr">
        <is>
          <t>位置合わせ(MS指定)／月内均等</t>
        </is>
      </c>
      <c r="C478" s="10" t="inlineStr">
        <is>
          <t>2020-09</t>
        </is>
      </c>
      <c r="D478" s="10" t="n">
        <v>3</v>
      </c>
      <c r="E478" s="12" t="n">
        <v>4886</v>
      </c>
      <c r="F478" s="12" t="n">
        <v>9726.200000000001</v>
      </c>
      <c r="G478" s="12" t="n">
        <v>-4840.2</v>
      </c>
      <c r="H478" s="13" t="n">
        <v>0.0428</v>
      </c>
      <c r="I478" s="13" t="n">
        <v>0.1087</v>
      </c>
    </row>
    <row r="479">
      <c r="A479" s="10" t="inlineStr">
        <is>
          <t>PJ-2020-C</t>
        </is>
      </c>
      <c r="B479" s="10" t="inlineStr">
        <is>
          <t>位置合わせ(MS指定)／月内均等</t>
        </is>
      </c>
      <c r="C479" s="10" t="inlineStr">
        <is>
          <t>2020-10</t>
        </is>
      </c>
      <c r="D479" s="10" t="n">
        <v>4</v>
      </c>
      <c r="E479" s="12" t="n">
        <v>5836.6</v>
      </c>
      <c r="F479" s="12" t="n">
        <v>8645.4</v>
      </c>
      <c r="G479" s="12" t="n">
        <v>-2808.8</v>
      </c>
      <c r="H479" s="13" t="n">
        <v>0.063</v>
      </c>
      <c r="I479" s="13" t="n">
        <v>0.1386</v>
      </c>
    </row>
    <row r="480">
      <c r="A480" s="10" t="inlineStr">
        <is>
          <t>PJ-2020-C</t>
        </is>
      </c>
      <c r="B480" s="10" t="inlineStr">
        <is>
          <t>位置合わせ(MS指定)／月内均等</t>
        </is>
      </c>
      <c r="C480" s="10" t="inlineStr">
        <is>
          <t>2020-11</t>
        </is>
      </c>
      <c r="D480" s="10" t="n">
        <v>5</v>
      </c>
      <c r="E480" s="12" t="n">
        <v>6139.4</v>
      </c>
      <c r="F480" s="12" t="n">
        <v>7717.1</v>
      </c>
      <c r="G480" s="12" t="n">
        <v>-1577.7</v>
      </c>
      <c r="H480" s="13" t="n">
        <v>0.0842</v>
      </c>
      <c r="I480" s="13" t="n">
        <v>0.1653</v>
      </c>
    </row>
    <row r="481">
      <c r="A481" s="10" t="inlineStr">
        <is>
          <t>PJ-2020-C</t>
        </is>
      </c>
      <c r="B481" s="10" t="inlineStr">
        <is>
          <t>位置合わせ(MS指定)／月内均等</t>
        </is>
      </c>
      <c r="C481" s="10" t="inlineStr">
        <is>
          <t>2020-12</t>
        </is>
      </c>
      <c r="D481" s="10" t="n">
        <v>6</v>
      </c>
      <c r="E481" s="12" t="n">
        <v>6747.8</v>
      </c>
      <c r="F481" s="12" t="n">
        <v>7821.7</v>
      </c>
      <c r="G481" s="12" t="n">
        <v>-1073.9</v>
      </c>
      <c r="H481" s="13" t="n">
        <v>0.1076</v>
      </c>
      <c r="I481" s="13" t="n">
        <v>0.1924</v>
      </c>
    </row>
    <row r="482">
      <c r="A482" s="10" t="inlineStr">
        <is>
          <t>PJ-2020-C</t>
        </is>
      </c>
      <c r="B482" s="10" t="inlineStr">
        <is>
          <t>位置合わせ(MS指定)／月内均等</t>
        </is>
      </c>
      <c r="C482" s="10" t="inlineStr">
        <is>
          <t>2021-01</t>
        </is>
      </c>
      <c r="D482" s="10" t="n">
        <v>7</v>
      </c>
      <c r="E482" s="12" t="n">
        <v>7292.9</v>
      </c>
      <c r="F482" s="12" t="n">
        <v>7531.5</v>
      </c>
      <c r="G482" s="12" t="n">
        <v>-238.6</v>
      </c>
      <c r="H482" s="13" t="n">
        <v>0.1328</v>
      </c>
      <c r="I482" s="13" t="n">
        <v>0.2184</v>
      </c>
    </row>
    <row r="483">
      <c r="A483" s="10" t="inlineStr">
        <is>
          <t>PJ-2020-C</t>
        </is>
      </c>
      <c r="B483" s="10" t="inlineStr">
        <is>
          <t>位置合わせ(MS指定)／月内均等</t>
        </is>
      </c>
      <c r="C483" s="10" t="inlineStr">
        <is>
          <t>2021-02</t>
        </is>
      </c>
      <c r="D483" s="10" t="n">
        <v>8</v>
      </c>
      <c r="E483" s="12" t="n">
        <v>7422.6</v>
      </c>
      <c r="F483" s="12" t="n">
        <v>6551.1</v>
      </c>
      <c r="G483" s="12" t="n">
        <v>871.5</v>
      </c>
      <c r="H483" s="13" t="n">
        <v>0.1585</v>
      </c>
      <c r="I483" s="13" t="n">
        <v>0.2411</v>
      </c>
    </row>
    <row r="484">
      <c r="A484" s="10" t="inlineStr">
        <is>
          <t>PJ-2020-C</t>
        </is>
      </c>
      <c r="B484" s="10" t="inlineStr">
        <is>
          <t>位置合わせ(MS指定)／月内均等</t>
        </is>
      </c>
      <c r="C484" s="10" t="inlineStr">
        <is>
          <t>2021-03</t>
        </is>
      </c>
      <c r="D484" s="10" t="n">
        <v>9</v>
      </c>
      <c r="E484" s="12" t="n">
        <v>9018.5</v>
      </c>
      <c r="F484" s="12" t="n">
        <v>7387.7</v>
      </c>
      <c r="G484" s="12" t="n">
        <v>1630.8</v>
      </c>
      <c r="H484" s="13" t="n">
        <v>0.1897</v>
      </c>
      <c r="I484" s="13" t="n">
        <v>0.2666</v>
      </c>
    </row>
    <row r="485">
      <c r="A485" s="10" t="inlineStr">
        <is>
          <t>PJ-2020-C</t>
        </is>
      </c>
      <c r="B485" s="10" t="inlineStr">
        <is>
          <t>位置合わせ(MS指定)／月内均等</t>
        </is>
      </c>
      <c r="C485" s="10" t="inlineStr">
        <is>
          <t>2021-04</t>
        </is>
      </c>
      <c r="D485" s="10" t="n">
        <v>10</v>
      </c>
      <c r="E485" s="12" t="n">
        <v>10132.1</v>
      </c>
      <c r="F485" s="12" t="n">
        <v>6822.6</v>
      </c>
      <c r="G485" s="12" t="n">
        <v>3309.5</v>
      </c>
      <c r="H485" s="13" t="n">
        <v>0.2247</v>
      </c>
      <c r="I485" s="13" t="n">
        <v>0.2903</v>
      </c>
    </row>
    <row r="486">
      <c r="A486" s="10" t="inlineStr">
        <is>
          <t>PJ-2020-C</t>
        </is>
      </c>
      <c r="B486" s="10" t="inlineStr">
        <is>
          <t>位置合わせ(MS指定)／月内均等</t>
        </is>
      </c>
      <c r="C486" s="10" t="inlineStr">
        <is>
          <t>2021-05</t>
        </is>
      </c>
      <c r="D486" s="10" t="n">
        <v>11</v>
      </c>
      <c r="E486" s="12" t="n">
        <v>11638.5</v>
      </c>
      <c r="F486" s="12" t="n">
        <v>6920.5</v>
      </c>
      <c r="G486" s="12" t="n">
        <v>4718</v>
      </c>
      <c r="H486" s="13" t="n">
        <v>0.265</v>
      </c>
      <c r="I486" s="13" t="n">
        <v>0.3142</v>
      </c>
    </row>
    <row r="487">
      <c r="A487" s="10" t="inlineStr">
        <is>
          <t>PJ-2020-C</t>
        </is>
      </c>
      <c r="B487" s="10" t="inlineStr">
        <is>
          <t>位置合わせ(MS指定)／月内均等</t>
        </is>
      </c>
      <c r="C487" s="10" t="inlineStr">
        <is>
          <t>2021-06</t>
        </is>
      </c>
      <c r="D487" s="10" t="n">
        <v>12</v>
      </c>
      <c r="E487" s="12" t="n">
        <v>11807.5</v>
      </c>
      <c r="F487" s="12" t="n">
        <v>7298.5</v>
      </c>
      <c r="G487" s="12" t="n">
        <v>4509</v>
      </c>
      <c r="H487" s="13" t="n">
        <v>0.3059</v>
      </c>
      <c r="I487" s="13" t="n">
        <v>0.3394</v>
      </c>
    </row>
    <row r="488">
      <c r="A488" s="10" t="inlineStr">
        <is>
          <t>PJ-2020-C</t>
        </is>
      </c>
      <c r="B488" s="10" t="inlineStr">
        <is>
          <t>位置合わせ(MS指定)／月内均等</t>
        </is>
      </c>
      <c r="C488" s="10" t="inlineStr">
        <is>
          <t>2021-07</t>
        </is>
      </c>
      <c r="D488" s="10" t="n">
        <v>13</v>
      </c>
      <c r="E488" s="12" t="n">
        <v>13197.3</v>
      </c>
      <c r="F488" s="12" t="n">
        <v>8554.799999999999</v>
      </c>
      <c r="G488" s="12" t="n">
        <v>4642.5</v>
      </c>
      <c r="H488" s="13" t="n">
        <v>0.3515</v>
      </c>
      <c r="I488" s="13" t="n">
        <v>0.369</v>
      </c>
    </row>
    <row r="489">
      <c r="A489" s="10" t="inlineStr">
        <is>
          <t>PJ-2020-C</t>
        </is>
      </c>
      <c r="B489" s="10" t="inlineStr">
        <is>
          <t>位置合わせ(MS指定)／月内均等</t>
        </is>
      </c>
      <c r="C489" s="10" t="inlineStr">
        <is>
          <t>2021-08</t>
        </is>
      </c>
      <c r="D489" s="10" t="n">
        <v>14</v>
      </c>
      <c r="E489" s="12" t="n">
        <v>14524</v>
      </c>
      <c r="F489" s="12" t="n">
        <v>8486.799999999999</v>
      </c>
      <c r="G489" s="12" t="n">
        <v>6037.2</v>
      </c>
      <c r="H489" s="13" t="n">
        <v>0.4018</v>
      </c>
      <c r="I489" s="13" t="n">
        <v>0.3984</v>
      </c>
    </row>
    <row r="490">
      <c r="A490" s="10" t="inlineStr">
        <is>
          <t>PJ-2020-C</t>
        </is>
      </c>
      <c r="B490" s="10" t="inlineStr">
        <is>
          <t>位置合わせ(MS指定)／月内均等</t>
        </is>
      </c>
      <c r="C490" s="10" t="inlineStr">
        <is>
          <t>2021-09</t>
        </is>
      </c>
      <c r="D490" s="10" t="n">
        <v>15</v>
      </c>
      <c r="E490" s="12" t="n">
        <v>18207.7</v>
      </c>
      <c r="F490" s="12" t="n">
        <v>9279.9</v>
      </c>
      <c r="G490" s="12" t="n">
        <v>8927.799999999999</v>
      </c>
      <c r="H490" s="13" t="n">
        <v>0.4648</v>
      </c>
      <c r="I490" s="13" t="n">
        <v>0.4305</v>
      </c>
    </row>
    <row r="491">
      <c r="A491" s="10" t="inlineStr">
        <is>
          <t>PJ-2020-C</t>
        </is>
      </c>
      <c r="B491" s="10" t="inlineStr">
        <is>
          <t>位置合わせ(MS指定)／月内均等</t>
        </is>
      </c>
      <c r="C491" s="10" t="inlineStr">
        <is>
          <t>2021-10</t>
        </is>
      </c>
      <c r="D491" s="10" t="n">
        <v>16</v>
      </c>
      <c r="E491" s="12" t="n">
        <v>21083.1</v>
      </c>
      <c r="F491" s="12" t="n">
        <v>16636.5</v>
      </c>
      <c r="G491" s="12" t="n">
        <v>4446.6</v>
      </c>
      <c r="H491" s="13" t="n">
        <v>0.5377</v>
      </c>
      <c r="I491" s="13" t="n">
        <v>0.4881</v>
      </c>
    </row>
    <row r="492">
      <c r="A492" s="10" t="inlineStr">
        <is>
          <t>PJ-2020-C</t>
        </is>
      </c>
      <c r="B492" s="10" t="inlineStr">
        <is>
          <t>位置合わせ(MS指定)／月内均等</t>
        </is>
      </c>
      <c r="C492" s="10" t="inlineStr">
        <is>
          <t>2021-11</t>
        </is>
      </c>
      <c r="D492" s="10" t="n">
        <v>17</v>
      </c>
      <c r="E492" s="12" t="n">
        <v>20434.4</v>
      </c>
      <c r="F492" s="12" t="n">
        <v>14453.3</v>
      </c>
      <c r="G492" s="12" t="n">
        <v>5981.1</v>
      </c>
      <c r="H492" s="13" t="n">
        <v>0.6084000000000001</v>
      </c>
      <c r="I492" s="13" t="n">
        <v>0.5381</v>
      </c>
    </row>
    <row r="493">
      <c r="A493" s="10" t="inlineStr">
        <is>
          <t>PJ-2020-C</t>
        </is>
      </c>
      <c r="B493" s="10" t="inlineStr">
        <is>
          <t>位置合わせ(MS指定)／月内均等</t>
        </is>
      </c>
      <c r="C493" s="10" t="inlineStr">
        <is>
          <t>2021-12</t>
        </is>
      </c>
      <c r="D493" s="10" t="n">
        <v>18</v>
      </c>
      <c r="E493" s="12" t="n">
        <v>21219.7</v>
      </c>
      <c r="F493" s="12" t="n">
        <v>13884.1</v>
      </c>
      <c r="G493" s="12" t="n">
        <v>7335.6</v>
      </c>
      <c r="H493" s="13" t="n">
        <v>0.6818</v>
      </c>
      <c r="I493" s="13" t="n">
        <v>0.5861</v>
      </c>
    </row>
    <row r="494">
      <c r="A494" s="10" t="inlineStr">
        <is>
          <t>PJ-2020-C</t>
        </is>
      </c>
      <c r="B494" s="10" t="inlineStr">
        <is>
          <t>位置合わせ(MS指定)／月内均等</t>
        </is>
      </c>
      <c r="C494" s="10" t="inlineStr">
        <is>
          <t>2022-01</t>
        </is>
      </c>
      <c r="D494" s="10" t="n">
        <v>19</v>
      </c>
      <c r="E494" s="12" t="n">
        <v>21772.2</v>
      </c>
      <c r="F494" s="12" t="n">
        <v>15419</v>
      </c>
      <c r="G494" s="12" t="n">
        <v>6353.2</v>
      </c>
      <c r="H494" s="13" t="n">
        <v>0.7571</v>
      </c>
      <c r="I494" s="13" t="n">
        <v>0.6395</v>
      </c>
    </row>
    <row r="495">
      <c r="A495" s="10" t="inlineStr">
        <is>
          <t>PJ-2020-C</t>
        </is>
      </c>
      <c r="B495" s="10" t="inlineStr">
        <is>
          <t>位置合わせ(MS指定)／月内均等</t>
        </is>
      </c>
      <c r="C495" s="10" t="inlineStr">
        <is>
          <t>2022-02</t>
        </is>
      </c>
      <c r="D495" s="10" t="n">
        <v>20</v>
      </c>
      <c r="E495" s="12" t="n">
        <v>13504.9</v>
      </c>
      <c r="F495" s="12" t="n">
        <v>8277.799999999999</v>
      </c>
      <c r="G495" s="12" t="n">
        <v>5227.1</v>
      </c>
      <c r="H495" s="13" t="n">
        <v>0.8038999999999999</v>
      </c>
      <c r="I495" s="13" t="n">
        <v>0.6681</v>
      </c>
    </row>
    <row r="496">
      <c r="A496" s="10" t="inlineStr">
        <is>
          <t>PJ-2020-C</t>
        </is>
      </c>
      <c r="B496" s="10" t="inlineStr">
        <is>
          <t>位置合わせ(MS指定)／月内均等</t>
        </is>
      </c>
      <c r="C496" s="10" t="inlineStr">
        <is>
          <t>2022-03</t>
        </is>
      </c>
      <c r="D496" s="10" t="n">
        <v>21</v>
      </c>
      <c r="E496" s="12" t="n">
        <v>8283.6</v>
      </c>
      <c r="F496" s="12" t="n">
        <v>6160.3</v>
      </c>
      <c r="G496" s="12" t="n">
        <v>2123.3</v>
      </c>
      <c r="H496" s="13" t="n">
        <v>0.8325</v>
      </c>
      <c r="I496" s="13" t="n">
        <v>0.6894</v>
      </c>
    </row>
    <row r="497">
      <c r="A497" s="10" t="inlineStr">
        <is>
          <t>PJ-2020-C</t>
        </is>
      </c>
      <c r="B497" s="10" t="inlineStr">
        <is>
          <t>位置合わせ(MS指定)／月内均等</t>
        </is>
      </c>
      <c r="C497" s="10" t="inlineStr">
        <is>
          <t>2022-04</t>
        </is>
      </c>
      <c r="D497" s="10" t="n">
        <v>22</v>
      </c>
      <c r="E497" s="12" t="n">
        <v>7459.4</v>
      </c>
      <c r="F497" s="12" t="n">
        <v>7057.5</v>
      </c>
      <c r="G497" s="12" t="n">
        <v>401.9</v>
      </c>
      <c r="H497" s="13" t="n">
        <v>0.8583</v>
      </c>
      <c r="I497" s="13" t="n">
        <v>0.7138</v>
      </c>
    </row>
    <row r="498">
      <c r="A498" s="10" t="inlineStr">
        <is>
          <t>PJ-2020-C</t>
        </is>
      </c>
      <c r="B498" s="10" t="inlineStr">
        <is>
          <t>位置合わせ(MS指定)／月内均等</t>
        </is>
      </c>
      <c r="C498" s="10" t="inlineStr">
        <is>
          <t>2022-05</t>
        </is>
      </c>
      <c r="D498" s="10" t="n">
        <v>23</v>
      </c>
      <c r="E498" s="12" t="n">
        <v>7031</v>
      </c>
      <c r="F498" s="12" t="n">
        <v>8005.3</v>
      </c>
      <c r="G498" s="12" t="n">
        <v>-974.3</v>
      </c>
      <c r="H498" s="13" t="n">
        <v>0.8826000000000001</v>
      </c>
      <c r="I498" s="13" t="n">
        <v>0.7415</v>
      </c>
    </row>
    <row r="499">
      <c r="A499" s="10" t="inlineStr">
        <is>
          <t>PJ-2020-C</t>
        </is>
      </c>
      <c r="B499" s="10" t="inlineStr">
        <is>
          <t>位置合わせ(MS指定)／月内均等</t>
        </is>
      </c>
      <c r="C499" s="10" t="inlineStr">
        <is>
          <t>2022-06</t>
        </is>
      </c>
      <c r="D499" s="10" t="n">
        <v>24</v>
      </c>
      <c r="E499" s="12" t="n">
        <v>6253.2</v>
      </c>
      <c r="F499" s="12" t="n">
        <v>9533.200000000001</v>
      </c>
      <c r="G499" s="12" t="n">
        <v>-3280</v>
      </c>
      <c r="H499" s="13" t="n">
        <v>0.9043</v>
      </c>
      <c r="I499" s="13" t="n">
        <v>0.7745</v>
      </c>
    </row>
    <row r="500">
      <c r="A500" s="10" t="inlineStr">
        <is>
          <t>PJ-2020-C</t>
        </is>
      </c>
      <c r="B500" s="10" t="inlineStr">
        <is>
          <t>位置合わせ(MS指定)／月内均等</t>
        </is>
      </c>
      <c r="C500" s="10" t="inlineStr">
        <is>
          <t>2022-07</t>
        </is>
      </c>
      <c r="D500" s="10" t="n">
        <v>25</v>
      </c>
      <c r="E500" s="12" t="n">
        <v>5844</v>
      </c>
      <c r="F500" s="12" t="n">
        <v>10920.6</v>
      </c>
      <c r="G500" s="12" t="n">
        <v>-5076.6</v>
      </c>
      <c r="H500" s="13" t="n">
        <v>0.9245</v>
      </c>
      <c r="I500" s="13" t="n">
        <v>0.8123</v>
      </c>
    </row>
    <row r="501">
      <c r="A501" s="10" t="inlineStr">
        <is>
          <t>PJ-2020-C</t>
        </is>
      </c>
      <c r="B501" s="10" t="inlineStr">
        <is>
          <t>位置合わせ(MS指定)／月内均等</t>
        </is>
      </c>
      <c r="C501" s="10" t="inlineStr">
        <is>
          <t>2022-08</t>
        </is>
      </c>
      <c r="D501" s="10" t="n">
        <v>26</v>
      </c>
      <c r="E501" s="12" t="n">
        <v>4966</v>
      </c>
      <c r="F501" s="12" t="n">
        <v>11191.5</v>
      </c>
      <c r="G501" s="12" t="n">
        <v>-6225.5</v>
      </c>
      <c r="H501" s="13" t="n">
        <v>0.9417</v>
      </c>
      <c r="I501" s="13" t="n">
        <v>0.851</v>
      </c>
    </row>
    <row r="502">
      <c r="A502" s="10" t="inlineStr">
        <is>
          <t>PJ-2020-C</t>
        </is>
      </c>
      <c r="B502" s="10" t="inlineStr">
        <is>
          <t>位置合わせ(MS指定)／月内均等</t>
        </is>
      </c>
      <c r="C502" s="10" t="inlineStr">
        <is>
          <t>2022-09</t>
        </is>
      </c>
      <c r="D502" s="10" t="n">
        <v>27</v>
      </c>
      <c r="E502" s="12" t="n">
        <v>4040.5</v>
      </c>
      <c r="F502" s="12" t="n">
        <v>10812.6</v>
      </c>
      <c r="G502" s="12" t="n">
        <v>-6772.1</v>
      </c>
      <c r="H502" s="13" t="n">
        <v>0.9557</v>
      </c>
      <c r="I502" s="13" t="n">
        <v>0.8884</v>
      </c>
    </row>
    <row r="503">
      <c r="A503" s="10" t="inlineStr">
        <is>
          <t>PJ-2020-C</t>
        </is>
      </c>
      <c r="B503" s="10" t="inlineStr">
        <is>
          <t>位置合わせ(MS指定)／月内均等</t>
        </is>
      </c>
      <c r="C503" s="10" t="inlineStr">
        <is>
          <t>2022-10</t>
        </is>
      </c>
      <c r="D503" s="10" t="n">
        <v>28</v>
      </c>
      <c r="E503" s="12" t="n">
        <v>5400.6</v>
      </c>
      <c r="F503" s="12" t="n">
        <v>11977</v>
      </c>
      <c r="G503" s="12" t="n">
        <v>-6576.4</v>
      </c>
      <c r="H503" s="13" t="n">
        <v>0.9743000000000001</v>
      </c>
      <c r="I503" s="13" t="n">
        <v>0.9298</v>
      </c>
    </row>
    <row r="504">
      <c r="A504" s="10" t="inlineStr">
        <is>
          <t>PJ-2020-C</t>
        </is>
      </c>
      <c r="B504" s="10" t="inlineStr">
        <is>
          <t>位置合わせ(MS指定)／月内均等</t>
        </is>
      </c>
      <c r="C504" s="10" t="inlineStr">
        <is>
          <t>2022-11</t>
        </is>
      </c>
      <c r="D504" s="10" t="n">
        <v>29</v>
      </c>
      <c r="E504" s="12" t="n">
        <v>4707.8</v>
      </c>
      <c r="F504" s="12" t="n">
        <v>12035.5</v>
      </c>
      <c r="G504" s="12" t="n">
        <v>-7327.7</v>
      </c>
      <c r="H504" s="13" t="n">
        <v>0.9906</v>
      </c>
      <c r="I504" s="13" t="n">
        <v>0.9715</v>
      </c>
    </row>
    <row r="505">
      <c r="A505" s="10" t="inlineStr">
        <is>
          <t>PJ-2020-C</t>
        </is>
      </c>
      <c r="B505" s="10" t="inlineStr">
        <is>
          <t>位置合わせ(MS指定)／月内均等</t>
        </is>
      </c>
      <c r="C505" s="10" t="inlineStr">
        <is>
          <t>2022-12</t>
        </is>
      </c>
      <c r="D505" s="10" t="n">
        <v>30</v>
      </c>
      <c r="E505" s="12" t="n">
        <v>2708.4</v>
      </c>
      <c r="F505" s="12" t="n">
        <v>8242.299999999999</v>
      </c>
      <c r="G505" s="12" t="n">
        <v>-5533.9</v>
      </c>
      <c r="H505" s="13" t="n">
        <v>1</v>
      </c>
      <c r="I505" s="13" t="n">
        <v>1</v>
      </c>
    </row>
    <row r="506">
      <c r="A506" s="10" t="inlineStr">
        <is>
          <t>PJ-2020-C</t>
        </is>
      </c>
      <c r="B506" s="10" t="inlineStr">
        <is>
          <t>素朴版／単調補間</t>
        </is>
      </c>
      <c r="C506" s="10" t="inlineStr">
        <is>
          <t>2020-07</t>
        </is>
      </c>
      <c r="D506" s="10" t="n">
        <v>1</v>
      </c>
      <c r="E506" s="12" t="n">
        <v>3132</v>
      </c>
      <c r="F506" s="12" t="n">
        <v>9891.799999999999</v>
      </c>
      <c r="G506" s="12" t="n">
        <v>-6759.8</v>
      </c>
      <c r="H506" s="13" t="n">
        <v>0.0108</v>
      </c>
      <c r="I506" s="13" t="n">
        <v>0.0342</v>
      </c>
    </row>
    <row r="507">
      <c r="A507" s="10" t="inlineStr">
        <is>
          <t>PJ-2020-C</t>
        </is>
      </c>
      <c r="B507" s="10" t="inlineStr">
        <is>
          <t>素朴版／単調補間</t>
        </is>
      </c>
      <c r="C507" s="10" t="inlineStr">
        <is>
          <t>2020-08</t>
        </is>
      </c>
      <c r="D507" s="10" t="n">
        <v>2</v>
      </c>
      <c r="E507" s="12" t="n">
        <v>3984.2</v>
      </c>
      <c r="F507" s="12" t="n">
        <v>11800.4</v>
      </c>
      <c r="G507" s="12" t="n">
        <v>-7816.2</v>
      </c>
      <c r="H507" s="13" t="n">
        <v>0.0246</v>
      </c>
      <c r="I507" s="13" t="n">
        <v>0.075</v>
      </c>
    </row>
    <row r="508">
      <c r="A508" s="10" t="inlineStr">
        <is>
          <t>PJ-2020-C</t>
        </is>
      </c>
      <c r="B508" s="10" t="inlineStr">
        <is>
          <t>素朴版／単調補間</t>
        </is>
      </c>
      <c r="C508" s="10" t="inlineStr">
        <is>
          <t>2020-09</t>
        </is>
      </c>
      <c r="D508" s="10" t="n">
        <v>3</v>
      </c>
      <c r="E508" s="12" t="n">
        <v>4746.2</v>
      </c>
      <c r="F508" s="12" t="n">
        <v>9726.200000000001</v>
      </c>
      <c r="G508" s="12" t="n">
        <v>-4980</v>
      </c>
      <c r="H508" s="13" t="n">
        <v>0.041</v>
      </c>
      <c r="I508" s="13" t="n">
        <v>0.1087</v>
      </c>
    </row>
    <row r="509">
      <c r="A509" s="10" t="inlineStr">
        <is>
          <t>PJ-2020-C</t>
        </is>
      </c>
      <c r="B509" s="10" t="inlineStr">
        <is>
          <t>素朴版／単調補間</t>
        </is>
      </c>
      <c r="C509" s="10" t="inlineStr">
        <is>
          <t>2020-10</t>
        </is>
      </c>
      <c r="D509" s="10" t="n">
        <v>4</v>
      </c>
      <c r="E509" s="12" t="n">
        <v>5654.9</v>
      </c>
      <c r="F509" s="12" t="n">
        <v>8645.4</v>
      </c>
      <c r="G509" s="12" t="n">
        <v>-2990.5</v>
      </c>
      <c r="H509" s="13" t="n">
        <v>0.0606</v>
      </c>
      <c r="I509" s="13" t="n">
        <v>0.1386</v>
      </c>
    </row>
    <row r="510">
      <c r="A510" s="10" t="inlineStr">
        <is>
          <t>PJ-2020-C</t>
        </is>
      </c>
      <c r="B510" s="10" t="inlineStr">
        <is>
          <t>素朴版／単調補間</t>
        </is>
      </c>
      <c r="C510" s="10" t="inlineStr">
        <is>
          <t>2020-11</t>
        </is>
      </c>
      <c r="D510" s="10" t="n">
        <v>5</v>
      </c>
      <c r="E510" s="12" t="n">
        <v>6117.7</v>
      </c>
      <c r="F510" s="12" t="n">
        <v>7717.1</v>
      </c>
      <c r="G510" s="12" t="n">
        <v>-1599.4</v>
      </c>
      <c r="H510" s="13" t="n">
        <v>0.0818</v>
      </c>
      <c r="I510" s="13" t="n">
        <v>0.1653</v>
      </c>
    </row>
    <row r="511">
      <c r="A511" s="10" t="inlineStr">
        <is>
          <t>PJ-2020-C</t>
        </is>
      </c>
      <c r="B511" s="10" t="inlineStr">
        <is>
          <t>素朴版／単調補間</t>
        </is>
      </c>
      <c r="C511" s="10" t="inlineStr">
        <is>
          <t>2020-12</t>
        </is>
      </c>
      <c r="D511" s="10" t="n">
        <v>6</v>
      </c>
      <c r="E511" s="12" t="n">
        <v>6531.6</v>
      </c>
      <c r="F511" s="12" t="n">
        <v>7821.7</v>
      </c>
      <c r="G511" s="12" t="n">
        <v>-1290.1</v>
      </c>
      <c r="H511" s="13" t="n">
        <v>0.1044</v>
      </c>
      <c r="I511" s="13" t="n">
        <v>0.1924</v>
      </c>
    </row>
    <row r="512">
      <c r="A512" s="10" t="inlineStr">
        <is>
          <t>PJ-2020-C</t>
        </is>
      </c>
      <c r="B512" s="10" t="inlineStr">
        <is>
          <t>素朴版／単調補間</t>
        </is>
      </c>
      <c r="C512" s="10" t="inlineStr">
        <is>
          <t>2021-01</t>
        </is>
      </c>
      <c r="D512" s="10" t="n">
        <v>7</v>
      </c>
      <c r="E512" s="12" t="n">
        <v>7087.2</v>
      </c>
      <c r="F512" s="12" t="n">
        <v>7531.5</v>
      </c>
      <c r="G512" s="12" t="n">
        <v>-444.3</v>
      </c>
      <c r="H512" s="13" t="n">
        <v>0.1289</v>
      </c>
      <c r="I512" s="13" t="n">
        <v>0.2184</v>
      </c>
    </row>
    <row r="513">
      <c r="A513" s="10" t="inlineStr">
        <is>
          <t>PJ-2020-C</t>
        </is>
      </c>
      <c r="B513" s="10" t="inlineStr">
        <is>
          <t>素朴版／単調補間</t>
        </is>
      </c>
      <c r="C513" s="10" t="inlineStr">
        <is>
          <t>2021-02</t>
        </is>
      </c>
      <c r="D513" s="10" t="n">
        <v>8</v>
      </c>
      <c r="E513" s="12" t="n">
        <v>7225.9</v>
      </c>
      <c r="F513" s="12" t="n">
        <v>6551.1</v>
      </c>
      <c r="G513" s="12" t="n">
        <v>674.8</v>
      </c>
      <c r="H513" s="13" t="n">
        <v>0.1539</v>
      </c>
      <c r="I513" s="13" t="n">
        <v>0.2411</v>
      </c>
    </row>
    <row r="514">
      <c r="A514" s="10" t="inlineStr">
        <is>
          <t>PJ-2020-C</t>
        </is>
      </c>
      <c r="B514" s="10" t="inlineStr">
        <is>
          <t>素朴版／単調補間</t>
        </is>
      </c>
      <c r="C514" s="10" t="inlineStr">
        <is>
          <t>2021-03</t>
        </is>
      </c>
      <c r="D514" s="10" t="n">
        <v>9</v>
      </c>
      <c r="E514" s="12" t="n">
        <v>9368.700000000001</v>
      </c>
      <c r="F514" s="12" t="n">
        <v>7387.7</v>
      </c>
      <c r="G514" s="12" t="n">
        <v>1981</v>
      </c>
      <c r="H514" s="13" t="n">
        <v>0.1863</v>
      </c>
      <c r="I514" s="13" t="n">
        <v>0.2666</v>
      </c>
    </row>
    <row r="515">
      <c r="A515" s="10" t="inlineStr">
        <is>
          <t>PJ-2020-C</t>
        </is>
      </c>
      <c r="B515" s="10" t="inlineStr">
        <is>
          <t>素朴版／単調補間</t>
        </is>
      </c>
      <c r="C515" s="10" t="inlineStr">
        <is>
          <t>2021-04</t>
        </is>
      </c>
      <c r="D515" s="10" t="n">
        <v>10</v>
      </c>
      <c r="E515" s="12" t="n">
        <v>10419.6</v>
      </c>
      <c r="F515" s="12" t="n">
        <v>6822.6</v>
      </c>
      <c r="G515" s="12" t="n">
        <v>3597</v>
      </c>
      <c r="H515" s="13" t="n">
        <v>0.2223</v>
      </c>
      <c r="I515" s="13" t="n">
        <v>0.2903</v>
      </c>
    </row>
    <row r="516">
      <c r="A516" s="10" t="inlineStr">
        <is>
          <t>PJ-2020-C</t>
        </is>
      </c>
      <c r="B516" s="10" t="inlineStr">
        <is>
          <t>素朴版／単調補間</t>
        </is>
      </c>
      <c r="C516" s="10" t="inlineStr">
        <is>
          <t>2021-05</t>
        </is>
      </c>
      <c r="D516" s="10" t="n">
        <v>11</v>
      </c>
      <c r="E516" s="12" t="n">
        <v>11662.7</v>
      </c>
      <c r="F516" s="12" t="n">
        <v>6920.5</v>
      </c>
      <c r="G516" s="12" t="n">
        <v>4742.2</v>
      </c>
      <c r="H516" s="13" t="n">
        <v>0.2627</v>
      </c>
      <c r="I516" s="13" t="n">
        <v>0.3142</v>
      </c>
    </row>
    <row r="517">
      <c r="A517" s="10" t="inlineStr">
        <is>
          <t>PJ-2020-C</t>
        </is>
      </c>
      <c r="B517" s="10" t="inlineStr">
        <is>
          <t>素朴版／単調補間</t>
        </is>
      </c>
      <c r="C517" s="10" t="inlineStr">
        <is>
          <t>2021-06</t>
        </is>
      </c>
      <c r="D517" s="10" t="n">
        <v>12</v>
      </c>
      <c r="E517" s="12" t="n">
        <v>12375</v>
      </c>
      <c r="F517" s="12" t="n">
        <v>7298.5</v>
      </c>
      <c r="G517" s="12" t="n">
        <v>5076.5</v>
      </c>
      <c r="H517" s="13" t="n">
        <v>0.3055</v>
      </c>
      <c r="I517" s="13" t="n">
        <v>0.3394</v>
      </c>
    </row>
    <row r="518">
      <c r="A518" s="10" t="inlineStr">
        <is>
          <t>PJ-2020-C</t>
        </is>
      </c>
      <c r="B518" s="10" t="inlineStr">
        <is>
          <t>素朴版／単調補間</t>
        </is>
      </c>
      <c r="C518" s="10" t="inlineStr">
        <is>
          <t>2021-07</t>
        </is>
      </c>
      <c r="D518" s="10" t="n">
        <v>13</v>
      </c>
      <c r="E518" s="12" t="n">
        <v>13050.6</v>
      </c>
      <c r="F518" s="12" t="n">
        <v>8554.799999999999</v>
      </c>
      <c r="G518" s="12" t="n">
        <v>4495.8</v>
      </c>
      <c r="H518" s="13" t="n">
        <v>0.3507</v>
      </c>
      <c r="I518" s="13" t="n">
        <v>0.369</v>
      </c>
    </row>
    <row r="519">
      <c r="A519" s="10" t="inlineStr">
        <is>
          <t>PJ-2020-C</t>
        </is>
      </c>
      <c r="B519" s="10" t="inlineStr">
        <is>
          <t>素朴版／単調補間</t>
        </is>
      </c>
      <c r="C519" s="10" t="inlineStr">
        <is>
          <t>2021-08</t>
        </is>
      </c>
      <c r="D519" s="10" t="n">
        <v>14</v>
      </c>
      <c r="E519" s="12" t="n">
        <v>11997.4</v>
      </c>
      <c r="F519" s="12" t="n">
        <v>8486.799999999999</v>
      </c>
      <c r="G519" s="12" t="n">
        <v>3510.6</v>
      </c>
      <c r="H519" s="13" t="n">
        <v>0.3922</v>
      </c>
      <c r="I519" s="13" t="n">
        <v>0.3984</v>
      </c>
    </row>
    <row r="520">
      <c r="A520" s="10" t="inlineStr">
        <is>
          <t>PJ-2020-C</t>
        </is>
      </c>
      <c r="B520" s="10" t="inlineStr">
        <is>
          <t>素朴版／単調補間</t>
        </is>
      </c>
      <c r="C520" s="10" t="inlineStr">
        <is>
          <t>2021-09</t>
        </is>
      </c>
      <c r="D520" s="10" t="n">
        <v>15</v>
      </c>
      <c r="E520" s="12" t="n">
        <v>11284.5</v>
      </c>
      <c r="F520" s="12" t="n">
        <v>9279.9</v>
      </c>
      <c r="G520" s="12" t="n">
        <v>2004.6</v>
      </c>
      <c r="H520" s="13" t="n">
        <v>0.4312</v>
      </c>
      <c r="I520" s="13" t="n">
        <v>0.4305</v>
      </c>
    </row>
    <row r="521">
      <c r="A521" s="10" t="inlineStr">
        <is>
          <t>PJ-2020-C</t>
        </is>
      </c>
      <c r="B521" s="10" t="inlineStr">
        <is>
          <t>素朴版／単調補間</t>
        </is>
      </c>
      <c r="C521" s="10" t="inlineStr">
        <is>
          <t>2021-10</t>
        </is>
      </c>
      <c r="D521" s="10" t="n">
        <v>16</v>
      </c>
      <c r="E521" s="12" t="n">
        <v>12703.6</v>
      </c>
      <c r="F521" s="12" t="n">
        <v>16636.5</v>
      </c>
      <c r="G521" s="12" t="n">
        <v>-3932.9</v>
      </c>
      <c r="H521" s="13" t="n">
        <v>0.4752</v>
      </c>
      <c r="I521" s="13" t="n">
        <v>0.4881</v>
      </c>
    </row>
    <row r="522">
      <c r="A522" s="10" t="inlineStr">
        <is>
          <t>PJ-2020-C</t>
        </is>
      </c>
      <c r="B522" s="10" t="inlineStr">
        <is>
          <t>素朴版／単調補間</t>
        </is>
      </c>
      <c r="C522" s="10" t="inlineStr">
        <is>
          <t>2021-11</t>
        </is>
      </c>
      <c r="D522" s="10" t="n">
        <v>17</v>
      </c>
      <c r="E522" s="12" t="n">
        <v>12845.6</v>
      </c>
      <c r="F522" s="12" t="n">
        <v>14453.3</v>
      </c>
      <c r="G522" s="12" t="n">
        <v>-1607.7</v>
      </c>
      <c r="H522" s="13" t="n">
        <v>0.5196</v>
      </c>
      <c r="I522" s="13" t="n">
        <v>0.5381</v>
      </c>
    </row>
    <row r="523">
      <c r="A523" s="10" t="inlineStr">
        <is>
          <t>PJ-2020-C</t>
        </is>
      </c>
      <c r="B523" s="10" t="inlineStr">
        <is>
          <t>素朴版／単調補間</t>
        </is>
      </c>
      <c r="C523" s="10" t="inlineStr">
        <is>
          <t>2021-12</t>
        </is>
      </c>
      <c r="D523" s="10" t="n">
        <v>18</v>
      </c>
      <c r="E523" s="12" t="n">
        <v>14109.1</v>
      </c>
      <c r="F523" s="12" t="n">
        <v>13884.1</v>
      </c>
      <c r="G523" s="12" t="n">
        <v>225</v>
      </c>
      <c r="H523" s="13" t="n">
        <v>0.5684</v>
      </c>
      <c r="I523" s="13" t="n">
        <v>0.5861</v>
      </c>
    </row>
    <row r="524">
      <c r="A524" s="10" t="inlineStr">
        <is>
          <t>PJ-2020-C</t>
        </is>
      </c>
      <c r="B524" s="10" t="inlineStr">
        <is>
          <t>素朴版／単調補間</t>
        </is>
      </c>
      <c r="C524" s="10" t="inlineStr">
        <is>
          <t>2022-01</t>
        </is>
      </c>
      <c r="D524" s="10" t="n">
        <v>19</v>
      </c>
      <c r="E524" s="12" t="n">
        <v>15207.4</v>
      </c>
      <c r="F524" s="12" t="n">
        <v>15419</v>
      </c>
      <c r="G524" s="12" t="n">
        <v>-211.6</v>
      </c>
      <c r="H524" s="13" t="n">
        <v>0.621</v>
      </c>
      <c r="I524" s="13" t="n">
        <v>0.6395</v>
      </c>
    </row>
    <row r="525">
      <c r="A525" s="10" t="inlineStr">
        <is>
          <t>PJ-2020-C</t>
        </is>
      </c>
      <c r="B525" s="10" t="inlineStr">
        <is>
          <t>素朴版／単調補間</t>
        </is>
      </c>
      <c r="C525" s="10" t="inlineStr">
        <is>
          <t>2022-02</t>
        </is>
      </c>
      <c r="D525" s="10" t="n">
        <v>20</v>
      </c>
      <c r="E525" s="12" t="n">
        <v>13899.4</v>
      </c>
      <c r="F525" s="12" t="n">
        <v>8277.799999999999</v>
      </c>
      <c r="G525" s="12" t="n">
        <v>5621.6</v>
      </c>
      <c r="H525" s="13" t="n">
        <v>0.6691</v>
      </c>
      <c r="I525" s="13" t="n">
        <v>0.6681</v>
      </c>
    </row>
    <row r="526">
      <c r="A526" s="10" t="inlineStr">
        <is>
          <t>PJ-2020-C</t>
        </is>
      </c>
      <c r="B526" s="10" t="inlineStr">
        <is>
          <t>素朴版／単調補間</t>
        </is>
      </c>
      <c r="C526" s="10" t="inlineStr">
        <is>
          <t>2022-03</t>
        </is>
      </c>
      <c r="D526" s="10" t="n">
        <v>21</v>
      </c>
      <c r="E526" s="12" t="n">
        <v>14529</v>
      </c>
      <c r="F526" s="12" t="n">
        <v>6160.3</v>
      </c>
      <c r="G526" s="12" t="n">
        <v>8368.700000000001</v>
      </c>
      <c r="H526" s="13" t="n">
        <v>0.7194</v>
      </c>
      <c r="I526" s="13" t="n">
        <v>0.6894</v>
      </c>
    </row>
    <row r="527">
      <c r="A527" s="10" t="inlineStr">
        <is>
          <t>PJ-2020-C</t>
        </is>
      </c>
      <c r="B527" s="10" t="inlineStr">
        <is>
          <t>素朴版／単調補間</t>
        </is>
      </c>
      <c r="C527" s="10" t="inlineStr">
        <is>
          <t>2022-04</t>
        </is>
      </c>
      <c r="D527" s="10" t="n">
        <v>22</v>
      </c>
      <c r="E527" s="12" t="n">
        <v>12754.8</v>
      </c>
      <c r="F527" s="12" t="n">
        <v>7057.5</v>
      </c>
      <c r="G527" s="12" t="n">
        <v>5697.3</v>
      </c>
      <c r="H527" s="13" t="n">
        <v>0.7635</v>
      </c>
      <c r="I527" s="13" t="n">
        <v>0.7138</v>
      </c>
    </row>
    <row r="528">
      <c r="A528" s="10" t="inlineStr">
        <is>
          <t>PJ-2020-C</t>
        </is>
      </c>
      <c r="B528" s="10" t="inlineStr">
        <is>
          <t>素朴版／単調補間</t>
        </is>
      </c>
      <c r="C528" s="10" t="inlineStr">
        <is>
          <t>2022-05</t>
        </is>
      </c>
      <c r="D528" s="10" t="n">
        <v>23</v>
      </c>
      <c r="E528" s="12" t="n">
        <v>13053.9</v>
      </c>
      <c r="F528" s="12" t="n">
        <v>8005.3</v>
      </c>
      <c r="G528" s="12" t="n">
        <v>5048.6</v>
      </c>
      <c r="H528" s="13" t="n">
        <v>0.8087</v>
      </c>
      <c r="I528" s="13" t="n">
        <v>0.7415</v>
      </c>
    </row>
    <row r="529">
      <c r="A529" s="10" t="inlineStr">
        <is>
          <t>PJ-2020-C</t>
        </is>
      </c>
      <c r="B529" s="10" t="inlineStr">
        <is>
          <t>素朴版／単調補間</t>
        </is>
      </c>
      <c r="C529" s="10" t="inlineStr">
        <is>
          <t>2022-06</t>
        </is>
      </c>
      <c r="D529" s="10" t="n">
        <v>24</v>
      </c>
      <c r="E529" s="12" t="n">
        <v>12663</v>
      </c>
      <c r="F529" s="12" t="n">
        <v>9533.200000000001</v>
      </c>
      <c r="G529" s="12" t="n">
        <v>3129.8</v>
      </c>
      <c r="H529" s="13" t="n">
        <v>0.8525</v>
      </c>
      <c r="I529" s="13" t="n">
        <v>0.7745</v>
      </c>
    </row>
    <row r="530">
      <c r="A530" s="10" t="inlineStr">
        <is>
          <t>PJ-2020-C</t>
        </is>
      </c>
      <c r="B530" s="10" t="inlineStr">
        <is>
          <t>素朴版／単調補間</t>
        </is>
      </c>
      <c r="C530" s="10" t="inlineStr">
        <is>
          <t>2022-07</t>
        </is>
      </c>
      <c r="D530" s="10" t="n">
        <v>25</v>
      </c>
      <c r="E530" s="12" t="n">
        <v>12393.3</v>
      </c>
      <c r="F530" s="12" t="n">
        <v>10920.6</v>
      </c>
      <c r="G530" s="12" t="n">
        <v>1472.7</v>
      </c>
      <c r="H530" s="13" t="n">
        <v>0.8954</v>
      </c>
      <c r="I530" s="13" t="n">
        <v>0.8123</v>
      </c>
    </row>
    <row r="531">
      <c r="A531" s="10" t="inlineStr">
        <is>
          <t>PJ-2020-C</t>
        </is>
      </c>
      <c r="B531" s="10" t="inlineStr">
        <is>
          <t>素朴版／単調補間</t>
        </is>
      </c>
      <c r="C531" s="10" t="inlineStr">
        <is>
          <t>2022-08</t>
        </is>
      </c>
      <c r="D531" s="10" t="n">
        <v>26</v>
      </c>
      <c r="E531" s="12" t="n">
        <v>9904.1</v>
      </c>
      <c r="F531" s="12" t="n">
        <v>11191.5</v>
      </c>
      <c r="G531" s="12" t="n">
        <v>-1287.4</v>
      </c>
      <c r="H531" s="13" t="n">
        <v>0.9296</v>
      </c>
      <c r="I531" s="13" t="n">
        <v>0.851</v>
      </c>
    </row>
    <row r="532">
      <c r="A532" s="10" t="inlineStr">
        <is>
          <t>PJ-2020-C</t>
        </is>
      </c>
      <c r="B532" s="10" t="inlineStr">
        <is>
          <t>素朴版／単調補間</t>
        </is>
      </c>
      <c r="C532" s="10" t="inlineStr">
        <is>
          <t>2022-09</t>
        </is>
      </c>
      <c r="D532" s="10" t="n">
        <v>27</v>
      </c>
      <c r="E532" s="12" t="n">
        <v>7485.3</v>
      </c>
      <c r="F532" s="12" t="n">
        <v>10812.6</v>
      </c>
      <c r="G532" s="12" t="n">
        <v>-3327.3</v>
      </c>
      <c r="H532" s="13" t="n">
        <v>0.9555</v>
      </c>
      <c r="I532" s="13" t="n">
        <v>0.8884</v>
      </c>
    </row>
    <row r="533">
      <c r="A533" s="10" t="inlineStr">
        <is>
          <t>PJ-2020-C</t>
        </is>
      </c>
      <c r="B533" s="10" t="inlineStr">
        <is>
          <t>素朴版／単調補間</t>
        </is>
      </c>
      <c r="C533" s="10" t="inlineStr">
        <is>
          <t>2022-10</t>
        </is>
      </c>
      <c r="D533" s="10" t="n">
        <v>28</v>
      </c>
      <c r="E533" s="12" t="n">
        <v>6270.1</v>
      </c>
      <c r="F533" s="12" t="n">
        <v>11977</v>
      </c>
      <c r="G533" s="12" t="n">
        <v>-5706.9</v>
      </c>
      <c r="H533" s="13" t="n">
        <v>0.9772</v>
      </c>
      <c r="I533" s="13" t="n">
        <v>0.9298</v>
      </c>
    </row>
    <row r="534">
      <c r="A534" s="10" t="inlineStr">
        <is>
          <t>PJ-2020-C</t>
        </is>
      </c>
      <c r="B534" s="10" t="inlineStr">
        <is>
          <t>素朴版／単調補間</t>
        </is>
      </c>
      <c r="C534" s="10" t="inlineStr">
        <is>
          <t>2022-11</t>
        </is>
      </c>
      <c r="D534" s="10" t="n">
        <v>29</v>
      </c>
      <c r="E534" s="12" t="n">
        <v>4326.5</v>
      </c>
      <c r="F534" s="12" t="n">
        <v>12035.5</v>
      </c>
      <c r="G534" s="12" t="n">
        <v>-7709</v>
      </c>
      <c r="H534" s="13" t="n">
        <v>0.9922</v>
      </c>
      <c r="I534" s="13" t="n">
        <v>0.9715</v>
      </c>
    </row>
    <row r="535">
      <c r="A535" s="10" t="inlineStr">
        <is>
          <t>PJ-2020-C</t>
        </is>
      </c>
      <c r="B535" s="10" t="inlineStr">
        <is>
          <t>素朴版／単調補間</t>
        </is>
      </c>
      <c r="C535" s="10" t="inlineStr">
        <is>
          <t>2022-12</t>
        </is>
      </c>
      <c r="D535" s="10" t="n">
        <v>30</v>
      </c>
      <c r="E535" s="12" t="n">
        <v>2259.2</v>
      </c>
      <c r="F535" s="12" t="n">
        <v>8242.299999999999</v>
      </c>
      <c r="G535" s="12" t="n">
        <v>-5983.1</v>
      </c>
      <c r="H535" s="13" t="n">
        <v>1</v>
      </c>
      <c r="I535" s="13" t="n">
        <v>1</v>
      </c>
    </row>
    <row r="536">
      <c r="A536" s="10" t="inlineStr">
        <is>
          <t>PJ-2020-C</t>
        </is>
      </c>
      <c r="B536" s="10" t="inlineStr">
        <is>
          <t>位置合わせ(MS学習値)／単調補間</t>
        </is>
      </c>
      <c r="C536" s="10" t="inlineStr">
        <is>
          <t>2020-07</t>
        </is>
      </c>
      <c r="D536" s="10" t="n">
        <v>1</v>
      </c>
      <c r="E536" s="12" t="n">
        <v>3140.2</v>
      </c>
      <c r="F536" s="12" t="n">
        <v>9891.799999999999</v>
      </c>
      <c r="G536" s="12" t="n">
        <v>-6751.6</v>
      </c>
      <c r="H536" s="13" t="n">
        <v>0.0109</v>
      </c>
      <c r="I536" s="13" t="n">
        <v>0.0342</v>
      </c>
    </row>
    <row r="537">
      <c r="A537" s="10" t="inlineStr">
        <is>
          <t>PJ-2020-C</t>
        </is>
      </c>
      <c r="B537" s="10" t="inlineStr">
        <is>
          <t>位置合わせ(MS学習値)／単調補間</t>
        </is>
      </c>
      <c r="C537" s="10" t="inlineStr">
        <is>
          <t>2020-08</t>
        </is>
      </c>
      <c r="D537" s="10" t="n">
        <v>2</v>
      </c>
      <c r="E537" s="12" t="n">
        <v>3905.8</v>
      </c>
      <c r="F537" s="12" t="n">
        <v>11800.4</v>
      </c>
      <c r="G537" s="12" t="n">
        <v>-7894.6</v>
      </c>
      <c r="H537" s="13" t="n">
        <v>0.0244</v>
      </c>
      <c r="I537" s="13" t="n">
        <v>0.075</v>
      </c>
    </row>
    <row r="538">
      <c r="A538" s="10" t="inlineStr">
        <is>
          <t>PJ-2020-C</t>
        </is>
      </c>
      <c r="B538" s="10" t="inlineStr">
        <is>
          <t>位置合わせ(MS学習値)／単調補間</t>
        </is>
      </c>
      <c r="C538" s="10" t="inlineStr">
        <is>
          <t>2020-09</t>
        </is>
      </c>
      <c r="D538" s="10" t="n">
        <v>3</v>
      </c>
      <c r="E538" s="12" t="n">
        <v>4705.9</v>
      </c>
      <c r="F538" s="12" t="n">
        <v>9726.200000000001</v>
      </c>
      <c r="G538" s="12" t="n">
        <v>-5020.3</v>
      </c>
      <c r="H538" s="13" t="n">
        <v>0.0407</v>
      </c>
      <c r="I538" s="13" t="n">
        <v>0.1087</v>
      </c>
    </row>
    <row r="539">
      <c r="A539" s="10" t="inlineStr">
        <is>
          <t>PJ-2020-C</t>
        </is>
      </c>
      <c r="B539" s="10" t="inlineStr">
        <is>
          <t>位置合わせ(MS学習値)／単調補間</t>
        </is>
      </c>
      <c r="C539" s="10" t="inlineStr">
        <is>
          <t>2020-10</t>
        </is>
      </c>
      <c r="D539" s="10" t="n">
        <v>4</v>
      </c>
      <c r="E539" s="12" t="n">
        <v>5507.9</v>
      </c>
      <c r="F539" s="12" t="n">
        <v>8645.4</v>
      </c>
      <c r="G539" s="12" t="n">
        <v>-3137.5</v>
      </c>
      <c r="H539" s="13" t="n">
        <v>0.0597</v>
      </c>
      <c r="I539" s="13" t="n">
        <v>0.1386</v>
      </c>
    </row>
    <row r="540">
      <c r="A540" s="10" t="inlineStr">
        <is>
          <t>PJ-2020-C</t>
        </is>
      </c>
      <c r="B540" s="10" t="inlineStr">
        <is>
          <t>位置合わせ(MS学習値)／単調補間</t>
        </is>
      </c>
      <c r="C540" s="10" t="inlineStr">
        <is>
          <t>2020-11</t>
        </is>
      </c>
      <c r="D540" s="10" t="n">
        <v>5</v>
      </c>
      <c r="E540" s="12" t="n">
        <v>6027.1</v>
      </c>
      <c r="F540" s="12" t="n">
        <v>7717.1</v>
      </c>
      <c r="G540" s="12" t="n">
        <v>-1690</v>
      </c>
      <c r="H540" s="13" t="n">
        <v>0.0806</v>
      </c>
      <c r="I540" s="13" t="n">
        <v>0.1653</v>
      </c>
    </row>
    <row r="541">
      <c r="A541" s="10" t="inlineStr">
        <is>
          <t>PJ-2020-C</t>
        </is>
      </c>
      <c r="B541" s="10" t="inlineStr">
        <is>
          <t>位置合わせ(MS学習値)／単調補間</t>
        </is>
      </c>
      <c r="C541" s="10" t="inlineStr">
        <is>
          <t>2020-12</t>
        </is>
      </c>
      <c r="D541" s="10" t="n">
        <v>6</v>
      </c>
      <c r="E541" s="12" t="n">
        <v>6367.3</v>
      </c>
      <c r="F541" s="12" t="n">
        <v>7821.7</v>
      </c>
      <c r="G541" s="12" t="n">
        <v>-1454.4</v>
      </c>
      <c r="H541" s="13" t="n">
        <v>0.1026</v>
      </c>
      <c r="I541" s="13" t="n">
        <v>0.1924</v>
      </c>
    </row>
    <row r="542">
      <c r="A542" s="10" t="inlineStr">
        <is>
          <t>PJ-2020-C</t>
        </is>
      </c>
      <c r="B542" s="10" t="inlineStr">
        <is>
          <t>位置合わせ(MS学習値)／単調補間</t>
        </is>
      </c>
      <c r="C542" s="10" t="inlineStr">
        <is>
          <t>2021-01</t>
        </is>
      </c>
      <c r="D542" s="10" t="n">
        <v>7</v>
      </c>
      <c r="E542" s="12" t="n">
        <v>6974.7</v>
      </c>
      <c r="F542" s="12" t="n">
        <v>7531.5</v>
      </c>
      <c r="G542" s="12" t="n">
        <v>-556.8</v>
      </c>
      <c r="H542" s="13" t="n">
        <v>0.1267</v>
      </c>
      <c r="I542" s="13" t="n">
        <v>0.2184</v>
      </c>
    </row>
    <row r="543">
      <c r="A543" s="10" t="inlineStr">
        <is>
          <t>PJ-2020-C</t>
        </is>
      </c>
      <c r="B543" s="10" t="inlineStr">
        <is>
          <t>位置合わせ(MS学習値)／単調補間</t>
        </is>
      </c>
      <c r="C543" s="10" t="inlineStr">
        <is>
          <t>2021-02</t>
        </is>
      </c>
      <c r="D543" s="10" t="n">
        <v>8</v>
      </c>
      <c r="E543" s="12" t="n">
        <v>6961.8</v>
      </c>
      <c r="F543" s="12" t="n">
        <v>6551.1</v>
      </c>
      <c r="G543" s="12" t="n">
        <v>410.7</v>
      </c>
      <c r="H543" s="13" t="n">
        <v>0.1508</v>
      </c>
      <c r="I543" s="13" t="n">
        <v>0.2411</v>
      </c>
    </row>
    <row r="544">
      <c r="A544" s="10" t="inlineStr">
        <is>
          <t>PJ-2020-C</t>
        </is>
      </c>
      <c r="B544" s="10" t="inlineStr">
        <is>
          <t>位置合わせ(MS学習値)／単調補間</t>
        </is>
      </c>
      <c r="C544" s="10" t="inlineStr">
        <is>
          <t>2021-03</t>
        </is>
      </c>
      <c r="D544" s="10" t="n">
        <v>9</v>
      </c>
      <c r="E544" s="12" t="n">
        <v>8359</v>
      </c>
      <c r="F544" s="12" t="n">
        <v>7387.7</v>
      </c>
      <c r="G544" s="12" t="n">
        <v>971.3</v>
      </c>
      <c r="H544" s="13" t="n">
        <v>0.1797</v>
      </c>
      <c r="I544" s="13" t="n">
        <v>0.2666</v>
      </c>
    </row>
    <row r="545">
      <c r="A545" s="10" t="inlineStr">
        <is>
          <t>PJ-2020-C</t>
        </is>
      </c>
      <c r="B545" s="10" t="inlineStr">
        <is>
          <t>位置合わせ(MS学習値)／単調補間</t>
        </is>
      </c>
      <c r="C545" s="10" t="inlineStr">
        <is>
          <t>2021-04</t>
        </is>
      </c>
      <c r="D545" s="10" t="n">
        <v>10</v>
      </c>
      <c r="E545" s="12" t="n">
        <v>9529.799999999999</v>
      </c>
      <c r="F545" s="12" t="n">
        <v>6822.6</v>
      </c>
      <c r="G545" s="12" t="n">
        <v>2707.2</v>
      </c>
      <c r="H545" s="13" t="n">
        <v>0.2127</v>
      </c>
      <c r="I545" s="13" t="n">
        <v>0.2903</v>
      </c>
    </row>
    <row r="546">
      <c r="A546" s="10" t="inlineStr">
        <is>
          <t>PJ-2020-C</t>
        </is>
      </c>
      <c r="B546" s="10" t="inlineStr">
        <is>
          <t>位置合わせ(MS学習値)／単調補間</t>
        </is>
      </c>
      <c r="C546" s="10" t="inlineStr">
        <is>
          <t>2021-05</t>
        </is>
      </c>
      <c r="D546" s="10" t="n">
        <v>11</v>
      </c>
      <c r="E546" s="12" t="n">
        <v>11027.7</v>
      </c>
      <c r="F546" s="12" t="n">
        <v>6920.5</v>
      </c>
      <c r="G546" s="12" t="n">
        <v>4107.2</v>
      </c>
      <c r="H546" s="13" t="n">
        <v>0.2509</v>
      </c>
      <c r="I546" s="13" t="n">
        <v>0.3142</v>
      </c>
    </row>
    <row r="547">
      <c r="A547" s="10" t="inlineStr">
        <is>
          <t>PJ-2020-C</t>
        </is>
      </c>
      <c r="B547" s="10" t="inlineStr">
        <is>
          <t>位置合わせ(MS学習値)／単調補間</t>
        </is>
      </c>
      <c r="C547" s="10" t="inlineStr">
        <is>
          <t>2021-06</t>
        </is>
      </c>
      <c r="D547" s="10" t="n">
        <v>12</v>
      </c>
      <c r="E547" s="12" t="n">
        <v>11244.1</v>
      </c>
      <c r="F547" s="12" t="n">
        <v>7298.5</v>
      </c>
      <c r="G547" s="12" t="n">
        <v>3945.6</v>
      </c>
      <c r="H547" s="13" t="n">
        <v>0.2898</v>
      </c>
      <c r="I547" s="13" t="n">
        <v>0.3394</v>
      </c>
    </row>
    <row r="548">
      <c r="A548" s="10" t="inlineStr">
        <is>
          <t>PJ-2020-C</t>
        </is>
      </c>
      <c r="B548" s="10" t="inlineStr">
        <is>
          <t>位置合わせ(MS学習値)／単調補間</t>
        </is>
      </c>
      <c r="C548" s="10" t="inlineStr">
        <is>
          <t>2021-07</t>
        </is>
      </c>
      <c r="D548" s="10" t="n">
        <v>13</v>
      </c>
      <c r="E548" s="12" t="n">
        <v>12430.7</v>
      </c>
      <c r="F548" s="12" t="n">
        <v>8554.799999999999</v>
      </c>
      <c r="G548" s="12" t="n">
        <v>3875.9</v>
      </c>
      <c r="H548" s="13" t="n">
        <v>0.3328</v>
      </c>
      <c r="I548" s="13" t="n">
        <v>0.369</v>
      </c>
    </row>
    <row r="549">
      <c r="A549" s="10" t="inlineStr">
        <is>
          <t>PJ-2020-C</t>
        </is>
      </c>
      <c r="B549" s="10" t="inlineStr">
        <is>
          <t>位置合わせ(MS学習値)／単調補間</t>
        </is>
      </c>
      <c r="C549" s="10" t="inlineStr">
        <is>
          <t>2021-08</t>
        </is>
      </c>
      <c r="D549" s="10" t="n">
        <v>14</v>
      </c>
      <c r="E549" s="12" t="n">
        <v>13407.4</v>
      </c>
      <c r="F549" s="12" t="n">
        <v>8486.799999999999</v>
      </c>
      <c r="G549" s="12" t="n">
        <v>4920.6</v>
      </c>
      <c r="H549" s="13" t="n">
        <v>0.3791</v>
      </c>
      <c r="I549" s="13" t="n">
        <v>0.3984</v>
      </c>
    </row>
    <row r="550">
      <c r="A550" s="10" t="inlineStr">
        <is>
          <t>PJ-2020-C</t>
        </is>
      </c>
      <c r="B550" s="10" t="inlineStr">
        <is>
          <t>位置合わせ(MS学習値)／単調補間</t>
        </is>
      </c>
      <c r="C550" s="10" t="inlineStr">
        <is>
          <t>2021-09</t>
        </is>
      </c>
      <c r="D550" s="10" t="n">
        <v>15</v>
      </c>
      <c r="E550" s="12" t="n">
        <v>14107.3</v>
      </c>
      <c r="F550" s="12" t="n">
        <v>9279.9</v>
      </c>
      <c r="G550" s="12" t="n">
        <v>4827.4</v>
      </c>
      <c r="H550" s="13" t="n">
        <v>0.428</v>
      </c>
      <c r="I550" s="13" t="n">
        <v>0.4305</v>
      </c>
    </row>
    <row r="551">
      <c r="A551" s="10" t="inlineStr">
        <is>
          <t>PJ-2020-C</t>
        </is>
      </c>
      <c r="B551" s="10" t="inlineStr">
        <is>
          <t>位置合わせ(MS学習値)／単調補間</t>
        </is>
      </c>
      <c r="C551" s="10" t="inlineStr">
        <is>
          <t>2021-10</t>
        </is>
      </c>
      <c r="D551" s="10" t="n">
        <v>16</v>
      </c>
      <c r="E551" s="12" t="n">
        <v>14489.9</v>
      </c>
      <c r="F551" s="12" t="n">
        <v>16636.5</v>
      </c>
      <c r="G551" s="12" t="n">
        <v>-2146.6</v>
      </c>
      <c r="H551" s="13" t="n">
        <v>0.4781</v>
      </c>
      <c r="I551" s="13" t="n">
        <v>0.4881</v>
      </c>
    </row>
    <row r="552">
      <c r="A552" s="10" t="inlineStr">
        <is>
          <t>PJ-2020-C</t>
        </is>
      </c>
      <c r="B552" s="10" t="inlineStr">
        <is>
          <t>位置合わせ(MS学習値)／単調補間</t>
        </is>
      </c>
      <c r="C552" s="10" t="inlineStr">
        <is>
          <t>2021-11</t>
        </is>
      </c>
      <c r="D552" s="10" t="n">
        <v>17</v>
      </c>
      <c r="E552" s="12" t="n">
        <v>13682</v>
      </c>
      <c r="F552" s="12" t="n">
        <v>14453.3</v>
      </c>
      <c r="G552" s="12" t="n">
        <v>-771.3</v>
      </c>
      <c r="H552" s="13" t="n">
        <v>0.5254</v>
      </c>
      <c r="I552" s="13" t="n">
        <v>0.5381</v>
      </c>
    </row>
    <row r="553">
      <c r="A553" s="10" t="inlineStr">
        <is>
          <t>PJ-2020-C</t>
        </is>
      </c>
      <c r="B553" s="10" t="inlineStr">
        <is>
          <t>位置合わせ(MS学習値)／単調補間</t>
        </is>
      </c>
      <c r="C553" s="10" t="inlineStr">
        <is>
          <t>2021-12</t>
        </is>
      </c>
      <c r="D553" s="10" t="n">
        <v>18</v>
      </c>
      <c r="E553" s="12" t="n">
        <v>14154.8</v>
      </c>
      <c r="F553" s="12" t="n">
        <v>13884.1</v>
      </c>
      <c r="G553" s="12" t="n">
        <v>270.7</v>
      </c>
      <c r="H553" s="13" t="n">
        <v>0.5744</v>
      </c>
      <c r="I553" s="13" t="n">
        <v>0.5861</v>
      </c>
    </row>
    <row r="554">
      <c r="A554" s="10" t="inlineStr">
        <is>
          <t>PJ-2020-C</t>
        </is>
      </c>
      <c r="B554" s="10" t="inlineStr">
        <is>
          <t>位置合わせ(MS学習値)／単調補間</t>
        </is>
      </c>
      <c r="C554" s="10" t="inlineStr">
        <is>
          <t>2022-01</t>
        </is>
      </c>
      <c r="D554" s="10" t="n">
        <v>19</v>
      </c>
      <c r="E554" s="12" t="n">
        <v>14195.2</v>
      </c>
      <c r="F554" s="12" t="n">
        <v>15419</v>
      </c>
      <c r="G554" s="12" t="n">
        <v>-1223.8</v>
      </c>
      <c r="H554" s="13" t="n">
        <v>0.6235000000000001</v>
      </c>
      <c r="I554" s="13" t="n">
        <v>0.6395</v>
      </c>
    </row>
    <row r="555">
      <c r="A555" s="10" t="inlineStr">
        <is>
          <t>PJ-2020-C</t>
        </is>
      </c>
      <c r="B555" s="10" t="inlineStr">
        <is>
          <t>位置合わせ(MS学習値)／単調補間</t>
        </is>
      </c>
      <c r="C555" s="10" t="inlineStr">
        <is>
          <t>2022-02</t>
        </is>
      </c>
      <c r="D555" s="10" t="n">
        <v>20</v>
      </c>
      <c r="E555" s="12" t="n">
        <v>12895.8</v>
      </c>
      <c r="F555" s="12" t="n">
        <v>8277.799999999999</v>
      </c>
      <c r="G555" s="12" t="n">
        <v>4618</v>
      </c>
      <c r="H555" s="13" t="n">
        <v>0.6681</v>
      </c>
      <c r="I555" s="13" t="n">
        <v>0.6681</v>
      </c>
    </row>
    <row r="556">
      <c r="A556" s="10" t="inlineStr">
        <is>
          <t>PJ-2020-C</t>
        </is>
      </c>
      <c r="B556" s="10" t="inlineStr">
        <is>
          <t>位置合わせ(MS学習値)／単調補間</t>
        </is>
      </c>
      <c r="C556" s="10" t="inlineStr">
        <is>
          <t>2022-03</t>
        </is>
      </c>
      <c r="D556" s="10" t="n">
        <v>21</v>
      </c>
      <c r="E556" s="12" t="n">
        <v>14740.4</v>
      </c>
      <c r="F556" s="12" t="n">
        <v>6160.3</v>
      </c>
      <c r="G556" s="12" t="n">
        <v>8580.1</v>
      </c>
      <c r="H556" s="13" t="n">
        <v>0.7191</v>
      </c>
      <c r="I556" s="13" t="n">
        <v>0.6894</v>
      </c>
    </row>
    <row r="557">
      <c r="A557" s="10" t="inlineStr">
        <is>
          <t>PJ-2020-C</t>
        </is>
      </c>
      <c r="B557" s="10" t="inlineStr">
        <is>
          <t>位置合わせ(MS学習値)／単調補間</t>
        </is>
      </c>
      <c r="C557" s="10" t="inlineStr">
        <is>
          <t>2022-04</t>
        </is>
      </c>
      <c r="D557" s="10" t="n">
        <v>22</v>
      </c>
      <c r="E557" s="12" t="n">
        <v>13827</v>
      </c>
      <c r="F557" s="12" t="n">
        <v>7057.5</v>
      </c>
      <c r="G557" s="12" t="n">
        <v>6769.5</v>
      </c>
      <c r="H557" s="13" t="n">
        <v>0.767</v>
      </c>
      <c r="I557" s="13" t="n">
        <v>0.7138</v>
      </c>
    </row>
    <row r="558">
      <c r="A558" s="10" t="inlineStr">
        <is>
          <t>PJ-2020-C</t>
        </is>
      </c>
      <c r="B558" s="10" t="inlineStr">
        <is>
          <t>位置合わせ(MS学習値)／単調補間</t>
        </is>
      </c>
      <c r="C558" s="10" t="inlineStr">
        <is>
          <t>2022-05</t>
        </is>
      </c>
      <c r="D558" s="10" t="n">
        <v>23</v>
      </c>
      <c r="E558" s="12" t="n">
        <v>14603.5</v>
      </c>
      <c r="F558" s="12" t="n">
        <v>8005.3</v>
      </c>
      <c r="G558" s="12" t="n">
        <v>6598.2</v>
      </c>
      <c r="H558" s="13" t="n">
        <v>0.8175</v>
      </c>
      <c r="I558" s="13" t="n">
        <v>0.7415</v>
      </c>
    </row>
    <row r="559">
      <c r="A559" s="10" t="inlineStr">
        <is>
          <t>PJ-2020-C</t>
        </is>
      </c>
      <c r="B559" s="10" t="inlineStr">
        <is>
          <t>位置合わせ(MS学習値)／単調補間</t>
        </is>
      </c>
      <c r="C559" s="10" t="inlineStr">
        <is>
          <t>2022-06</t>
        </is>
      </c>
      <c r="D559" s="10" t="n">
        <v>24</v>
      </c>
      <c r="E559" s="12" t="n">
        <v>12097.7</v>
      </c>
      <c r="F559" s="12" t="n">
        <v>9533.200000000001</v>
      </c>
      <c r="G559" s="12" t="n">
        <v>2564.5</v>
      </c>
      <c r="H559" s="13" t="n">
        <v>0.8593</v>
      </c>
      <c r="I559" s="13" t="n">
        <v>0.7745</v>
      </c>
    </row>
    <row r="560">
      <c r="A560" s="10" t="inlineStr">
        <is>
          <t>PJ-2020-C</t>
        </is>
      </c>
      <c r="B560" s="10" t="inlineStr">
        <is>
          <t>位置合わせ(MS学習値)／単調補間</t>
        </is>
      </c>
      <c r="C560" s="10" t="inlineStr">
        <is>
          <t>2022-07</t>
        </is>
      </c>
      <c r="D560" s="10" t="n">
        <v>25</v>
      </c>
      <c r="E560" s="12" t="n">
        <v>11494</v>
      </c>
      <c r="F560" s="12" t="n">
        <v>10920.6</v>
      </c>
      <c r="G560" s="12" t="n">
        <v>573.4</v>
      </c>
      <c r="H560" s="13" t="n">
        <v>0.8991</v>
      </c>
      <c r="I560" s="13" t="n">
        <v>0.8123</v>
      </c>
    </row>
    <row r="561">
      <c r="A561" s="10" t="inlineStr">
        <is>
          <t>PJ-2020-C</t>
        </is>
      </c>
      <c r="B561" s="10" t="inlineStr">
        <is>
          <t>位置合わせ(MS学習値)／単調補間</t>
        </is>
      </c>
      <c r="C561" s="10" t="inlineStr">
        <is>
          <t>2022-08</t>
        </is>
      </c>
      <c r="D561" s="10" t="n">
        <v>26</v>
      </c>
      <c r="E561" s="12" t="n">
        <v>9094</v>
      </c>
      <c r="F561" s="12" t="n">
        <v>11191.5</v>
      </c>
      <c r="G561" s="12" t="n">
        <v>-2097.5</v>
      </c>
      <c r="H561" s="13" t="n">
        <v>0.9306</v>
      </c>
      <c r="I561" s="13" t="n">
        <v>0.851</v>
      </c>
    </row>
    <row r="562">
      <c r="A562" s="10" t="inlineStr">
        <is>
          <t>PJ-2020-C</t>
        </is>
      </c>
      <c r="B562" s="10" t="inlineStr">
        <is>
          <t>位置合わせ(MS学習値)／単調補間</t>
        </is>
      </c>
      <c r="C562" s="10" t="inlineStr">
        <is>
          <t>2022-09</t>
        </is>
      </c>
      <c r="D562" s="10" t="n">
        <v>27</v>
      </c>
      <c r="E562" s="12" t="n">
        <v>7098.5</v>
      </c>
      <c r="F562" s="12" t="n">
        <v>10812.6</v>
      </c>
      <c r="G562" s="12" t="n">
        <v>-3714.1</v>
      </c>
      <c r="H562" s="13" t="n">
        <v>0.9550999999999999</v>
      </c>
      <c r="I562" s="13" t="n">
        <v>0.8884</v>
      </c>
    </row>
    <row r="563">
      <c r="A563" s="10" t="inlineStr">
        <is>
          <t>PJ-2020-C</t>
        </is>
      </c>
      <c r="B563" s="10" t="inlineStr">
        <is>
          <t>位置合わせ(MS学習値)／単調補間</t>
        </is>
      </c>
      <c r="C563" s="10" t="inlineStr">
        <is>
          <t>2022-10</t>
        </is>
      </c>
      <c r="D563" s="10" t="n">
        <v>28</v>
      </c>
      <c r="E563" s="12" t="n">
        <v>6438.2</v>
      </c>
      <c r="F563" s="12" t="n">
        <v>11977</v>
      </c>
      <c r="G563" s="12" t="n">
        <v>-5538.8</v>
      </c>
      <c r="H563" s="13" t="n">
        <v>0.9774</v>
      </c>
      <c r="I563" s="13" t="n">
        <v>0.9298</v>
      </c>
    </row>
    <row r="564">
      <c r="A564" s="10" t="inlineStr">
        <is>
          <t>PJ-2020-C</t>
        </is>
      </c>
      <c r="B564" s="10" t="inlineStr">
        <is>
          <t>位置合わせ(MS学習値)／単調補間</t>
        </is>
      </c>
      <c r="C564" s="10" t="inlineStr">
        <is>
          <t>2022-11</t>
        </is>
      </c>
      <c r="D564" s="10" t="n">
        <v>29</v>
      </c>
      <c r="E564" s="12" t="n">
        <v>4272.5</v>
      </c>
      <c r="F564" s="12" t="n">
        <v>12035.5</v>
      </c>
      <c r="G564" s="12" t="n">
        <v>-7763</v>
      </c>
      <c r="H564" s="13" t="n">
        <v>0.9922</v>
      </c>
      <c r="I564" s="13" t="n">
        <v>0.9715</v>
      </c>
    </row>
    <row r="565">
      <c r="A565" s="10" t="inlineStr">
        <is>
          <t>PJ-2020-C</t>
        </is>
      </c>
      <c r="B565" s="10" t="inlineStr">
        <is>
          <t>位置合わせ(MS学習値)／単調補間</t>
        </is>
      </c>
      <c r="C565" s="10" t="inlineStr">
        <is>
          <t>2022-12</t>
        </is>
      </c>
      <c r="D565" s="10" t="n">
        <v>30</v>
      </c>
      <c r="E565" s="12" t="n">
        <v>2262.2</v>
      </c>
      <c r="F565" s="12" t="n">
        <v>8242.299999999999</v>
      </c>
      <c r="G565" s="12" t="n">
        <v>-5980.1</v>
      </c>
      <c r="H565" s="13" t="n">
        <v>1</v>
      </c>
      <c r="I565" s="13" t="n">
        <v>1</v>
      </c>
    </row>
    <row r="566">
      <c r="A566" s="10" t="inlineStr">
        <is>
          <t>PJ-2020-C</t>
        </is>
      </c>
      <c r="B566" s="10" t="inlineStr">
        <is>
          <t>位置合わせ(MS指定)／単調補間</t>
        </is>
      </c>
      <c r="C566" s="10" t="inlineStr">
        <is>
          <t>2020-07</t>
        </is>
      </c>
      <c r="D566" s="10" t="n">
        <v>1</v>
      </c>
      <c r="E566" s="12" t="n">
        <v>3244.3</v>
      </c>
      <c r="F566" s="12" t="n">
        <v>9891.799999999999</v>
      </c>
      <c r="G566" s="12" t="n">
        <v>-6647.5</v>
      </c>
      <c r="H566" s="13" t="n">
        <v>0.0112</v>
      </c>
      <c r="I566" s="13" t="n">
        <v>0.0342</v>
      </c>
    </row>
    <row r="567">
      <c r="A567" s="10" t="inlineStr">
        <is>
          <t>PJ-2020-C</t>
        </is>
      </c>
      <c r="B567" s="10" t="inlineStr">
        <is>
          <t>位置合わせ(MS指定)／単調補間</t>
        </is>
      </c>
      <c r="C567" s="10" t="inlineStr">
        <is>
          <t>2020-08</t>
        </is>
      </c>
      <c r="D567" s="10" t="n">
        <v>2</v>
      </c>
      <c r="E567" s="12" t="n">
        <v>4054.8</v>
      </c>
      <c r="F567" s="12" t="n">
        <v>11800.4</v>
      </c>
      <c r="G567" s="12" t="n">
        <v>-7745.6</v>
      </c>
      <c r="H567" s="13" t="n">
        <v>0.0253</v>
      </c>
      <c r="I567" s="13" t="n">
        <v>0.075</v>
      </c>
    </row>
    <row r="568">
      <c r="A568" s="10" t="inlineStr">
        <is>
          <t>PJ-2020-C</t>
        </is>
      </c>
      <c r="B568" s="10" t="inlineStr">
        <is>
          <t>位置合わせ(MS指定)／単調補間</t>
        </is>
      </c>
      <c r="C568" s="10" t="inlineStr">
        <is>
          <t>2020-09</t>
        </is>
      </c>
      <c r="D568" s="10" t="n">
        <v>3</v>
      </c>
      <c r="E568" s="12" t="n">
        <v>4957.8</v>
      </c>
      <c r="F568" s="12" t="n">
        <v>9726.200000000001</v>
      </c>
      <c r="G568" s="12" t="n">
        <v>-4768.4</v>
      </c>
      <c r="H568" s="13" t="n">
        <v>0.0424</v>
      </c>
      <c r="I568" s="13" t="n">
        <v>0.1087</v>
      </c>
    </row>
    <row r="569">
      <c r="A569" s="10" t="inlineStr">
        <is>
          <t>PJ-2020-C</t>
        </is>
      </c>
      <c r="B569" s="10" t="inlineStr">
        <is>
          <t>位置合わせ(MS指定)／単調補間</t>
        </is>
      </c>
      <c r="C569" s="10" t="inlineStr">
        <is>
          <t>2020-10</t>
        </is>
      </c>
      <c r="D569" s="10" t="n">
        <v>4</v>
      </c>
      <c r="E569" s="12" t="n">
        <v>5749.3</v>
      </c>
      <c r="F569" s="12" t="n">
        <v>8645.4</v>
      </c>
      <c r="G569" s="12" t="n">
        <v>-2896.1</v>
      </c>
      <c r="H569" s="13" t="n">
        <v>0.0623</v>
      </c>
      <c r="I569" s="13" t="n">
        <v>0.1386</v>
      </c>
    </row>
    <row r="570">
      <c r="A570" s="10" t="inlineStr">
        <is>
          <t>PJ-2020-C</t>
        </is>
      </c>
      <c r="B570" s="10" t="inlineStr">
        <is>
          <t>位置合わせ(MS指定)／単調補間</t>
        </is>
      </c>
      <c r="C570" s="10" t="inlineStr">
        <is>
          <t>2020-11</t>
        </is>
      </c>
      <c r="D570" s="10" t="n">
        <v>5</v>
      </c>
      <c r="E570" s="12" t="n">
        <v>6285.6</v>
      </c>
      <c r="F570" s="12" t="n">
        <v>7717.1</v>
      </c>
      <c r="G570" s="12" t="n">
        <v>-1431.5</v>
      </c>
      <c r="H570" s="13" t="n">
        <v>0.08400000000000001</v>
      </c>
      <c r="I570" s="13" t="n">
        <v>0.1653</v>
      </c>
    </row>
    <row r="571">
      <c r="A571" s="10" t="inlineStr">
        <is>
          <t>PJ-2020-C</t>
        </is>
      </c>
      <c r="B571" s="10" t="inlineStr">
        <is>
          <t>位置合わせ(MS指定)／単調補間</t>
        </is>
      </c>
      <c r="C571" s="10" t="inlineStr">
        <is>
          <t>2020-12</t>
        </is>
      </c>
      <c r="D571" s="10" t="n">
        <v>6</v>
      </c>
      <c r="E571" s="12" t="n">
        <v>6651.6</v>
      </c>
      <c r="F571" s="12" t="n">
        <v>7821.7</v>
      </c>
      <c r="G571" s="12" t="n">
        <v>-1170.1</v>
      </c>
      <c r="H571" s="13" t="n">
        <v>0.1071</v>
      </c>
      <c r="I571" s="13" t="n">
        <v>0.1924</v>
      </c>
    </row>
    <row r="572">
      <c r="A572" s="10" t="inlineStr">
        <is>
          <t>PJ-2020-C</t>
        </is>
      </c>
      <c r="B572" s="10" t="inlineStr">
        <is>
          <t>位置合わせ(MS指定)／単調補間</t>
        </is>
      </c>
      <c r="C572" s="10" t="inlineStr">
        <is>
          <t>2021-01</t>
        </is>
      </c>
      <c r="D572" s="10" t="n">
        <v>7</v>
      </c>
      <c r="E572" s="12" t="n">
        <v>7314.6</v>
      </c>
      <c r="F572" s="12" t="n">
        <v>7531.5</v>
      </c>
      <c r="G572" s="12" t="n">
        <v>-216.9</v>
      </c>
      <c r="H572" s="13" t="n">
        <v>0.1324</v>
      </c>
      <c r="I572" s="13" t="n">
        <v>0.2184</v>
      </c>
    </row>
    <row r="573">
      <c r="A573" s="10" t="inlineStr">
        <is>
          <t>PJ-2020-C</t>
        </is>
      </c>
      <c r="B573" s="10" t="inlineStr">
        <is>
          <t>位置合わせ(MS指定)／単調補間</t>
        </is>
      </c>
      <c r="C573" s="10" t="inlineStr">
        <is>
          <t>2021-02</t>
        </is>
      </c>
      <c r="D573" s="10" t="n">
        <v>8</v>
      </c>
      <c r="E573" s="12" t="n">
        <v>7366.7</v>
      </c>
      <c r="F573" s="12" t="n">
        <v>6551.1</v>
      </c>
      <c r="G573" s="12" t="n">
        <v>815.6</v>
      </c>
      <c r="H573" s="13" t="n">
        <v>0.1578</v>
      </c>
      <c r="I573" s="13" t="n">
        <v>0.2411</v>
      </c>
    </row>
    <row r="574">
      <c r="A574" s="10" t="inlineStr">
        <is>
          <t>PJ-2020-C</t>
        </is>
      </c>
      <c r="B574" s="10" t="inlineStr">
        <is>
          <t>位置合わせ(MS指定)／単調補間</t>
        </is>
      </c>
      <c r="C574" s="10" t="inlineStr">
        <is>
          <t>2021-03</t>
        </is>
      </c>
      <c r="D574" s="10" t="n">
        <v>9</v>
      </c>
      <c r="E574" s="12" t="n">
        <v>8963</v>
      </c>
      <c r="F574" s="12" t="n">
        <v>7387.7</v>
      </c>
      <c r="G574" s="12" t="n">
        <v>1575.3</v>
      </c>
      <c r="H574" s="13" t="n">
        <v>0.1889</v>
      </c>
      <c r="I574" s="13" t="n">
        <v>0.2666</v>
      </c>
    </row>
    <row r="575">
      <c r="A575" s="10" t="inlineStr">
        <is>
          <t>PJ-2020-C</t>
        </is>
      </c>
      <c r="B575" s="10" t="inlineStr">
        <is>
          <t>位置合わせ(MS指定)／単調補間</t>
        </is>
      </c>
      <c r="C575" s="10" t="inlineStr">
        <is>
          <t>2021-04</t>
        </is>
      </c>
      <c r="D575" s="10" t="n">
        <v>10</v>
      </c>
      <c r="E575" s="12" t="n">
        <v>10264</v>
      </c>
      <c r="F575" s="12" t="n">
        <v>6822.6</v>
      </c>
      <c r="G575" s="12" t="n">
        <v>3441.4</v>
      </c>
      <c r="H575" s="13" t="n">
        <v>0.2244</v>
      </c>
      <c r="I575" s="13" t="n">
        <v>0.2903</v>
      </c>
    </row>
    <row r="576">
      <c r="A576" s="10" t="inlineStr">
        <is>
          <t>PJ-2020-C</t>
        </is>
      </c>
      <c r="B576" s="10" t="inlineStr">
        <is>
          <t>位置合わせ(MS指定)／単調補間</t>
        </is>
      </c>
      <c r="C576" s="10" t="inlineStr">
        <is>
          <t>2021-05</t>
        </is>
      </c>
      <c r="D576" s="10" t="n">
        <v>11</v>
      </c>
      <c r="E576" s="12" t="n">
        <v>11588</v>
      </c>
      <c r="F576" s="12" t="n">
        <v>6920.5</v>
      </c>
      <c r="G576" s="12" t="n">
        <v>4667.5</v>
      </c>
      <c r="H576" s="13" t="n">
        <v>0.2645</v>
      </c>
      <c r="I576" s="13" t="n">
        <v>0.3142</v>
      </c>
    </row>
    <row r="577">
      <c r="A577" s="10" t="inlineStr">
        <is>
          <t>PJ-2020-C</t>
        </is>
      </c>
      <c r="B577" s="10" t="inlineStr">
        <is>
          <t>位置合わせ(MS指定)／単調補間</t>
        </is>
      </c>
      <c r="C577" s="10" t="inlineStr">
        <is>
          <t>2021-06</t>
        </is>
      </c>
      <c r="D577" s="10" t="n">
        <v>12</v>
      </c>
      <c r="E577" s="12" t="n">
        <v>11922.3</v>
      </c>
      <c r="F577" s="12" t="n">
        <v>7298.5</v>
      </c>
      <c r="G577" s="12" t="n">
        <v>4623.8</v>
      </c>
      <c r="H577" s="13" t="n">
        <v>0.3057</v>
      </c>
      <c r="I577" s="13" t="n">
        <v>0.3394</v>
      </c>
    </row>
    <row r="578">
      <c r="A578" s="10" t="inlineStr">
        <is>
          <t>PJ-2020-C</t>
        </is>
      </c>
      <c r="B578" s="10" t="inlineStr">
        <is>
          <t>位置合わせ(MS指定)／単調補間</t>
        </is>
      </c>
      <c r="C578" s="10" t="inlineStr">
        <is>
          <t>2021-07</t>
        </is>
      </c>
      <c r="D578" s="10" t="n">
        <v>13</v>
      </c>
      <c r="E578" s="12" t="n">
        <v>13026.2</v>
      </c>
      <c r="F578" s="12" t="n">
        <v>8554.799999999999</v>
      </c>
      <c r="G578" s="12" t="n">
        <v>4471.4</v>
      </c>
      <c r="H578" s="13" t="n">
        <v>0.3508</v>
      </c>
      <c r="I578" s="13" t="n">
        <v>0.369</v>
      </c>
    </row>
    <row r="579">
      <c r="A579" s="10" t="inlineStr">
        <is>
          <t>PJ-2020-C</t>
        </is>
      </c>
      <c r="B579" s="10" t="inlineStr">
        <is>
          <t>位置合わせ(MS指定)／単調補間</t>
        </is>
      </c>
      <c r="C579" s="10" t="inlineStr">
        <is>
          <t>2021-08</t>
        </is>
      </c>
      <c r="D579" s="10" t="n">
        <v>14</v>
      </c>
      <c r="E579" s="12" t="n">
        <v>14465.7</v>
      </c>
      <c r="F579" s="12" t="n">
        <v>8486.799999999999</v>
      </c>
      <c r="G579" s="12" t="n">
        <v>5978.9</v>
      </c>
      <c r="H579" s="13" t="n">
        <v>0.4008</v>
      </c>
      <c r="I579" s="13" t="n">
        <v>0.3984</v>
      </c>
    </row>
    <row r="580">
      <c r="A580" s="10" t="inlineStr">
        <is>
          <t>PJ-2020-C</t>
        </is>
      </c>
      <c r="B580" s="10" t="inlineStr">
        <is>
          <t>位置合わせ(MS指定)／単調補間</t>
        </is>
      </c>
      <c r="C580" s="10" t="inlineStr">
        <is>
          <t>2021-09</t>
        </is>
      </c>
      <c r="D580" s="10" t="n">
        <v>15</v>
      </c>
      <c r="E580" s="12" t="n">
        <v>18240.5</v>
      </c>
      <c r="F580" s="12" t="n">
        <v>9279.9</v>
      </c>
      <c r="G580" s="12" t="n">
        <v>8960.6</v>
      </c>
      <c r="H580" s="13" t="n">
        <v>0.4639</v>
      </c>
      <c r="I580" s="13" t="n">
        <v>0.4305</v>
      </c>
    </row>
    <row r="581">
      <c r="A581" s="10" t="inlineStr">
        <is>
          <t>PJ-2020-C</t>
        </is>
      </c>
      <c r="B581" s="10" t="inlineStr">
        <is>
          <t>位置合わせ(MS指定)／単調補間</t>
        </is>
      </c>
      <c r="C581" s="10" t="inlineStr">
        <is>
          <t>2021-10</t>
        </is>
      </c>
      <c r="D581" s="10" t="n">
        <v>16</v>
      </c>
      <c r="E581" s="12" t="n">
        <v>21212.7</v>
      </c>
      <c r="F581" s="12" t="n">
        <v>16636.5</v>
      </c>
      <c r="G581" s="12" t="n">
        <v>4576.2</v>
      </c>
      <c r="H581" s="13" t="n">
        <v>0.5373</v>
      </c>
      <c r="I581" s="13" t="n">
        <v>0.4881</v>
      </c>
    </row>
    <row r="582">
      <c r="A582" s="10" t="inlineStr">
        <is>
          <t>PJ-2020-C</t>
        </is>
      </c>
      <c r="B582" s="10" t="inlineStr">
        <is>
          <t>位置合わせ(MS指定)／単調補間</t>
        </is>
      </c>
      <c r="C582" s="10" t="inlineStr">
        <is>
          <t>2021-11</t>
        </is>
      </c>
      <c r="D582" s="10" t="n">
        <v>17</v>
      </c>
      <c r="E582" s="12" t="n">
        <v>20563.8</v>
      </c>
      <c r="F582" s="12" t="n">
        <v>14453.3</v>
      </c>
      <c r="G582" s="12" t="n">
        <v>6110.5</v>
      </c>
      <c r="H582" s="13" t="n">
        <v>0.6085</v>
      </c>
      <c r="I582" s="13" t="n">
        <v>0.5381</v>
      </c>
    </row>
    <row r="583">
      <c r="A583" s="10" t="inlineStr">
        <is>
          <t>PJ-2020-C</t>
        </is>
      </c>
      <c r="B583" s="10" t="inlineStr">
        <is>
          <t>位置合わせ(MS指定)／単調補間</t>
        </is>
      </c>
      <c r="C583" s="10" t="inlineStr">
        <is>
          <t>2021-12</t>
        </is>
      </c>
      <c r="D583" s="10" t="n">
        <v>18</v>
      </c>
      <c r="E583" s="12" t="n">
        <v>21353.2</v>
      </c>
      <c r="F583" s="12" t="n">
        <v>13884.1</v>
      </c>
      <c r="G583" s="12" t="n">
        <v>7469.1</v>
      </c>
      <c r="H583" s="13" t="n">
        <v>0.6823</v>
      </c>
      <c r="I583" s="13" t="n">
        <v>0.5861</v>
      </c>
    </row>
    <row r="584">
      <c r="A584" s="10" t="inlineStr">
        <is>
          <t>PJ-2020-C</t>
        </is>
      </c>
      <c r="B584" s="10" t="inlineStr">
        <is>
          <t>位置合わせ(MS指定)／単調補間</t>
        </is>
      </c>
      <c r="C584" s="10" t="inlineStr">
        <is>
          <t>2022-01</t>
        </is>
      </c>
      <c r="D584" s="10" t="n">
        <v>19</v>
      </c>
      <c r="E584" s="12" t="n">
        <v>21787.6</v>
      </c>
      <c r="F584" s="12" t="n">
        <v>15419</v>
      </c>
      <c r="G584" s="12" t="n">
        <v>6368.6</v>
      </c>
      <c r="H584" s="13" t="n">
        <v>0.7577</v>
      </c>
      <c r="I584" s="13" t="n">
        <v>0.6395</v>
      </c>
    </row>
    <row r="585">
      <c r="A585" s="10" t="inlineStr">
        <is>
          <t>PJ-2020-C</t>
        </is>
      </c>
      <c r="B585" s="10" t="inlineStr">
        <is>
          <t>位置合わせ(MS指定)／単調補間</t>
        </is>
      </c>
      <c r="C585" s="10" t="inlineStr">
        <is>
          <t>2022-02</t>
        </is>
      </c>
      <c r="D585" s="10" t="n">
        <v>20</v>
      </c>
      <c r="E585" s="12" t="n">
        <v>13682.8</v>
      </c>
      <c r="F585" s="12" t="n">
        <v>8277.799999999999</v>
      </c>
      <c r="G585" s="12" t="n">
        <v>5405</v>
      </c>
      <c r="H585" s="13" t="n">
        <v>0.8051</v>
      </c>
      <c r="I585" s="13" t="n">
        <v>0.6681</v>
      </c>
    </row>
    <row r="586">
      <c r="A586" s="10" t="inlineStr">
        <is>
          <t>PJ-2020-C</t>
        </is>
      </c>
      <c r="B586" s="10" t="inlineStr">
        <is>
          <t>位置合わせ(MS指定)／単調補間</t>
        </is>
      </c>
      <c r="C586" s="10" t="inlineStr">
        <is>
          <t>2022-03</t>
        </is>
      </c>
      <c r="D586" s="10" t="n">
        <v>21</v>
      </c>
      <c r="E586" s="12" t="n">
        <v>8211.9</v>
      </c>
      <c r="F586" s="12" t="n">
        <v>6160.3</v>
      </c>
      <c r="G586" s="12" t="n">
        <v>2051.6</v>
      </c>
      <c r="H586" s="13" t="n">
        <v>0.8335</v>
      </c>
      <c r="I586" s="13" t="n">
        <v>0.6894</v>
      </c>
    </row>
    <row r="587">
      <c r="A587" s="10" t="inlineStr">
        <is>
          <t>PJ-2020-C</t>
        </is>
      </c>
      <c r="B587" s="10" t="inlineStr">
        <is>
          <t>位置合わせ(MS指定)／単調補間</t>
        </is>
      </c>
      <c r="C587" s="10" t="inlineStr">
        <is>
          <t>2022-04</t>
        </is>
      </c>
      <c r="D587" s="10" t="n">
        <v>22</v>
      </c>
      <c r="E587" s="12" t="n">
        <v>7386.3</v>
      </c>
      <c r="F587" s="12" t="n">
        <v>7057.5</v>
      </c>
      <c r="G587" s="12" t="n">
        <v>328.8</v>
      </c>
      <c r="H587" s="13" t="n">
        <v>0.859</v>
      </c>
      <c r="I587" s="13" t="n">
        <v>0.7138</v>
      </c>
    </row>
    <row r="588">
      <c r="A588" s="10" t="inlineStr">
        <is>
          <t>PJ-2020-C</t>
        </is>
      </c>
      <c r="B588" s="10" t="inlineStr">
        <is>
          <t>位置合わせ(MS指定)／単調補間</t>
        </is>
      </c>
      <c r="C588" s="10" t="inlineStr">
        <is>
          <t>2022-05</t>
        </is>
      </c>
      <c r="D588" s="10" t="n">
        <v>23</v>
      </c>
      <c r="E588" s="12" t="n">
        <v>7350.2</v>
      </c>
      <c r="F588" s="12" t="n">
        <v>8005.3</v>
      </c>
      <c r="G588" s="12" t="n">
        <v>-655.1</v>
      </c>
      <c r="H588" s="13" t="n">
        <v>0.8844</v>
      </c>
      <c r="I588" s="13" t="n">
        <v>0.7415</v>
      </c>
    </row>
    <row r="589">
      <c r="A589" s="10" t="inlineStr">
        <is>
          <t>PJ-2020-C</t>
        </is>
      </c>
      <c r="B589" s="10" t="inlineStr">
        <is>
          <t>位置合わせ(MS指定)／単調補間</t>
        </is>
      </c>
      <c r="C589" s="10" t="inlineStr">
        <is>
          <t>2022-06</t>
        </is>
      </c>
      <c r="D589" s="10" t="n">
        <v>24</v>
      </c>
      <c r="E589" s="12" t="n">
        <v>6327.5</v>
      </c>
      <c r="F589" s="12" t="n">
        <v>9533.200000000001</v>
      </c>
      <c r="G589" s="12" t="n">
        <v>-3205.7</v>
      </c>
      <c r="H589" s="13" t="n">
        <v>0.9063</v>
      </c>
      <c r="I589" s="13" t="n">
        <v>0.7745</v>
      </c>
    </row>
    <row r="590">
      <c r="A590" s="10" t="inlineStr">
        <is>
          <t>PJ-2020-C</t>
        </is>
      </c>
      <c r="B590" s="10" t="inlineStr">
        <is>
          <t>位置合わせ(MS指定)／単調補間</t>
        </is>
      </c>
      <c r="C590" s="10" t="inlineStr">
        <is>
          <t>2022-07</t>
        </is>
      </c>
      <c r="D590" s="10" t="n">
        <v>25</v>
      </c>
      <c r="E590" s="12" t="n">
        <v>5645.7</v>
      </c>
      <c r="F590" s="12" t="n">
        <v>10920.6</v>
      </c>
      <c r="G590" s="12" t="n">
        <v>-5274.9</v>
      </c>
      <c r="H590" s="13" t="n">
        <v>0.9258999999999999</v>
      </c>
      <c r="I590" s="13" t="n">
        <v>0.8123</v>
      </c>
    </row>
    <row r="591">
      <c r="A591" s="10" t="inlineStr">
        <is>
          <t>PJ-2020-C</t>
        </is>
      </c>
      <c r="B591" s="10" t="inlineStr">
        <is>
          <t>位置合わせ(MS指定)／単調補間</t>
        </is>
      </c>
      <c r="C591" s="10" t="inlineStr">
        <is>
          <t>2022-08</t>
        </is>
      </c>
      <c r="D591" s="10" t="n">
        <v>26</v>
      </c>
      <c r="E591" s="12" t="n">
        <v>4759.2</v>
      </c>
      <c r="F591" s="12" t="n">
        <v>11191.5</v>
      </c>
      <c r="G591" s="12" t="n">
        <v>-6432.3</v>
      </c>
      <c r="H591" s="13" t="n">
        <v>0.9423</v>
      </c>
      <c r="I591" s="13" t="n">
        <v>0.851</v>
      </c>
    </row>
    <row r="592">
      <c r="A592" s="10" t="inlineStr">
        <is>
          <t>PJ-2020-C</t>
        </is>
      </c>
      <c r="B592" s="10" t="inlineStr">
        <is>
          <t>位置合わせ(MS指定)／単調補間</t>
        </is>
      </c>
      <c r="C592" s="10" t="inlineStr">
        <is>
          <t>2022-09</t>
        </is>
      </c>
      <c r="D592" s="10" t="n">
        <v>27</v>
      </c>
      <c r="E592" s="12" t="n">
        <v>4251.5</v>
      </c>
      <c r="F592" s="12" t="n">
        <v>10812.6</v>
      </c>
      <c r="G592" s="12" t="n">
        <v>-6561.1</v>
      </c>
      <c r="H592" s="13" t="n">
        <v>0.957</v>
      </c>
      <c r="I592" s="13" t="n">
        <v>0.8884</v>
      </c>
    </row>
    <row r="593">
      <c r="A593" s="10" t="inlineStr">
        <is>
          <t>PJ-2020-C</t>
        </is>
      </c>
      <c r="B593" s="10" t="inlineStr">
        <is>
          <t>位置合わせ(MS指定)／単調補間</t>
        </is>
      </c>
      <c r="C593" s="10" t="inlineStr">
        <is>
          <t>2022-10</t>
        </is>
      </c>
      <c r="D593" s="10" t="n">
        <v>28</v>
      </c>
      <c r="E593" s="12" t="n">
        <v>5443.2</v>
      </c>
      <c r="F593" s="12" t="n">
        <v>11977</v>
      </c>
      <c r="G593" s="12" t="n">
        <v>-6533.8</v>
      </c>
      <c r="H593" s="13" t="n">
        <v>0.9759</v>
      </c>
      <c r="I593" s="13" t="n">
        <v>0.9298</v>
      </c>
    </row>
    <row r="594">
      <c r="A594" s="10" t="inlineStr">
        <is>
          <t>PJ-2020-C</t>
        </is>
      </c>
      <c r="B594" s="10" t="inlineStr">
        <is>
          <t>位置合わせ(MS指定)／単調補間</t>
        </is>
      </c>
      <c r="C594" s="10" t="inlineStr">
        <is>
          <t>2022-11</t>
        </is>
      </c>
      <c r="D594" s="10" t="n">
        <v>29</v>
      </c>
      <c r="E594" s="12" t="n">
        <v>4561.5</v>
      </c>
      <c r="F594" s="12" t="n">
        <v>12035.5</v>
      </c>
      <c r="G594" s="12" t="n">
        <v>-7474</v>
      </c>
      <c r="H594" s="13" t="n">
        <v>0.9917</v>
      </c>
      <c r="I594" s="13" t="n">
        <v>0.9715</v>
      </c>
    </row>
    <row r="595">
      <c r="A595" s="10" t="inlineStr">
        <is>
          <t>PJ-2020-C</t>
        </is>
      </c>
      <c r="B595" s="10" t="inlineStr">
        <is>
          <t>位置合わせ(MS指定)／単調補間</t>
        </is>
      </c>
      <c r="C595" s="10" t="inlineStr">
        <is>
          <t>2022-12</t>
        </is>
      </c>
      <c r="D595" s="10" t="n">
        <v>30</v>
      </c>
      <c r="E595" s="12" t="n">
        <v>2411</v>
      </c>
      <c r="F595" s="12" t="n">
        <v>8242.299999999999</v>
      </c>
      <c r="G595" s="12" t="n">
        <v>-5831.3</v>
      </c>
      <c r="H595" s="13" t="n">
        <v>1</v>
      </c>
      <c r="I595" s="13" t="n">
        <v>1</v>
      </c>
    </row>
    <row r="596">
      <c r="A596" s="10" t="inlineStr">
        <is>
          <t>PJ-2021-D</t>
        </is>
      </c>
      <c r="B596" s="10" t="inlineStr">
        <is>
          <t>素朴版／月内均等</t>
        </is>
      </c>
      <c r="C596" s="10" t="inlineStr">
        <is>
          <t>2021-04</t>
        </is>
      </c>
      <c r="D596" s="10" t="n">
        <v>1</v>
      </c>
      <c r="E596" s="12" t="n">
        <v>2218.9</v>
      </c>
      <c r="F596" s="12" t="n">
        <v>3064.9</v>
      </c>
      <c r="G596" s="12" t="n">
        <v>-846</v>
      </c>
      <c r="H596" s="13" t="n">
        <v>0.0268</v>
      </c>
      <c r="I596" s="13" t="n">
        <v>0.037</v>
      </c>
    </row>
    <row r="597">
      <c r="A597" s="10" t="inlineStr">
        <is>
          <t>PJ-2021-D</t>
        </is>
      </c>
      <c r="B597" s="10" t="inlineStr">
        <is>
          <t>素朴版／月内均等</t>
        </is>
      </c>
      <c r="C597" s="10" t="inlineStr">
        <is>
          <t>2021-05</t>
        </is>
      </c>
      <c r="D597" s="10" t="n">
        <v>2</v>
      </c>
      <c r="E597" s="12" t="n">
        <v>3158.2</v>
      </c>
      <c r="F597" s="12" t="n">
        <v>3983.2</v>
      </c>
      <c r="G597" s="12" t="n">
        <v>-825</v>
      </c>
      <c r="H597" s="13" t="n">
        <v>0.0648</v>
      </c>
      <c r="I597" s="13" t="n">
        <v>0.08500000000000001</v>
      </c>
    </row>
    <row r="598">
      <c r="A598" s="10" t="inlineStr">
        <is>
          <t>PJ-2021-D</t>
        </is>
      </c>
      <c r="B598" s="10" t="inlineStr">
        <is>
          <t>素朴版／月内均等</t>
        </is>
      </c>
      <c r="C598" s="10" t="inlineStr">
        <is>
          <t>2021-06</t>
        </is>
      </c>
      <c r="D598" s="10" t="n">
        <v>3</v>
      </c>
      <c r="E598" s="12" t="n">
        <v>3583.4</v>
      </c>
      <c r="F598" s="12" t="n">
        <v>4386.1</v>
      </c>
      <c r="G598" s="12" t="n">
        <v>-802.7</v>
      </c>
      <c r="H598" s="13" t="n">
        <v>0.1081</v>
      </c>
      <c r="I598" s="13" t="n">
        <v>0.1379</v>
      </c>
    </row>
    <row r="599">
      <c r="A599" s="10" t="inlineStr">
        <is>
          <t>PJ-2021-D</t>
        </is>
      </c>
      <c r="B599" s="10" t="inlineStr">
        <is>
          <t>素朴版／月内均等</t>
        </is>
      </c>
      <c r="C599" s="10" t="inlineStr">
        <is>
          <t>2021-07</t>
        </is>
      </c>
      <c r="D599" s="10" t="n">
        <v>4</v>
      </c>
      <c r="E599" s="12" t="n">
        <v>4289.7</v>
      </c>
      <c r="F599" s="12" t="n">
        <v>5071.5</v>
      </c>
      <c r="G599" s="12" t="n">
        <v>-781.8</v>
      </c>
      <c r="H599" s="13" t="n">
        <v>0.1598</v>
      </c>
      <c r="I599" s="13" t="n">
        <v>0.1991</v>
      </c>
    </row>
    <row r="600">
      <c r="A600" s="10" t="inlineStr">
        <is>
          <t>PJ-2021-D</t>
        </is>
      </c>
      <c r="B600" s="10" t="inlineStr">
        <is>
          <t>素朴版／月内均等</t>
        </is>
      </c>
      <c r="C600" s="10" t="inlineStr">
        <is>
          <t>2021-08</t>
        </is>
      </c>
      <c r="D600" s="10" t="n">
        <v>5</v>
      </c>
      <c r="E600" s="12" t="n">
        <v>5675.6</v>
      </c>
      <c r="F600" s="12" t="n">
        <v>5696.5</v>
      </c>
      <c r="G600" s="12" t="n">
        <v>-20.9</v>
      </c>
      <c r="H600" s="13" t="n">
        <v>0.2282</v>
      </c>
      <c r="I600" s="13" t="n">
        <v>0.2678</v>
      </c>
    </row>
    <row r="601">
      <c r="A601" s="10" t="inlineStr">
        <is>
          <t>PJ-2021-D</t>
        </is>
      </c>
      <c r="B601" s="10" t="inlineStr">
        <is>
          <t>素朴版／月内均等</t>
        </is>
      </c>
      <c r="C601" s="10" t="inlineStr">
        <is>
          <t>2021-09</t>
        </is>
      </c>
      <c r="D601" s="10" t="n">
        <v>6</v>
      </c>
      <c r="E601" s="12" t="n">
        <v>6603.2</v>
      </c>
      <c r="F601" s="12" t="n">
        <v>6687.9</v>
      </c>
      <c r="G601" s="12" t="n">
        <v>-84.7</v>
      </c>
      <c r="H601" s="13" t="n">
        <v>0.3079</v>
      </c>
      <c r="I601" s="13" t="n">
        <v>0.3484</v>
      </c>
    </row>
    <row r="602">
      <c r="A602" s="10" t="inlineStr">
        <is>
          <t>PJ-2021-D</t>
        </is>
      </c>
      <c r="B602" s="10" t="inlineStr">
        <is>
          <t>素朴版／月内均等</t>
        </is>
      </c>
      <c r="C602" s="10" t="inlineStr">
        <is>
          <t>2021-10</t>
        </is>
      </c>
      <c r="D602" s="10" t="n">
        <v>7</v>
      </c>
      <c r="E602" s="12" t="n">
        <v>6880.4</v>
      </c>
      <c r="F602" s="12" t="n">
        <v>7608.3</v>
      </c>
      <c r="G602" s="12" t="n">
        <v>-727.9</v>
      </c>
      <c r="H602" s="13" t="n">
        <v>0.3909</v>
      </c>
      <c r="I602" s="13" t="n">
        <v>0.4402</v>
      </c>
    </row>
    <row r="603">
      <c r="A603" s="10" t="inlineStr">
        <is>
          <t>PJ-2021-D</t>
        </is>
      </c>
      <c r="B603" s="10" t="inlineStr">
        <is>
          <t>素朴版／月内均等</t>
        </is>
      </c>
      <c r="C603" s="10" t="inlineStr">
        <is>
          <t>2021-11</t>
        </is>
      </c>
      <c r="D603" s="10" t="n">
        <v>8</v>
      </c>
      <c r="E603" s="12" t="n">
        <v>6996.8</v>
      </c>
      <c r="F603" s="12" t="n">
        <v>6170.4</v>
      </c>
      <c r="G603" s="12" t="n">
        <v>826.4</v>
      </c>
      <c r="H603" s="13" t="n">
        <v>0.4752</v>
      </c>
      <c r="I603" s="13" t="n">
        <v>0.5145999999999999</v>
      </c>
    </row>
    <row r="604">
      <c r="A604" s="10" t="inlineStr">
        <is>
          <t>PJ-2021-D</t>
        </is>
      </c>
      <c r="B604" s="10" t="inlineStr">
        <is>
          <t>素朴版／月内均等</t>
        </is>
      </c>
      <c r="C604" s="10" t="inlineStr">
        <is>
          <t>2021-12</t>
        </is>
      </c>
      <c r="D604" s="10" t="n">
        <v>9</v>
      </c>
      <c r="E604" s="12" t="n">
        <v>8227.1</v>
      </c>
      <c r="F604" s="12" t="n">
        <v>6196</v>
      </c>
      <c r="G604" s="12" t="n">
        <v>2031.1</v>
      </c>
      <c r="H604" s="13" t="n">
        <v>0.5744</v>
      </c>
      <c r="I604" s="13" t="n">
        <v>0.5893</v>
      </c>
    </row>
    <row r="605">
      <c r="A605" s="10" t="inlineStr">
        <is>
          <t>PJ-2021-D</t>
        </is>
      </c>
      <c r="B605" s="10" t="inlineStr">
        <is>
          <t>素朴版／月内均等</t>
        </is>
      </c>
      <c r="C605" s="10" t="inlineStr">
        <is>
          <t>2022-01</t>
        </is>
      </c>
      <c r="D605" s="10" t="n">
        <v>10</v>
      </c>
      <c r="E605" s="12" t="n">
        <v>8517.6</v>
      </c>
      <c r="F605" s="12" t="n">
        <v>8019.7</v>
      </c>
      <c r="G605" s="12" t="n">
        <v>497.9</v>
      </c>
      <c r="H605" s="13" t="n">
        <v>0.6772</v>
      </c>
      <c r="I605" s="13" t="n">
        <v>0.6860000000000001</v>
      </c>
    </row>
    <row r="606">
      <c r="A606" s="10" t="inlineStr">
        <is>
          <t>PJ-2021-D</t>
        </is>
      </c>
      <c r="B606" s="10" t="inlineStr">
        <is>
          <t>素朴版／月内均等</t>
        </is>
      </c>
      <c r="C606" s="10" t="inlineStr">
        <is>
          <t>2022-02</t>
        </is>
      </c>
      <c r="D606" s="10" t="n">
        <v>11</v>
      </c>
      <c r="E606" s="12" t="n">
        <v>6601</v>
      </c>
      <c r="F606" s="12" t="n">
        <v>8831.1</v>
      </c>
      <c r="G606" s="12" t="n">
        <v>-2230.1</v>
      </c>
      <c r="H606" s="13" t="n">
        <v>0.7568</v>
      </c>
      <c r="I606" s="13" t="n">
        <v>0.7925</v>
      </c>
    </row>
    <row r="607">
      <c r="A607" s="10" t="inlineStr">
        <is>
          <t>PJ-2021-D</t>
        </is>
      </c>
      <c r="B607" s="10" t="inlineStr">
        <is>
          <t>素朴版／月内均等</t>
        </is>
      </c>
      <c r="C607" s="10" t="inlineStr">
        <is>
          <t>2022-03</t>
        </is>
      </c>
      <c r="D607" s="10" t="n">
        <v>12</v>
      </c>
      <c r="E607" s="12" t="n">
        <v>7253.8</v>
      </c>
      <c r="F607" s="12" t="n">
        <v>7612.4</v>
      </c>
      <c r="G607" s="12" t="n">
        <v>-358.6</v>
      </c>
      <c r="H607" s="13" t="n">
        <v>0.8443000000000001</v>
      </c>
      <c r="I607" s="13" t="n">
        <v>0.8843</v>
      </c>
    </row>
    <row r="608">
      <c r="A608" s="10" t="inlineStr">
        <is>
          <t>PJ-2021-D</t>
        </is>
      </c>
      <c r="B608" s="10" t="inlineStr">
        <is>
          <t>素朴版／月内均等</t>
        </is>
      </c>
      <c r="C608" s="10" t="inlineStr">
        <is>
          <t>2022-04</t>
        </is>
      </c>
      <c r="D608" s="10" t="n">
        <v>13</v>
      </c>
      <c r="E608" s="12" t="n">
        <v>6215.7</v>
      </c>
      <c r="F608" s="12" t="n">
        <v>4770.5</v>
      </c>
      <c r="G608" s="12" t="n">
        <v>1445.2</v>
      </c>
      <c r="H608" s="13" t="n">
        <v>0.9192</v>
      </c>
      <c r="I608" s="13" t="n">
        <v>0.9419</v>
      </c>
    </row>
    <row r="609">
      <c r="A609" s="10" t="inlineStr">
        <is>
          <t>PJ-2021-D</t>
        </is>
      </c>
      <c r="B609" s="10" t="inlineStr">
        <is>
          <t>素朴版／月内均等</t>
        </is>
      </c>
      <c r="C609" s="10" t="inlineStr">
        <is>
          <t>2022-05</t>
        </is>
      </c>
      <c r="D609" s="10" t="n">
        <v>14</v>
      </c>
      <c r="E609" s="12" t="n">
        <v>4328.1</v>
      </c>
      <c r="F609" s="12" t="n">
        <v>3957</v>
      </c>
      <c r="G609" s="12" t="n">
        <v>371.1</v>
      </c>
      <c r="H609" s="13" t="n">
        <v>0.9714</v>
      </c>
      <c r="I609" s="13" t="n">
        <v>0.9896</v>
      </c>
    </row>
    <row r="610">
      <c r="A610" s="10" t="inlineStr">
        <is>
          <t>PJ-2021-D</t>
        </is>
      </c>
      <c r="B610" s="10" t="inlineStr">
        <is>
          <t>素朴版／月内均等</t>
        </is>
      </c>
      <c r="C610" s="10" t="inlineStr">
        <is>
          <t>2022-06</t>
        </is>
      </c>
      <c r="D610" s="10" t="n">
        <v>15</v>
      </c>
      <c r="E610" s="12" t="n">
        <v>2370.6</v>
      </c>
      <c r="F610" s="12" t="n">
        <v>864.5</v>
      </c>
      <c r="G610" s="12" t="n">
        <v>1506.1</v>
      </c>
      <c r="H610" s="13" t="n">
        <v>1</v>
      </c>
      <c r="I610" s="13" t="n">
        <v>1</v>
      </c>
    </row>
    <row r="611">
      <c r="A611" s="10" t="inlineStr">
        <is>
          <t>PJ-2021-D</t>
        </is>
      </c>
      <c r="B611" s="10" t="inlineStr">
        <is>
          <t>位置合わせ(MS学習値)／月内均等</t>
        </is>
      </c>
      <c r="C611" s="10" t="inlineStr">
        <is>
          <t>2021-04</t>
        </is>
      </c>
      <c r="D611" s="10" t="n">
        <v>1</v>
      </c>
      <c r="E611" s="12" t="n">
        <v>2155.1</v>
      </c>
      <c r="F611" s="12" t="n">
        <v>3064.9</v>
      </c>
      <c r="G611" s="12" t="n">
        <v>-909.8</v>
      </c>
      <c r="H611" s="13" t="n">
        <v>0.026</v>
      </c>
      <c r="I611" s="13" t="n">
        <v>0.037</v>
      </c>
    </row>
    <row r="612">
      <c r="A612" s="10" t="inlineStr">
        <is>
          <t>PJ-2021-D</t>
        </is>
      </c>
      <c r="B612" s="10" t="inlineStr">
        <is>
          <t>位置合わせ(MS学習値)／月内均等</t>
        </is>
      </c>
      <c r="C612" s="10" t="inlineStr">
        <is>
          <t>2021-05</t>
        </is>
      </c>
      <c r="D612" s="10" t="n">
        <v>2</v>
      </c>
      <c r="E612" s="12" t="n">
        <v>3094.8</v>
      </c>
      <c r="F612" s="12" t="n">
        <v>3983.2</v>
      </c>
      <c r="G612" s="12" t="n">
        <v>-888.4</v>
      </c>
      <c r="H612" s="13" t="n">
        <v>0.0633</v>
      </c>
      <c r="I612" s="13" t="n">
        <v>0.08500000000000001</v>
      </c>
    </row>
    <row r="613">
      <c r="A613" s="10" t="inlineStr">
        <is>
          <t>PJ-2021-D</t>
        </is>
      </c>
      <c r="B613" s="10" t="inlineStr">
        <is>
          <t>位置合わせ(MS学習値)／月内均等</t>
        </is>
      </c>
      <c r="C613" s="10" t="inlineStr">
        <is>
          <t>2021-06</t>
        </is>
      </c>
      <c r="D613" s="10" t="n">
        <v>3</v>
      </c>
      <c r="E613" s="12" t="n">
        <v>3491.9</v>
      </c>
      <c r="F613" s="12" t="n">
        <v>4386.1</v>
      </c>
      <c r="G613" s="12" t="n">
        <v>-894.2</v>
      </c>
      <c r="H613" s="13" t="n">
        <v>0.1054</v>
      </c>
      <c r="I613" s="13" t="n">
        <v>0.1379</v>
      </c>
    </row>
    <row r="614">
      <c r="A614" s="10" t="inlineStr">
        <is>
          <t>PJ-2021-D</t>
        </is>
      </c>
      <c r="B614" s="10" t="inlineStr">
        <is>
          <t>位置合わせ(MS学習値)／月内均等</t>
        </is>
      </c>
      <c r="C614" s="10" t="inlineStr">
        <is>
          <t>2021-07</t>
        </is>
      </c>
      <c r="D614" s="10" t="n">
        <v>4</v>
      </c>
      <c r="E614" s="12" t="n">
        <v>4163.2</v>
      </c>
      <c r="F614" s="12" t="n">
        <v>5071.5</v>
      </c>
      <c r="G614" s="12" t="n">
        <v>-908.3</v>
      </c>
      <c r="H614" s="13" t="n">
        <v>0.1556</v>
      </c>
      <c r="I614" s="13" t="n">
        <v>0.1991</v>
      </c>
    </row>
    <row r="615">
      <c r="A615" s="10" t="inlineStr">
        <is>
          <t>PJ-2021-D</t>
        </is>
      </c>
      <c r="B615" s="10" t="inlineStr">
        <is>
          <t>位置合わせ(MS学習値)／月内均等</t>
        </is>
      </c>
      <c r="C615" s="10" t="inlineStr">
        <is>
          <t>2021-08</t>
        </is>
      </c>
      <c r="D615" s="10" t="n">
        <v>5</v>
      </c>
      <c r="E615" s="12" t="n">
        <v>5180.5</v>
      </c>
      <c r="F615" s="12" t="n">
        <v>5696.5</v>
      </c>
      <c r="G615" s="12" t="n">
        <v>-516</v>
      </c>
      <c r="H615" s="13" t="n">
        <v>0.2181</v>
      </c>
      <c r="I615" s="13" t="n">
        <v>0.2678</v>
      </c>
    </row>
    <row r="616">
      <c r="A616" s="10" t="inlineStr">
        <is>
          <t>PJ-2021-D</t>
        </is>
      </c>
      <c r="B616" s="10" t="inlineStr">
        <is>
          <t>位置合わせ(MS学習値)／月内均等</t>
        </is>
      </c>
      <c r="C616" s="10" t="inlineStr">
        <is>
          <t>2021-09</t>
        </is>
      </c>
      <c r="D616" s="10" t="n">
        <v>6</v>
      </c>
      <c r="E616" s="12" t="n">
        <v>6101.2</v>
      </c>
      <c r="F616" s="12" t="n">
        <v>6687.9</v>
      </c>
      <c r="G616" s="12" t="n">
        <v>-586.7</v>
      </c>
      <c r="H616" s="13" t="n">
        <v>0.2917</v>
      </c>
      <c r="I616" s="13" t="n">
        <v>0.3484</v>
      </c>
    </row>
    <row r="617">
      <c r="A617" s="10" t="inlineStr">
        <is>
          <t>PJ-2021-D</t>
        </is>
      </c>
      <c r="B617" s="10" t="inlineStr">
        <is>
          <t>位置合わせ(MS学習値)／月内均等</t>
        </is>
      </c>
      <c r="C617" s="10" t="inlineStr">
        <is>
          <t>2021-10</t>
        </is>
      </c>
      <c r="D617" s="10" t="n">
        <v>7</v>
      </c>
      <c r="E617" s="12" t="n">
        <v>7549.4</v>
      </c>
      <c r="F617" s="12" t="n">
        <v>7608.3</v>
      </c>
      <c r="G617" s="12" t="n">
        <v>-58.9</v>
      </c>
      <c r="H617" s="13" t="n">
        <v>0.3827</v>
      </c>
      <c r="I617" s="13" t="n">
        <v>0.4402</v>
      </c>
    </row>
    <row r="618">
      <c r="A618" s="10" t="inlineStr">
        <is>
          <t>PJ-2021-D</t>
        </is>
      </c>
      <c r="B618" s="10" t="inlineStr">
        <is>
          <t>位置合わせ(MS学習値)／月内均等</t>
        </is>
      </c>
      <c r="C618" s="10" t="inlineStr">
        <is>
          <t>2021-11</t>
        </is>
      </c>
      <c r="D618" s="10" t="n">
        <v>8</v>
      </c>
      <c r="E618" s="12" t="n">
        <v>8113.7</v>
      </c>
      <c r="F618" s="12" t="n">
        <v>6170.4</v>
      </c>
      <c r="G618" s="12" t="n">
        <v>1943.3</v>
      </c>
      <c r="H618" s="13" t="n">
        <v>0.4806</v>
      </c>
      <c r="I618" s="13" t="n">
        <v>0.5145999999999999</v>
      </c>
    </row>
    <row r="619">
      <c r="A619" s="10" t="inlineStr">
        <is>
          <t>PJ-2021-D</t>
        </is>
      </c>
      <c r="B619" s="10" t="inlineStr">
        <is>
          <t>位置合わせ(MS学習値)／月内均等</t>
        </is>
      </c>
      <c r="C619" s="10" t="inlineStr">
        <is>
          <t>2021-12</t>
        </is>
      </c>
      <c r="D619" s="10" t="n">
        <v>9</v>
      </c>
      <c r="E619" s="12" t="n">
        <v>8233</v>
      </c>
      <c r="F619" s="12" t="n">
        <v>6196</v>
      </c>
      <c r="G619" s="12" t="n">
        <v>2037</v>
      </c>
      <c r="H619" s="13" t="n">
        <v>0.5799</v>
      </c>
      <c r="I619" s="13" t="n">
        <v>0.5893</v>
      </c>
    </row>
    <row r="620">
      <c r="A620" s="10" t="inlineStr">
        <is>
          <t>PJ-2021-D</t>
        </is>
      </c>
      <c r="B620" s="10" t="inlineStr">
        <is>
          <t>位置合わせ(MS学習値)／月内均等</t>
        </is>
      </c>
      <c r="C620" s="10" t="inlineStr">
        <is>
          <t>2022-01</t>
        </is>
      </c>
      <c r="D620" s="10" t="n">
        <v>10</v>
      </c>
      <c r="E620" s="12" t="n">
        <v>8087.5</v>
      </c>
      <c r="F620" s="12" t="n">
        <v>8019.7</v>
      </c>
      <c r="G620" s="12" t="n">
        <v>67.8</v>
      </c>
      <c r="H620" s="13" t="n">
        <v>0.6774</v>
      </c>
      <c r="I620" s="13" t="n">
        <v>0.6860000000000001</v>
      </c>
    </row>
    <row r="621">
      <c r="A621" s="10" t="inlineStr">
        <is>
          <t>PJ-2021-D</t>
        </is>
      </c>
      <c r="B621" s="10" t="inlineStr">
        <is>
          <t>位置合わせ(MS学習値)／月内均等</t>
        </is>
      </c>
      <c r="C621" s="10" t="inlineStr">
        <is>
          <t>2022-02</t>
        </is>
      </c>
      <c r="D621" s="10" t="n">
        <v>11</v>
      </c>
      <c r="E621" s="12" t="n">
        <v>7477.9</v>
      </c>
      <c r="F621" s="12" t="n">
        <v>8831.1</v>
      </c>
      <c r="G621" s="12" t="n">
        <v>-1353.2</v>
      </c>
      <c r="H621" s="13" t="n">
        <v>0.7675999999999999</v>
      </c>
      <c r="I621" s="13" t="n">
        <v>0.7925</v>
      </c>
    </row>
    <row r="622">
      <c r="A622" s="10" t="inlineStr">
        <is>
          <t>PJ-2021-D</t>
        </is>
      </c>
      <c r="B622" s="10" t="inlineStr">
        <is>
          <t>位置合わせ(MS学習値)／月内均等</t>
        </is>
      </c>
      <c r="C622" s="10" t="inlineStr">
        <is>
          <t>2022-03</t>
        </is>
      </c>
      <c r="D622" s="10" t="n">
        <v>12</v>
      </c>
      <c r="E622" s="12" t="n">
        <v>6991.7</v>
      </c>
      <c r="F622" s="12" t="n">
        <v>7612.4</v>
      </c>
      <c r="G622" s="12" t="n">
        <v>-620.7</v>
      </c>
      <c r="H622" s="13" t="n">
        <v>0.8519</v>
      </c>
      <c r="I622" s="13" t="n">
        <v>0.8843</v>
      </c>
    </row>
    <row r="623">
      <c r="A623" s="10" t="inlineStr">
        <is>
          <t>PJ-2021-D</t>
        </is>
      </c>
      <c r="B623" s="10" t="inlineStr">
        <is>
          <t>位置合わせ(MS学習値)／月内均等</t>
        </is>
      </c>
      <c r="C623" s="10" t="inlineStr">
        <is>
          <t>2022-04</t>
        </is>
      </c>
      <c r="D623" s="10" t="n">
        <v>13</v>
      </c>
      <c r="E623" s="12" t="n">
        <v>5632.7</v>
      </c>
      <c r="F623" s="12" t="n">
        <v>4770.5</v>
      </c>
      <c r="G623" s="12" t="n">
        <v>862.2</v>
      </c>
      <c r="H623" s="13" t="n">
        <v>0.9198</v>
      </c>
      <c r="I623" s="13" t="n">
        <v>0.9419</v>
      </c>
    </row>
    <row r="624">
      <c r="A624" s="10" t="inlineStr">
        <is>
          <t>PJ-2021-D</t>
        </is>
      </c>
      <c r="B624" s="10" t="inlineStr">
        <is>
          <t>位置合わせ(MS学習値)／月内均等</t>
        </is>
      </c>
      <c r="C624" s="10" t="inlineStr">
        <is>
          <t>2022-05</t>
        </is>
      </c>
      <c r="D624" s="10" t="n">
        <v>14</v>
      </c>
      <c r="E624" s="12" t="n">
        <v>4273.1</v>
      </c>
      <c r="F624" s="12" t="n">
        <v>3957</v>
      </c>
      <c r="G624" s="12" t="n">
        <v>316.1</v>
      </c>
      <c r="H624" s="13" t="n">
        <v>0.9714</v>
      </c>
      <c r="I624" s="13" t="n">
        <v>0.9896</v>
      </c>
    </row>
    <row r="625">
      <c r="A625" s="10" t="inlineStr">
        <is>
          <t>PJ-2021-D</t>
        </is>
      </c>
      <c r="B625" s="10" t="inlineStr">
        <is>
          <t>位置合わせ(MS学習値)／月内均等</t>
        </is>
      </c>
      <c r="C625" s="10" t="inlineStr">
        <is>
          <t>2022-06</t>
        </is>
      </c>
      <c r="D625" s="10" t="n">
        <v>15</v>
      </c>
      <c r="E625" s="12" t="n">
        <v>2374.1</v>
      </c>
      <c r="F625" s="12" t="n">
        <v>864.5</v>
      </c>
      <c r="G625" s="12" t="n">
        <v>1509.6</v>
      </c>
      <c r="H625" s="13" t="n">
        <v>1</v>
      </c>
      <c r="I625" s="13" t="n">
        <v>1</v>
      </c>
    </row>
    <row r="626">
      <c r="A626" s="10" t="inlineStr">
        <is>
          <t>PJ-2021-D</t>
        </is>
      </c>
      <c r="B626" s="10" t="inlineStr">
        <is>
          <t>位置合わせ(MS指定)／月内均等</t>
        </is>
      </c>
      <c r="C626" s="10" t="inlineStr">
        <is>
          <t>2021-04</t>
        </is>
      </c>
      <c r="D626" s="10" t="n">
        <v>1</v>
      </c>
      <c r="E626" s="12" t="n">
        <v>1766.8</v>
      </c>
      <c r="F626" s="12" t="n">
        <v>3064.9</v>
      </c>
      <c r="G626" s="12" t="n">
        <v>-1298.1</v>
      </c>
      <c r="H626" s="13" t="n">
        <v>0.0213</v>
      </c>
      <c r="I626" s="13" t="n">
        <v>0.037</v>
      </c>
    </row>
    <row r="627">
      <c r="A627" s="10" t="inlineStr">
        <is>
          <t>PJ-2021-D</t>
        </is>
      </c>
      <c r="B627" s="10" t="inlineStr">
        <is>
          <t>位置合わせ(MS指定)／月内均等</t>
        </is>
      </c>
      <c r="C627" s="10" t="inlineStr">
        <is>
          <t>2021-05</t>
        </is>
      </c>
      <c r="D627" s="10" t="n">
        <v>2</v>
      </c>
      <c r="E627" s="12" t="n">
        <v>2543.8</v>
      </c>
      <c r="F627" s="12" t="n">
        <v>3983.2</v>
      </c>
      <c r="G627" s="12" t="n">
        <v>-1439.4</v>
      </c>
      <c r="H627" s="13" t="n">
        <v>0.052</v>
      </c>
      <c r="I627" s="13" t="n">
        <v>0.08500000000000001</v>
      </c>
    </row>
    <row r="628">
      <c r="A628" s="10" t="inlineStr">
        <is>
          <t>PJ-2021-D</t>
        </is>
      </c>
      <c r="B628" s="10" t="inlineStr">
        <is>
          <t>位置合わせ(MS指定)／月内均等</t>
        </is>
      </c>
      <c r="C628" s="10" t="inlineStr">
        <is>
          <t>2021-06</t>
        </is>
      </c>
      <c r="D628" s="10" t="n">
        <v>3</v>
      </c>
      <c r="E628" s="12" t="n">
        <v>2887.8</v>
      </c>
      <c r="F628" s="12" t="n">
        <v>4386.1</v>
      </c>
      <c r="G628" s="12" t="n">
        <v>-1498.3</v>
      </c>
      <c r="H628" s="13" t="n">
        <v>0.0868</v>
      </c>
      <c r="I628" s="13" t="n">
        <v>0.1379</v>
      </c>
    </row>
    <row r="629">
      <c r="A629" s="10" t="inlineStr">
        <is>
          <t>PJ-2021-D</t>
        </is>
      </c>
      <c r="B629" s="10" t="inlineStr">
        <is>
          <t>位置合わせ(MS指定)／月内均等</t>
        </is>
      </c>
      <c r="C629" s="10" t="inlineStr">
        <is>
          <t>2021-07</t>
        </is>
      </c>
      <c r="D629" s="10" t="n">
        <v>4</v>
      </c>
      <c r="E629" s="12" t="n">
        <v>3259.5</v>
      </c>
      <c r="F629" s="12" t="n">
        <v>5071.5</v>
      </c>
      <c r="G629" s="12" t="n">
        <v>-1812</v>
      </c>
      <c r="H629" s="13" t="n">
        <v>0.1261</v>
      </c>
      <c r="I629" s="13" t="n">
        <v>0.1991</v>
      </c>
    </row>
    <row r="630">
      <c r="A630" s="10" t="inlineStr">
        <is>
          <t>PJ-2021-D</t>
        </is>
      </c>
      <c r="B630" s="10" t="inlineStr">
        <is>
          <t>位置合わせ(MS指定)／月内均等</t>
        </is>
      </c>
      <c r="C630" s="10" t="inlineStr">
        <is>
          <t>2021-08</t>
        </is>
      </c>
      <c r="D630" s="10" t="n">
        <v>5</v>
      </c>
      <c r="E630" s="12" t="n">
        <v>3829.3</v>
      </c>
      <c r="F630" s="12" t="n">
        <v>5696.5</v>
      </c>
      <c r="G630" s="12" t="n">
        <v>-1867.2</v>
      </c>
      <c r="H630" s="13" t="n">
        <v>0.1723</v>
      </c>
      <c r="I630" s="13" t="n">
        <v>0.2678</v>
      </c>
    </row>
    <row r="631">
      <c r="A631" s="10" t="inlineStr">
        <is>
          <t>PJ-2021-D</t>
        </is>
      </c>
      <c r="B631" s="10" t="inlineStr">
        <is>
          <t>位置合わせ(MS指定)／月内均等</t>
        </is>
      </c>
      <c r="C631" s="10" t="inlineStr">
        <is>
          <t>2021-09</t>
        </is>
      </c>
      <c r="D631" s="10" t="n">
        <v>6</v>
      </c>
      <c r="E631" s="12" t="n">
        <v>4599.5</v>
      </c>
      <c r="F631" s="12" t="n">
        <v>6687.9</v>
      </c>
      <c r="G631" s="12" t="n">
        <v>-2088.4</v>
      </c>
      <c r="H631" s="13" t="n">
        <v>0.2278</v>
      </c>
      <c r="I631" s="13" t="n">
        <v>0.3484</v>
      </c>
    </row>
    <row r="632">
      <c r="A632" s="10" t="inlineStr">
        <is>
          <t>PJ-2021-D</t>
        </is>
      </c>
      <c r="B632" s="10" t="inlineStr">
        <is>
          <t>位置合わせ(MS指定)／月内均等</t>
        </is>
      </c>
      <c r="C632" s="10" t="inlineStr">
        <is>
          <t>2021-10</t>
        </is>
      </c>
      <c r="D632" s="10" t="n">
        <v>7</v>
      </c>
      <c r="E632" s="12" t="n">
        <v>5478.6</v>
      </c>
      <c r="F632" s="12" t="n">
        <v>7608.3</v>
      </c>
      <c r="G632" s="12" t="n">
        <v>-2129.7</v>
      </c>
      <c r="H632" s="13" t="n">
        <v>0.2938</v>
      </c>
      <c r="I632" s="13" t="n">
        <v>0.4402</v>
      </c>
    </row>
    <row r="633">
      <c r="A633" s="10" t="inlineStr">
        <is>
          <t>PJ-2021-D</t>
        </is>
      </c>
      <c r="B633" s="10" t="inlineStr">
        <is>
          <t>位置合わせ(MS指定)／月内均等</t>
        </is>
      </c>
      <c r="C633" s="10" t="inlineStr">
        <is>
          <t>2021-11</t>
        </is>
      </c>
      <c r="D633" s="10" t="n">
        <v>8</v>
      </c>
      <c r="E633" s="12" t="n">
        <v>6133</v>
      </c>
      <c r="F633" s="12" t="n">
        <v>6170.4</v>
      </c>
      <c r="G633" s="12" t="n">
        <v>-37.4</v>
      </c>
      <c r="H633" s="13" t="n">
        <v>0.3678</v>
      </c>
      <c r="I633" s="13" t="n">
        <v>0.5145999999999999</v>
      </c>
    </row>
    <row r="634">
      <c r="A634" s="10" t="inlineStr">
        <is>
          <t>PJ-2021-D</t>
        </is>
      </c>
      <c r="B634" s="10" t="inlineStr">
        <is>
          <t>位置合わせ(MS指定)／月内均等</t>
        </is>
      </c>
      <c r="C634" s="10" t="inlineStr">
        <is>
          <t>2021-12</t>
        </is>
      </c>
      <c r="D634" s="10" t="n">
        <v>9</v>
      </c>
      <c r="E634" s="12" t="n">
        <v>8893.5</v>
      </c>
      <c r="F634" s="12" t="n">
        <v>6196</v>
      </c>
      <c r="G634" s="12" t="n">
        <v>2697.5</v>
      </c>
      <c r="H634" s="13" t="n">
        <v>0.4751</v>
      </c>
      <c r="I634" s="13" t="n">
        <v>0.5893</v>
      </c>
    </row>
    <row r="635">
      <c r="A635" s="10" t="inlineStr">
        <is>
          <t>PJ-2021-D</t>
        </is>
      </c>
      <c r="B635" s="10" t="inlineStr">
        <is>
          <t>位置合わせ(MS指定)／月内均等</t>
        </is>
      </c>
      <c r="C635" s="10" t="inlineStr">
        <is>
          <t>2022-01</t>
        </is>
      </c>
      <c r="D635" s="10" t="n">
        <v>10</v>
      </c>
      <c r="E635" s="12" t="n">
        <v>10198.1</v>
      </c>
      <c r="F635" s="12" t="n">
        <v>8019.7</v>
      </c>
      <c r="G635" s="12" t="n">
        <v>2178.4</v>
      </c>
      <c r="H635" s="13" t="n">
        <v>0.598</v>
      </c>
      <c r="I635" s="13" t="n">
        <v>0.6860000000000001</v>
      </c>
    </row>
    <row r="636">
      <c r="A636" s="10" t="inlineStr">
        <is>
          <t>PJ-2021-D</t>
        </is>
      </c>
      <c r="B636" s="10" t="inlineStr">
        <is>
          <t>位置合わせ(MS指定)／月内均等</t>
        </is>
      </c>
      <c r="C636" s="10" t="inlineStr">
        <is>
          <t>2022-02</t>
        </is>
      </c>
      <c r="D636" s="10" t="n">
        <v>11</v>
      </c>
      <c r="E636" s="12" t="n">
        <v>9201.299999999999</v>
      </c>
      <c r="F636" s="12" t="n">
        <v>8831.1</v>
      </c>
      <c r="G636" s="12" t="n">
        <v>370.2</v>
      </c>
      <c r="H636" s="13" t="n">
        <v>0.709</v>
      </c>
      <c r="I636" s="13" t="n">
        <v>0.7925</v>
      </c>
    </row>
    <row r="637">
      <c r="A637" s="10" t="inlineStr">
        <is>
          <t>PJ-2021-D</t>
        </is>
      </c>
      <c r="B637" s="10" t="inlineStr">
        <is>
          <t>位置合わせ(MS指定)／月内均等</t>
        </is>
      </c>
      <c r="C637" s="10" t="inlineStr">
        <is>
          <t>2022-03</t>
        </is>
      </c>
      <c r="D637" s="10" t="n">
        <v>12</v>
      </c>
      <c r="E637" s="12" t="n">
        <v>9923.4</v>
      </c>
      <c r="F637" s="12" t="n">
        <v>7612.4</v>
      </c>
      <c r="G637" s="12" t="n">
        <v>2311</v>
      </c>
      <c r="H637" s="13" t="n">
        <v>0.8287</v>
      </c>
      <c r="I637" s="13" t="n">
        <v>0.8843</v>
      </c>
    </row>
    <row r="638">
      <c r="A638" s="10" t="inlineStr">
        <is>
          <t>PJ-2021-D</t>
        </is>
      </c>
      <c r="B638" s="10" t="inlineStr">
        <is>
          <t>位置合わせ(MS指定)／月内均等</t>
        </is>
      </c>
      <c r="C638" s="10" t="inlineStr">
        <is>
          <t>2022-04</t>
        </is>
      </c>
      <c r="D638" s="10" t="n">
        <v>13</v>
      </c>
      <c r="E638" s="12" t="n">
        <v>7727.6</v>
      </c>
      <c r="F638" s="12" t="n">
        <v>4770.5</v>
      </c>
      <c r="G638" s="12" t="n">
        <v>2957.1</v>
      </c>
      <c r="H638" s="13" t="n">
        <v>0.9219000000000001</v>
      </c>
      <c r="I638" s="13" t="n">
        <v>0.9419</v>
      </c>
    </row>
    <row r="639">
      <c r="A639" s="10" t="inlineStr">
        <is>
          <t>PJ-2021-D</t>
        </is>
      </c>
      <c r="B639" s="10" t="inlineStr">
        <is>
          <t>位置合わせ(MS指定)／月内均等</t>
        </is>
      </c>
      <c r="C639" s="10" t="inlineStr">
        <is>
          <t>2022-05</t>
        </is>
      </c>
      <c r="D639" s="10" t="n">
        <v>14</v>
      </c>
      <c r="E639" s="12" t="n">
        <v>4590.2</v>
      </c>
      <c r="F639" s="12" t="n">
        <v>3957</v>
      </c>
      <c r="G639" s="12" t="n">
        <v>633.2</v>
      </c>
      <c r="H639" s="13" t="n">
        <v>0.9772</v>
      </c>
      <c r="I639" s="13" t="n">
        <v>0.9896</v>
      </c>
    </row>
    <row r="640">
      <c r="A640" s="10" t="inlineStr">
        <is>
          <t>PJ-2021-D</t>
        </is>
      </c>
      <c r="B640" s="10" t="inlineStr">
        <is>
          <t>位置合わせ(MS指定)／月内均等</t>
        </is>
      </c>
      <c r="C640" s="10" t="inlineStr">
        <is>
          <t>2022-06</t>
        </is>
      </c>
      <c r="D640" s="10" t="n">
        <v>15</v>
      </c>
      <c r="E640" s="12" t="n">
        <v>1887.8</v>
      </c>
      <c r="F640" s="12" t="n">
        <v>864.5</v>
      </c>
      <c r="G640" s="12" t="n">
        <v>1023.3</v>
      </c>
      <c r="H640" s="13" t="n">
        <v>1</v>
      </c>
      <c r="I640" s="13" t="n">
        <v>1</v>
      </c>
    </row>
    <row r="641">
      <c r="A641" s="10" t="inlineStr">
        <is>
          <t>PJ-2021-D</t>
        </is>
      </c>
      <c r="B641" s="10" t="inlineStr">
        <is>
          <t>素朴版／単調補間</t>
        </is>
      </c>
      <c r="C641" s="10" t="inlineStr">
        <is>
          <t>2021-04</t>
        </is>
      </c>
      <c r="D641" s="10" t="n">
        <v>1</v>
      </c>
      <c r="E641" s="12" t="n">
        <v>2181.2</v>
      </c>
      <c r="F641" s="12" t="n">
        <v>3064.9</v>
      </c>
      <c r="G641" s="12" t="n">
        <v>-883.7</v>
      </c>
      <c r="H641" s="13" t="n">
        <v>0.0263</v>
      </c>
      <c r="I641" s="13" t="n">
        <v>0.037</v>
      </c>
    </row>
    <row r="642">
      <c r="A642" s="10" t="inlineStr">
        <is>
          <t>PJ-2021-D</t>
        </is>
      </c>
      <c r="B642" s="10" t="inlineStr">
        <is>
          <t>素朴版／単調補間</t>
        </is>
      </c>
      <c r="C642" s="10" t="inlineStr">
        <is>
          <t>2021-05</t>
        </is>
      </c>
      <c r="D642" s="10" t="n">
        <v>2</v>
      </c>
      <c r="E642" s="12" t="n">
        <v>3161.3</v>
      </c>
      <c r="F642" s="12" t="n">
        <v>3983.2</v>
      </c>
      <c r="G642" s="12" t="n">
        <v>-821.9</v>
      </c>
      <c r="H642" s="13" t="n">
        <v>0.0644</v>
      </c>
      <c r="I642" s="13" t="n">
        <v>0.08500000000000001</v>
      </c>
    </row>
    <row r="643">
      <c r="A643" s="10" t="inlineStr">
        <is>
          <t>PJ-2021-D</t>
        </is>
      </c>
      <c r="B643" s="10" t="inlineStr">
        <is>
          <t>素朴版／単調補間</t>
        </is>
      </c>
      <c r="C643" s="10" t="inlineStr">
        <is>
          <t>2021-06</t>
        </is>
      </c>
      <c r="D643" s="10" t="n">
        <v>3</v>
      </c>
      <c r="E643" s="12" t="n">
        <v>3589.5</v>
      </c>
      <c r="F643" s="12" t="n">
        <v>4386.1</v>
      </c>
      <c r="G643" s="12" t="n">
        <v>-796.6</v>
      </c>
      <c r="H643" s="13" t="n">
        <v>0.1077</v>
      </c>
      <c r="I643" s="13" t="n">
        <v>0.1379</v>
      </c>
    </row>
    <row r="644">
      <c r="A644" s="10" t="inlineStr">
        <is>
          <t>PJ-2021-D</t>
        </is>
      </c>
      <c r="B644" s="10" t="inlineStr">
        <is>
          <t>素朴版／単調補間</t>
        </is>
      </c>
      <c r="C644" s="10" t="inlineStr">
        <is>
          <t>2021-07</t>
        </is>
      </c>
      <c r="D644" s="10" t="n">
        <v>4</v>
      </c>
      <c r="E644" s="12" t="n">
        <v>4270.4</v>
      </c>
      <c r="F644" s="12" t="n">
        <v>5071.5</v>
      </c>
      <c r="G644" s="12" t="n">
        <v>-801.1</v>
      </c>
      <c r="H644" s="13" t="n">
        <v>0.1592</v>
      </c>
      <c r="I644" s="13" t="n">
        <v>0.1991</v>
      </c>
    </row>
    <row r="645">
      <c r="A645" s="10" t="inlineStr">
        <is>
          <t>PJ-2021-D</t>
        </is>
      </c>
      <c r="B645" s="10" t="inlineStr">
        <is>
          <t>素朴版／単調補間</t>
        </is>
      </c>
      <c r="C645" s="10" t="inlineStr">
        <is>
          <t>2021-08</t>
        </is>
      </c>
      <c r="D645" s="10" t="n">
        <v>5</v>
      </c>
      <c r="E645" s="12" t="n">
        <v>5697.5</v>
      </c>
      <c r="F645" s="12" t="n">
        <v>5696.5</v>
      </c>
      <c r="G645" s="12" t="n">
        <v>1</v>
      </c>
      <c r="H645" s="13" t="n">
        <v>0.2279</v>
      </c>
      <c r="I645" s="13" t="n">
        <v>0.2678</v>
      </c>
    </row>
    <row r="646">
      <c r="A646" s="10" t="inlineStr">
        <is>
          <t>PJ-2021-D</t>
        </is>
      </c>
      <c r="B646" s="10" t="inlineStr">
        <is>
          <t>素朴版／単調補間</t>
        </is>
      </c>
      <c r="C646" s="10" t="inlineStr">
        <is>
          <t>2021-09</t>
        </is>
      </c>
      <c r="D646" s="10" t="n">
        <v>6</v>
      </c>
      <c r="E646" s="12" t="n">
        <v>6623.8</v>
      </c>
      <c r="F646" s="12" t="n">
        <v>6687.9</v>
      </c>
      <c r="G646" s="12" t="n">
        <v>-64.09999999999999</v>
      </c>
      <c r="H646" s="13" t="n">
        <v>0.3078</v>
      </c>
      <c r="I646" s="13" t="n">
        <v>0.3484</v>
      </c>
    </row>
    <row r="647">
      <c r="A647" s="10" t="inlineStr">
        <is>
          <t>PJ-2021-D</t>
        </is>
      </c>
      <c r="B647" s="10" t="inlineStr">
        <is>
          <t>素朴版／単調補間</t>
        </is>
      </c>
      <c r="C647" s="10" t="inlineStr">
        <is>
          <t>2021-10</t>
        </is>
      </c>
      <c r="D647" s="10" t="n">
        <v>7</v>
      </c>
      <c r="E647" s="12" t="n">
        <v>6870.9</v>
      </c>
      <c r="F647" s="12" t="n">
        <v>7608.3</v>
      </c>
      <c r="G647" s="12" t="n">
        <v>-737.4</v>
      </c>
      <c r="H647" s="13" t="n">
        <v>0.3907</v>
      </c>
      <c r="I647" s="13" t="n">
        <v>0.4402</v>
      </c>
    </row>
    <row r="648">
      <c r="A648" s="10" t="inlineStr">
        <is>
          <t>PJ-2021-D</t>
        </is>
      </c>
      <c r="B648" s="10" t="inlineStr">
        <is>
          <t>素朴版／単調補間</t>
        </is>
      </c>
      <c r="C648" s="10" t="inlineStr">
        <is>
          <t>2021-11</t>
        </is>
      </c>
      <c r="D648" s="10" t="n">
        <v>8</v>
      </c>
      <c r="E648" s="12" t="n">
        <v>6977.9</v>
      </c>
      <c r="F648" s="12" t="n">
        <v>6170.4</v>
      </c>
      <c r="G648" s="12" t="n">
        <v>807.5</v>
      </c>
      <c r="H648" s="13" t="n">
        <v>0.4748</v>
      </c>
      <c r="I648" s="13" t="n">
        <v>0.5145999999999999</v>
      </c>
    </row>
    <row r="649">
      <c r="A649" s="10" t="inlineStr">
        <is>
          <t>PJ-2021-D</t>
        </is>
      </c>
      <c r="B649" s="10" t="inlineStr">
        <is>
          <t>素朴版／単調補間</t>
        </is>
      </c>
      <c r="C649" s="10" t="inlineStr">
        <is>
          <t>2021-12</t>
        </is>
      </c>
      <c r="D649" s="10" t="n">
        <v>9</v>
      </c>
      <c r="E649" s="12" t="n">
        <v>8162.3</v>
      </c>
      <c r="F649" s="12" t="n">
        <v>6196</v>
      </c>
      <c r="G649" s="12" t="n">
        <v>1966.3</v>
      </c>
      <c r="H649" s="13" t="n">
        <v>0.5733</v>
      </c>
      <c r="I649" s="13" t="n">
        <v>0.5893</v>
      </c>
    </row>
    <row r="650">
      <c r="A650" s="10" t="inlineStr">
        <is>
          <t>PJ-2021-D</t>
        </is>
      </c>
      <c r="B650" s="10" t="inlineStr">
        <is>
          <t>素朴版／単調補間</t>
        </is>
      </c>
      <c r="C650" s="10" t="inlineStr">
        <is>
          <t>2022-01</t>
        </is>
      </c>
      <c r="D650" s="10" t="n">
        <v>10</v>
      </c>
      <c r="E650" s="12" t="n">
        <v>8627.200000000001</v>
      </c>
      <c r="F650" s="12" t="n">
        <v>8019.7</v>
      </c>
      <c r="G650" s="12" t="n">
        <v>607.5</v>
      </c>
      <c r="H650" s="13" t="n">
        <v>0.6773</v>
      </c>
      <c r="I650" s="13" t="n">
        <v>0.6860000000000001</v>
      </c>
    </row>
    <row r="651">
      <c r="A651" s="10" t="inlineStr">
        <is>
          <t>PJ-2021-D</t>
        </is>
      </c>
      <c r="B651" s="10" t="inlineStr">
        <is>
          <t>素朴版／単調補間</t>
        </is>
      </c>
      <c r="C651" s="10" t="inlineStr">
        <is>
          <t>2022-02</t>
        </is>
      </c>
      <c r="D651" s="10" t="n">
        <v>11</v>
      </c>
      <c r="E651" s="12" t="n">
        <v>6597.4</v>
      </c>
      <c r="F651" s="12" t="n">
        <v>8831.1</v>
      </c>
      <c r="G651" s="12" t="n">
        <v>-2233.7</v>
      </c>
      <c r="H651" s="13" t="n">
        <v>0.7569</v>
      </c>
      <c r="I651" s="13" t="n">
        <v>0.7925</v>
      </c>
    </row>
    <row r="652">
      <c r="A652" s="10" t="inlineStr">
        <is>
          <t>PJ-2021-D</t>
        </is>
      </c>
      <c r="B652" s="10" t="inlineStr">
        <is>
          <t>素朴版／単調補間</t>
        </is>
      </c>
      <c r="C652" s="10" t="inlineStr">
        <is>
          <t>2022-03</t>
        </is>
      </c>
      <c r="D652" s="10" t="n">
        <v>12</v>
      </c>
      <c r="E652" s="12" t="n">
        <v>7269.4</v>
      </c>
      <c r="F652" s="12" t="n">
        <v>7612.4</v>
      </c>
      <c r="G652" s="12" t="n">
        <v>-343</v>
      </c>
      <c r="H652" s="13" t="n">
        <v>0.8445</v>
      </c>
      <c r="I652" s="13" t="n">
        <v>0.8843</v>
      </c>
    </row>
    <row r="653">
      <c r="A653" s="10" t="inlineStr">
        <is>
          <t>PJ-2021-D</t>
        </is>
      </c>
      <c r="B653" s="10" t="inlineStr">
        <is>
          <t>素朴版／単調補間</t>
        </is>
      </c>
      <c r="C653" s="10" t="inlineStr">
        <is>
          <t>2022-04</t>
        </is>
      </c>
      <c r="D653" s="10" t="n">
        <v>13</v>
      </c>
      <c r="E653" s="12" t="n">
        <v>6294.6</v>
      </c>
      <c r="F653" s="12" t="n">
        <v>4770.5</v>
      </c>
      <c r="G653" s="12" t="n">
        <v>1524.1</v>
      </c>
      <c r="H653" s="13" t="n">
        <v>0.9204</v>
      </c>
      <c r="I653" s="13" t="n">
        <v>0.9419</v>
      </c>
    </row>
    <row r="654">
      <c r="A654" s="10" t="inlineStr">
        <is>
          <t>PJ-2021-D</t>
        </is>
      </c>
      <c r="B654" s="10" t="inlineStr">
        <is>
          <t>素朴版／単調補間</t>
        </is>
      </c>
      <c r="C654" s="10" t="inlineStr">
        <is>
          <t>2022-05</t>
        </is>
      </c>
      <c r="D654" s="10" t="n">
        <v>14</v>
      </c>
      <c r="E654" s="12" t="n">
        <v>4295.8</v>
      </c>
      <c r="F654" s="12" t="n">
        <v>3957</v>
      </c>
      <c r="G654" s="12" t="n">
        <v>338.8</v>
      </c>
      <c r="H654" s="13" t="n">
        <v>0.9723000000000001</v>
      </c>
      <c r="I654" s="13" t="n">
        <v>0.9896</v>
      </c>
    </row>
    <row r="655">
      <c r="A655" s="10" t="inlineStr">
        <is>
          <t>PJ-2021-D</t>
        </is>
      </c>
      <c r="B655" s="10" t="inlineStr">
        <is>
          <t>素朴版／単調補間</t>
        </is>
      </c>
      <c r="C655" s="10" t="inlineStr">
        <is>
          <t>2022-06</t>
        </is>
      </c>
      <c r="D655" s="10" t="n">
        <v>15</v>
      </c>
      <c r="E655" s="12" t="n">
        <v>2300.6</v>
      </c>
      <c r="F655" s="12" t="n">
        <v>864.5</v>
      </c>
      <c r="G655" s="12" t="n">
        <v>1436.1</v>
      </c>
      <c r="H655" s="13" t="n">
        <v>1</v>
      </c>
      <c r="I655" s="13" t="n">
        <v>1</v>
      </c>
    </row>
    <row r="656">
      <c r="A656" s="10" t="inlineStr">
        <is>
          <t>PJ-2021-D</t>
        </is>
      </c>
      <c r="B656" s="10" t="inlineStr">
        <is>
          <t>位置合わせ(MS学習値)／単調補間</t>
        </is>
      </c>
      <c r="C656" s="10" t="inlineStr">
        <is>
          <t>2021-04</t>
        </is>
      </c>
      <c r="D656" s="10" t="n">
        <v>1</v>
      </c>
      <c r="E656" s="12" t="n">
        <v>2121.5</v>
      </c>
      <c r="F656" s="12" t="n">
        <v>3064.9</v>
      </c>
      <c r="G656" s="12" t="n">
        <v>-943.4</v>
      </c>
      <c r="H656" s="13" t="n">
        <v>0.0256</v>
      </c>
      <c r="I656" s="13" t="n">
        <v>0.037</v>
      </c>
    </row>
    <row r="657">
      <c r="A657" s="10" t="inlineStr">
        <is>
          <t>PJ-2021-D</t>
        </is>
      </c>
      <c r="B657" s="10" t="inlineStr">
        <is>
          <t>位置合わせ(MS学習値)／単調補間</t>
        </is>
      </c>
      <c r="C657" s="10" t="inlineStr">
        <is>
          <t>2021-05</t>
        </is>
      </c>
      <c r="D657" s="10" t="n">
        <v>2</v>
      </c>
      <c r="E657" s="12" t="n">
        <v>3084.1</v>
      </c>
      <c r="F657" s="12" t="n">
        <v>3983.2</v>
      </c>
      <c r="G657" s="12" t="n">
        <v>-899.1</v>
      </c>
      <c r="H657" s="13" t="n">
        <v>0.06279999999999999</v>
      </c>
      <c r="I657" s="13" t="n">
        <v>0.08500000000000001</v>
      </c>
    </row>
    <row r="658">
      <c r="A658" s="10" t="inlineStr">
        <is>
          <t>PJ-2021-D</t>
        </is>
      </c>
      <c r="B658" s="10" t="inlineStr">
        <is>
          <t>位置合わせ(MS学習値)／単調補間</t>
        </is>
      </c>
      <c r="C658" s="10" t="inlineStr">
        <is>
          <t>2021-06</t>
        </is>
      </c>
      <c r="D658" s="10" t="n">
        <v>3</v>
      </c>
      <c r="E658" s="12" t="n">
        <v>3494.6</v>
      </c>
      <c r="F658" s="12" t="n">
        <v>4386.1</v>
      </c>
      <c r="G658" s="12" t="n">
        <v>-891.5</v>
      </c>
      <c r="H658" s="13" t="n">
        <v>0.1049</v>
      </c>
      <c r="I658" s="13" t="n">
        <v>0.1379</v>
      </c>
    </row>
    <row r="659">
      <c r="A659" s="10" t="inlineStr">
        <is>
          <t>PJ-2021-D</t>
        </is>
      </c>
      <c r="B659" s="10" t="inlineStr">
        <is>
          <t>位置合わせ(MS学習値)／単調補間</t>
        </is>
      </c>
      <c r="C659" s="10" t="inlineStr">
        <is>
          <t>2021-07</t>
        </is>
      </c>
      <c r="D659" s="10" t="n">
        <v>4</v>
      </c>
      <c r="E659" s="12" t="n">
        <v>4158.2</v>
      </c>
      <c r="F659" s="12" t="n">
        <v>5071.5</v>
      </c>
      <c r="G659" s="12" t="n">
        <v>-913.3</v>
      </c>
      <c r="H659" s="13" t="n">
        <v>0.1551</v>
      </c>
      <c r="I659" s="13" t="n">
        <v>0.1991</v>
      </c>
    </row>
    <row r="660">
      <c r="A660" s="10" t="inlineStr">
        <is>
          <t>PJ-2021-D</t>
        </is>
      </c>
      <c r="B660" s="10" t="inlineStr">
        <is>
          <t>位置合わせ(MS学習値)／単調補間</t>
        </is>
      </c>
      <c r="C660" s="10" t="inlineStr">
        <is>
          <t>2021-08</t>
        </is>
      </c>
      <c r="D660" s="10" t="n">
        <v>5</v>
      </c>
      <c r="E660" s="12" t="n">
        <v>5194.2</v>
      </c>
      <c r="F660" s="12" t="n">
        <v>5696.5</v>
      </c>
      <c r="G660" s="12" t="n">
        <v>-502.3</v>
      </c>
      <c r="H660" s="13" t="n">
        <v>0.2177</v>
      </c>
      <c r="I660" s="13" t="n">
        <v>0.2678</v>
      </c>
    </row>
    <row r="661">
      <c r="A661" s="10" t="inlineStr">
        <is>
          <t>PJ-2021-D</t>
        </is>
      </c>
      <c r="B661" s="10" t="inlineStr">
        <is>
          <t>位置合わせ(MS学習値)／単調補間</t>
        </is>
      </c>
      <c r="C661" s="10" t="inlineStr">
        <is>
          <t>2021-09</t>
        </is>
      </c>
      <c r="D661" s="10" t="n">
        <v>6</v>
      </c>
      <c r="E661" s="12" t="n">
        <v>6116.6</v>
      </c>
      <c r="F661" s="12" t="n">
        <v>6687.9</v>
      </c>
      <c r="G661" s="12" t="n">
        <v>-571.3</v>
      </c>
      <c r="H661" s="13" t="n">
        <v>0.2915</v>
      </c>
      <c r="I661" s="13" t="n">
        <v>0.3484</v>
      </c>
    </row>
    <row r="662">
      <c r="A662" s="10" t="inlineStr">
        <is>
          <t>PJ-2021-D</t>
        </is>
      </c>
      <c r="B662" s="10" t="inlineStr">
        <is>
          <t>位置合わせ(MS学習値)／単調補間</t>
        </is>
      </c>
      <c r="C662" s="10" t="inlineStr">
        <is>
          <t>2021-10</t>
        </is>
      </c>
      <c r="D662" s="10" t="n">
        <v>7</v>
      </c>
      <c r="E662" s="12" t="n">
        <v>7499.2</v>
      </c>
      <c r="F662" s="12" t="n">
        <v>7608.3</v>
      </c>
      <c r="G662" s="12" t="n">
        <v>-109.1</v>
      </c>
      <c r="H662" s="13" t="n">
        <v>0.3819</v>
      </c>
      <c r="I662" s="13" t="n">
        <v>0.4402</v>
      </c>
    </row>
    <row r="663">
      <c r="A663" s="10" t="inlineStr">
        <is>
          <t>PJ-2021-D</t>
        </is>
      </c>
      <c r="B663" s="10" t="inlineStr">
        <is>
          <t>位置合わせ(MS学習値)／単調補間</t>
        </is>
      </c>
      <c r="C663" s="10" t="inlineStr">
        <is>
          <t>2021-11</t>
        </is>
      </c>
      <c r="D663" s="10" t="n">
        <v>8</v>
      </c>
      <c r="E663" s="12" t="n">
        <v>8127.1</v>
      </c>
      <c r="F663" s="12" t="n">
        <v>6170.4</v>
      </c>
      <c r="G663" s="12" t="n">
        <v>1956.7</v>
      </c>
      <c r="H663" s="13" t="n">
        <v>0.4799</v>
      </c>
      <c r="I663" s="13" t="n">
        <v>0.5145999999999999</v>
      </c>
    </row>
    <row r="664">
      <c r="A664" s="10" t="inlineStr">
        <is>
          <t>PJ-2021-D</t>
        </is>
      </c>
      <c r="B664" s="10" t="inlineStr">
        <is>
          <t>位置合わせ(MS学習値)／単調補間</t>
        </is>
      </c>
      <c r="C664" s="10" t="inlineStr">
        <is>
          <t>2021-12</t>
        </is>
      </c>
      <c r="D664" s="10" t="n">
        <v>9</v>
      </c>
      <c r="E664" s="12" t="n">
        <v>8291.5</v>
      </c>
      <c r="F664" s="12" t="n">
        <v>6196</v>
      </c>
      <c r="G664" s="12" t="n">
        <v>2095.5</v>
      </c>
      <c r="H664" s="13" t="n">
        <v>0.5799</v>
      </c>
      <c r="I664" s="13" t="n">
        <v>0.5893</v>
      </c>
    </row>
    <row r="665">
      <c r="A665" s="10" t="inlineStr">
        <is>
          <t>PJ-2021-D</t>
        </is>
      </c>
      <c r="B665" s="10" t="inlineStr">
        <is>
          <t>位置合わせ(MS学習値)／単調補間</t>
        </is>
      </c>
      <c r="C665" s="10" t="inlineStr">
        <is>
          <t>2022-01</t>
        </is>
      </c>
      <c r="D665" s="10" t="n">
        <v>10</v>
      </c>
      <c r="E665" s="12" t="n">
        <v>8126.4</v>
      </c>
      <c r="F665" s="12" t="n">
        <v>8019.7</v>
      </c>
      <c r="G665" s="12" t="n">
        <v>106.7</v>
      </c>
      <c r="H665" s="13" t="n">
        <v>0.6778999999999999</v>
      </c>
      <c r="I665" s="13" t="n">
        <v>0.6860000000000001</v>
      </c>
    </row>
    <row r="666">
      <c r="A666" s="10" t="inlineStr">
        <is>
          <t>PJ-2021-D</t>
        </is>
      </c>
      <c r="B666" s="10" t="inlineStr">
        <is>
          <t>位置合わせ(MS学習値)／単調補間</t>
        </is>
      </c>
      <c r="C666" s="10" t="inlineStr">
        <is>
          <t>2022-02</t>
        </is>
      </c>
      <c r="D666" s="10" t="n">
        <v>11</v>
      </c>
      <c r="E666" s="12" t="n">
        <v>7514.1</v>
      </c>
      <c r="F666" s="12" t="n">
        <v>8831.1</v>
      </c>
      <c r="G666" s="12" t="n">
        <v>-1317</v>
      </c>
      <c r="H666" s="13" t="n">
        <v>0.7685</v>
      </c>
      <c r="I666" s="13" t="n">
        <v>0.7925</v>
      </c>
    </row>
    <row r="667">
      <c r="A667" s="10" t="inlineStr">
        <is>
          <t>PJ-2021-D</t>
        </is>
      </c>
      <c r="B667" s="10" t="inlineStr">
        <is>
          <t>位置合わせ(MS学習値)／単調補間</t>
        </is>
      </c>
      <c r="C667" s="10" t="inlineStr">
        <is>
          <t>2022-03</t>
        </is>
      </c>
      <c r="D667" s="10" t="n">
        <v>12</v>
      </c>
      <c r="E667" s="12" t="n">
        <v>6999.6</v>
      </c>
      <c r="F667" s="12" t="n">
        <v>7612.4</v>
      </c>
      <c r="G667" s="12" t="n">
        <v>-612.8</v>
      </c>
      <c r="H667" s="13" t="n">
        <v>0.853</v>
      </c>
      <c r="I667" s="13" t="n">
        <v>0.8843</v>
      </c>
    </row>
    <row r="668">
      <c r="A668" s="10" t="inlineStr">
        <is>
          <t>PJ-2021-D</t>
        </is>
      </c>
      <c r="B668" s="10" t="inlineStr">
        <is>
          <t>位置合わせ(MS学習値)／単調補間</t>
        </is>
      </c>
      <c r="C668" s="10" t="inlineStr">
        <is>
          <t>2022-04</t>
        </is>
      </c>
      <c r="D668" s="10" t="n">
        <v>13</v>
      </c>
      <c r="E668" s="12" t="n">
        <v>5592</v>
      </c>
      <c r="F668" s="12" t="n">
        <v>4770.5</v>
      </c>
      <c r="G668" s="12" t="n">
        <v>821.5</v>
      </c>
      <c r="H668" s="13" t="n">
        <v>0.9204</v>
      </c>
      <c r="I668" s="13" t="n">
        <v>0.9419</v>
      </c>
    </row>
    <row r="669">
      <c r="A669" s="10" t="inlineStr">
        <is>
          <t>PJ-2021-D</t>
        </is>
      </c>
      <c r="B669" s="10" t="inlineStr">
        <is>
          <t>位置合わせ(MS学習値)／単調補間</t>
        </is>
      </c>
      <c r="C669" s="10" t="inlineStr">
        <is>
          <t>2022-05</t>
        </is>
      </c>
      <c r="D669" s="10" t="n">
        <v>14</v>
      </c>
      <c r="E669" s="12" t="n">
        <v>4304.2</v>
      </c>
      <c r="F669" s="12" t="n">
        <v>3957</v>
      </c>
      <c r="G669" s="12" t="n">
        <v>347.2</v>
      </c>
      <c r="H669" s="13" t="n">
        <v>0.9723000000000001</v>
      </c>
      <c r="I669" s="13" t="n">
        <v>0.9896</v>
      </c>
    </row>
    <row r="670">
      <c r="A670" s="10" t="inlineStr">
        <is>
          <t>PJ-2021-D</t>
        </is>
      </c>
      <c r="B670" s="10" t="inlineStr">
        <is>
          <t>位置合わせ(MS学習値)／単調補間</t>
        </is>
      </c>
      <c r="C670" s="10" t="inlineStr">
        <is>
          <t>2022-06</t>
        </is>
      </c>
      <c r="D670" s="10" t="n">
        <v>15</v>
      </c>
      <c r="E670" s="12" t="n">
        <v>2296.9</v>
      </c>
      <c r="F670" s="12" t="n">
        <v>864.5</v>
      </c>
      <c r="G670" s="12" t="n">
        <v>1432.4</v>
      </c>
      <c r="H670" s="13" t="n">
        <v>1</v>
      </c>
      <c r="I670" s="13" t="n">
        <v>1</v>
      </c>
    </row>
    <row r="671">
      <c r="A671" s="10" t="inlineStr">
        <is>
          <t>PJ-2021-D</t>
        </is>
      </c>
      <c r="B671" s="10" t="inlineStr">
        <is>
          <t>位置合わせ(MS指定)／単調補間</t>
        </is>
      </c>
      <c r="C671" s="10" t="inlineStr">
        <is>
          <t>2021-04</t>
        </is>
      </c>
      <c r="D671" s="10" t="n">
        <v>1</v>
      </c>
      <c r="E671" s="12" t="n">
        <v>1745.9</v>
      </c>
      <c r="F671" s="12" t="n">
        <v>3064.9</v>
      </c>
      <c r="G671" s="12" t="n">
        <v>-1319</v>
      </c>
      <c r="H671" s="13" t="n">
        <v>0.0211</v>
      </c>
      <c r="I671" s="13" t="n">
        <v>0.037</v>
      </c>
    </row>
    <row r="672">
      <c r="A672" s="10" t="inlineStr">
        <is>
          <t>PJ-2021-D</t>
        </is>
      </c>
      <c r="B672" s="10" t="inlineStr">
        <is>
          <t>位置合わせ(MS指定)／単調補間</t>
        </is>
      </c>
      <c r="C672" s="10" t="inlineStr">
        <is>
          <t>2021-05</t>
        </is>
      </c>
      <c r="D672" s="10" t="n">
        <v>2</v>
      </c>
      <c r="E672" s="12" t="n">
        <v>2545.6</v>
      </c>
      <c r="F672" s="12" t="n">
        <v>3983.2</v>
      </c>
      <c r="G672" s="12" t="n">
        <v>-1437.6</v>
      </c>
      <c r="H672" s="13" t="n">
        <v>0.0518</v>
      </c>
      <c r="I672" s="13" t="n">
        <v>0.08500000000000001</v>
      </c>
    </row>
    <row r="673">
      <c r="A673" s="10" t="inlineStr">
        <is>
          <t>PJ-2021-D</t>
        </is>
      </c>
      <c r="B673" s="10" t="inlineStr">
        <is>
          <t>位置合わせ(MS指定)／単調補間</t>
        </is>
      </c>
      <c r="C673" s="10" t="inlineStr">
        <is>
          <t>2021-06</t>
        </is>
      </c>
      <c r="D673" s="10" t="n">
        <v>3</v>
      </c>
      <c r="E673" s="12" t="n">
        <v>2896.2</v>
      </c>
      <c r="F673" s="12" t="n">
        <v>4386.1</v>
      </c>
      <c r="G673" s="12" t="n">
        <v>-1489.9</v>
      </c>
      <c r="H673" s="13" t="n">
        <v>0.0867</v>
      </c>
      <c r="I673" s="13" t="n">
        <v>0.1379</v>
      </c>
    </row>
    <row r="674">
      <c r="A674" s="10" t="inlineStr">
        <is>
          <t>PJ-2021-D</t>
        </is>
      </c>
      <c r="B674" s="10" t="inlineStr">
        <is>
          <t>位置合わせ(MS指定)／単調補間</t>
        </is>
      </c>
      <c r="C674" s="10" t="inlineStr">
        <is>
          <t>2021-07</t>
        </is>
      </c>
      <c r="D674" s="10" t="n">
        <v>4</v>
      </c>
      <c r="E674" s="12" t="n">
        <v>3255.7</v>
      </c>
      <c r="F674" s="12" t="n">
        <v>5071.5</v>
      </c>
      <c r="G674" s="12" t="n">
        <v>-1815.8</v>
      </c>
      <c r="H674" s="13" t="n">
        <v>0.1259</v>
      </c>
      <c r="I674" s="13" t="n">
        <v>0.1991</v>
      </c>
    </row>
    <row r="675">
      <c r="A675" s="10" t="inlineStr">
        <is>
          <t>PJ-2021-D</t>
        </is>
      </c>
      <c r="B675" s="10" t="inlineStr">
        <is>
          <t>位置合わせ(MS指定)／単調補間</t>
        </is>
      </c>
      <c r="C675" s="10" t="inlineStr">
        <is>
          <t>2021-08</t>
        </is>
      </c>
      <c r="D675" s="10" t="n">
        <v>5</v>
      </c>
      <c r="E675" s="12" t="n">
        <v>3821.4</v>
      </c>
      <c r="F675" s="12" t="n">
        <v>5696.5</v>
      </c>
      <c r="G675" s="12" t="n">
        <v>-1875.1</v>
      </c>
      <c r="H675" s="13" t="n">
        <v>0.172</v>
      </c>
      <c r="I675" s="13" t="n">
        <v>0.2678</v>
      </c>
    </row>
    <row r="676">
      <c r="A676" s="10" t="inlineStr">
        <is>
          <t>PJ-2021-D</t>
        </is>
      </c>
      <c r="B676" s="10" t="inlineStr">
        <is>
          <t>位置合わせ(MS指定)／単調補間</t>
        </is>
      </c>
      <c r="C676" s="10" t="inlineStr">
        <is>
          <t>2021-09</t>
        </is>
      </c>
      <c r="D676" s="10" t="n">
        <v>6</v>
      </c>
      <c r="E676" s="12" t="n">
        <v>4604.6</v>
      </c>
      <c r="F676" s="12" t="n">
        <v>6687.9</v>
      </c>
      <c r="G676" s="12" t="n">
        <v>-2083.3</v>
      </c>
      <c r="H676" s="13" t="n">
        <v>0.2276</v>
      </c>
      <c r="I676" s="13" t="n">
        <v>0.3484</v>
      </c>
    </row>
    <row r="677">
      <c r="A677" s="10" t="inlineStr">
        <is>
          <t>PJ-2021-D</t>
        </is>
      </c>
      <c r="B677" s="10" t="inlineStr">
        <is>
          <t>位置合わせ(MS指定)／単調補間</t>
        </is>
      </c>
      <c r="C677" s="10" t="inlineStr">
        <is>
          <t>2021-10</t>
        </is>
      </c>
      <c r="D677" s="10" t="n">
        <v>7</v>
      </c>
      <c r="E677" s="12" t="n">
        <v>5477.6</v>
      </c>
      <c r="F677" s="12" t="n">
        <v>7608.3</v>
      </c>
      <c r="G677" s="12" t="n">
        <v>-2130.7</v>
      </c>
      <c r="H677" s="13" t="n">
        <v>0.2936</v>
      </c>
      <c r="I677" s="13" t="n">
        <v>0.4402</v>
      </c>
    </row>
    <row r="678">
      <c r="A678" s="10" t="inlineStr">
        <is>
          <t>PJ-2021-D</t>
        </is>
      </c>
      <c r="B678" s="10" t="inlineStr">
        <is>
          <t>位置合わせ(MS指定)／単調補間</t>
        </is>
      </c>
      <c r="C678" s="10" t="inlineStr">
        <is>
          <t>2021-11</t>
        </is>
      </c>
      <c r="D678" s="10" t="n">
        <v>8</v>
      </c>
      <c r="E678" s="12" t="n">
        <v>6145.8</v>
      </c>
      <c r="F678" s="12" t="n">
        <v>6170.4</v>
      </c>
      <c r="G678" s="12" t="n">
        <v>-24.6</v>
      </c>
      <c r="H678" s="13" t="n">
        <v>0.3677</v>
      </c>
      <c r="I678" s="13" t="n">
        <v>0.5145999999999999</v>
      </c>
    </row>
    <row r="679">
      <c r="A679" s="10" t="inlineStr">
        <is>
          <t>PJ-2021-D</t>
        </is>
      </c>
      <c r="B679" s="10" t="inlineStr">
        <is>
          <t>位置合わせ(MS指定)／単調補間</t>
        </is>
      </c>
      <c r="C679" s="10" t="inlineStr">
        <is>
          <t>2021-12</t>
        </is>
      </c>
      <c r="D679" s="10" t="n">
        <v>9</v>
      </c>
      <c r="E679" s="12" t="n">
        <v>8841.299999999999</v>
      </c>
      <c r="F679" s="12" t="n">
        <v>6196</v>
      </c>
      <c r="G679" s="12" t="n">
        <v>2645.3</v>
      </c>
      <c r="H679" s="13" t="n">
        <v>0.4744</v>
      </c>
      <c r="I679" s="13" t="n">
        <v>0.5893</v>
      </c>
    </row>
    <row r="680">
      <c r="A680" s="10" t="inlineStr">
        <is>
          <t>PJ-2021-D</t>
        </is>
      </c>
      <c r="B680" s="10" t="inlineStr">
        <is>
          <t>位置合わせ(MS指定)／単調補間</t>
        </is>
      </c>
      <c r="C680" s="10" t="inlineStr">
        <is>
          <t>2022-01</t>
        </is>
      </c>
      <c r="D680" s="10" t="n">
        <v>10</v>
      </c>
      <c r="E680" s="12" t="n">
        <v>10272.8</v>
      </c>
      <c r="F680" s="12" t="n">
        <v>8019.7</v>
      </c>
      <c r="G680" s="12" t="n">
        <v>2253.1</v>
      </c>
      <c r="H680" s="13" t="n">
        <v>0.5983000000000001</v>
      </c>
      <c r="I680" s="13" t="n">
        <v>0.6860000000000001</v>
      </c>
    </row>
    <row r="681">
      <c r="A681" s="10" t="inlineStr">
        <is>
          <t>PJ-2021-D</t>
        </is>
      </c>
      <c r="B681" s="10" t="inlineStr">
        <is>
          <t>位置合わせ(MS指定)／単調補間</t>
        </is>
      </c>
      <c r="C681" s="10" t="inlineStr">
        <is>
          <t>2022-02</t>
        </is>
      </c>
      <c r="D681" s="10" t="n">
        <v>11</v>
      </c>
      <c r="E681" s="12" t="n">
        <v>9237.9</v>
      </c>
      <c r="F681" s="12" t="n">
        <v>8831.1</v>
      </c>
      <c r="G681" s="12" t="n">
        <v>406.8</v>
      </c>
      <c r="H681" s="13" t="n">
        <v>0.7097</v>
      </c>
      <c r="I681" s="13" t="n">
        <v>0.7925</v>
      </c>
    </row>
    <row r="682">
      <c r="A682" s="10" t="inlineStr">
        <is>
          <t>PJ-2021-D</t>
        </is>
      </c>
      <c r="B682" s="10" t="inlineStr">
        <is>
          <t>位置合わせ(MS指定)／単調補間</t>
        </is>
      </c>
      <c r="C682" s="10" t="inlineStr">
        <is>
          <t>2022-03</t>
        </is>
      </c>
      <c r="D682" s="10" t="n">
        <v>12</v>
      </c>
      <c r="E682" s="12" t="n">
        <v>9904.1</v>
      </c>
      <c r="F682" s="12" t="n">
        <v>7612.4</v>
      </c>
      <c r="G682" s="12" t="n">
        <v>2291.7</v>
      </c>
      <c r="H682" s="13" t="n">
        <v>0.8290999999999999</v>
      </c>
      <c r="I682" s="13" t="n">
        <v>0.8843</v>
      </c>
    </row>
    <row r="683">
      <c r="A683" s="10" t="inlineStr">
        <is>
          <t>PJ-2021-D</t>
        </is>
      </c>
      <c r="B683" s="10" t="inlineStr">
        <is>
          <t>位置合わせ(MS指定)／単調補間</t>
        </is>
      </c>
      <c r="C683" s="10" t="inlineStr">
        <is>
          <t>2022-04</t>
        </is>
      </c>
      <c r="D683" s="10" t="n">
        <v>13</v>
      </c>
      <c r="E683" s="12" t="n">
        <v>7729.2</v>
      </c>
      <c r="F683" s="12" t="n">
        <v>4770.5</v>
      </c>
      <c r="G683" s="12" t="n">
        <v>2958.7</v>
      </c>
      <c r="H683" s="13" t="n">
        <v>0.9223</v>
      </c>
      <c r="I683" s="13" t="n">
        <v>0.9419</v>
      </c>
    </row>
    <row r="684">
      <c r="A684" s="10" t="inlineStr">
        <is>
          <t>PJ-2021-D</t>
        </is>
      </c>
      <c r="B684" s="10" t="inlineStr">
        <is>
          <t>位置合わせ(MS指定)／単調補間</t>
        </is>
      </c>
      <c r="C684" s="10" t="inlineStr">
        <is>
          <t>2022-05</t>
        </is>
      </c>
      <c r="D684" s="10" t="n">
        <v>14</v>
      </c>
      <c r="E684" s="12" t="n">
        <v>4607.3</v>
      </c>
      <c r="F684" s="12" t="n">
        <v>3957</v>
      </c>
      <c r="G684" s="12" t="n">
        <v>650.3</v>
      </c>
      <c r="H684" s="13" t="n">
        <v>0.9779</v>
      </c>
      <c r="I684" s="13" t="n">
        <v>0.9896</v>
      </c>
    </row>
    <row r="685">
      <c r="A685" s="10" t="inlineStr">
        <is>
          <t>PJ-2021-D</t>
        </is>
      </c>
      <c r="B685" s="10" t="inlineStr">
        <is>
          <t>位置合わせ(MS指定)／単調補間</t>
        </is>
      </c>
      <c r="C685" s="10" t="inlineStr">
        <is>
          <t>2022-06</t>
        </is>
      </c>
      <c r="D685" s="10" t="n">
        <v>15</v>
      </c>
      <c r="E685" s="12" t="n">
        <v>1834.5</v>
      </c>
      <c r="F685" s="12" t="n">
        <v>864.5</v>
      </c>
      <c r="G685" s="12" t="n">
        <v>970</v>
      </c>
      <c r="H685" s="13" t="n">
        <v>1</v>
      </c>
      <c r="I685" s="13" t="n">
        <v>1</v>
      </c>
    </row>
    <row r="686">
      <c r="A686" s="10" t="inlineStr">
        <is>
          <t>PJ-2021-E</t>
        </is>
      </c>
      <c r="B686" s="10" t="inlineStr">
        <is>
          <t>素朴版／月内均等</t>
        </is>
      </c>
      <c r="C686" s="10" t="inlineStr">
        <is>
          <t>2021-01</t>
        </is>
      </c>
      <c r="D686" s="10" t="n">
        <v>1</v>
      </c>
      <c r="E686" s="12" t="n">
        <v>5511.4</v>
      </c>
      <c r="F686" s="12" t="n">
        <v>2212.8</v>
      </c>
      <c r="G686" s="12" t="n">
        <v>3298.6</v>
      </c>
      <c r="H686" s="13" t="n">
        <v>0.0114</v>
      </c>
      <c r="I686" s="13" t="n">
        <v>0.0046</v>
      </c>
    </row>
    <row r="687">
      <c r="A687" s="10" t="inlineStr">
        <is>
          <t>PJ-2021-E</t>
        </is>
      </c>
      <c r="B687" s="10" t="inlineStr">
        <is>
          <t>素朴版／月内均等</t>
        </is>
      </c>
      <c r="C687" s="10" t="inlineStr">
        <is>
          <t>2021-02</t>
        </is>
      </c>
      <c r="D687" s="10" t="n">
        <v>2</v>
      </c>
      <c r="E687" s="12" t="n">
        <v>5762.7</v>
      </c>
      <c r="F687" s="12" t="n">
        <v>3289.4</v>
      </c>
      <c r="G687" s="12" t="n">
        <v>2473.3</v>
      </c>
      <c r="H687" s="13" t="n">
        <v>0.0234</v>
      </c>
      <c r="I687" s="13" t="n">
        <v>0.0114</v>
      </c>
    </row>
    <row r="688">
      <c r="A688" s="10" t="inlineStr">
        <is>
          <t>PJ-2021-E</t>
        </is>
      </c>
      <c r="B688" s="10" t="inlineStr">
        <is>
          <t>素朴版／月内均等</t>
        </is>
      </c>
      <c r="C688" s="10" t="inlineStr">
        <is>
          <t>2021-03</t>
        </is>
      </c>
      <c r="D688" s="10" t="n">
        <v>3</v>
      </c>
      <c r="E688" s="12" t="n">
        <v>7497.3</v>
      </c>
      <c r="F688" s="12" t="n">
        <v>4610.7</v>
      </c>
      <c r="G688" s="12" t="n">
        <v>2886.6</v>
      </c>
      <c r="H688" s="13" t="n">
        <v>0.0389</v>
      </c>
      <c r="I688" s="13" t="n">
        <v>0.021</v>
      </c>
    </row>
    <row r="689">
      <c r="A689" s="10" t="inlineStr">
        <is>
          <t>PJ-2021-E</t>
        </is>
      </c>
      <c r="B689" s="10" t="inlineStr">
        <is>
          <t>素朴版／月内均等</t>
        </is>
      </c>
      <c r="C689" s="10" t="inlineStr">
        <is>
          <t>2021-04</t>
        </is>
      </c>
      <c r="D689" s="10" t="n">
        <v>4</v>
      </c>
      <c r="E689" s="12" t="n">
        <v>7705.2</v>
      </c>
      <c r="F689" s="12" t="n">
        <v>5392.8</v>
      </c>
      <c r="G689" s="12" t="n">
        <v>2312.4</v>
      </c>
      <c r="H689" s="13" t="n">
        <v>0.0549</v>
      </c>
      <c r="I689" s="13" t="n">
        <v>0.0322</v>
      </c>
    </row>
    <row r="690">
      <c r="A690" s="10" t="inlineStr">
        <is>
          <t>PJ-2021-E</t>
        </is>
      </c>
      <c r="B690" s="10" t="inlineStr">
        <is>
          <t>素朴版／月内均等</t>
        </is>
      </c>
      <c r="C690" s="10" t="inlineStr">
        <is>
          <t>2021-05</t>
        </is>
      </c>
      <c r="D690" s="10" t="n">
        <v>5</v>
      </c>
      <c r="E690" s="12" t="n">
        <v>8723</v>
      </c>
      <c r="F690" s="12" t="n">
        <v>5875.1</v>
      </c>
      <c r="G690" s="12" t="n">
        <v>2847.9</v>
      </c>
      <c r="H690" s="13" t="n">
        <v>0.073</v>
      </c>
      <c r="I690" s="13" t="n">
        <v>0.0443</v>
      </c>
    </row>
    <row r="691">
      <c r="A691" s="10" t="inlineStr">
        <is>
          <t>PJ-2021-E</t>
        </is>
      </c>
      <c r="B691" s="10" t="inlineStr">
        <is>
          <t>素朴版／月内均等</t>
        </is>
      </c>
      <c r="C691" s="10" t="inlineStr">
        <is>
          <t>2021-06</t>
        </is>
      </c>
      <c r="D691" s="10" t="n">
        <v>6</v>
      </c>
      <c r="E691" s="12" t="n">
        <v>9062.799999999999</v>
      </c>
      <c r="F691" s="12" t="n">
        <v>6664.2</v>
      </c>
      <c r="G691" s="12" t="n">
        <v>2398.6</v>
      </c>
      <c r="H691" s="13" t="n">
        <v>0.09180000000000001</v>
      </c>
      <c r="I691" s="13" t="n">
        <v>0.0582</v>
      </c>
    </row>
    <row r="692">
      <c r="A692" s="10" t="inlineStr">
        <is>
          <t>PJ-2021-E</t>
        </is>
      </c>
      <c r="B692" s="10" t="inlineStr">
        <is>
          <t>素朴版／月内均等</t>
        </is>
      </c>
      <c r="C692" s="10" t="inlineStr">
        <is>
          <t>2021-07</t>
        </is>
      </c>
      <c r="D692" s="10" t="n">
        <v>7</v>
      </c>
      <c r="E692" s="12" t="n">
        <v>9471.6</v>
      </c>
      <c r="F692" s="12" t="n">
        <v>7114.2</v>
      </c>
      <c r="G692" s="12" t="n">
        <v>2357.4</v>
      </c>
      <c r="H692" s="13" t="n">
        <v>0.1114</v>
      </c>
      <c r="I692" s="13" t="n">
        <v>0.07290000000000001</v>
      </c>
    </row>
    <row r="693">
      <c r="A693" s="10" t="inlineStr">
        <is>
          <t>PJ-2021-E</t>
        </is>
      </c>
      <c r="B693" s="10" t="inlineStr">
        <is>
          <t>素朴版／月内均等</t>
        </is>
      </c>
      <c r="C693" s="10" t="inlineStr">
        <is>
          <t>2021-08</t>
        </is>
      </c>
      <c r="D693" s="10" t="n">
        <v>8</v>
      </c>
      <c r="E693" s="12" t="n">
        <v>9937.5</v>
      </c>
      <c r="F693" s="12" t="n">
        <v>7159.8</v>
      </c>
      <c r="G693" s="12" t="n">
        <v>2777.7</v>
      </c>
      <c r="H693" s="13" t="n">
        <v>0.1321</v>
      </c>
      <c r="I693" s="13" t="n">
        <v>0.0878</v>
      </c>
    </row>
    <row r="694">
      <c r="A694" s="10" t="inlineStr">
        <is>
          <t>PJ-2021-E</t>
        </is>
      </c>
      <c r="B694" s="10" t="inlineStr">
        <is>
          <t>素朴版／月内均等</t>
        </is>
      </c>
      <c r="C694" s="10" t="inlineStr">
        <is>
          <t>2021-09</t>
        </is>
      </c>
      <c r="D694" s="10" t="n">
        <v>9</v>
      </c>
      <c r="E694" s="12" t="n">
        <v>10455.2</v>
      </c>
      <c r="F694" s="12" t="n">
        <v>7725.3</v>
      </c>
      <c r="G694" s="12" t="n">
        <v>2729.9</v>
      </c>
      <c r="H694" s="13" t="n">
        <v>0.1537</v>
      </c>
      <c r="I694" s="13" t="n">
        <v>0.1038</v>
      </c>
    </row>
    <row r="695">
      <c r="A695" s="10" t="inlineStr">
        <is>
          <t>PJ-2021-E</t>
        </is>
      </c>
      <c r="B695" s="10" t="inlineStr">
        <is>
          <t>素朴版／月内均等</t>
        </is>
      </c>
      <c r="C695" s="10" t="inlineStr">
        <is>
          <t>2021-10</t>
        </is>
      </c>
      <c r="D695" s="10" t="n">
        <v>10</v>
      </c>
      <c r="E695" s="12" t="n">
        <v>11623.3</v>
      </c>
      <c r="F695" s="12" t="n">
        <v>11396.5</v>
      </c>
      <c r="G695" s="12" t="n">
        <v>226.8</v>
      </c>
      <c r="H695" s="13" t="n">
        <v>0.1778</v>
      </c>
      <c r="I695" s="13" t="n">
        <v>0.1274</v>
      </c>
    </row>
    <row r="696">
      <c r="A696" s="10" t="inlineStr">
        <is>
          <t>PJ-2021-E</t>
        </is>
      </c>
      <c r="B696" s="10" t="inlineStr">
        <is>
          <t>素朴版／月内均等</t>
        </is>
      </c>
      <c r="C696" s="10" t="inlineStr">
        <is>
          <t>2021-11</t>
        </is>
      </c>
      <c r="D696" s="10" t="n">
        <v>11</v>
      </c>
      <c r="E696" s="12" t="n">
        <v>12119.4</v>
      </c>
      <c r="F696" s="12" t="n">
        <v>22707.4</v>
      </c>
      <c r="G696" s="12" t="n">
        <v>-10588</v>
      </c>
      <c r="H696" s="13" t="n">
        <v>0.203</v>
      </c>
      <c r="I696" s="13" t="n">
        <v>0.1745</v>
      </c>
    </row>
    <row r="697">
      <c r="A697" s="10" t="inlineStr">
        <is>
          <t>PJ-2021-E</t>
        </is>
      </c>
      <c r="B697" s="10" t="inlineStr">
        <is>
          <t>素朴版／月内均等</t>
        </is>
      </c>
      <c r="C697" s="10" t="inlineStr">
        <is>
          <t>2021-12</t>
        </is>
      </c>
      <c r="D697" s="10" t="n">
        <v>12</v>
      </c>
      <c r="E697" s="12" t="n">
        <v>13370.5</v>
      </c>
      <c r="F697" s="12" t="n">
        <v>24332.8</v>
      </c>
      <c r="G697" s="12" t="n">
        <v>-10962.3</v>
      </c>
      <c r="H697" s="13" t="n">
        <v>0.2307</v>
      </c>
      <c r="I697" s="13" t="n">
        <v>0.225</v>
      </c>
    </row>
    <row r="698">
      <c r="A698" s="10" t="inlineStr">
        <is>
          <t>PJ-2021-E</t>
        </is>
      </c>
      <c r="B698" s="10" t="inlineStr">
        <is>
          <t>素朴版／月内均等</t>
        </is>
      </c>
      <c r="C698" s="10" t="inlineStr">
        <is>
          <t>2022-01</t>
        </is>
      </c>
      <c r="D698" s="10" t="n">
        <v>13</v>
      </c>
      <c r="E698" s="12" t="n">
        <v>14081.6</v>
      </c>
      <c r="F698" s="12" t="n">
        <v>28940.1</v>
      </c>
      <c r="G698" s="12" t="n">
        <v>-14858.5</v>
      </c>
      <c r="H698" s="13" t="n">
        <v>0.2599</v>
      </c>
      <c r="I698" s="13" t="n">
        <v>0.285</v>
      </c>
    </row>
    <row r="699">
      <c r="A699" s="10" t="inlineStr">
        <is>
          <t>PJ-2021-E</t>
        </is>
      </c>
      <c r="B699" s="10" t="inlineStr">
        <is>
          <t>素朴版／月内均等</t>
        </is>
      </c>
      <c r="C699" s="10" t="inlineStr">
        <is>
          <t>2022-02</t>
        </is>
      </c>
      <c r="D699" s="10" t="n">
        <v>14</v>
      </c>
      <c r="E699" s="12" t="n">
        <v>13251.3</v>
      </c>
      <c r="F699" s="12" t="n">
        <v>28533.6</v>
      </c>
      <c r="G699" s="12" t="n">
        <v>-15282.3</v>
      </c>
      <c r="H699" s="13" t="n">
        <v>0.2874</v>
      </c>
      <c r="I699" s="13" t="n">
        <v>0.3442</v>
      </c>
    </row>
    <row r="700">
      <c r="A700" s="10" t="inlineStr">
        <is>
          <t>PJ-2021-E</t>
        </is>
      </c>
      <c r="B700" s="10" t="inlineStr">
        <is>
          <t>素朴版／月内均等</t>
        </is>
      </c>
      <c r="C700" s="10" t="inlineStr">
        <is>
          <t>2022-03</t>
        </is>
      </c>
      <c r="D700" s="10" t="n">
        <v>15</v>
      </c>
      <c r="E700" s="12" t="n">
        <v>15847.8</v>
      </c>
      <c r="F700" s="12" t="n">
        <v>39513.1</v>
      </c>
      <c r="G700" s="12" t="n">
        <v>-23665.3</v>
      </c>
      <c r="H700" s="13" t="n">
        <v>0.3203</v>
      </c>
      <c r="I700" s="13" t="n">
        <v>0.4261</v>
      </c>
    </row>
    <row r="701">
      <c r="A701" s="10" t="inlineStr">
        <is>
          <t>PJ-2021-E</t>
        </is>
      </c>
      <c r="B701" s="10" t="inlineStr">
        <is>
          <t>素朴版／月内均等</t>
        </is>
      </c>
      <c r="C701" s="10" t="inlineStr">
        <is>
          <t>2022-04</t>
        </is>
      </c>
      <c r="D701" s="10" t="n">
        <v>16</v>
      </c>
      <c r="E701" s="12" t="n">
        <v>15327.2</v>
      </c>
      <c r="F701" s="12" t="n">
        <v>20968.4</v>
      </c>
      <c r="G701" s="12" t="n">
        <v>-5641.2</v>
      </c>
      <c r="H701" s="13" t="n">
        <v>0.3521</v>
      </c>
      <c r="I701" s="13" t="n">
        <v>0.4696</v>
      </c>
    </row>
    <row r="702">
      <c r="A702" s="10" t="inlineStr">
        <is>
          <t>PJ-2021-E</t>
        </is>
      </c>
      <c r="B702" s="10" t="inlineStr">
        <is>
          <t>素朴版／月内均等</t>
        </is>
      </c>
      <c r="C702" s="10" t="inlineStr">
        <is>
          <t>2022-05</t>
        </is>
      </c>
      <c r="D702" s="10" t="n">
        <v>17</v>
      </c>
      <c r="E702" s="12" t="n">
        <v>16076.4</v>
      </c>
      <c r="F702" s="12" t="n">
        <v>18133.4</v>
      </c>
      <c r="G702" s="12" t="n">
        <v>-2057</v>
      </c>
      <c r="H702" s="13" t="n">
        <v>0.3854</v>
      </c>
      <c r="I702" s="13" t="n">
        <v>0.5072</v>
      </c>
    </row>
    <row r="703">
      <c r="A703" s="10" t="inlineStr">
        <is>
          <t>PJ-2021-E</t>
        </is>
      </c>
      <c r="B703" s="10" t="inlineStr">
        <is>
          <t>素朴版／月内均等</t>
        </is>
      </c>
      <c r="C703" s="10" t="inlineStr">
        <is>
          <t>2022-06</t>
        </is>
      </c>
      <c r="D703" s="10" t="n">
        <v>18</v>
      </c>
      <c r="E703" s="12" t="n">
        <v>15281.9</v>
      </c>
      <c r="F703" s="12" t="n">
        <v>15271.7</v>
      </c>
      <c r="G703" s="12" t="n">
        <v>10.2</v>
      </c>
      <c r="H703" s="13" t="n">
        <v>0.4171</v>
      </c>
      <c r="I703" s="13" t="n">
        <v>0.5389</v>
      </c>
    </row>
    <row r="704">
      <c r="A704" s="10" t="inlineStr">
        <is>
          <t>PJ-2021-E</t>
        </is>
      </c>
      <c r="B704" s="10" t="inlineStr">
        <is>
          <t>素朴版／月内均等</t>
        </is>
      </c>
      <c r="C704" s="10" t="inlineStr">
        <is>
          <t>2022-07</t>
        </is>
      </c>
      <c r="D704" s="10" t="n">
        <v>19</v>
      </c>
      <c r="E704" s="12" t="n">
        <v>18444.5</v>
      </c>
      <c r="F704" s="12" t="n">
        <v>16417.5</v>
      </c>
      <c r="G704" s="12" t="n">
        <v>2027</v>
      </c>
      <c r="H704" s="13" t="n">
        <v>0.4554</v>
      </c>
      <c r="I704" s="13" t="n">
        <v>0.573</v>
      </c>
    </row>
    <row r="705">
      <c r="A705" s="10" t="inlineStr">
        <is>
          <t>PJ-2021-E</t>
        </is>
      </c>
      <c r="B705" s="10" t="inlineStr">
        <is>
          <t>素朴版／月内均等</t>
        </is>
      </c>
      <c r="C705" s="10" t="inlineStr">
        <is>
          <t>2022-08</t>
        </is>
      </c>
      <c r="D705" s="10" t="n">
        <v>20</v>
      </c>
      <c r="E705" s="12" t="n">
        <v>19282.7</v>
      </c>
      <c r="F705" s="12" t="n">
        <v>14656</v>
      </c>
      <c r="G705" s="12" t="n">
        <v>4626.7</v>
      </c>
      <c r="H705" s="13" t="n">
        <v>0.4954</v>
      </c>
      <c r="I705" s="13" t="n">
        <v>0.6034</v>
      </c>
    </row>
    <row r="706">
      <c r="A706" s="10" t="inlineStr">
        <is>
          <t>PJ-2021-E</t>
        </is>
      </c>
      <c r="B706" s="10" t="inlineStr">
        <is>
          <t>素朴版／月内均等</t>
        </is>
      </c>
      <c r="C706" s="10" t="inlineStr">
        <is>
          <t>2022-09</t>
        </is>
      </c>
      <c r="D706" s="10" t="n">
        <v>21</v>
      </c>
      <c r="E706" s="12" t="n">
        <v>18940.5</v>
      </c>
      <c r="F706" s="12" t="n">
        <v>13886.2</v>
      </c>
      <c r="G706" s="12" t="n">
        <v>5054.3</v>
      </c>
      <c r="H706" s="13" t="n">
        <v>0.5346</v>
      </c>
      <c r="I706" s="13" t="n">
        <v>0.6322</v>
      </c>
    </row>
    <row r="707">
      <c r="A707" s="10" t="inlineStr">
        <is>
          <t>PJ-2021-E</t>
        </is>
      </c>
      <c r="B707" s="10" t="inlineStr">
        <is>
          <t>素朴版／月内均等</t>
        </is>
      </c>
      <c r="C707" s="10" t="inlineStr">
        <is>
          <t>2022-10</t>
        </is>
      </c>
      <c r="D707" s="10" t="n">
        <v>22</v>
      </c>
      <c r="E707" s="12" t="n">
        <v>21068.6</v>
      </c>
      <c r="F707" s="12" t="n">
        <v>13614.7</v>
      </c>
      <c r="G707" s="12" t="n">
        <v>7453.9</v>
      </c>
      <c r="H707" s="13" t="n">
        <v>0.5783</v>
      </c>
      <c r="I707" s="13" t="n">
        <v>0.6604</v>
      </c>
    </row>
    <row r="708">
      <c r="A708" s="10" t="inlineStr">
        <is>
          <t>PJ-2021-E</t>
        </is>
      </c>
      <c r="B708" s="10" t="inlineStr">
        <is>
          <t>素朴版／月内均等</t>
        </is>
      </c>
      <c r="C708" s="10" t="inlineStr">
        <is>
          <t>2022-11</t>
        </is>
      </c>
      <c r="D708" s="10" t="n">
        <v>23</v>
      </c>
      <c r="E708" s="12" t="n">
        <v>20818.4</v>
      </c>
      <c r="F708" s="12" t="n">
        <v>14580.3</v>
      </c>
      <c r="G708" s="12" t="n">
        <v>6238.1</v>
      </c>
      <c r="H708" s="13" t="n">
        <v>0.6215000000000001</v>
      </c>
      <c r="I708" s="13" t="n">
        <v>0.6906</v>
      </c>
    </row>
    <row r="709">
      <c r="A709" s="10" t="inlineStr">
        <is>
          <t>PJ-2021-E</t>
        </is>
      </c>
      <c r="B709" s="10" t="inlineStr">
        <is>
          <t>素朴版／月内均等</t>
        </is>
      </c>
      <c r="C709" s="10" t="inlineStr">
        <is>
          <t>2022-12</t>
        </is>
      </c>
      <c r="D709" s="10" t="n">
        <v>24</v>
      </c>
      <c r="E709" s="12" t="n">
        <v>20842.1</v>
      </c>
      <c r="F709" s="12" t="n">
        <v>15865.3</v>
      </c>
      <c r="G709" s="12" t="n">
        <v>4976.8</v>
      </c>
      <c r="H709" s="13" t="n">
        <v>0.6647</v>
      </c>
      <c r="I709" s="13" t="n">
        <v>0.7236</v>
      </c>
    </row>
    <row r="710">
      <c r="A710" s="10" t="inlineStr">
        <is>
          <t>PJ-2021-E</t>
        </is>
      </c>
      <c r="B710" s="10" t="inlineStr">
        <is>
          <t>素朴版／月内均等</t>
        </is>
      </c>
      <c r="C710" s="10" t="inlineStr">
        <is>
          <t>2023-01</t>
        </is>
      </c>
      <c r="D710" s="10" t="n">
        <v>25</v>
      </c>
      <c r="E710" s="12" t="n">
        <v>18668.5</v>
      </c>
      <c r="F710" s="12" t="n">
        <v>18226.2</v>
      </c>
      <c r="G710" s="12" t="n">
        <v>442.3</v>
      </c>
      <c r="H710" s="13" t="n">
        <v>0.7035</v>
      </c>
      <c r="I710" s="13" t="n">
        <v>0.7614</v>
      </c>
    </row>
    <row r="711">
      <c r="A711" s="10" t="inlineStr">
        <is>
          <t>PJ-2021-E</t>
        </is>
      </c>
      <c r="B711" s="10" t="inlineStr">
        <is>
          <t>素朴版／月内均等</t>
        </is>
      </c>
      <c r="C711" s="10" t="inlineStr">
        <is>
          <t>2023-02</t>
        </is>
      </c>
      <c r="D711" s="10" t="n">
        <v>26</v>
      </c>
      <c r="E711" s="12" t="n">
        <v>16354.3</v>
      </c>
      <c r="F711" s="12" t="n">
        <v>17827.1</v>
      </c>
      <c r="G711" s="12" t="n">
        <v>-1472.8</v>
      </c>
      <c r="H711" s="13" t="n">
        <v>0.7374000000000001</v>
      </c>
      <c r="I711" s="13" t="n">
        <v>0.7983</v>
      </c>
    </row>
    <row r="712">
      <c r="A712" s="10" t="inlineStr">
        <is>
          <t>PJ-2021-E</t>
        </is>
      </c>
      <c r="B712" s="10" t="inlineStr">
        <is>
          <t>素朴版／月内均等</t>
        </is>
      </c>
      <c r="C712" s="10" t="inlineStr">
        <is>
          <t>2023-03</t>
        </is>
      </c>
      <c r="D712" s="10" t="n">
        <v>27</v>
      </c>
      <c r="E712" s="12" t="n">
        <v>16733.7</v>
      </c>
      <c r="F712" s="12" t="n">
        <v>22013.8</v>
      </c>
      <c r="G712" s="12" t="n">
        <v>-5280.1</v>
      </c>
      <c r="H712" s="13" t="n">
        <v>0.7721</v>
      </c>
      <c r="I712" s="13" t="n">
        <v>0.844</v>
      </c>
    </row>
    <row r="713">
      <c r="A713" s="10" t="inlineStr">
        <is>
          <t>PJ-2021-E</t>
        </is>
      </c>
      <c r="B713" s="10" t="inlineStr">
        <is>
          <t>素朴版／月内均等</t>
        </is>
      </c>
      <c r="C713" s="10" t="inlineStr">
        <is>
          <t>2023-04</t>
        </is>
      </c>
      <c r="D713" s="10" t="n">
        <v>28</v>
      </c>
      <c r="E713" s="12" t="n">
        <v>16776</v>
      </c>
      <c r="F713" s="12" t="n">
        <v>17769.7</v>
      </c>
      <c r="G713" s="12" t="n">
        <v>-993.7</v>
      </c>
      <c r="H713" s="13" t="n">
        <v>0.8069</v>
      </c>
      <c r="I713" s="13" t="n">
        <v>0.8808</v>
      </c>
    </row>
    <row r="714">
      <c r="A714" s="10" t="inlineStr">
        <is>
          <t>PJ-2021-E</t>
        </is>
      </c>
      <c r="B714" s="10" t="inlineStr">
        <is>
          <t>素朴版／月内均等</t>
        </is>
      </c>
      <c r="C714" s="10" t="inlineStr">
        <is>
          <t>2023-05</t>
        </is>
      </c>
      <c r="D714" s="10" t="n">
        <v>29</v>
      </c>
      <c r="E714" s="12" t="n">
        <v>18079.6</v>
      </c>
      <c r="F714" s="12" t="n">
        <v>15747.8</v>
      </c>
      <c r="G714" s="12" t="n">
        <v>2331.8</v>
      </c>
      <c r="H714" s="13" t="n">
        <v>0.8444</v>
      </c>
      <c r="I714" s="13" t="n">
        <v>0.9135</v>
      </c>
    </row>
    <row r="715">
      <c r="A715" s="10" t="inlineStr">
        <is>
          <t>PJ-2021-E</t>
        </is>
      </c>
      <c r="B715" s="10" t="inlineStr">
        <is>
          <t>素朴版／月内均等</t>
        </is>
      </c>
      <c r="C715" s="10" t="inlineStr">
        <is>
          <t>2023-06</t>
        </is>
      </c>
      <c r="D715" s="10" t="n">
        <v>30</v>
      </c>
      <c r="E715" s="12" t="n">
        <v>16527.1</v>
      </c>
      <c r="F715" s="12" t="n">
        <v>11049.5</v>
      </c>
      <c r="G715" s="12" t="n">
        <v>5477.6</v>
      </c>
      <c r="H715" s="13" t="n">
        <v>0.8787</v>
      </c>
      <c r="I715" s="13" t="n">
        <v>0.9364</v>
      </c>
    </row>
    <row r="716">
      <c r="A716" s="10" t="inlineStr">
        <is>
          <t>PJ-2021-E</t>
        </is>
      </c>
      <c r="B716" s="10" t="inlineStr">
        <is>
          <t>素朴版／月内均等</t>
        </is>
      </c>
      <c r="C716" s="10" t="inlineStr">
        <is>
          <t>2023-07</t>
        </is>
      </c>
      <c r="D716" s="10" t="n">
        <v>31</v>
      </c>
      <c r="E716" s="12" t="n">
        <v>14834.9</v>
      </c>
      <c r="F716" s="12" t="n">
        <v>10147.8</v>
      </c>
      <c r="G716" s="12" t="n">
        <v>4687.1</v>
      </c>
      <c r="H716" s="13" t="n">
        <v>0.9094</v>
      </c>
      <c r="I716" s="13" t="n">
        <v>0.9575</v>
      </c>
    </row>
    <row r="717">
      <c r="A717" s="10" t="inlineStr">
        <is>
          <t>PJ-2021-E</t>
        </is>
      </c>
      <c r="B717" s="10" t="inlineStr">
        <is>
          <t>素朴版／月内均等</t>
        </is>
      </c>
      <c r="C717" s="10" t="inlineStr">
        <is>
          <t>2023-08</t>
        </is>
      </c>
      <c r="D717" s="10" t="n">
        <v>32</v>
      </c>
      <c r="E717" s="12" t="n">
        <v>12351.3</v>
      </c>
      <c r="F717" s="12" t="n">
        <v>8637.799999999999</v>
      </c>
      <c r="G717" s="12" t="n">
        <v>3713.5</v>
      </c>
      <c r="H717" s="13" t="n">
        <v>0.9350000000000001</v>
      </c>
      <c r="I717" s="13" t="n">
        <v>0.9754</v>
      </c>
    </row>
    <row r="718">
      <c r="A718" s="10" t="inlineStr">
        <is>
          <t>PJ-2021-E</t>
        </is>
      </c>
      <c r="B718" s="10" t="inlineStr">
        <is>
          <t>素朴版／月内均等</t>
        </is>
      </c>
      <c r="C718" s="10" t="inlineStr">
        <is>
          <t>2023-09</t>
        </is>
      </c>
      <c r="D718" s="10" t="n">
        <v>33</v>
      </c>
      <c r="E718" s="12" t="n">
        <v>10186.5</v>
      </c>
      <c r="F718" s="12" t="n">
        <v>5590.1</v>
      </c>
      <c r="G718" s="12" t="n">
        <v>4596.4</v>
      </c>
      <c r="H718" s="13" t="n">
        <v>0.9562</v>
      </c>
      <c r="I718" s="13" t="n">
        <v>0.987</v>
      </c>
    </row>
    <row r="719">
      <c r="A719" s="10" t="inlineStr">
        <is>
          <t>PJ-2021-E</t>
        </is>
      </c>
      <c r="B719" s="10" t="inlineStr">
        <is>
          <t>素朴版／月内均等</t>
        </is>
      </c>
      <c r="C719" s="10" t="inlineStr">
        <is>
          <t>2023-10</t>
        </is>
      </c>
      <c r="D719" s="10" t="n">
        <v>34</v>
      </c>
      <c r="E719" s="12" t="n">
        <v>9682.700000000001</v>
      </c>
      <c r="F719" s="12" t="n">
        <v>3746.3</v>
      </c>
      <c r="G719" s="12" t="n">
        <v>5936.4</v>
      </c>
      <c r="H719" s="13" t="n">
        <v>0.9762</v>
      </c>
      <c r="I719" s="13" t="n">
        <v>0.9947</v>
      </c>
    </row>
    <row r="720">
      <c r="A720" s="10" t="inlineStr">
        <is>
          <t>PJ-2021-E</t>
        </is>
      </c>
      <c r="B720" s="10" t="inlineStr">
        <is>
          <t>素朴版／月内均等</t>
        </is>
      </c>
      <c r="C720" s="10" t="inlineStr">
        <is>
          <t>2023-11</t>
        </is>
      </c>
      <c r="D720" s="10" t="n">
        <v>35</v>
      </c>
      <c r="E720" s="12" t="n">
        <v>6715.7</v>
      </c>
      <c r="F720" s="12" t="n">
        <v>1912.1</v>
      </c>
      <c r="G720" s="12" t="n">
        <v>4803.6</v>
      </c>
      <c r="H720" s="13" t="n">
        <v>0.9902</v>
      </c>
      <c r="I720" s="13" t="n">
        <v>0.9987</v>
      </c>
    </row>
    <row r="721">
      <c r="A721" s="10" t="inlineStr">
        <is>
          <t>PJ-2021-E</t>
        </is>
      </c>
      <c r="B721" s="10" t="inlineStr">
        <is>
          <t>素朴版／月内均等</t>
        </is>
      </c>
      <c r="C721" s="10" t="inlineStr">
        <is>
          <t>2023-12</t>
        </is>
      </c>
      <c r="D721" s="10" t="n">
        <v>36</v>
      </c>
      <c r="E721" s="12" t="n">
        <v>4737.2</v>
      </c>
      <c r="F721" s="12" t="n">
        <v>620.9</v>
      </c>
      <c r="G721" s="12" t="n">
        <v>4116.3</v>
      </c>
      <c r="H721" s="13" t="n">
        <v>1</v>
      </c>
      <c r="I721" s="13" t="n">
        <v>1</v>
      </c>
    </row>
    <row r="722">
      <c r="A722" s="10" t="inlineStr">
        <is>
          <t>PJ-2021-E</t>
        </is>
      </c>
      <c r="B722" s="10" t="inlineStr">
        <is>
          <t>位置合わせ(MS学習値)／月内均等</t>
        </is>
      </c>
      <c r="C722" s="10" t="inlineStr">
        <is>
          <t>2021-01</t>
        </is>
      </c>
      <c r="D722" s="10" t="n">
        <v>1</v>
      </c>
      <c r="E722" s="12" t="n">
        <v>5461.1</v>
      </c>
      <c r="F722" s="12" t="n">
        <v>2212.8</v>
      </c>
      <c r="G722" s="12" t="n">
        <v>3248.3</v>
      </c>
      <c r="H722" s="13" t="n">
        <v>0.0113</v>
      </c>
      <c r="I722" s="13" t="n">
        <v>0.0046</v>
      </c>
    </row>
    <row r="723">
      <c r="A723" s="10" t="inlineStr">
        <is>
          <t>PJ-2021-E</t>
        </is>
      </c>
      <c r="B723" s="10" t="inlineStr">
        <is>
          <t>位置合わせ(MS学習値)／月内均等</t>
        </is>
      </c>
      <c r="C723" s="10" t="inlineStr">
        <is>
          <t>2021-02</t>
        </is>
      </c>
      <c r="D723" s="10" t="n">
        <v>2</v>
      </c>
      <c r="E723" s="12" t="n">
        <v>5603.4</v>
      </c>
      <c r="F723" s="12" t="n">
        <v>3289.4</v>
      </c>
      <c r="G723" s="12" t="n">
        <v>2314</v>
      </c>
      <c r="H723" s="13" t="n">
        <v>0.0229</v>
      </c>
      <c r="I723" s="13" t="n">
        <v>0.0114</v>
      </c>
    </row>
    <row r="724">
      <c r="A724" s="10" t="inlineStr">
        <is>
          <t>PJ-2021-E</t>
        </is>
      </c>
      <c r="B724" s="10" t="inlineStr">
        <is>
          <t>位置合わせ(MS学習値)／月内均等</t>
        </is>
      </c>
      <c r="C724" s="10" t="inlineStr">
        <is>
          <t>2021-03</t>
        </is>
      </c>
      <c r="D724" s="10" t="n">
        <v>3</v>
      </c>
      <c r="E724" s="12" t="n">
        <v>7385.6</v>
      </c>
      <c r="F724" s="12" t="n">
        <v>4610.7</v>
      </c>
      <c r="G724" s="12" t="n">
        <v>2774.9</v>
      </c>
      <c r="H724" s="13" t="n">
        <v>0.0383</v>
      </c>
      <c r="I724" s="13" t="n">
        <v>0.021</v>
      </c>
    </row>
    <row r="725">
      <c r="A725" s="10" t="inlineStr">
        <is>
          <t>PJ-2021-E</t>
        </is>
      </c>
      <c r="B725" s="10" t="inlineStr">
        <is>
          <t>位置合わせ(MS学習値)／月内均等</t>
        </is>
      </c>
      <c r="C725" s="10" t="inlineStr">
        <is>
          <t>2021-04</t>
        </is>
      </c>
      <c r="D725" s="10" t="n">
        <v>4</v>
      </c>
      <c r="E725" s="12" t="n">
        <v>7510.2</v>
      </c>
      <c r="F725" s="12" t="n">
        <v>5392.8</v>
      </c>
      <c r="G725" s="12" t="n">
        <v>2117.4</v>
      </c>
      <c r="H725" s="13" t="n">
        <v>0.0538</v>
      </c>
      <c r="I725" s="13" t="n">
        <v>0.0322</v>
      </c>
    </row>
    <row r="726">
      <c r="A726" s="10" t="inlineStr">
        <is>
          <t>PJ-2021-E</t>
        </is>
      </c>
      <c r="B726" s="10" t="inlineStr">
        <is>
          <t>位置合わせ(MS学習値)／月内均等</t>
        </is>
      </c>
      <c r="C726" s="10" t="inlineStr">
        <is>
          <t>2021-05</t>
        </is>
      </c>
      <c r="D726" s="10" t="n">
        <v>5</v>
      </c>
      <c r="E726" s="12" t="n">
        <v>8578.1</v>
      </c>
      <c r="F726" s="12" t="n">
        <v>5875.1</v>
      </c>
      <c r="G726" s="12" t="n">
        <v>2703</v>
      </c>
      <c r="H726" s="13" t="n">
        <v>0.0716</v>
      </c>
      <c r="I726" s="13" t="n">
        <v>0.0443</v>
      </c>
    </row>
    <row r="727">
      <c r="A727" s="10" t="inlineStr">
        <is>
          <t>PJ-2021-E</t>
        </is>
      </c>
      <c r="B727" s="10" t="inlineStr">
        <is>
          <t>位置合わせ(MS学習値)／月内均等</t>
        </is>
      </c>
      <c r="C727" s="10" t="inlineStr">
        <is>
          <t>2021-06</t>
        </is>
      </c>
      <c r="D727" s="10" t="n">
        <v>6</v>
      </c>
      <c r="E727" s="12" t="n">
        <v>8798.700000000001</v>
      </c>
      <c r="F727" s="12" t="n">
        <v>6664.2</v>
      </c>
      <c r="G727" s="12" t="n">
        <v>2134.5</v>
      </c>
      <c r="H727" s="13" t="n">
        <v>0.08989999999999999</v>
      </c>
      <c r="I727" s="13" t="n">
        <v>0.0582</v>
      </c>
    </row>
    <row r="728">
      <c r="A728" s="10" t="inlineStr">
        <is>
          <t>PJ-2021-E</t>
        </is>
      </c>
      <c r="B728" s="10" t="inlineStr">
        <is>
          <t>位置合わせ(MS学習値)／月内均等</t>
        </is>
      </c>
      <c r="C728" s="10" t="inlineStr">
        <is>
          <t>2021-07</t>
        </is>
      </c>
      <c r="D728" s="10" t="n">
        <v>7</v>
      </c>
      <c r="E728" s="12" t="n">
        <v>9257.700000000001</v>
      </c>
      <c r="F728" s="12" t="n">
        <v>7114.2</v>
      </c>
      <c r="G728" s="12" t="n">
        <v>2143.5</v>
      </c>
      <c r="H728" s="13" t="n">
        <v>0.1091</v>
      </c>
      <c r="I728" s="13" t="n">
        <v>0.07290000000000001</v>
      </c>
    </row>
    <row r="729">
      <c r="A729" s="10" t="inlineStr">
        <is>
          <t>PJ-2021-E</t>
        </is>
      </c>
      <c r="B729" s="10" t="inlineStr">
        <is>
          <t>位置合わせ(MS学習値)／月内均等</t>
        </is>
      </c>
      <c r="C729" s="10" t="inlineStr">
        <is>
          <t>2021-08</t>
        </is>
      </c>
      <c r="D729" s="10" t="n">
        <v>8</v>
      </c>
      <c r="E729" s="12" t="n">
        <v>9690.1</v>
      </c>
      <c r="F729" s="12" t="n">
        <v>7159.8</v>
      </c>
      <c r="G729" s="12" t="n">
        <v>2530.3</v>
      </c>
      <c r="H729" s="13" t="n">
        <v>0.1292</v>
      </c>
      <c r="I729" s="13" t="n">
        <v>0.0878</v>
      </c>
    </row>
    <row r="730">
      <c r="A730" s="10" t="inlineStr">
        <is>
          <t>PJ-2021-E</t>
        </is>
      </c>
      <c r="B730" s="10" t="inlineStr">
        <is>
          <t>位置合わせ(MS学習値)／月内均等</t>
        </is>
      </c>
      <c r="C730" s="10" t="inlineStr">
        <is>
          <t>2021-09</t>
        </is>
      </c>
      <c r="D730" s="10" t="n">
        <v>9</v>
      </c>
      <c r="E730" s="12" t="n">
        <v>10182.2</v>
      </c>
      <c r="F730" s="12" t="n">
        <v>7725.3</v>
      </c>
      <c r="G730" s="12" t="n">
        <v>2456.9</v>
      </c>
      <c r="H730" s="13" t="n">
        <v>0.1503</v>
      </c>
      <c r="I730" s="13" t="n">
        <v>0.1038</v>
      </c>
    </row>
    <row r="731">
      <c r="A731" s="10" t="inlineStr">
        <is>
          <t>PJ-2021-E</t>
        </is>
      </c>
      <c r="B731" s="10" t="inlineStr">
        <is>
          <t>位置合わせ(MS学習値)／月内均等</t>
        </is>
      </c>
      <c r="C731" s="10" t="inlineStr">
        <is>
          <t>2021-10</t>
        </is>
      </c>
      <c r="D731" s="10" t="n">
        <v>10</v>
      </c>
      <c r="E731" s="12" t="n">
        <v>11397.4</v>
      </c>
      <c r="F731" s="12" t="n">
        <v>11396.5</v>
      </c>
      <c r="G731" s="12" t="n">
        <v>0.9</v>
      </c>
      <c r="H731" s="13" t="n">
        <v>0.1739</v>
      </c>
      <c r="I731" s="13" t="n">
        <v>0.1274</v>
      </c>
    </row>
    <row r="732">
      <c r="A732" s="10" t="inlineStr">
        <is>
          <t>PJ-2021-E</t>
        </is>
      </c>
      <c r="B732" s="10" t="inlineStr">
        <is>
          <t>位置合わせ(MS学習値)／月内均等</t>
        </is>
      </c>
      <c r="C732" s="10" t="inlineStr">
        <is>
          <t>2021-11</t>
        </is>
      </c>
      <c r="D732" s="10" t="n">
        <v>11</v>
      </c>
      <c r="E732" s="12" t="n">
        <v>11497.8</v>
      </c>
      <c r="F732" s="12" t="n">
        <v>22707.4</v>
      </c>
      <c r="G732" s="12" t="n">
        <v>-11209.6</v>
      </c>
      <c r="H732" s="13" t="n">
        <v>0.1978</v>
      </c>
      <c r="I732" s="13" t="n">
        <v>0.1745</v>
      </c>
    </row>
    <row r="733">
      <c r="A733" s="10" t="inlineStr">
        <is>
          <t>PJ-2021-E</t>
        </is>
      </c>
      <c r="B733" s="10" t="inlineStr">
        <is>
          <t>位置合わせ(MS学習値)／月内均等</t>
        </is>
      </c>
      <c r="C733" s="10" t="inlineStr">
        <is>
          <t>2021-12</t>
        </is>
      </c>
      <c r="D733" s="10" t="n">
        <v>12</v>
      </c>
      <c r="E733" s="12" t="n">
        <v>13362.9</v>
      </c>
      <c r="F733" s="12" t="n">
        <v>24332.8</v>
      </c>
      <c r="G733" s="12" t="n">
        <v>-10969.9</v>
      </c>
      <c r="H733" s="13" t="n">
        <v>0.2255</v>
      </c>
      <c r="I733" s="13" t="n">
        <v>0.225</v>
      </c>
    </row>
    <row r="734">
      <c r="A734" s="10" t="inlineStr">
        <is>
          <t>PJ-2021-E</t>
        </is>
      </c>
      <c r="B734" s="10" t="inlineStr">
        <is>
          <t>位置合わせ(MS学習値)／月内均等</t>
        </is>
      </c>
      <c r="C734" s="10" t="inlineStr">
        <is>
          <t>2022-01</t>
        </is>
      </c>
      <c r="D734" s="10" t="n">
        <v>13</v>
      </c>
      <c r="E734" s="12" t="n">
        <v>13617.9</v>
      </c>
      <c r="F734" s="12" t="n">
        <v>28940.1</v>
      </c>
      <c r="G734" s="12" t="n">
        <v>-15322.2</v>
      </c>
      <c r="H734" s="13" t="n">
        <v>0.2537</v>
      </c>
      <c r="I734" s="13" t="n">
        <v>0.285</v>
      </c>
    </row>
    <row r="735">
      <c r="A735" s="10" t="inlineStr">
        <is>
          <t>PJ-2021-E</t>
        </is>
      </c>
      <c r="B735" s="10" t="inlineStr">
        <is>
          <t>位置合わせ(MS学習値)／月内均等</t>
        </is>
      </c>
      <c r="C735" s="10" t="inlineStr">
        <is>
          <t>2022-02</t>
        </is>
      </c>
      <c r="D735" s="10" t="n">
        <v>14</v>
      </c>
      <c r="E735" s="12" t="n">
        <v>13048.6</v>
      </c>
      <c r="F735" s="12" t="n">
        <v>28533.6</v>
      </c>
      <c r="G735" s="12" t="n">
        <v>-15485</v>
      </c>
      <c r="H735" s="13" t="n">
        <v>0.2808</v>
      </c>
      <c r="I735" s="13" t="n">
        <v>0.3442</v>
      </c>
    </row>
    <row r="736">
      <c r="A736" s="10" t="inlineStr">
        <is>
          <t>PJ-2021-E</t>
        </is>
      </c>
      <c r="B736" s="10" t="inlineStr">
        <is>
          <t>位置合わせ(MS学習値)／月内均等</t>
        </is>
      </c>
      <c r="C736" s="10" t="inlineStr">
        <is>
          <t>2022-03</t>
        </is>
      </c>
      <c r="D736" s="10" t="n">
        <v>15</v>
      </c>
      <c r="E736" s="12" t="n">
        <v>14990.7</v>
      </c>
      <c r="F736" s="12" t="n">
        <v>39513.1</v>
      </c>
      <c r="G736" s="12" t="n">
        <v>-24522.4</v>
      </c>
      <c r="H736" s="13" t="n">
        <v>0.3119</v>
      </c>
      <c r="I736" s="13" t="n">
        <v>0.4261</v>
      </c>
    </row>
    <row r="737">
      <c r="A737" s="10" t="inlineStr">
        <is>
          <t>PJ-2021-E</t>
        </is>
      </c>
      <c r="B737" s="10" t="inlineStr">
        <is>
          <t>位置合わせ(MS学習値)／月内均等</t>
        </is>
      </c>
      <c r="C737" s="10" t="inlineStr">
        <is>
          <t>2022-04</t>
        </is>
      </c>
      <c r="D737" s="10" t="n">
        <v>16</v>
      </c>
      <c r="E737" s="12" t="n">
        <v>15367.8</v>
      </c>
      <c r="F737" s="12" t="n">
        <v>20968.4</v>
      </c>
      <c r="G737" s="12" t="n">
        <v>-5600.6</v>
      </c>
      <c r="H737" s="13" t="n">
        <v>0.3438</v>
      </c>
      <c r="I737" s="13" t="n">
        <v>0.4696</v>
      </c>
    </row>
    <row r="738">
      <c r="A738" s="10" t="inlineStr">
        <is>
          <t>PJ-2021-E</t>
        </is>
      </c>
      <c r="B738" s="10" t="inlineStr">
        <is>
          <t>位置合わせ(MS学習値)／月内均等</t>
        </is>
      </c>
      <c r="C738" s="10" t="inlineStr">
        <is>
          <t>2022-05</t>
        </is>
      </c>
      <c r="D738" s="10" t="n">
        <v>17</v>
      </c>
      <c r="E738" s="12" t="n">
        <v>16138.4</v>
      </c>
      <c r="F738" s="12" t="n">
        <v>18133.4</v>
      </c>
      <c r="G738" s="12" t="n">
        <v>-1995</v>
      </c>
      <c r="H738" s="13" t="n">
        <v>0.3772</v>
      </c>
      <c r="I738" s="13" t="n">
        <v>0.5072</v>
      </c>
    </row>
    <row r="739">
      <c r="A739" s="10" t="inlineStr">
        <is>
          <t>PJ-2021-E</t>
        </is>
      </c>
      <c r="B739" s="10" t="inlineStr">
        <is>
          <t>位置合わせ(MS学習値)／月内均等</t>
        </is>
      </c>
      <c r="C739" s="10" t="inlineStr">
        <is>
          <t>2022-06</t>
        </is>
      </c>
      <c r="D739" s="10" t="n">
        <v>18</v>
      </c>
      <c r="E739" s="12" t="n">
        <v>17986.8</v>
      </c>
      <c r="F739" s="12" t="n">
        <v>15271.7</v>
      </c>
      <c r="G739" s="12" t="n">
        <v>2715.1</v>
      </c>
      <c r="H739" s="13" t="n">
        <v>0.4145</v>
      </c>
      <c r="I739" s="13" t="n">
        <v>0.5389</v>
      </c>
    </row>
    <row r="740">
      <c r="A740" s="10" t="inlineStr">
        <is>
          <t>PJ-2021-E</t>
        </is>
      </c>
      <c r="B740" s="10" t="inlineStr">
        <is>
          <t>位置合わせ(MS学習値)／月内均等</t>
        </is>
      </c>
      <c r="C740" s="10" t="inlineStr">
        <is>
          <t>2022-07</t>
        </is>
      </c>
      <c r="D740" s="10" t="n">
        <v>19</v>
      </c>
      <c r="E740" s="12" t="n">
        <v>19703.2</v>
      </c>
      <c r="F740" s="12" t="n">
        <v>16417.5</v>
      </c>
      <c r="G740" s="12" t="n">
        <v>3285.7</v>
      </c>
      <c r="H740" s="13" t="n">
        <v>0.4554</v>
      </c>
      <c r="I740" s="13" t="n">
        <v>0.573</v>
      </c>
    </row>
    <row r="741">
      <c r="A741" s="10" t="inlineStr">
        <is>
          <t>PJ-2021-E</t>
        </is>
      </c>
      <c r="B741" s="10" t="inlineStr">
        <is>
          <t>位置合わせ(MS学習値)／月内均等</t>
        </is>
      </c>
      <c r="C741" s="10" t="inlineStr">
        <is>
          <t>2022-08</t>
        </is>
      </c>
      <c r="D741" s="10" t="n">
        <v>20</v>
      </c>
      <c r="E741" s="12" t="n">
        <v>20214.6</v>
      </c>
      <c r="F741" s="12" t="n">
        <v>14656</v>
      </c>
      <c r="G741" s="12" t="n">
        <v>5558.6</v>
      </c>
      <c r="H741" s="13" t="n">
        <v>0.4973</v>
      </c>
      <c r="I741" s="13" t="n">
        <v>0.6034</v>
      </c>
    </row>
    <row r="742">
      <c r="A742" s="10" t="inlineStr">
        <is>
          <t>PJ-2021-E</t>
        </is>
      </c>
      <c r="B742" s="10" t="inlineStr">
        <is>
          <t>位置合わせ(MS学習値)／月内均等</t>
        </is>
      </c>
      <c r="C742" s="10" t="inlineStr">
        <is>
          <t>2022-09</t>
        </is>
      </c>
      <c r="D742" s="10" t="n">
        <v>21</v>
      </c>
      <c r="E742" s="12" t="n">
        <v>19880.1</v>
      </c>
      <c r="F742" s="12" t="n">
        <v>13886.2</v>
      </c>
      <c r="G742" s="12" t="n">
        <v>5993.9</v>
      </c>
      <c r="H742" s="13" t="n">
        <v>0.5386</v>
      </c>
      <c r="I742" s="13" t="n">
        <v>0.6322</v>
      </c>
    </row>
    <row r="743">
      <c r="A743" s="10" t="inlineStr">
        <is>
          <t>PJ-2021-E</t>
        </is>
      </c>
      <c r="B743" s="10" t="inlineStr">
        <is>
          <t>位置合わせ(MS学習値)／月内均等</t>
        </is>
      </c>
      <c r="C743" s="10" t="inlineStr">
        <is>
          <t>2022-10</t>
        </is>
      </c>
      <c r="D743" s="10" t="n">
        <v>22</v>
      </c>
      <c r="E743" s="12" t="n">
        <v>20347.9</v>
      </c>
      <c r="F743" s="12" t="n">
        <v>13614.7</v>
      </c>
      <c r="G743" s="12" t="n">
        <v>6733.2</v>
      </c>
      <c r="H743" s="13" t="n">
        <v>0.5808</v>
      </c>
      <c r="I743" s="13" t="n">
        <v>0.6604</v>
      </c>
    </row>
    <row r="744">
      <c r="A744" s="10" t="inlineStr">
        <is>
          <t>PJ-2021-E</t>
        </is>
      </c>
      <c r="B744" s="10" t="inlineStr">
        <is>
          <t>位置合わせ(MS学習値)／月内均等</t>
        </is>
      </c>
      <c r="C744" s="10" t="inlineStr">
        <is>
          <t>2022-11</t>
        </is>
      </c>
      <c r="D744" s="10" t="n">
        <v>23</v>
      </c>
      <c r="E744" s="12" t="n">
        <v>19645.6</v>
      </c>
      <c r="F744" s="12" t="n">
        <v>14580.3</v>
      </c>
      <c r="G744" s="12" t="n">
        <v>5065.3</v>
      </c>
      <c r="H744" s="13" t="n">
        <v>0.6215000000000001</v>
      </c>
      <c r="I744" s="13" t="n">
        <v>0.6906</v>
      </c>
    </row>
    <row r="745">
      <c r="A745" s="10" t="inlineStr">
        <is>
          <t>PJ-2021-E</t>
        </is>
      </c>
      <c r="B745" s="10" t="inlineStr">
        <is>
          <t>位置合わせ(MS学習値)／月内均等</t>
        </is>
      </c>
      <c r="C745" s="10" t="inlineStr">
        <is>
          <t>2022-12</t>
        </is>
      </c>
      <c r="D745" s="10" t="n">
        <v>24</v>
      </c>
      <c r="E745" s="12" t="n">
        <v>20531.8</v>
      </c>
      <c r="F745" s="12" t="n">
        <v>15865.3</v>
      </c>
      <c r="G745" s="12" t="n">
        <v>4666.5</v>
      </c>
      <c r="H745" s="13" t="n">
        <v>0.6641</v>
      </c>
      <c r="I745" s="13" t="n">
        <v>0.7236</v>
      </c>
    </row>
    <row r="746">
      <c r="A746" s="10" t="inlineStr">
        <is>
          <t>PJ-2021-E</t>
        </is>
      </c>
      <c r="B746" s="10" t="inlineStr">
        <is>
          <t>位置合わせ(MS学習値)／月内均等</t>
        </is>
      </c>
      <c r="C746" s="10" t="inlineStr">
        <is>
          <t>2023-01</t>
        </is>
      </c>
      <c r="D746" s="10" t="n">
        <v>25</v>
      </c>
      <c r="E746" s="12" t="n">
        <v>20921.9</v>
      </c>
      <c r="F746" s="12" t="n">
        <v>18226.2</v>
      </c>
      <c r="G746" s="12" t="n">
        <v>2695.7</v>
      </c>
      <c r="H746" s="13" t="n">
        <v>0.7075</v>
      </c>
      <c r="I746" s="13" t="n">
        <v>0.7614</v>
      </c>
    </row>
    <row r="747">
      <c r="A747" s="10" t="inlineStr">
        <is>
          <t>PJ-2021-E</t>
        </is>
      </c>
      <c r="B747" s="10" t="inlineStr">
        <is>
          <t>位置合わせ(MS学習値)／月内均等</t>
        </is>
      </c>
      <c r="C747" s="10" t="inlineStr">
        <is>
          <t>2023-02</t>
        </is>
      </c>
      <c r="D747" s="10" t="n">
        <v>26</v>
      </c>
      <c r="E747" s="12" t="n">
        <v>18060.9</v>
      </c>
      <c r="F747" s="12" t="n">
        <v>17827.1</v>
      </c>
      <c r="G747" s="12" t="n">
        <v>233.8</v>
      </c>
      <c r="H747" s="13" t="n">
        <v>0.745</v>
      </c>
      <c r="I747" s="13" t="n">
        <v>0.7983</v>
      </c>
    </row>
    <row r="748">
      <c r="A748" s="10" t="inlineStr">
        <is>
          <t>PJ-2021-E</t>
        </is>
      </c>
      <c r="B748" s="10" t="inlineStr">
        <is>
          <t>位置合わせ(MS学習値)／月内均等</t>
        </is>
      </c>
      <c r="C748" s="10" t="inlineStr">
        <is>
          <t>2023-03</t>
        </is>
      </c>
      <c r="D748" s="10" t="n">
        <v>27</v>
      </c>
      <c r="E748" s="12" t="n">
        <v>19460.4</v>
      </c>
      <c r="F748" s="12" t="n">
        <v>22013.8</v>
      </c>
      <c r="G748" s="12" t="n">
        <v>-2553.4</v>
      </c>
      <c r="H748" s="13" t="n">
        <v>0.7853</v>
      </c>
      <c r="I748" s="13" t="n">
        <v>0.844</v>
      </c>
    </row>
    <row r="749">
      <c r="A749" s="10" t="inlineStr">
        <is>
          <t>PJ-2021-E</t>
        </is>
      </c>
      <c r="B749" s="10" t="inlineStr">
        <is>
          <t>位置合わせ(MS学習値)／月内均等</t>
        </is>
      </c>
      <c r="C749" s="10" t="inlineStr">
        <is>
          <t>2023-04</t>
        </is>
      </c>
      <c r="D749" s="10" t="n">
        <v>28</v>
      </c>
      <c r="E749" s="12" t="n">
        <v>16174.3</v>
      </c>
      <c r="F749" s="12" t="n">
        <v>17769.7</v>
      </c>
      <c r="G749" s="12" t="n">
        <v>-1595.4</v>
      </c>
      <c r="H749" s="13" t="n">
        <v>0.8189</v>
      </c>
      <c r="I749" s="13" t="n">
        <v>0.8808</v>
      </c>
    </row>
    <row r="750">
      <c r="A750" s="10" t="inlineStr">
        <is>
          <t>PJ-2021-E</t>
        </is>
      </c>
      <c r="B750" s="10" t="inlineStr">
        <is>
          <t>位置合わせ(MS学習値)／月内均等</t>
        </is>
      </c>
      <c r="C750" s="10" t="inlineStr">
        <is>
          <t>2023-05</t>
        </is>
      </c>
      <c r="D750" s="10" t="n">
        <v>29</v>
      </c>
      <c r="E750" s="12" t="n">
        <v>15649.7</v>
      </c>
      <c r="F750" s="12" t="n">
        <v>15747.8</v>
      </c>
      <c r="G750" s="12" t="n">
        <v>-98.09999999999999</v>
      </c>
      <c r="H750" s="13" t="n">
        <v>0.8512999999999999</v>
      </c>
      <c r="I750" s="13" t="n">
        <v>0.9135</v>
      </c>
    </row>
    <row r="751">
      <c r="A751" s="10" t="inlineStr">
        <is>
          <t>PJ-2021-E</t>
        </is>
      </c>
      <c r="B751" s="10" t="inlineStr">
        <is>
          <t>位置合わせ(MS学習値)／月内均等</t>
        </is>
      </c>
      <c r="C751" s="10" t="inlineStr">
        <is>
          <t>2023-06</t>
        </is>
      </c>
      <c r="D751" s="10" t="n">
        <v>30</v>
      </c>
      <c r="E751" s="12" t="n">
        <v>14448.5</v>
      </c>
      <c r="F751" s="12" t="n">
        <v>11049.5</v>
      </c>
      <c r="G751" s="12" t="n">
        <v>3399</v>
      </c>
      <c r="H751" s="13" t="n">
        <v>0.8813</v>
      </c>
      <c r="I751" s="13" t="n">
        <v>0.9364</v>
      </c>
    </row>
    <row r="752">
      <c r="A752" s="10" t="inlineStr">
        <is>
          <t>PJ-2021-E</t>
        </is>
      </c>
      <c r="B752" s="10" t="inlineStr">
        <is>
          <t>位置合わせ(MS学習値)／月内均等</t>
        </is>
      </c>
      <c r="C752" s="10" t="inlineStr">
        <is>
          <t>2023-07</t>
        </is>
      </c>
      <c r="D752" s="10" t="n">
        <v>31</v>
      </c>
      <c r="E752" s="12" t="n">
        <v>13617.6</v>
      </c>
      <c r="F752" s="12" t="n">
        <v>10147.8</v>
      </c>
      <c r="G752" s="12" t="n">
        <v>3469.8</v>
      </c>
      <c r="H752" s="13" t="n">
        <v>0.9095</v>
      </c>
      <c r="I752" s="13" t="n">
        <v>0.9575</v>
      </c>
    </row>
    <row r="753">
      <c r="A753" s="10" t="inlineStr">
        <is>
          <t>PJ-2021-E</t>
        </is>
      </c>
      <c r="B753" s="10" t="inlineStr">
        <is>
          <t>位置合わせ(MS学習値)／月内均等</t>
        </is>
      </c>
      <c r="C753" s="10" t="inlineStr">
        <is>
          <t>2023-08</t>
        </is>
      </c>
      <c r="D753" s="10" t="n">
        <v>32</v>
      </c>
      <c r="E753" s="12" t="n">
        <v>11892.8</v>
      </c>
      <c r="F753" s="12" t="n">
        <v>8637.799999999999</v>
      </c>
      <c r="G753" s="12" t="n">
        <v>3255</v>
      </c>
      <c r="H753" s="13" t="n">
        <v>0.9342</v>
      </c>
      <c r="I753" s="13" t="n">
        <v>0.9754</v>
      </c>
    </row>
    <row r="754">
      <c r="A754" s="10" t="inlineStr">
        <is>
          <t>PJ-2021-E</t>
        </is>
      </c>
      <c r="B754" s="10" t="inlineStr">
        <is>
          <t>位置合わせ(MS学習値)／月内均等</t>
        </is>
      </c>
      <c r="C754" s="10" t="inlineStr">
        <is>
          <t>2023-09</t>
        </is>
      </c>
      <c r="D754" s="10" t="n">
        <v>33</v>
      </c>
      <c r="E754" s="12" t="n">
        <v>9931.299999999999</v>
      </c>
      <c r="F754" s="12" t="n">
        <v>5590.1</v>
      </c>
      <c r="G754" s="12" t="n">
        <v>4341.2</v>
      </c>
      <c r="H754" s="13" t="n">
        <v>0.9548</v>
      </c>
      <c r="I754" s="13" t="n">
        <v>0.987</v>
      </c>
    </row>
    <row r="755">
      <c r="A755" s="10" t="inlineStr">
        <is>
          <t>PJ-2021-E</t>
        </is>
      </c>
      <c r="B755" s="10" t="inlineStr">
        <is>
          <t>位置合わせ(MS学習値)／月内均等</t>
        </is>
      </c>
      <c r="C755" s="10" t="inlineStr">
        <is>
          <t>2023-10</t>
        </is>
      </c>
      <c r="D755" s="10" t="n">
        <v>34</v>
      </c>
      <c r="E755" s="12" t="n">
        <v>10079.1</v>
      </c>
      <c r="F755" s="12" t="n">
        <v>3746.3</v>
      </c>
      <c r="G755" s="12" t="n">
        <v>6332.8</v>
      </c>
      <c r="H755" s="13" t="n">
        <v>0.9757</v>
      </c>
      <c r="I755" s="13" t="n">
        <v>0.9947</v>
      </c>
    </row>
    <row r="756">
      <c r="A756" s="10" t="inlineStr">
        <is>
          <t>PJ-2021-E</t>
        </is>
      </c>
      <c r="B756" s="10" t="inlineStr">
        <is>
          <t>位置合わせ(MS学習値)／月内均等</t>
        </is>
      </c>
      <c r="C756" s="10" t="inlineStr">
        <is>
          <t>2023-11</t>
        </is>
      </c>
      <c r="D756" s="10" t="n">
        <v>35</v>
      </c>
      <c r="E756" s="12" t="n">
        <v>6828.4</v>
      </c>
      <c r="F756" s="12" t="n">
        <v>1912.1</v>
      </c>
      <c r="G756" s="12" t="n">
        <v>4916.3</v>
      </c>
      <c r="H756" s="13" t="n">
        <v>0.9899</v>
      </c>
      <c r="I756" s="13" t="n">
        <v>0.9987</v>
      </c>
    </row>
    <row r="757">
      <c r="A757" s="10" t="inlineStr">
        <is>
          <t>PJ-2021-E</t>
        </is>
      </c>
      <c r="B757" s="10" t="inlineStr">
        <is>
          <t>位置合わせ(MS学習値)／月内均等</t>
        </is>
      </c>
      <c r="C757" s="10" t="inlineStr">
        <is>
          <t>2023-12</t>
        </is>
      </c>
      <c r="D757" s="10" t="n">
        <v>36</v>
      </c>
      <c r="E757" s="12" t="n">
        <v>4887</v>
      </c>
      <c r="F757" s="12" t="n">
        <v>620.9</v>
      </c>
      <c r="G757" s="12" t="n">
        <v>4266.1</v>
      </c>
      <c r="H757" s="13" t="n">
        <v>1</v>
      </c>
      <c r="I757" s="13" t="n">
        <v>1</v>
      </c>
    </row>
    <row r="758">
      <c r="A758" s="10" t="inlineStr">
        <is>
          <t>PJ-2021-E</t>
        </is>
      </c>
      <c r="B758" s="10" t="inlineStr">
        <is>
          <t>位置合わせ(MS指定)／月内均等</t>
        </is>
      </c>
      <c r="C758" s="10" t="inlineStr">
        <is>
          <t>2021-01</t>
        </is>
      </c>
      <c r="D758" s="10" t="n">
        <v>1</v>
      </c>
      <c r="E758" s="12" t="n">
        <v>6484.8</v>
      </c>
      <c r="F758" s="12" t="n">
        <v>2212.8</v>
      </c>
      <c r="G758" s="12" t="n">
        <v>4272</v>
      </c>
      <c r="H758" s="13" t="n">
        <v>0.0134</v>
      </c>
      <c r="I758" s="13" t="n">
        <v>0.0046</v>
      </c>
    </row>
    <row r="759">
      <c r="A759" s="10" t="inlineStr">
        <is>
          <t>PJ-2021-E</t>
        </is>
      </c>
      <c r="B759" s="10" t="inlineStr">
        <is>
          <t>位置合わせ(MS指定)／月内均等</t>
        </is>
      </c>
      <c r="C759" s="10" t="inlineStr">
        <is>
          <t>2021-02</t>
        </is>
      </c>
      <c r="D759" s="10" t="n">
        <v>2</v>
      </c>
      <c r="E759" s="12" t="n">
        <v>6919</v>
      </c>
      <c r="F759" s="12" t="n">
        <v>3289.4</v>
      </c>
      <c r="G759" s="12" t="n">
        <v>3629.6</v>
      </c>
      <c r="H759" s="13" t="n">
        <v>0.0278</v>
      </c>
      <c r="I759" s="13" t="n">
        <v>0.0114</v>
      </c>
    </row>
    <row r="760">
      <c r="A760" s="10" t="inlineStr">
        <is>
          <t>PJ-2021-E</t>
        </is>
      </c>
      <c r="B760" s="10" t="inlineStr">
        <is>
          <t>位置合わせ(MS指定)／月内均等</t>
        </is>
      </c>
      <c r="C760" s="10" t="inlineStr">
        <is>
          <t>2021-03</t>
        </is>
      </c>
      <c r="D760" s="10" t="n">
        <v>3</v>
      </c>
      <c r="E760" s="12" t="n">
        <v>9003</v>
      </c>
      <c r="F760" s="12" t="n">
        <v>4610.7</v>
      </c>
      <c r="G760" s="12" t="n">
        <v>4392.3</v>
      </c>
      <c r="H760" s="13" t="n">
        <v>0.0465</v>
      </c>
      <c r="I760" s="13" t="n">
        <v>0.021</v>
      </c>
    </row>
    <row r="761">
      <c r="A761" s="10" t="inlineStr">
        <is>
          <t>PJ-2021-E</t>
        </is>
      </c>
      <c r="B761" s="10" t="inlineStr">
        <is>
          <t>位置合わせ(MS指定)／月内均等</t>
        </is>
      </c>
      <c r="C761" s="10" t="inlineStr">
        <is>
          <t>2021-04</t>
        </is>
      </c>
      <c r="D761" s="10" t="n">
        <v>4</v>
      </c>
      <c r="E761" s="12" t="n">
        <v>9259.5</v>
      </c>
      <c r="F761" s="12" t="n">
        <v>5392.8</v>
      </c>
      <c r="G761" s="12" t="n">
        <v>3866.7</v>
      </c>
      <c r="H761" s="13" t="n">
        <v>0.06569999999999999</v>
      </c>
      <c r="I761" s="13" t="n">
        <v>0.0322</v>
      </c>
    </row>
    <row r="762">
      <c r="A762" s="10" t="inlineStr">
        <is>
          <t>PJ-2021-E</t>
        </is>
      </c>
      <c r="B762" s="10" t="inlineStr">
        <is>
          <t>位置合わせ(MS指定)／月内均等</t>
        </is>
      </c>
      <c r="C762" s="10" t="inlineStr">
        <is>
          <t>2021-05</t>
        </is>
      </c>
      <c r="D762" s="10" t="n">
        <v>5</v>
      </c>
      <c r="E762" s="12" t="n">
        <v>10728</v>
      </c>
      <c r="F762" s="12" t="n">
        <v>5875.1</v>
      </c>
      <c r="G762" s="12" t="n">
        <v>4852.9</v>
      </c>
      <c r="H762" s="13" t="n">
        <v>0.08790000000000001</v>
      </c>
      <c r="I762" s="13" t="n">
        <v>0.0443</v>
      </c>
    </row>
    <row r="763">
      <c r="A763" s="10" t="inlineStr">
        <is>
          <t>PJ-2021-E</t>
        </is>
      </c>
      <c r="B763" s="10" t="inlineStr">
        <is>
          <t>位置合わせ(MS指定)／月内均等</t>
        </is>
      </c>
      <c r="C763" s="10" t="inlineStr">
        <is>
          <t>2021-06</t>
        </is>
      </c>
      <c r="D763" s="10" t="n">
        <v>6</v>
      </c>
      <c r="E763" s="12" t="n">
        <v>10541.1</v>
      </c>
      <c r="F763" s="12" t="n">
        <v>6664.2</v>
      </c>
      <c r="G763" s="12" t="n">
        <v>3876.9</v>
      </c>
      <c r="H763" s="13" t="n">
        <v>0.1098</v>
      </c>
      <c r="I763" s="13" t="n">
        <v>0.0582</v>
      </c>
    </row>
    <row r="764">
      <c r="A764" s="10" t="inlineStr">
        <is>
          <t>PJ-2021-E</t>
        </is>
      </c>
      <c r="B764" s="10" t="inlineStr">
        <is>
          <t>位置合わせ(MS指定)／月内均等</t>
        </is>
      </c>
      <c r="C764" s="10" t="inlineStr">
        <is>
          <t>2021-07</t>
        </is>
      </c>
      <c r="D764" s="10" t="n">
        <v>7</v>
      </c>
      <c r="E764" s="12" t="n">
        <v>11459</v>
      </c>
      <c r="F764" s="12" t="n">
        <v>7114.2</v>
      </c>
      <c r="G764" s="12" t="n">
        <v>4344.8</v>
      </c>
      <c r="H764" s="13" t="n">
        <v>0.1336</v>
      </c>
      <c r="I764" s="13" t="n">
        <v>0.07290000000000001</v>
      </c>
    </row>
    <row r="765">
      <c r="A765" s="10" t="inlineStr">
        <is>
          <t>PJ-2021-E</t>
        </is>
      </c>
      <c r="B765" s="10" t="inlineStr">
        <is>
          <t>位置合わせ(MS指定)／月内均等</t>
        </is>
      </c>
      <c r="C765" s="10" t="inlineStr">
        <is>
          <t>2021-08</t>
        </is>
      </c>
      <c r="D765" s="10" t="n">
        <v>8</v>
      </c>
      <c r="E765" s="12" t="n">
        <v>12808.4</v>
      </c>
      <c r="F765" s="12" t="n">
        <v>7159.8</v>
      </c>
      <c r="G765" s="12" t="n">
        <v>5648.6</v>
      </c>
      <c r="H765" s="13" t="n">
        <v>0.1601</v>
      </c>
      <c r="I765" s="13" t="n">
        <v>0.0878</v>
      </c>
    </row>
    <row r="766">
      <c r="A766" s="10" t="inlineStr">
        <is>
          <t>PJ-2021-E</t>
        </is>
      </c>
      <c r="B766" s="10" t="inlineStr">
        <is>
          <t>位置合わせ(MS指定)／月内均等</t>
        </is>
      </c>
      <c r="C766" s="10" t="inlineStr">
        <is>
          <t>2021-09</t>
        </is>
      </c>
      <c r="D766" s="10" t="n">
        <v>9</v>
      </c>
      <c r="E766" s="12" t="n">
        <v>13118.9</v>
      </c>
      <c r="F766" s="12" t="n">
        <v>7725.3</v>
      </c>
      <c r="G766" s="12" t="n">
        <v>5393.6</v>
      </c>
      <c r="H766" s="13" t="n">
        <v>0.1873</v>
      </c>
      <c r="I766" s="13" t="n">
        <v>0.1038</v>
      </c>
    </row>
    <row r="767">
      <c r="A767" s="10" t="inlineStr">
        <is>
          <t>PJ-2021-E</t>
        </is>
      </c>
      <c r="B767" s="10" t="inlineStr">
        <is>
          <t>位置合わせ(MS指定)／月内均等</t>
        </is>
      </c>
      <c r="C767" s="10" t="inlineStr">
        <is>
          <t>2021-10</t>
        </is>
      </c>
      <c r="D767" s="10" t="n">
        <v>10</v>
      </c>
      <c r="E767" s="12" t="n">
        <v>15210.9</v>
      </c>
      <c r="F767" s="12" t="n">
        <v>11396.5</v>
      </c>
      <c r="G767" s="12" t="n">
        <v>3814.4</v>
      </c>
      <c r="H767" s="13" t="n">
        <v>0.2189</v>
      </c>
      <c r="I767" s="13" t="n">
        <v>0.1274</v>
      </c>
    </row>
    <row r="768">
      <c r="A768" s="10" t="inlineStr">
        <is>
          <t>PJ-2021-E</t>
        </is>
      </c>
      <c r="B768" s="10" t="inlineStr">
        <is>
          <t>位置合わせ(MS指定)／月内均等</t>
        </is>
      </c>
      <c r="C768" s="10" t="inlineStr">
        <is>
          <t>2021-11</t>
        </is>
      </c>
      <c r="D768" s="10" t="n">
        <v>11</v>
      </c>
      <c r="E768" s="12" t="n">
        <v>15426.5</v>
      </c>
      <c r="F768" s="12" t="n">
        <v>22707.4</v>
      </c>
      <c r="G768" s="12" t="n">
        <v>-7280.9</v>
      </c>
      <c r="H768" s="13" t="n">
        <v>0.2509</v>
      </c>
      <c r="I768" s="13" t="n">
        <v>0.1745</v>
      </c>
    </row>
    <row r="769">
      <c r="A769" s="10" t="inlineStr">
        <is>
          <t>PJ-2021-E</t>
        </is>
      </c>
      <c r="B769" s="10" t="inlineStr">
        <is>
          <t>位置合わせ(MS指定)／月内均等</t>
        </is>
      </c>
      <c r="C769" s="10" t="inlineStr">
        <is>
          <t>2021-12</t>
        </is>
      </c>
      <c r="D769" s="10" t="n">
        <v>12</v>
      </c>
      <c r="E769" s="12" t="n">
        <v>17035.1</v>
      </c>
      <c r="F769" s="12" t="n">
        <v>24332.8</v>
      </c>
      <c r="G769" s="12" t="n">
        <v>-7297.7</v>
      </c>
      <c r="H769" s="13" t="n">
        <v>0.2862</v>
      </c>
      <c r="I769" s="13" t="n">
        <v>0.225</v>
      </c>
    </row>
    <row r="770">
      <c r="A770" s="10" t="inlineStr">
        <is>
          <t>PJ-2021-E</t>
        </is>
      </c>
      <c r="B770" s="10" t="inlineStr">
        <is>
          <t>位置合わせ(MS指定)／月内均等</t>
        </is>
      </c>
      <c r="C770" s="10" t="inlineStr">
        <is>
          <t>2022-01</t>
        </is>
      </c>
      <c r="D770" s="10" t="n">
        <v>13</v>
      </c>
      <c r="E770" s="12" t="n">
        <v>17960.8</v>
      </c>
      <c r="F770" s="12" t="n">
        <v>28940.1</v>
      </c>
      <c r="G770" s="12" t="n">
        <v>-10979.3</v>
      </c>
      <c r="H770" s="13" t="n">
        <v>0.3235</v>
      </c>
      <c r="I770" s="13" t="n">
        <v>0.285</v>
      </c>
    </row>
    <row r="771">
      <c r="A771" s="10" t="inlineStr">
        <is>
          <t>PJ-2021-E</t>
        </is>
      </c>
      <c r="B771" s="10" t="inlineStr">
        <is>
          <t>位置合わせ(MS指定)／月内均等</t>
        </is>
      </c>
      <c r="C771" s="10" t="inlineStr">
        <is>
          <t>2022-02</t>
        </is>
      </c>
      <c r="D771" s="10" t="n">
        <v>14</v>
      </c>
      <c r="E771" s="12" t="n">
        <v>16941.4</v>
      </c>
      <c r="F771" s="12" t="n">
        <v>28533.6</v>
      </c>
      <c r="G771" s="12" t="n">
        <v>-11592.2</v>
      </c>
      <c r="H771" s="13" t="n">
        <v>0.3586</v>
      </c>
      <c r="I771" s="13" t="n">
        <v>0.3442</v>
      </c>
    </row>
    <row r="772">
      <c r="A772" s="10" t="inlineStr">
        <is>
          <t>PJ-2021-E</t>
        </is>
      </c>
      <c r="B772" s="10" t="inlineStr">
        <is>
          <t>位置合わせ(MS指定)／月内均等</t>
        </is>
      </c>
      <c r="C772" s="10" t="inlineStr">
        <is>
          <t>2022-03</t>
        </is>
      </c>
      <c r="D772" s="10" t="n">
        <v>15</v>
      </c>
      <c r="E772" s="12" t="n">
        <v>20323.5</v>
      </c>
      <c r="F772" s="12" t="n">
        <v>39513.1</v>
      </c>
      <c r="G772" s="12" t="n">
        <v>-19189.6</v>
      </c>
      <c r="H772" s="13" t="n">
        <v>0.4007</v>
      </c>
      <c r="I772" s="13" t="n">
        <v>0.4261</v>
      </c>
    </row>
    <row r="773">
      <c r="A773" s="10" t="inlineStr">
        <is>
          <t>PJ-2021-E</t>
        </is>
      </c>
      <c r="B773" s="10" t="inlineStr">
        <is>
          <t>位置合わせ(MS指定)／月内均等</t>
        </is>
      </c>
      <c r="C773" s="10" t="inlineStr">
        <is>
          <t>2022-04</t>
        </is>
      </c>
      <c r="D773" s="10" t="n">
        <v>16</v>
      </c>
      <c r="E773" s="12" t="n">
        <v>18323.5</v>
      </c>
      <c r="F773" s="12" t="n">
        <v>20968.4</v>
      </c>
      <c r="G773" s="12" t="n">
        <v>-2644.9</v>
      </c>
      <c r="H773" s="13" t="n">
        <v>0.4387</v>
      </c>
      <c r="I773" s="13" t="n">
        <v>0.4696</v>
      </c>
    </row>
    <row r="774">
      <c r="A774" s="10" t="inlineStr">
        <is>
          <t>PJ-2021-E</t>
        </is>
      </c>
      <c r="B774" s="10" t="inlineStr">
        <is>
          <t>位置合わせ(MS指定)／月内均等</t>
        </is>
      </c>
      <c r="C774" s="10" t="inlineStr">
        <is>
          <t>2022-05</t>
        </is>
      </c>
      <c r="D774" s="10" t="n">
        <v>17</v>
      </c>
      <c r="E774" s="12" t="n">
        <v>14873.6</v>
      </c>
      <c r="F774" s="12" t="n">
        <v>18133.4</v>
      </c>
      <c r="G774" s="12" t="n">
        <v>-3259.8</v>
      </c>
      <c r="H774" s="13" t="n">
        <v>0.4696</v>
      </c>
      <c r="I774" s="13" t="n">
        <v>0.5072</v>
      </c>
    </row>
    <row r="775">
      <c r="A775" s="10" t="inlineStr">
        <is>
          <t>PJ-2021-E</t>
        </is>
      </c>
      <c r="B775" s="10" t="inlineStr">
        <is>
          <t>位置合わせ(MS指定)／月内均等</t>
        </is>
      </c>
      <c r="C775" s="10" t="inlineStr">
        <is>
          <t>2022-06</t>
        </is>
      </c>
      <c r="D775" s="10" t="n">
        <v>18</v>
      </c>
      <c r="E775" s="12" t="n">
        <v>15187.8</v>
      </c>
      <c r="F775" s="12" t="n">
        <v>15271.7</v>
      </c>
      <c r="G775" s="12" t="n">
        <v>-83.90000000000001</v>
      </c>
      <c r="H775" s="13" t="n">
        <v>0.5011</v>
      </c>
      <c r="I775" s="13" t="n">
        <v>0.5389</v>
      </c>
    </row>
    <row r="776">
      <c r="A776" s="10" t="inlineStr">
        <is>
          <t>PJ-2021-E</t>
        </is>
      </c>
      <c r="B776" s="10" t="inlineStr">
        <is>
          <t>位置合わせ(MS指定)／月内均等</t>
        </is>
      </c>
      <c r="C776" s="10" t="inlineStr">
        <is>
          <t>2022-07</t>
        </is>
      </c>
      <c r="D776" s="10" t="n">
        <v>19</v>
      </c>
      <c r="E776" s="12" t="n">
        <v>15520.6</v>
      </c>
      <c r="F776" s="12" t="n">
        <v>16417.5</v>
      </c>
      <c r="G776" s="12" t="n">
        <v>-896.9</v>
      </c>
      <c r="H776" s="13" t="n">
        <v>0.5333</v>
      </c>
      <c r="I776" s="13" t="n">
        <v>0.573</v>
      </c>
    </row>
    <row r="777">
      <c r="A777" s="10" t="inlineStr">
        <is>
          <t>PJ-2021-E</t>
        </is>
      </c>
      <c r="B777" s="10" t="inlineStr">
        <is>
          <t>位置合わせ(MS指定)／月内均等</t>
        </is>
      </c>
      <c r="C777" s="10" t="inlineStr">
        <is>
          <t>2022-08</t>
        </is>
      </c>
      <c r="D777" s="10" t="n">
        <v>20</v>
      </c>
      <c r="E777" s="12" t="n">
        <v>15669.7</v>
      </c>
      <c r="F777" s="12" t="n">
        <v>14656</v>
      </c>
      <c r="G777" s="12" t="n">
        <v>1013.7</v>
      </c>
      <c r="H777" s="13" t="n">
        <v>0.5658</v>
      </c>
      <c r="I777" s="13" t="n">
        <v>0.6034</v>
      </c>
    </row>
    <row r="778">
      <c r="A778" s="10" t="inlineStr">
        <is>
          <t>PJ-2021-E</t>
        </is>
      </c>
      <c r="B778" s="10" t="inlineStr">
        <is>
          <t>位置合わせ(MS指定)／月内均等</t>
        </is>
      </c>
      <c r="C778" s="10" t="inlineStr">
        <is>
          <t>2022-09</t>
        </is>
      </c>
      <c r="D778" s="10" t="n">
        <v>21</v>
      </c>
      <c r="E778" s="12" t="n">
        <v>15114.3</v>
      </c>
      <c r="F778" s="12" t="n">
        <v>13886.2</v>
      </c>
      <c r="G778" s="12" t="n">
        <v>1228.1</v>
      </c>
      <c r="H778" s="13" t="n">
        <v>0.5971</v>
      </c>
      <c r="I778" s="13" t="n">
        <v>0.6322</v>
      </c>
    </row>
    <row r="779">
      <c r="A779" s="10" t="inlineStr">
        <is>
          <t>PJ-2021-E</t>
        </is>
      </c>
      <c r="B779" s="10" t="inlineStr">
        <is>
          <t>位置合わせ(MS指定)／月内均等</t>
        </is>
      </c>
      <c r="C779" s="10" t="inlineStr">
        <is>
          <t>2022-10</t>
        </is>
      </c>
      <c r="D779" s="10" t="n">
        <v>22</v>
      </c>
      <c r="E779" s="12" t="n">
        <v>15321</v>
      </c>
      <c r="F779" s="12" t="n">
        <v>13614.7</v>
      </c>
      <c r="G779" s="12" t="n">
        <v>1706.3</v>
      </c>
      <c r="H779" s="13" t="n">
        <v>0.6289</v>
      </c>
      <c r="I779" s="13" t="n">
        <v>0.6604</v>
      </c>
    </row>
    <row r="780">
      <c r="A780" s="10" t="inlineStr">
        <is>
          <t>PJ-2021-E</t>
        </is>
      </c>
      <c r="B780" s="10" t="inlineStr">
        <is>
          <t>位置合わせ(MS指定)／月内均等</t>
        </is>
      </c>
      <c r="C780" s="10" t="inlineStr">
        <is>
          <t>2022-11</t>
        </is>
      </c>
      <c r="D780" s="10" t="n">
        <v>23</v>
      </c>
      <c r="E780" s="12" t="n">
        <v>15300.9</v>
      </c>
      <c r="F780" s="12" t="n">
        <v>14580.3</v>
      </c>
      <c r="G780" s="12" t="n">
        <v>720.6</v>
      </c>
      <c r="H780" s="13" t="n">
        <v>0.6606</v>
      </c>
      <c r="I780" s="13" t="n">
        <v>0.6906</v>
      </c>
    </row>
    <row r="781">
      <c r="A781" s="10" t="inlineStr">
        <is>
          <t>PJ-2021-E</t>
        </is>
      </c>
      <c r="B781" s="10" t="inlineStr">
        <is>
          <t>位置合わせ(MS指定)／月内均等</t>
        </is>
      </c>
      <c r="C781" s="10" t="inlineStr">
        <is>
          <t>2022-12</t>
        </is>
      </c>
      <c r="D781" s="10" t="n">
        <v>24</v>
      </c>
      <c r="E781" s="12" t="n">
        <v>15918.6</v>
      </c>
      <c r="F781" s="12" t="n">
        <v>15865.3</v>
      </c>
      <c r="G781" s="12" t="n">
        <v>53.3</v>
      </c>
      <c r="H781" s="13" t="n">
        <v>0.6937</v>
      </c>
      <c r="I781" s="13" t="n">
        <v>0.7236</v>
      </c>
    </row>
    <row r="782">
      <c r="A782" s="10" t="inlineStr">
        <is>
          <t>PJ-2021-E</t>
        </is>
      </c>
      <c r="B782" s="10" t="inlineStr">
        <is>
          <t>位置合わせ(MS指定)／月内均等</t>
        </is>
      </c>
      <c r="C782" s="10" t="inlineStr">
        <is>
          <t>2023-01</t>
        </is>
      </c>
      <c r="D782" s="10" t="n">
        <v>25</v>
      </c>
      <c r="E782" s="12" t="n">
        <v>16009.1</v>
      </c>
      <c r="F782" s="12" t="n">
        <v>18226.2</v>
      </c>
      <c r="G782" s="12" t="n">
        <v>-2217.1</v>
      </c>
      <c r="H782" s="13" t="n">
        <v>0.7269</v>
      </c>
      <c r="I782" s="13" t="n">
        <v>0.7614</v>
      </c>
    </row>
    <row r="783">
      <c r="A783" s="10" t="inlineStr">
        <is>
          <t>PJ-2021-E</t>
        </is>
      </c>
      <c r="B783" s="10" t="inlineStr">
        <is>
          <t>位置合わせ(MS指定)／月内均等</t>
        </is>
      </c>
      <c r="C783" s="10" t="inlineStr">
        <is>
          <t>2023-02</t>
        </is>
      </c>
      <c r="D783" s="10" t="n">
        <v>26</v>
      </c>
      <c r="E783" s="12" t="n">
        <v>13239.7</v>
      </c>
      <c r="F783" s="12" t="n">
        <v>17827.1</v>
      </c>
      <c r="G783" s="12" t="n">
        <v>-4587.4</v>
      </c>
      <c r="H783" s="13" t="n">
        <v>0.7543</v>
      </c>
      <c r="I783" s="13" t="n">
        <v>0.7983</v>
      </c>
    </row>
    <row r="784">
      <c r="A784" s="10" t="inlineStr">
        <is>
          <t>PJ-2021-E</t>
        </is>
      </c>
      <c r="B784" s="10" t="inlineStr">
        <is>
          <t>位置合わせ(MS指定)／月内均等</t>
        </is>
      </c>
      <c r="C784" s="10" t="inlineStr">
        <is>
          <t>2023-03</t>
        </is>
      </c>
      <c r="D784" s="10" t="n">
        <v>27</v>
      </c>
      <c r="E784" s="12" t="n">
        <v>19531</v>
      </c>
      <c r="F784" s="12" t="n">
        <v>22013.8</v>
      </c>
      <c r="G784" s="12" t="n">
        <v>-2482.8</v>
      </c>
      <c r="H784" s="13" t="n">
        <v>0.7948</v>
      </c>
      <c r="I784" s="13" t="n">
        <v>0.844</v>
      </c>
    </row>
    <row r="785">
      <c r="A785" s="10" t="inlineStr">
        <is>
          <t>PJ-2021-E</t>
        </is>
      </c>
      <c r="B785" s="10" t="inlineStr">
        <is>
          <t>位置合わせ(MS指定)／月内均等</t>
        </is>
      </c>
      <c r="C785" s="10" t="inlineStr">
        <is>
          <t>2023-04</t>
        </is>
      </c>
      <c r="D785" s="10" t="n">
        <v>28</v>
      </c>
      <c r="E785" s="12" t="n">
        <v>20278.7</v>
      </c>
      <c r="F785" s="12" t="n">
        <v>17769.7</v>
      </c>
      <c r="G785" s="12" t="n">
        <v>2509</v>
      </c>
      <c r="H785" s="13" t="n">
        <v>0.8369</v>
      </c>
      <c r="I785" s="13" t="n">
        <v>0.8808</v>
      </c>
    </row>
    <row r="786">
      <c r="A786" s="10" t="inlineStr">
        <is>
          <t>PJ-2021-E</t>
        </is>
      </c>
      <c r="B786" s="10" t="inlineStr">
        <is>
          <t>位置合わせ(MS指定)／月内均等</t>
        </is>
      </c>
      <c r="C786" s="10" t="inlineStr">
        <is>
          <t>2023-05</t>
        </is>
      </c>
      <c r="D786" s="10" t="n">
        <v>29</v>
      </c>
      <c r="E786" s="12" t="n">
        <v>19275.2</v>
      </c>
      <c r="F786" s="12" t="n">
        <v>15747.8</v>
      </c>
      <c r="G786" s="12" t="n">
        <v>3527.4</v>
      </c>
      <c r="H786" s="13" t="n">
        <v>0.8769</v>
      </c>
      <c r="I786" s="13" t="n">
        <v>0.9135</v>
      </c>
    </row>
    <row r="787">
      <c r="A787" s="10" t="inlineStr">
        <is>
          <t>PJ-2021-E</t>
        </is>
      </c>
      <c r="B787" s="10" t="inlineStr">
        <is>
          <t>位置合わせ(MS指定)／月内均等</t>
        </is>
      </c>
      <c r="C787" s="10" t="inlineStr">
        <is>
          <t>2023-06</t>
        </is>
      </c>
      <c r="D787" s="10" t="n">
        <v>30</v>
      </c>
      <c r="E787" s="12" t="n">
        <v>17004.5</v>
      </c>
      <c r="F787" s="12" t="n">
        <v>11049.5</v>
      </c>
      <c r="G787" s="12" t="n">
        <v>5955</v>
      </c>
      <c r="H787" s="13" t="n">
        <v>0.9121</v>
      </c>
      <c r="I787" s="13" t="n">
        <v>0.9364</v>
      </c>
    </row>
    <row r="788">
      <c r="A788" s="10" t="inlineStr">
        <is>
          <t>PJ-2021-E</t>
        </is>
      </c>
      <c r="B788" s="10" t="inlineStr">
        <is>
          <t>位置合わせ(MS指定)／月内均等</t>
        </is>
      </c>
      <c r="C788" s="10" t="inlineStr">
        <is>
          <t>2023-07</t>
        </is>
      </c>
      <c r="D788" s="10" t="n">
        <v>31</v>
      </c>
      <c r="E788" s="12" t="n">
        <v>14645.4</v>
      </c>
      <c r="F788" s="12" t="n">
        <v>10147.8</v>
      </c>
      <c r="G788" s="12" t="n">
        <v>4497.6</v>
      </c>
      <c r="H788" s="13" t="n">
        <v>0.9425</v>
      </c>
      <c r="I788" s="13" t="n">
        <v>0.9575</v>
      </c>
    </row>
    <row r="789">
      <c r="A789" s="10" t="inlineStr">
        <is>
          <t>PJ-2021-E</t>
        </is>
      </c>
      <c r="B789" s="10" t="inlineStr">
        <is>
          <t>位置合わせ(MS指定)／月内均等</t>
        </is>
      </c>
      <c r="C789" s="10" t="inlineStr">
        <is>
          <t>2023-08</t>
        </is>
      </c>
      <c r="D789" s="10" t="n">
        <v>32</v>
      </c>
      <c r="E789" s="12" t="n">
        <v>9766.200000000001</v>
      </c>
      <c r="F789" s="12" t="n">
        <v>8637.799999999999</v>
      </c>
      <c r="G789" s="12" t="n">
        <v>1128.4</v>
      </c>
      <c r="H789" s="13" t="n">
        <v>0.9628</v>
      </c>
      <c r="I789" s="13" t="n">
        <v>0.9754</v>
      </c>
    </row>
    <row r="790">
      <c r="A790" s="10" t="inlineStr">
        <is>
          <t>PJ-2021-E</t>
        </is>
      </c>
      <c r="B790" s="10" t="inlineStr">
        <is>
          <t>位置合わせ(MS指定)／月内均等</t>
        </is>
      </c>
      <c r="C790" s="10" t="inlineStr">
        <is>
          <t>2023-09</t>
        </is>
      </c>
      <c r="D790" s="10" t="n">
        <v>33</v>
      </c>
      <c r="E790" s="12" t="n">
        <v>6317.6</v>
      </c>
      <c r="F790" s="12" t="n">
        <v>5590.1</v>
      </c>
      <c r="G790" s="12" t="n">
        <v>727.5</v>
      </c>
      <c r="H790" s="13" t="n">
        <v>0.9759</v>
      </c>
      <c r="I790" s="13" t="n">
        <v>0.987</v>
      </c>
    </row>
    <row r="791">
      <c r="A791" s="10" t="inlineStr">
        <is>
          <t>PJ-2021-E</t>
        </is>
      </c>
      <c r="B791" s="10" t="inlineStr">
        <is>
          <t>位置合わせ(MS指定)／月内均等</t>
        </is>
      </c>
      <c r="C791" s="10" t="inlineStr">
        <is>
          <t>2023-10</t>
        </is>
      </c>
      <c r="D791" s="10" t="n">
        <v>34</v>
      </c>
      <c r="E791" s="12" t="n">
        <v>4901.9</v>
      </c>
      <c r="F791" s="12" t="n">
        <v>3746.3</v>
      </c>
      <c r="G791" s="12" t="n">
        <v>1155.6</v>
      </c>
      <c r="H791" s="13" t="n">
        <v>0.986</v>
      </c>
      <c r="I791" s="13" t="n">
        <v>0.9947</v>
      </c>
    </row>
    <row r="792">
      <c r="A792" s="10" t="inlineStr">
        <is>
          <t>PJ-2021-E</t>
        </is>
      </c>
      <c r="B792" s="10" t="inlineStr">
        <is>
          <t>位置合わせ(MS指定)／月内均等</t>
        </is>
      </c>
      <c r="C792" s="10" t="inlineStr">
        <is>
          <t>2023-11</t>
        </is>
      </c>
      <c r="D792" s="10" t="n">
        <v>35</v>
      </c>
      <c r="E792" s="12" t="n">
        <v>3531.7</v>
      </c>
      <c r="F792" s="12" t="n">
        <v>1912.1</v>
      </c>
      <c r="G792" s="12" t="n">
        <v>1619.6</v>
      </c>
      <c r="H792" s="13" t="n">
        <v>0.9933999999999999</v>
      </c>
      <c r="I792" s="13" t="n">
        <v>0.9987</v>
      </c>
    </row>
    <row r="793">
      <c r="A793" s="10" t="inlineStr">
        <is>
          <t>PJ-2021-E</t>
        </is>
      </c>
      <c r="B793" s="10" t="inlineStr">
        <is>
          <t>位置合わせ(MS指定)／月内均等</t>
        </is>
      </c>
      <c r="C793" s="10" t="inlineStr">
        <is>
          <t>2023-12</t>
        </is>
      </c>
      <c r="D793" s="10" t="n">
        <v>36</v>
      </c>
      <c r="E793" s="12" t="n">
        <v>3199.6</v>
      </c>
      <c r="F793" s="12" t="n">
        <v>620.9</v>
      </c>
      <c r="G793" s="12" t="n">
        <v>2578.7</v>
      </c>
      <c r="H793" s="13" t="n">
        <v>1</v>
      </c>
      <c r="I793" s="13" t="n">
        <v>1</v>
      </c>
    </row>
    <row r="794">
      <c r="A794" s="10" t="inlineStr">
        <is>
          <t>PJ-2021-E</t>
        </is>
      </c>
      <c r="B794" s="10" t="inlineStr">
        <is>
          <t>素朴版／単調補間</t>
        </is>
      </c>
      <c r="C794" s="10" t="inlineStr">
        <is>
          <t>2021-01</t>
        </is>
      </c>
      <c r="D794" s="10" t="n">
        <v>1</v>
      </c>
      <c r="E794" s="12" t="n">
        <v>5325.8</v>
      </c>
      <c r="F794" s="12" t="n">
        <v>2212.8</v>
      </c>
      <c r="G794" s="12" t="n">
        <v>3113</v>
      </c>
      <c r="H794" s="13" t="n">
        <v>0.011</v>
      </c>
      <c r="I794" s="13" t="n">
        <v>0.0046</v>
      </c>
    </row>
    <row r="795">
      <c r="A795" s="10" t="inlineStr">
        <is>
          <t>PJ-2021-E</t>
        </is>
      </c>
      <c r="B795" s="10" t="inlineStr">
        <is>
          <t>素朴版／単調補間</t>
        </is>
      </c>
      <c r="C795" s="10" t="inlineStr">
        <is>
          <t>2021-02</t>
        </is>
      </c>
      <c r="D795" s="10" t="n">
        <v>2</v>
      </c>
      <c r="E795" s="12" t="n">
        <v>5823</v>
      </c>
      <c r="F795" s="12" t="n">
        <v>3289.4</v>
      </c>
      <c r="G795" s="12" t="n">
        <v>2533.6</v>
      </c>
      <c r="H795" s="13" t="n">
        <v>0.0231</v>
      </c>
      <c r="I795" s="13" t="n">
        <v>0.0114</v>
      </c>
    </row>
    <row r="796">
      <c r="A796" s="10" t="inlineStr">
        <is>
          <t>PJ-2021-E</t>
        </is>
      </c>
      <c r="B796" s="10" t="inlineStr">
        <is>
          <t>素朴版／単調補間</t>
        </is>
      </c>
      <c r="C796" s="10" t="inlineStr">
        <is>
          <t>2021-03</t>
        </is>
      </c>
      <c r="D796" s="10" t="n">
        <v>3</v>
      </c>
      <c r="E796" s="12" t="n">
        <v>7347.4</v>
      </c>
      <c r="F796" s="12" t="n">
        <v>4610.7</v>
      </c>
      <c r="G796" s="12" t="n">
        <v>2736.7</v>
      </c>
      <c r="H796" s="13" t="n">
        <v>0.0384</v>
      </c>
      <c r="I796" s="13" t="n">
        <v>0.021</v>
      </c>
    </row>
    <row r="797">
      <c r="A797" s="10" t="inlineStr">
        <is>
          <t>PJ-2021-E</t>
        </is>
      </c>
      <c r="B797" s="10" t="inlineStr">
        <is>
          <t>素朴版／単調補間</t>
        </is>
      </c>
      <c r="C797" s="10" t="inlineStr">
        <is>
          <t>2021-04</t>
        </is>
      </c>
      <c r="D797" s="10" t="n">
        <v>4</v>
      </c>
      <c r="E797" s="12" t="n">
        <v>7816.3</v>
      </c>
      <c r="F797" s="12" t="n">
        <v>5392.8</v>
      </c>
      <c r="G797" s="12" t="n">
        <v>2423.5</v>
      </c>
      <c r="H797" s="13" t="n">
        <v>0.0546</v>
      </c>
      <c r="I797" s="13" t="n">
        <v>0.0322</v>
      </c>
    </row>
    <row r="798">
      <c r="A798" s="10" t="inlineStr">
        <is>
          <t>PJ-2021-E</t>
        </is>
      </c>
      <c r="B798" s="10" t="inlineStr">
        <is>
          <t>素朴版／単調補間</t>
        </is>
      </c>
      <c r="C798" s="10" t="inlineStr">
        <is>
          <t>2021-05</t>
        </is>
      </c>
      <c r="D798" s="10" t="n">
        <v>5</v>
      </c>
      <c r="E798" s="12" t="n">
        <v>8695.299999999999</v>
      </c>
      <c r="F798" s="12" t="n">
        <v>5875.1</v>
      </c>
      <c r="G798" s="12" t="n">
        <v>2820.2</v>
      </c>
      <c r="H798" s="13" t="n">
        <v>0.0726</v>
      </c>
      <c r="I798" s="13" t="n">
        <v>0.0443</v>
      </c>
    </row>
    <row r="799">
      <c r="A799" s="10" t="inlineStr">
        <is>
          <t>PJ-2021-E</t>
        </is>
      </c>
      <c r="B799" s="10" t="inlineStr">
        <is>
          <t>素朴版／単調補間</t>
        </is>
      </c>
      <c r="C799" s="10" t="inlineStr">
        <is>
          <t>2021-06</t>
        </is>
      </c>
      <c r="D799" s="10" t="n">
        <v>6</v>
      </c>
      <c r="E799" s="12" t="n">
        <v>9091.1</v>
      </c>
      <c r="F799" s="12" t="n">
        <v>6664.2</v>
      </c>
      <c r="G799" s="12" t="n">
        <v>2426.9</v>
      </c>
      <c r="H799" s="13" t="n">
        <v>0.0915</v>
      </c>
      <c r="I799" s="13" t="n">
        <v>0.0582</v>
      </c>
    </row>
    <row r="800">
      <c r="A800" s="10" t="inlineStr">
        <is>
          <t>PJ-2021-E</t>
        </is>
      </c>
      <c r="B800" s="10" t="inlineStr">
        <is>
          <t>素朴版／単調補間</t>
        </is>
      </c>
      <c r="C800" s="10" t="inlineStr">
        <is>
          <t>2021-07</t>
        </is>
      </c>
      <c r="D800" s="10" t="n">
        <v>7</v>
      </c>
      <c r="E800" s="12" t="n">
        <v>9443.5</v>
      </c>
      <c r="F800" s="12" t="n">
        <v>7114.2</v>
      </c>
      <c r="G800" s="12" t="n">
        <v>2329.3</v>
      </c>
      <c r="H800" s="13" t="n">
        <v>0.111</v>
      </c>
      <c r="I800" s="13" t="n">
        <v>0.07290000000000001</v>
      </c>
    </row>
    <row r="801">
      <c r="A801" s="10" t="inlineStr">
        <is>
          <t>PJ-2021-E</t>
        </is>
      </c>
      <c r="B801" s="10" t="inlineStr">
        <is>
          <t>素朴版／単調補間</t>
        </is>
      </c>
      <c r="C801" s="10" t="inlineStr">
        <is>
          <t>2021-08</t>
        </is>
      </c>
      <c r="D801" s="10" t="n">
        <v>8</v>
      </c>
      <c r="E801" s="12" t="n">
        <v>9940.799999999999</v>
      </c>
      <c r="F801" s="12" t="n">
        <v>7159.8</v>
      </c>
      <c r="G801" s="12" t="n">
        <v>2781</v>
      </c>
      <c r="H801" s="13" t="n">
        <v>0.1317</v>
      </c>
      <c r="I801" s="13" t="n">
        <v>0.0878</v>
      </c>
    </row>
    <row r="802">
      <c r="A802" s="10" t="inlineStr">
        <is>
          <t>PJ-2021-E</t>
        </is>
      </c>
      <c r="B802" s="10" t="inlineStr">
        <is>
          <t>素朴版／単調補間</t>
        </is>
      </c>
      <c r="C802" s="10" t="inlineStr">
        <is>
          <t>2021-09</t>
        </is>
      </c>
      <c r="D802" s="10" t="n">
        <v>9</v>
      </c>
      <c r="E802" s="12" t="n">
        <v>10404.5</v>
      </c>
      <c r="F802" s="12" t="n">
        <v>7725.3</v>
      </c>
      <c r="G802" s="12" t="n">
        <v>2679.2</v>
      </c>
      <c r="H802" s="13" t="n">
        <v>0.1532</v>
      </c>
      <c r="I802" s="13" t="n">
        <v>0.1038</v>
      </c>
    </row>
    <row r="803">
      <c r="A803" s="10" t="inlineStr">
        <is>
          <t>PJ-2021-E</t>
        </is>
      </c>
      <c r="B803" s="10" t="inlineStr">
        <is>
          <t>素朴版／単調補間</t>
        </is>
      </c>
      <c r="C803" s="10" t="inlineStr">
        <is>
          <t>2021-10</t>
        </is>
      </c>
      <c r="D803" s="10" t="n">
        <v>10</v>
      </c>
      <c r="E803" s="12" t="n">
        <v>11696.1</v>
      </c>
      <c r="F803" s="12" t="n">
        <v>11396.5</v>
      </c>
      <c r="G803" s="12" t="n">
        <v>299.6</v>
      </c>
      <c r="H803" s="13" t="n">
        <v>0.1775</v>
      </c>
      <c r="I803" s="13" t="n">
        <v>0.1274</v>
      </c>
    </row>
    <row r="804">
      <c r="A804" s="10" t="inlineStr">
        <is>
          <t>PJ-2021-E</t>
        </is>
      </c>
      <c r="B804" s="10" t="inlineStr">
        <is>
          <t>素朴版／単調補間</t>
        </is>
      </c>
      <c r="C804" s="10" t="inlineStr">
        <is>
          <t>2021-11</t>
        </is>
      </c>
      <c r="D804" s="10" t="n">
        <v>11</v>
      </c>
      <c r="E804" s="12" t="n">
        <v>11995.5</v>
      </c>
      <c r="F804" s="12" t="n">
        <v>22707.4</v>
      </c>
      <c r="G804" s="12" t="n">
        <v>-10711.9</v>
      </c>
      <c r="H804" s="13" t="n">
        <v>0.2024</v>
      </c>
      <c r="I804" s="13" t="n">
        <v>0.1745</v>
      </c>
    </row>
    <row r="805">
      <c r="A805" s="10" t="inlineStr">
        <is>
          <t>PJ-2021-E</t>
        </is>
      </c>
      <c r="B805" s="10" t="inlineStr">
        <is>
          <t>素朴版／単調補間</t>
        </is>
      </c>
      <c r="C805" s="10" t="inlineStr">
        <is>
          <t>2021-12</t>
        </is>
      </c>
      <c r="D805" s="10" t="n">
        <v>12</v>
      </c>
      <c r="E805" s="12" t="n">
        <v>13510.1</v>
      </c>
      <c r="F805" s="12" t="n">
        <v>24332.8</v>
      </c>
      <c r="G805" s="12" t="n">
        <v>-10822.7</v>
      </c>
      <c r="H805" s="13" t="n">
        <v>0.2304</v>
      </c>
      <c r="I805" s="13" t="n">
        <v>0.225</v>
      </c>
    </row>
    <row r="806">
      <c r="A806" s="10" t="inlineStr">
        <is>
          <t>PJ-2021-E</t>
        </is>
      </c>
      <c r="B806" s="10" t="inlineStr">
        <is>
          <t>素朴版／単調補間</t>
        </is>
      </c>
      <c r="C806" s="10" t="inlineStr">
        <is>
          <t>2022-01</t>
        </is>
      </c>
      <c r="D806" s="10" t="n">
        <v>13</v>
      </c>
      <c r="E806" s="12" t="n">
        <v>13987.5</v>
      </c>
      <c r="F806" s="12" t="n">
        <v>28940.1</v>
      </c>
      <c r="G806" s="12" t="n">
        <v>-14952.6</v>
      </c>
      <c r="H806" s="13" t="n">
        <v>0.2594</v>
      </c>
      <c r="I806" s="13" t="n">
        <v>0.285</v>
      </c>
    </row>
    <row r="807">
      <c r="A807" s="10" t="inlineStr">
        <is>
          <t>PJ-2021-E</t>
        </is>
      </c>
      <c r="B807" s="10" t="inlineStr">
        <is>
          <t>素朴版／単調補間</t>
        </is>
      </c>
      <c r="C807" s="10" t="inlineStr">
        <is>
          <t>2022-02</t>
        </is>
      </c>
      <c r="D807" s="10" t="n">
        <v>14</v>
      </c>
      <c r="E807" s="12" t="n">
        <v>13368.7</v>
      </c>
      <c r="F807" s="12" t="n">
        <v>28533.6</v>
      </c>
      <c r="G807" s="12" t="n">
        <v>-15164.9</v>
      </c>
      <c r="H807" s="13" t="n">
        <v>0.2871</v>
      </c>
      <c r="I807" s="13" t="n">
        <v>0.3442</v>
      </c>
    </row>
    <row r="808">
      <c r="A808" s="10" t="inlineStr">
        <is>
          <t>PJ-2021-E</t>
        </is>
      </c>
      <c r="B808" s="10" t="inlineStr">
        <is>
          <t>素朴版／単調補間</t>
        </is>
      </c>
      <c r="C808" s="10" t="inlineStr">
        <is>
          <t>2022-03</t>
        </is>
      </c>
      <c r="D808" s="10" t="n">
        <v>15</v>
      </c>
      <c r="E808" s="12" t="n">
        <v>15817</v>
      </c>
      <c r="F808" s="12" t="n">
        <v>39513.1</v>
      </c>
      <c r="G808" s="12" t="n">
        <v>-23696.1</v>
      </c>
      <c r="H808" s="13" t="n">
        <v>0.3199</v>
      </c>
      <c r="I808" s="13" t="n">
        <v>0.4261</v>
      </c>
    </row>
    <row r="809">
      <c r="A809" s="10" t="inlineStr">
        <is>
          <t>PJ-2021-E</t>
        </is>
      </c>
      <c r="B809" s="10" t="inlineStr">
        <is>
          <t>素朴版／単調補間</t>
        </is>
      </c>
      <c r="C809" s="10" t="inlineStr">
        <is>
          <t>2022-04</t>
        </is>
      </c>
      <c r="D809" s="10" t="n">
        <v>16</v>
      </c>
      <c r="E809" s="12" t="n">
        <v>15531.9</v>
      </c>
      <c r="F809" s="12" t="n">
        <v>20968.4</v>
      </c>
      <c r="G809" s="12" t="n">
        <v>-5436.5</v>
      </c>
      <c r="H809" s="13" t="n">
        <v>0.3522</v>
      </c>
      <c r="I809" s="13" t="n">
        <v>0.4696</v>
      </c>
    </row>
    <row r="810">
      <c r="A810" s="10" t="inlineStr">
        <is>
          <t>PJ-2021-E</t>
        </is>
      </c>
      <c r="B810" s="10" t="inlineStr">
        <is>
          <t>素朴版／単調補間</t>
        </is>
      </c>
      <c r="C810" s="10" t="inlineStr">
        <is>
          <t>2022-05</t>
        </is>
      </c>
      <c r="D810" s="10" t="n">
        <v>17</v>
      </c>
      <c r="E810" s="12" t="n">
        <v>15915.3</v>
      </c>
      <c r="F810" s="12" t="n">
        <v>18133.4</v>
      </c>
      <c r="G810" s="12" t="n">
        <v>-2218.1</v>
      </c>
      <c r="H810" s="13" t="n">
        <v>0.3852</v>
      </c>
      <c r="I810" s="13" t="n">
        <v>0.5072</v>
      </c>
    </row>
    <row r="811">
      <c r="A811" s="10" t="inlineStr">
        <is>
          <t>PJ-2021-E</t>
        </is>
      </c>
      <c r="B811" s="10" t="inlineStr">
        <is>
          <t>素朴版／単調補間</t>
        </is>
      </c>
      <c r="C811" s="10" t="inlineStr">
        <is>
          <t>2022-06</t>
        </is>
      </c>
      <c r="D811" s="10" t="n">
        <v>18</v>
      </c>
      <c r="E811" s="12" t="n">
        <v>15373.6</v>
      </c>
      <c r="F811" s="12" t="n">
        <v>15271.7</v>
      </c>
      <c r="G811" s="12" t="n">
        <v>101.9</v>
      </c>
      <c r="H811" s="13" t="n">
        <v>0.4171</v>
      </c>
      <c r="I811" s="13" t="n">
        <v>0.5389</v>
      </c>
    </row>
    <row r="812">
      <c r="A812" s="10" t="inlineStr">
        <is>
          <t>PJ-2021-E</t>
        </is>
      </c>
      <c r="B812" s="10" t="inlineStr">
        <is>
          <t>素朴版／単調補間</t>
        </is>
      </c>
      <c r="C812" s="10" t="inlineStr">
        <is>
          <t>2022-07</t>
        </is>
      </c>
      <c r="D812" s="10" t="n">
        <v>19</v>
      </c>
      <c r="E812" s="12" t="n">
        <v>18264</v>
      </c>
      <c r="F812" s="12" t="n">
        <v>16417.5</v>
      </c>
      <c r="G812" s="12" t="n">
        <v>1846.5</v>
      </c>
      <c r="H812" s="13" t="n">
        <v>0.4549</v>
      </c>
      <c r="I812" s="13" t="n">
        <v>0.573</v>
      </c>
    </row>
    <row r="813">
      <c r="A813" s="10" t="inlineStr">
        <is>
          <t>PJ-2021-E</t>
        </is>
      </c>
      <c r="B813" s="10" t="inlineStr">
        <is>
          <t>素朴版／単調補間</t>
        </is>
      </c>
      <c r="C813" s="10" t="inlineStr">
        <is>
          <t>2022-08</t>
        </is>
      </c>
      <c r="D813" s="10" t="n">
        <v>20</v>
      </c>
      <c r="E813" s="12" t="n">
        <v>19187.8</v>
      </c>
      <c r="F813" s="12" t="n">
        <v>14656</v>
      </c>
      <c r="G813" s="12" t="n">
        <v>4531.8</v>
      </c>
      <c r="H813" s="13" t="n">
        <v>0.4947</v>
      </c>
      <c r="I813" s="13" t="n">
        <v>0.6034</v>
      </c>
    </row>
    <row r="814">
      <c r="A814" s="10" t="inlineStr">
        <is>
          <t>PJ-2021-E</t>
        </is>
      </c>
      <c r="B814" s="10" t="inlineStr">
        <is>
          <t>素朴版／単調補間</t>
        </is>
      </c>
      <c r="C814" s="10" t="inlineStr">
        <is>
          <t>2022-09</t>
        </is>
      </c>
      <c r="D814" s="10" t="n">
        <v>21</v>
      </c>
      <c r="E814" s="12" t="n">
        <v>18921.7</v>
      </c>
      <c r="F814" s="12" t="n">
        <v>13886.2</v>
      </c>
      <c r="G814" s="12" t="n">
        <v>5035.5</v>
      </c>
      <c r="H814" s="13" t="n">
        <v>0.534</v>
      </c>
      <c r="I814" s="13" t="n">
        <v>0.6322</v>
      </c>
    </row>
    <row r="815">
      <c r="A815" s="10" t="inlineStr">
        <is>
          <t>PJ-2021-E</t>
        </is>
      </c>
      <c r="B815" s="10" t="inlineStr">
        <is>
          <t>素朴版／単調補間</t>
        </is>
      </c>
      <c r="C815" s="10" t="inlineStr">
        <is>
          <t>2022-10</t>
        </is>
      </c>
      <c r="D815" s="10" t="n">
        <v>22</v>
      </c>
      <c r="E815" s="12" t="n">
        <v>20846.9</v>
      </c>
      <c r="F815" s="12" t="n">
        <v>13614.7</v>
      </c>
      <c r="G815" s="12" t="n">
        <v>7232.2</v>
      </c>
      <c r="H815" s="13" t="n">
        <v>0.5772</v>
      </c>
      <c r="I815" s="13" t="n">
        <v>0.6604</v>
      </c>
    </row>
    <row r="816">
      <c r="A816" s="10" t="inlineStr">
        <is>
          <t>PJ-2021-E</t>
        </is>
      </c>
      <c r="B816" s="10" t="inlineStr">
        <is>
          <t>素朴版／単調補間</t>
        </is>
      </c>
      <c r="C816" s="10" t="inlineStr">
        <is>
          <t>2022-11</t>
        </is>
      </c>
      <c r="D816" s="10" t="n">
        <v>23</v>
      </c>
      <c r="E816" s="12" t="n">
        <v>21445.1</v>
      </c>
      <c r="F816" s="12" t="n">
        <v>14580.3</v>
      </c>
      <c r="G816" s="12" t="n">
        <v>6864.8</v>
      </c>
      <c r="H816" s="13" t="n">
        <v>0.6217</v>
      </c>
      <c r="I816" s="13" t="n">
        <v>0.6906</v>
      </c>
    </row>
    <row r="817">
      <c r="A817" s="10" t="inlineStr">
        <is>
          <t>PJ-2021-E</t>
        </is>
      </c>
      <c r="B817" s="10" t="inlineStr">
        <is>
          <t>素朴版／単調補間</t>
        </is>
      </c>
      <c r="C817" s="10" t="inlineStr">
        <is>
          <t>2022-12</t>
        </is>
      </c>
      <c r="D817" s="10" t="n">
        <v>24</v>
      </c>
      <c r="E817" s="12" t="n">
        <v>20785.3</v>
      </c>
      <c r="F817" s="12" t="n">
        <v>15865.3</v>
      </c>
      <c r="G817" s="12" t="n">
        <v>4920</v>
      </c>
      <c r="H817" s="13" t="n">
        <v>0.6647999999999999</v>
      </c>
      <c r="I817" s="13" t="n">
        <v>0.7236</v>
      </c>
    </row>
    <row r="818">
      <c r="A818" s="10" t="inlineStr">
        <is>
          <t>PJ-2021-E</t>
        </is>
      </c>
      <c r="B818" s="10" t="inlineStr">
        <is>
          <t>素朴版／単調補間</t>
        </is>
      </c>
      <c r="C818" s="10" t="inlineStr">
        <is>
          <t>2023-01</t>
        </is>
      </c>
      <c r="D818" s="10" t="n">
        <v>25</v>
      </c>
      <c r="E818" s="12" t="n">
        <v>19081.1</v>
      </c>
      <c r="F818" s="12" t="n">
        <v>18226.2</v>
      </c>
      <c r="G818" s="12" t="n">
        <v>854.9</v>
      </c>
      <c r="H818" s="13" t="n">
        <v>0.7044</v>
      </c>
      <c r="I818" s="13" t="n">
        <v>0.7614</v>
      </c>
    </row>
    <row r="819">
      <c r="A819" s="10" t="inlineStr">
        <is>
          <t>PJ-2021-E</t>
        </is>
      </c>
      <c r="B819" s="10" t="inlineStr">
        <is>
          <t>素朴版／単調補間</t>
        </is>
      </c>
      <c r="C819" s="10" t="inlineStr">
        <is>
          <t>2023-02</t>
        </is>
      </c>
      <c r="D819" s="10" t="n">
        <v>26</v>
      </c>
      <c r="E819" s="12" t="n">
        <v>15983.2</v>
      </c>
      <c r="F819" s="12" t="n">
        <v>17827.1</v>
      </c>
      <c r="G819" s="12" t="n">
        <v>-1843.9</v>
      </c>
      <c r="H819" s="13" t="n">
        <v>0.7375</v>
      </c>
      <c r="I819" s="13" t="n">
        <v>0.7983</v>
      </c>
    </row>
    <row r="820">
      <c r="A820" s="10" t="inlineStr">
        <is>
          <t>PJ-2021-E</t>
        </is>
      </c>
      <c r="B820" s="10" t="inlineStr">
        <is>
          <t>素朴版／単調補間</t>
        </is>
      </c>
      <c r="C820" s="10" t="inlineStr">
        <is>
          <t>2023-03</t>
        </is>
      </c>
      <c r="D820" s="10" t="n">
        <v>27</v>
      </c>
      <c r="E820" s="12" t="n">
        <v>16816.5</v>
      </c>
      <c r="F820" s="12" t="n">
        <v>22013.8</v>
      </c>
      <c r="G820" s="12" t="n">
        <v>-5197.3</v>
      </c>
      <c r="H820" s="13" t="n">
        <v>0.7724</v>
      </c>
      <c r="I820" s="13" t="n">
        <v>0.844</v>
      </c>
    </row>
    <row r="821">
      <c r="A821" s="10" t="inlineStr">
        <is>
          <t>PJ-2021-E</t>
        </is>
      </c>
      <c r="B821" s="10" t="inlineStr">
        <is>
          <t>素朴版／単調補間</t>
        </is>
      </c>
      <c r="C821" s="10" t="inlineStr">
        <is>
          <t>2023-04</t>
        </is>
      </c>
      <c r="D821" s="10" t="n">
        <v>28</v>
      </c>
      <c r="E821" s="12" t="n">
        <v>16819.9</v>
      </c>
      <c r="F821" s="12" t="n">
        <v>17769.7</v>
      </c>
      <c r="G821" s="12" t="n">
        <v>-949.8</v>
      </c>
      <c r="H821" s="13" t="n">
        <v>0.8073</v>
      </c>
      <c r="I821" s="13" t="n">
        <v>0.8808</v>
      </c>
    </row>
    <row r="822">
      <c r="A822" s="10" t="inlineStr">
        <is>
          <t>PJ-2021-E</t>
        </is>
      </c>
      <c r="B822" s="10" t="inlineStr">
        <is>
          <t>素朴版／単調補間</t>
        </is>
      </c>
      <c r="C822" s="10" t="inlineStr">
        <is>
          <t>2023-05</t>
        </is>
      </c>
      <c r="D822" s="10" t="n">
        <v>29</v>
      </c>
      <c r="E822" s="12" t="n">
        <v>18089.7</v>
      </c>
      <c r="F822" s="12" t="n">
        <v>15747.8</v>
      </c>
      <c r="G822" s="12" t="n">
        <v>2341.9</v>
      </c>
      <c r="H822" s="13" t="n">
        <v>0.8448</v>
      </c>
      <c r="I822" s="13" t="n">
        <v>0.9135</v>
      </c>
    </row>
    <row r="823">
      <c r="A823" s="10" t="inlineStr">
        <is>
          <t>PJ-2021-E</t>
        </is>
      </c>
      <c r="B823" s="10" t="inlineStr">
        <is>
          <t>素朴版／単調補間</t>
        </is>
      </c>
      <c r="C823" s="10" t="inlineStr">
        <is>
          <t>2023-06</t>
        </is>
      </c>
      <c r="D823" s="10" t="n">
        <v>30</v>
      </c>
      <c r="E823" s="12" t="n">
        <v>17020.9</v>
      </c>
      <c r="F823" s="12" t="n">
        <v>11049.5</v>
      </c>
      <c r="G823" s="12" t="n">
        <v>5971.4</v>
      </c>
      <c r="H823" s="13" t="n">
        <v>0.8801</v>
      </c>
      <c r="I823" s="13" t="n">
        <v>0.9364</v>
      </c>
    </row>
    <row r="824">
      <c r="A824" s="10" t="inlineStr">
        <is>
          <t>PJ-2021-E</t>
        </is>
      </c>
      <c r="B824" s="10" t="inlineStr">
        <is>
          <t>素朴版／単調補間</t>
        </is>
      </c>
      <c r="C824" s="10" t="inlineStr">
        <is>
          <t>2023-07</t>
        </is>
      </c>
      <c r="D824" s="10" t="n">
        <v>31</v>
      </c>
      <c r="E824" s="12" t="n">
        <v>14739</v>
      </c>
      <c r="F824" s="12" t="n">
        <v>10147.8</v>
      </c>
      <c r="G824" s="12" t="n">
        <v>4591.2</v>
      </c>
      <c r="H824" s="13" t="n">
        <v>0.9107</v>
      </c>
      <c r="I824" s="13" t="n">
        <v>0.9575</v>
      </c>
    </row>
    <row r="825">
      <c r="A825" s="10" t="inlineStr">
        <is>
          <t>PJ-2021-E</t>
        </is>
      </c>
      <c r="B825" s="10" t="inlineStr">
        <is>
          <t>素朴版／単調補間</t>
        </is>
      </c>
      <c r="C825" s="10" t="inlineStr">
        <is>
          <t>2023-08</t>
        </is>
      </c>
      <c r="D825" s="10" t="n">
        <v>32</v>
      </c>
      <c r="E825" s="12" t="n">
        <v>12232.3</v>
      </c>
      <c r="F825" s="12" t="n">
        <v>8637.799999999999</v>
      </c>
      <c r="G825" s="12" t="n">
        <v>3594.5</v>
      </c>
      <c r="H825" s="13" t="n">
        <v>0.9360000000000001</v>
      </c>
      <c r="I825" s="13" t="n">
        <v>0.9754</v>
      </c>
    </row>
    <row r="826">
      <c r="A826" s="10" t="inlineStr">
        <is>
          <t>PJ-2021-E</t>
        </is>
      </c>
      <c r="B826" s="10" t="inlineStr">
        <is>
          <t>素朴版／単調補間</t>
        </is>
      </c>
      <c r="C826" s="10" t="inlineStr">
        <is>
          <t>2023-09</t>
        </is>
      </c>
      <c r="D826" s="10" t="n">
        <v>33</v>
      </c>
      <c r="E826" s="12" t="n">
        <v>10423.6</v>
      </c>
      <c r="F826" s="12" t="n">
        <v>5590.1</v>
      </c>
      <c r="G826" s="12" t="n">
        <v>4833.5</v>
      </c>
      <c r="H826" s="13" t="n">
        <v>0.9577</v>
      </c>
      <c r="I826" s="13" t="n">
        <v>0.987</v>
      </c>
    </row>
    <row r="827">
      <c r="A827" s="10" t="inlineStr">
        <is>
          <t>PJ-2021-E</t>
        </is>
      </c>
      <c r="B827" s="10" t="inlineStr">
        <is>
          <t>素朴版／単調補間</t>
        </is>
      </c>
      <c r="C827" s="10" t="inlineStr">
        <is>
          <t>2023-10</t>
        </is>
      </c>
      <c r="D827" s="10" t="n">
        <v>34</v>
      </c>
      <c r="E827" s="12" t="n">
        <v>9294.9</v>
      </c>
      <c r="F827" s="12" t="n">
        <v>3746.3</v>
      </c>
      <c r="G827" s="12" t="n">
        <v>5548.6</v>
      </c>
      <c r="H827" s="13" t="n">
        <v>0.9769</v>
      </c>
      <c r="I827" s="13" t="n">
        <v>0.9947</v>
      </c>
    </row>
    <row r="828">
      <c r="A828" s="10" t="inlineStr">
        <is>
          <t>PJ-2021-E</t>
        </is>
      </c>
      <c r="B828" s="10" t="inlineStr">
        <is>
          <t>素朴版／単調補間</t>
        </is>
      </c>
      <c r="C828" s="10" t="inlineStr">
        <is>
          <t>2023-11</t>
        </is>
      </c>
      <c r="D828" s="10" t="n">
        <v>35</v>
      </c>
      <c r="E828" s="12" t="n">
        <v>6893.5</v>
      </c>
      <c r="F828" s="12" t="n">
        <v>1912.1</v>
      </c>
      <c r="G828" s="12" t="n">
        <v>4981.4</v>
      </c>
      <c r="H828" s="13" t="n">
        <v>0.9912</v>
      </c>
      <c r="I828" s="13" t="n">
        <v>0.9987</v>
      </c>
    </row>
    <row r="829">
      <c r="A829" s="10" t="inlineStr">
        <is>
          <t>PJ-2021-E</t>
        </is>
      </c>
      <c r="B829" s="10" t="inlineStr">
        <is>
          <t>素朴版／単調補間</t>
        </is>
      </c>
      <c r="C829" s="10" t="inlineStr">
        <is>
          <t>2023-12</t>
        </is>
      </c>
      <c r="D829" s="10" t="n">
        <v>36</v>
      </c>
      <c r="E829" s="12" t="n">
        <v>4221.5</v>
      </c>
      <c r="F829" s="12" t="n">
        <v>620.9</v>
      </c>
      <c r="G829" s="12" t="n">
        <v>3600.6</v>
      </c>
      <c r="H829" s="13" t="n">
        <v>1</v>
      </c>
      <c r="I829" s="13" t="n">
        <v>1</v>
      </c>
    </row>
    <row r="830">
      <c r="A830" s="10" t="inlineStr">
        <is>
          <t>PJ-2021-E</t>
        </is>
      </c>
      <c r="B830" s="10" t="inlineStr">
        <is>
          <t>位置合わせ(MS学習値)／単調補間</t>
        </is>
      </c>
      <c r="C830" s="10" t="inlineStr">
        <is>
          <t>2021-01</t>
        </is>
      </c>
      <c r="D830" s="10" t="n">
        <v>1</v>
      </c>
      <c r="E830" s="12" t="n">
        <v>5265.1</v>
      </c>
      <c r="F830" s="12" t="n">
        <v>2212.8</v>
      </c>
      <c r="G830" s="12" t="n">
        <v>3052.3</v>
      </c>
      <c r="H830" s="13" t="n">
        <v>0.0109</v>
      </c>
      <c r="I830" s="13" t="n">
        <v>0.0046</v>
      </c>
    </row>
    <row r="831">
      <c r="A831" s="10" t="inlineStr">
        <is>
          <t>PJ-2021-E</t>
        </is>
      </c>
      <c r="B831" s="10" t="inlineStr">
        <is>
          <t>位置合わせ(MS学習値)／単調補間</t>
        </is>
      </c>
      <c r="C831" s="10" t="inlineStr">
        <is>
          <t>2021-02</t>
        </is>
      </c>
      <c r="D831" s="10" t="n">
        <v>2</v>
      </c>
      <c r="E831" s="12" t="n">
        <v>5677.5</v>
      </c>
      <c r="F831" s="12" t="n">
        <v>3289.4</v>
      </c>
      <c r="G831" s="12" t="n">
        <v>2388.1</v>
      </c>
      <c r="H831" s="13" t="n">
        <v>0.0227</v>
      </c>
      <c r="I831" s="13" t="n">
        <v>0.0114</v>
      </c>
    </row>
    <row r="832">
      <c r="A832" s="10" t="inlineStr">
        <is>
          <t>PJ-2021-E</t>
        </is>
      </c>
      <c r="B832" s="10" t="inlineStr">
        <is>
          <t>位置合わせ(MS学習値)／単調補間</t>
        </is>
      </c>
      <c r="C832" s="10" t="inlineStr">
        <is>
          <t>2021-03</t>
        </is>
      </c>
      <c r="D832" s="10" t="n">
        <v>3</v>
      </c>
      <c r="E832" s="12" t="n">
        <v>7190.2</v>
      </c>
      <c r="F832" s="12" t="n">
        <v>4610.7</v>
      </c>
      <c r="G832" s="12" t="n">
        <v>2579.5</v>
      </c>
      <c r="H832" s="13" t="n">
        <v>0.0376</v>
      </c>
      <c r="I832" s="13" t="n">
        <v>0.021</v>
      </c>
    </row>
    <row r="833">
      <c r="A833" s="10" t="inlineStr">
        <is>
          <t>PJ-2021-E</t>
        </is>
      </c>
      <c r="B833" s="10" t="inlineStr">
        <is>
          <t>位置合わせ(MS学習値)／単調補間</t>
        </is>
      </c>
      <c r="C833" s="10" t="inlineStr">
        <is>
          <t>2021-04</t>
        </is>
      </c>
      <c r="D833" s="10" t="n">
        <v>4</v>
      </c>
      <c r="E833" s="12" t="n">
        <v>7710.6</v>
      </c>
      <c r="F833" s="12" t="n">
        <v>5392.8</v>
      </c>
      <c r="G833" s="12" t="n">
        <v>2317.8</v>
      </c>
      <c r="H833" s="13" t="n">
        <v>0.0536</v>
      </c>
      <c r="I833" s="13" t="n">
        <v>0.0322</v>
      </c>
    </row>
    <row r="834">
      <c r="A834" s="10" t="inlineStr">
        <is>
          <t>PJ-2021-E</t>
        </is>
      </c>
      <c r="B834" s="10" t="inlineStr">
        <is>
          <t>位置合わせ(MS学習値)／単調補間</t>
        </is>
      </c>
      <c r="C834" s="10" t="inlineStr">
        <is>
          <t>2021-05</t>
        </is>
      </c>
      <c r="D834" s="10" t="n">
        <v>5</v>
      </c>
      <c r="E834" s="12" t="n">
        <v>8400.299999999999</v>
      </c>
      <c r="F834" s="12" t="n">
        <v>5875.1</v>
      </c>
      <c r="G834" s="12" t="n">
        <v>2525.2</v>
      </c>
      <c r="H834" s="13" t="n">
        <v>0.07099999999999999</v>
      </c>
      <c r="I834" s="13" t="n">
        <v>0.0443</v>
      </c>
    </row>
    <row r="835">
      <c r="A835" s="10" t="inlineStr">
        <is>
          <t>PJ-2021-E</t>
        </is>
      </c>
      <c r="B835" s="10" t="inlineStr">
        <is>
          <t>位置合わせ(MS学習値)／単調補間</t>
        </is>
      </c>
      <c r="C835" s="10" t="inlineStr">
        <is>
          <t>2021-06</t>
        </is>
      </c>
      <c r="D835" s="10" t="n">
        <v>6</v>
      </c>
      <c r="E835" s="12" t="n">
        <v>8986.799999999999</v>
      </c>
      <c r="F835" s="12" t="n">
        <v>6664.2</v>
      </c>
      <c r="G835" s="12" t="n">
        <v>2322.6</v>
      </c>
      <c r="H835" s="13" t="n">
        <v>0.0897</v>
      </c>
      <c r="I835" s="13" t="n">
        <v>0.0582</v>
      </c>
    </row>
    <row r="836">
      <c r="A836" s="10" t="inlineStr">
        <is>
          <t>PJ-2021-E</t>
        </is>
      </c>
      <c r="B836" s="10" t="inlineStr">
        <is>
          <t>位置合わせ(MS学習値)／単調補間</t>
        </is>
      </c>
      <c r="C836" s="10" t="inlineStr">
        <is>
          <t>2021-07</t>
        </is>
      </c>
      <c r="D836" s="10" t="n">
        <v>7</v>
      </c>
      <c r="E836" s="12" t="n">
        <v>9136.6</v>
      </c>
      <c r="F836" s="12" t="n">
        <v>7114.2</v>
      </c>
      <c r="G836" s="12" t="n">
        <v>2022.4</v>
      </c>
      <c r="H836" s="13" t="n">
        <v>0.1086</v>
      </c>
      <c r="I836" s="13" t="n">
        <v>0.07290000000000001</v>
      </c>
    </row>
    <row r="837">
      <c r="A837" s="10" t="inlineStr">
        <is>
          <t>PJ-2021-E</t>
        </is>
      </c>
      <c r="B837" s="10" t="inlineStr">
        <is>
          <t>位置合わせ(MS学習値)／単調補間</t>
        </is>
      </c>
      <c r="C837" s="10" t="inlineStr">
        <is>
          <t>2021-08</t>
        </is>
      </c>
      <c r="D837" s="10" t="n">
        <v>8</v>
      </c>
      <c r="E837" s="12" t="n">
        <v>9733.700000000001</v>
      </c>
      <c r="F837" s="12" t="n">
        <v>7159.8</v>
      </c>
      <c r="G837" s="12" t="n">
        <v>2573.9</v>
      </c>
      <c r="H837" s="13" t="n">
        <v>0.1288</v>
      </c>
      <c r="I837" s="13" t="n">
        <v>0.0878</v>
      </c>
    </row>
    <row r="838">
      <c r="A838" s="10" t="inlineStr">
        <is>
          <t>PJ-2021-E</t>
        </is>
      </c>
      <c r="B838" s="10" t="inlineStr">
        <is>
          <t>位置合わせ(MS学習値)／単調補間</t>
        </is>
      </c>
      <c r="C838" s="10" t="inlineStr">
        <is>
          <t>2021-09</t>
        </is>
      </c>
      <c r="D838" s="10" t="n">
        <v>9</v>
      </c>
      <c r="E838" s="12" t="n">
        <v>10110.7</v>
      </c>
      <c r="F838" s="12" t="n">
        <v>7725.3</v>
      </c>
      <c r="G838" s="12" t="n">
        <v>2385.4</v>
      </c>
      <c r="H838" s="13" t="n">
        <v>0.1498</v>
      </c>
      <c r="I838" s="13" t="n">
        <v>0.1038</v>
      </c>
    </row>
    <row r="839">
      <c r="A839" s="10" t="inlineStr">
        <is>
          <t>PJ-2021-E</t>
        </is>
      </c>
      <c r="B839" s="10" t="inlineStr">
        <is>
          <t>位置合わせ(MS学習値)／単調補間</t>
        </is>
      </c>
      <c r="C839" s="10" t="inlineStr">
        <is>
          <t>2021-10</t>
        </is>
      </c>
      <c r="D839" s="10" t="n">
        <v>10</v>
      </c>
      <c r="E839" s="12" t="n">
        <v>11361</v>
      </c>
      <c r="F839" s="12" t="n">
        <v>11396.5</v>
      </c>
      <c r="G839" s="12" t="n">
        <v>-35.5</v>
      </c>
      <c r="H839" s="13" t="n">
        <v>0.1733</v>
      </c>
      <c r="I839" s="13" t="n">
        <v>0.1274</v>
      </c>
    </row>
    <row r="840">
      <c r="A840" s="10" t="inlineStr">
        <is>
          <t>PJ-2021-E</t>
        </is>
      </c>
      <c r="B840" s="10" t="inlineStr">
        <is>
          <t>位置合わせ(MS学習値)／単調補間</t>
        </is>
      </c>
      <c r="C840" s="10" t="inlineStr">
        <is>
          <t>2021-11</t>
        </is>
      </c>
      <c r="D840" s="10" t="n">
        <v>11</v>
      </c>
      <c r="E840" s="12" t="n">
        <v>11594.1</v>
      </c>
      <c r="F840" s="12" t="n">
        <v>22707.4</v>
      </c>
      <c r="G840" s="12" t="n">
        <v>-11113.3</v>
      </c>
      <c r="H840" s="13" t="n">
        <v>0.1974</v>
      </c>
      <c r="I840" s="13" t="n">
        <v>0.1745</v>
      </c>
    </row>
    <row r="841">
      <c r="A841" s="10" t="inlineStr">
        <is>
          <t>PJ-2021-E</t>
        </is>
      </c>
      <c r="B841" s="10" t="inlineStr">
        <is>
          <t>位置合わせ(MS学習値)／単調補間</t>
        </is>
      </c>
      <c r="C841" s="10" t="inlineStr">
        <is>
          <t>2021-12</t>
        </is>
      </c>
      <c r="D841" s="10" t="n">
        <v>12</v>
      </c>
      <c r="E841" s="12" t="n">
        <v>13281.2</v>
      </c>
      <c r="F841" s="12" t="n">
        <v>24332.8</v>
      </c>
      <c r="G841" s="12" t="n">
        <v>-11051.6</v>
      </c>
      <c r="H841" s="13" t="n">
        <v>0.2249</v>
      </c>
      <c r="I841" s="13" t="n">
        <v>0.225</v>
      </c>
    </row>
    <row r="842">
      <c r="A842" s="10" t="inlineStr">
        <is>
          <t>PJ-2021-E</t>
        </is>
      </c>
      <c r="B842" s="10" t="inlineStr">
        <is>
          <t>位置合わせ(MS学習値)／単調補間</t>
        </is>
      </c>
      <c r="C842" s="10" t="inlineStr">
        <is>
          <t>2022-01</t>
        </is>
      </c>
      <c r="D842" s="10" t="n">
        <v>13</v>
      </c>
      <c r="E842" s="12" t="n">
        <v>13784</v>
      </c>
      <c r="F842" s="12" t="n">
        <v>28940.1</v>
      </c>
      <c r="G842" s="12" t="n">
        <v>-15156.1</v>
      </c>
      <c r="H842" s="13" t="n">
        <v>0.2535</v>
      </c>
      <c r="I842" s="13" t="n">
        <v>0.285</v>
      </c>
    </row>
    <row r="843">
      <c r="A843" s="10" t="inlineStr">
        <is>
          <t>PJ-2021-E</t>
        </is>
      </c>
      <c r="B843" s="10" t="inlineStr">
        <is>
          <t>位置合わせ(MS学習値)／単調補間</t>
        </is>
      </c>
      <c r="C843" s="10" t="inlineStr">
        <is>
          <t>2022-02</t>
        </is>
      </c>
      <c r="D843" s="10" t="n">
        <v>14</v>
      </c>
      <c r="E843" s="12" t="n">
        <v>12937.3</v>
      </c>
      <c r="F843" s="12" t="n">
        <v>28533.6</v>
      </c>
      <c r="G843" s="12" t="n">
        <v>-15596.3</v>
      </c>
      <c r="H843" s="13" t="n">
        <v>0.2803</v>
      </c>
      <c r="I843" s="13" t="n">
        <v>0.3442</v>
      </c>
    </row>
    <row r="844">
      <c r="A844" s="10" t="inlineStr">
        <is>
          <t>PJ-2021-E</t>
        </is>
      </c>
      <c r="B844" s="10" t="inlineStr">
        <is>
          <t>位置合わせ(MS学習値)／単調補間</t>
        </is>
      </c>
      <c r="C844" s="10" t="inlineStr">
        <is>
          <t>2022-03</t>
        </is>
      </c>
      <c r="D844" s="10" t="n">
        <v>15</v>
      </c>
      <c r="E844" s="12" t="n">
        <v>15158.4</v>
      </c>
      <c r="F844" s="12" t="n">
        <v>39513.1</v>
      </c>
      <c r="G844" s="12" t="n">
        <v>-24354.7</v>
      </c>
      <c r="H844" s="13" t="n">
        <v>0.3118</v>
      </c>
      <c r="I844" s="13" t="n">
        <v>0.4261</v>
      </c>
    </row>
    <row r="845">
      <c r="A845" s="10" t="inlineStr">
        <is>
          <t>PJ-2021-E</t>
        </is>
      </c>
      <c r="B845" s="10" t="inlineStr">
        <is>
          <t>位置合わせ(MS学習値)／単調補間</t>
        </is>
      </c>
      <c r="C845" s="10" t="inlineStr">
        <is>
          <t>2022-04</t>
        </is>
      </c>
      <c r="D845" s="10" t="n">
        <v>16</v>
      </c>
      <c r="E845" s="12" t="n">
        <v>15036</v>
      </c>
      <c r="F845" s="12" t="n">
        <v>20968.4</v>
      </c>
      <c r="G845" s="12" t="n">
        <v>-5932.4</v>
      </c>
      <c r="H845" s="13" t="n">
        <v>0.343</v>
      </c>
      <c r="I845" s="13" t="n">
        <v>0.4696</v>
      </c>
    </row>
    <row r="846">
      <c r="A846" s="10" t="inlineStr">
        <is>
          <t>PJ-2021-E</t>
        </is>
      </c>
      <c r="B846" s="10" t="inlineStr">
        <is>
          <t>位置合わせ(MS学習値)／単調補間</t>
        </is>
      </c>
      <c r="C846" s="10" t="inlineStr">
        <is>
          <t>2022-05</t>
        </is>
      </c>
      <c r="D846" s="10" t="n">
        <v>17</v>
      </c>
      <c r="E846" s="12" t="n">
        <v>16322.5</v>
      </c>
      <c r="F846" s="12" t="n">
        <v>18133.4</v>
      </c>
      <c r="G846" s="12" t="n">
        <v>-1810.9</v>
      </c>
      <c r="H846" s="13" t="n">
        <v>0.3768</v>
      </c>
      <c r="I846" s="13" t="n">
        <v>0.5072</v>
      </c>
    </row>
    <row r="847">
      <c r="A847" s="10" t="inlineStr">
        <is>
          <t>PJ-2021-E</t>
        </is>
      </c>
      <c r="B847" s="10" t="inlineStr">
        <is>
          <t>位置合わせ(MS学習値)／単調補間</t>
        </is>
      </c>
      <c r="C847" s="10" t="inlineStr">
        <is>
          <t>2022-06</t>
        </is>
      </c>
      <c r="D847" s="10" t="n">
        <v>18</v>
      </c>
      <c r="E847" s="12" t="n">
        <v>17371.6</v>
      </c>
      <c r="F847" s="12" t="n">
        <v>15271.7</v>
      </c>
      <c r="G847" s="12" t="n">
        <v>2099.9</v>
      </c>
      <c r="H847" s="13" t="n">
        <v>0.4129</v>
      </c>
      <c r="I847" s="13" t="n">
        <v>0.5389</v>
      </c>
    </row>
    <row r="848">
      <c r="A848" s="10" t="inlineStr">
        <is>
          <t>PJ-2021-E</t>
        </is>
      </c>
      <c r="B848" s="10" t="inlineStr">
        <is>
          <t>位置合わせ(MS学習値)／単調補間</t>
        </is>
      </c>
      <c r="C848" s="10" t="inlineStr">
        <is>
          <t>2022-07</t>
        </is>
      </c>
      <c r="D848" s="10" t="n">
        <v>19</v>
      </c>
      <c r="E848" s="12" t="n">
        <v>20057.7</v>
      </c>
      <c r="F848" s="12" t="n">
        <v>16417.5</v>
      </c>
      <c r="G848" s="12" t="n">
        <v>3640.2</v>
      </c>
      <c r="H848" s="13" t="n">
        <v>0.4545</v>
      </c>
      <c r="I848" s="13" t="n">
        <v>0.573</v>
      </c>
    </row>
    <row r="849">
      <c r="A849" s="10" t="inlineStr">
        <is>
          <t>PJ-2021-E</t>
        </is>
      </c>
      <c r="B849" s="10" t="inlineStr">
        <is>
          <t>位置合わせ(MS学習値)／単調補間</t>
        </is>
      </c>
      <c r="C849" s="10" t="inlineStr">
        <is>
          <t>2022-08</t>
        </is>
      </c>
      <c r="D849" s="10" t="n">
        <v>20</v>
      </c>
      <c r="E849" s="12" t="n">
        <v>20356</v>
      </c>
      <c r="F849" s="12" t="n">
        <v>14656</v>
      </c>
      <c r="G849" s="12" t="n">
        <v>5700</v>
      </c>
      <c r="H849" s="13" t="n">
        <v>0.4967</v>
      </c>
      <c r="I849" s="13" t="n">
        <v>0.6034</v>
      </c>
    </row>
    <row r="850">
      <c r="A850" s="10" t="inlineStr">
        <is>
          <t>PJ-2021-E</t>
        </is>
      </c>
      <c r="B850" s="10" t="inlineStr">
        <is>
          <t>位置合わせ(MS学習値)／単調補間</t>
        </is>
      </c>
      <c r="C850" s="10" t="inlineStr">
        <is>
          <t>2022-09</t>
        </is>
      </c>
      <c r="D850" s="10" t="n">
        <v>21</v>
      </c>
      <c r="E850" s="12" t="n">
        <v>19942.6</v>
      </c>
      <c r="F850" s="12" t="n">
        <v>13886.2</v>
      </c>
      <c r="G850" s="12" t="n">
        <v>6056.4</v>
      </c>
      <c r="H850" s="13" t="n">
        <v>0.538</v>
      </c>
      <c r="I850" s="13" t="n">
        <v>0.6322</v>
      </c>
    </row>
    <row r="851">
      <c r="A851" s="10" t="inlineStr">
        <is>
          <t>PJ-2021-E</t>
        </is>
      </c>
      <c r="B851" s="10" t="inlineStr">
        <is>
          <t>位置合わせ(MS学習値)／単調補間</t>
        </is>
      </c>
      <c r="C851" s="10" t="inlineStr">
        <is>
          <t>2022-10</t>
        </is>
      </c>
      <c r="D851" s="10" t="n">
        <v>22</v>
      </c>
      <c r="E851" s="12" t="n">
        <v>20525.5</v>
      </c>
      <c r="F851" s="12" t="n">
        <v>13614.7</v>
      </c>
      <c r="G851" s="12" t="n">
        <v>6910.8</v>
      </c>
      <c r="H851" s="13" t="n">
        <v>0.5806</v>
      </c>
      <c r="I851" s="13" t="n">
        <v>0.6604</v>
      </c>
    </row>
    <row r="852">
      <c r="A852" s="10" t="inlineStr">
        <is>
          <t>PJ-2021-E</t>
        </is>
      </c>
      <c r="B852" s="10" t="inlineStr">
        <is>
          <t>位置合わせ(MS学習値)／単調補間</t>
        </is>
      </c>
      <c r="C852" s="10" t="inlineStr">
        <is>
          <t>2022-11</t>
        </is>
      </c>
      <c r="D852" s="10" t="n">
        <v>23</v>
      </c>
      <c r="E852" s="12" t="n">
        <v>19871.7</v>
      </c>
      <c r="F852" s="12" t="n">
        <v>14580.3</v>
      </c>
      <c r="G852" s="12" t="n">
        <v>5291.4</v>
      </c>
      <c r="H852" s="13" t="n">
        <v>0.6218</v>
      </c>
      <c r="I852" s="13" t="n">
        <v>0.6906</v>
      </c>
    </row>
    <row r="853">
      <c r="A853" s="10" t="inlineStr">
        <is>
          <t>PJ-2021-E</t>
        </is>
      </c>
      <c r="B853" s="10" t="inlineStr">
        <is>
          <t>位置合わせ(MS学習値)／単調補間</t>
        </is>
      </c>
      <c r="C853" s="10" t="inlineStr">
        <is>
          <t>2022-12</t>
        </is>
      </c>
      <c r="D853" s="10" t="n">
        <v>24</v>
      </c>
      <c r="E853" s="12" t="n">
        <v>20597.6</v>
      </c>
      <c r="F853" s="12" t="n">
        <v>15865.3</v>
      </c>
      <c r="G853" s="12" t="n">
        <v>4732.3</v>
      </c>
      <c r="H853" s="13" t="n">
        <v>0.6645</v>
      </c>
      <c r="I853" s="13" t="n">
        <v>0.7236</v>
      </c>
    </row>
    <row r="854">
      <c r="A854" s="10" t="inlineStr">
        <is>
          <t>PJ-2021-E</t>
        </is>
      </c>
      <c r="B854" s="10" t="inlineStr">
        <is>
          <t>位置合わせ(MS学習値)／単調補間</t>
        </is>
      </c>
      <c r="C854" s="10" t="inlineStr">
        <is>
          <t>2023-01</t>
        </is>
      </c>
      <c r="D854" s="10" t="n">
        <v>25</v>
      </c>
      <c r="E854" s="12" t="n">
        <v>21090.8</v>
      </c>
      <c r="F854" s="12" t="n">
        <v>18226.2</v>
      </c>
      <c r="G854" s="12" t="n">
        <v>2864.6</v>
      </c>
      <c r="H854" s="13" t="n">
        <v>0.7083</v>
      </c>
      <c r="I854" s="13" t="n">
        <v>0.7614</v>
      </c>
    </row>
    <row r="855">
      <c r="A855" s="10" t="inlineStr">
        <is>
          <t>PJ-2021-E</t>
        </is>
      </c>
      <c r="B855" s="10" t="inlineStr">
        <is>
          <t>位置合わせ(MS学習値)／単調補間</t>
        </is>
      </c>
      <c r="C855" s="10" t="inlineStr">
        <is>
          <t>2023-02</t>
        </is>
      </c>
      <c r="D855" s="10" t="n">
        <v>26</v>
      </c>
      <c r="E855" s="12" t="n">
        <v>18133.2</v>
      </c>
      <c r="F855" s="12" t="n">
        <v>17827.1</v>
      </c>
      <c r="G855" s="12" t="n">
        <v>306.1</v>
      </c>
      <c r="H855" s="13" t="n">
        <v>0.7459</v>
      </c>
      <c r="I855" s="13" t="n">
        <v>0.7983</v>
      </c>
    </row>
    <row r="856">
      <c r="A856" s="10" t="inlineStr">
        <is>
          <t>PJ-2021-E</t>
        </is>
      </c>
      <c r="B856" s="10" t="inlineStr">
        <is>
          <t>位置合わせ(MS学習値)／単調補間</t>
        </is>
      </c>
      <c r="C856" s="10" t="inlineStr">
        <is>
          <t>2023-03</t>
        </is>
      </c>
      <c r="D856" s="10" t="n">
        <v>27</v>
      </c>
      <c r="E856" s="12" t="n">
        <v>19609.3</v>
      </c>
      <c r="F856" s="12" t="n">
        <v>22013.8</v>
      </c>
      <c r="G856" s="12" t="n">
        <v>-2404.5</v>
      </c>
      <c r="H856" s="13" t="n">
        <v>0.7866</v>
      </c>
      <c r="I856" s="13" t="n">
        <v>0.844</v>
      </c>
    </row>
    <row r="857">
      <c r="A857" s="10" t="inlineStr">
        <is>
          <t>PJ-2021-E</t>
        </is>
      </c>
      <c r="B857" s="10" t="inlineStr">
        <is>
          <t>位置合わせ(MS学習値)／単調補間</t>
        </is>
      </c>
      <c r="C857" s="10" t="inlineStr">
        <is>
          <t>2023-04</t>
        </is>
      </c>
      <c r="D857" s="10" t="n">
        <v>28</v>
      </c>
      <c r="E857" s="12" t="n">
        <v>15896</v>
      </c>
      <c r="F857" s="12" t="n">
        <v>17769.7</v>
      </c>
      <c r="G857" s="12" t="n">
        <v>-1873.7</v>
      </c>
      <c r="H857" s="13" t="n">
        <v>0.8195</v>
      </c>
      <c r="I857" s="13" t="n">
        <v>0.8808</v>
      </c>
    </row>
    <row r="858">
      <c r="A858" s="10" t="inlineStr">
        <is>
          <t>PJ-2021-E</t>
        </is>
      </c>
      <c r="B858" s="10" t="inlineStr">
        <is>
          <t>位置合わせ(MS学習値)／単調補間</t>
        </is>
      </c>
      <c r="C858" s="10" t="inlineStr">
        <is>
          <t>2023-05</t>
        </is>
      </c>
      <c r="D858" s="10" t="n">
        <v>29</v>
      </c>
      <c r="E858" s="12" t="n">
        <v>15872.4</v>
      </c>
      <c r="F858" s="12" t="n">
        <v>15747.8</v>
      </c>
      <c r="G858" s="12" t="n">
        <v>124.6</v>
      </c>
      <c r="H858" s="13" t="n">
        <v>0.8525</v>
      </c>
      <c r="I858" s="13" t="n">
        <v>0.9135</v>
      </c>
    </row>
    <row r="859">
      <c r="A859" s="10" t="inlineStr">
        <is>
          <t>PJ-2021-E</t>
        </is>
      </c>
      <c r="B859" s="10" t="inlineStr">
        <is>
          <t>位置合わせ(MS学習値)／単調補間</t>
        </is>
      </c>
      <c r="C859" s="10" t="inlineStr">
        <is>
          <t>2023-06</t>
        </is>
      </c>
      <c r="D859" s="10" t="n">
        <v>30</v>
      </c>
      <c r="E859" s="12" t="n">
        <v>14753.5</v>
      </c>
      <c r="F859" s="12" t="n">
        <v>11049.5</v>
      </c>
      <c r="G859" s="12" t="n">
        <v>3704</v>
      </c>
      <c r="H859" s="13" t="n">
        <v>0.8831</v>
      </c>
      <c r="I859" s="13" t="n">
        <v>0.9364</v>
      </c>
    </row>
    <row r="860">
      <c r="A860" s="10" t="inlineStr">
        <is>
          <t>PJ-2021-E</t>
        </is>
      </c>
      <c r="B860" s="10" t="inlineStr">
        <is>
          <t>位置合わせ(MS学習値)／単調補間</t>
        </is>
      </c>
      <c r="C860" s="10" t="inlineStr">
        <is>
          <t>2023-07</t>
        </is>
      </c>
      <c r="D860" s="10" t="n">
        <v>31</v>
      </c>
      <c r="E860" s="12" t="n">
        <v>13425.7</v>
      </c>
      <c r="F860" s="12" t="n">
        <v>10147.8</v>
      </c>
      <c r="G860" s="12" t="n">
        <v>3277.9</v>
      </c>
      <c r="H860" s="13" t="n">
        <v>0.9109</v>
      </c>
      <c r="I860" s="13" t="n">
        <v>0.9575</v>
      </c>
    </row>
    <row r="861">
      <c r="A861" s="10" t="inlineStr">
        <is>
          <t>PJ-2021-E</t>
        </is>
      </c>
      <c r="B861" s="10" t="inlineStr">
        <is>
          <t>位置合わせ(MS学習値)／単調補間</t>
        </is>
      </c>
      <c r="C861" s="10" t="inlineStr">
        <is>
          <t>2023-08</t>
        </is>
      </c>
      <c r="D861" s="10" t="n">
        <v>32</v>
      </c>
      <c r="E861" s="12" t="n">
        <v>11608.4</v>
      </c>
      <c r="F861" s="12" t="n">
        <v>8637.799999999999</v>
      </c>
      <c r="G861" s="12" t="n">
        <v>2970.6</v>
      </c>
      <c r="H861" s="13" t="n">
        <v>0.9350000000000001</v>
      </c>
      <c r="I861" s="13" t="n">
        <v>0.9754</v>
      </c>
    </row>
    <row r="862">
      <c r="A862" s="10" t="inlineStr">
        <is>
          <t>PJ-2021-E</t>
        </is>
      </c>
      <c r="B862" s="10" t="inlineStr">
        <is>
          <t>位置合わせ(MS学習値)／単調補間</t>
        </is>
      </c>
      <c r="C862" s="10" t="inlineStr">
        <is>
          <t>2023-09</t>
        </is>
      </c>
      <c r="D862" s="10" t="n">
        <v>33</v>
      </c>
      <c r="E862" s="12" t="n">
        <v>10397.4</v>
      </c>
      <c r="F862" s="12" t="n">
        <v>5590.1</v>
      </c>
      <c r="G862" s="12" t="n">
        <v>4807.3</v>
      </c>
      <c r="H862" s="13" t="n">
        <v>0.9565</v>
      </c>
      <c r="I862" s="13" t="n">
        <v>0.987</v>
      </c>
    </row>
    <row r="863">
      <c r="A863" s="10" t="inlineStr">
        <is>
          <t>PJ-2021-E</t>
        </is>
      </c>
      <c r="B863" s="10" t="inlineStr">
        <is>
          <t>位置合わせ(MS学習値)／単調補間</t>
        </is>
      </c>
      <c r="C863" s="10" t="inlineStr">
        <is>
          <t>2023-10</t>
        </is>
      </c>
      <c r="D863" s="10" t="n">
        <v>34</v>
      </c>
      <c r="E863" s="12" t="n">
        <v>9603.200000000001</v>
      </c>
      <c r="F863" s="12" t="n">
        <v>3746.3</v>
      </c>
      <c r="G863" s="12" t="n">
        <v>5856.9</v>
      </c>
      <c r="H863" s="13" t="n">
        <v>0.9765</v>
      </c>
      <c r="I863" s="13" t="n">
        <v>0.9947</v>
      </c>
    </row>
    <row r="864">
      <c r="A864" s="10" t="inlineStr">
        <is>
          <t>PJ-2021-E</t>
        </is>
      </c>
      <c r="B864" s="10" t="inlineStr">
        <is>
          <t>位置合わせ(MS学習値)／単調補間</t>
        </is>
      </c>
      <c r="C864" s="10" t="inlineStr">
        <is>
          <t>2023-11</t>
        </is>
      </c>
      <c r="D864" s="10" t="n">
        <v>35</v>
      </c>
      <c r="E864" s="12" t="n">
        <v>6975.5</v>
      </c>
      <c r="F864" s="12" t="n">
        <v>1912.1</v>
      </c>
      <c r="G864" s="12" t="n">
        <v>5063.4</v>
      </c>
      <c r="H864" s="13" t="n">
        <v>0.9909</v>
      </c>
      <c r="I864" s="13" t="n">
        <v>0.9987</v>
      </c>
    </row>
    <row r="865">
      <c r="A865" s="10" t="inlineStr">
        <is>
          <t>PJ-2021-E</t>
        </is>
      </c>
      <c r="B865" s="10" t="inlineStr">
        <is>
          <t>位置合わせ(MS学習値)／単調補間</t>
        </is>
      </c>
      <c r="C865" s="10" t="inlineStr">
        <is>
          <t>2023-12</t>
        </is>
      </c>
      <c r="D865" s="10" t="n">
        <v>36</v>
      </c>
      <c r="E865" s="12" t="n">
        <v>4376.3</v>
      </c>
      <c r="F865" s="12" t="n">
        <v>620.9</v>
      </c>
      <c r="G865" s="12" t="n">
        <v>3755.4</v>
      </c>
      <c r="H865" s="13" t="n">
        <v>1</v>
      </c>
      <c r="I865" s="13" t="n">
        <v>1</v>
      </c>
    </row>
    <row r="866">
      <c r="A866" s="10" t="inlineStr">
        <is>
          <t>PJ-2021-E</t>
        </is>
      </c>
      <c r="B866" s="10" t="inlineStr">
        <is>
          <t>位置合わせ(MS指定)／単調補間</t>
        </is>
      </c>
      <c r="C866" s="10" t="inlineStr">
        <is>
          <t>2021-01</t>
        </is>
      </c>
      <c r="D866" s="10" t="n">
        <v>1</v>
      </c>
      <c r="E866" s="12" t="n">
        <v>6295.4</v>
      </c>
      <c r="F866" s="12" t="n">
        <v>2212.8</v>
      </c>
      <c r="G866" s="12" t="n">
        <v>4082.6</v>
      </c>
      <c r="H866" s="13" t="n">
        <v>0.0131</v>
      </c>
      <c r="I866" s="13" t="n">
        <v>0.0046</v>
      </c>
    </row>
    <row r="867">
      <c r="A867" s="10" t="inlineStr">
        <is>
          <t>PJ-2021-E</t>
        </is>
      </c>
      <c r="B867" s="10" t="inlineStr">
        <is>
          <t>位置合わせ(MS指定)／単調補間</t>
        </is>
      </c>
      <c r="C867" s="10" t="inlineStr">
        <is>
          <t>2021-02</t>
        </is>
      </c>
      <c r="D867" s="10" t="n">
        <v>2</v>
      </c>
      <c r="E867" s="12" t="n">
        <v>6955.7</v>
      </c>
      <c r="F867" s="12" t="n">
        <v>3289.4</v>
      </c>
      <c r="G867" s="12" t="n">
        <v>3666.3</v>
      </c>
      <c r="H867" s="13" t="n">
        <v>0.0275</v>
      </c>
      <c r="I867" s="13" t="n">
        <v>0.0114</v>
      </c>
    </row>
    <row r="868">
      <c r="A868" s="10" t="inlineStr">
        <is>
          <t>PJ-2021-E</t>
        </is>
      </c>
      <c r="B868" s="10" t="inlineStr">
        <is>
          <t>位置合わせ(MS指定)／単調補間</t>
        </is>
      </c>
      <c r="C868" s="10" t="inlineStr">
        <is>
          <t>2021-03</t>
        </is>
      </c>
      <c r="D868" s="10" t="n">
        <v>3</v>
      </c>
      <c r="E868" s="12" t="n">
        <v>8899.5</v>
      </c>
      <c r="F868" s="12" t="n">
        <v>4610.7</v>
      </c>
      <c r="G868" s="12" t="n">
        <v>4288.8</v>
      </c>
      <c r="H868" s="13" t="n">
        <v>0.0459</v>
      </c>
      <c r="I868" s="13" t="n">
        <v>0.021</v>
      </c>
    </row>
    <row r="869">
      <c r="A869" s="10" t="inlineStr">
        <is>
          <t>PJ-2021-E</t>
        </is>
      </c>
      <c r="B869" s="10" t="inlineStr">
        <is>
          <t>位置合わせ(MS指定)／単調補間</t>
        </is>
      </c>
      <c r="C869" s="10" t="inlineStr">
        <is>
          <t>2021-04</t>
        </is>
      </c>
      <c r="D869" s="10" t="n">
        <v>4</v>
      </c>
      <c r="E869" s="12" t="n">
        <v>9303.5</v>
      </c>
      <c r="F869" s="12" t="n">
        <v>5392.8</v>
      </c>
      <c r="G869" s="12" t="n">
        <v>3910.7</v>
      </c>
      <c r="H869" s="13" t="n">
        <v>0.06519999999999999</v>
      </c>
      <c r="I869" s="13" t="n">
        <v>0.0322</v>
      </c>
    </row>
    <row r="870">
      <c r="A870" s="10" t="inlineStr">
        <is>
          <t>PJ-2021-E</t>
        </is>
      </c>
      <c r="B870" s="10" t="inlineStr">
        <is>
          <t>位置合わせ(MS指定)／単調補間</t>
        </is>
      </c>
      <c r="C870" s="10" t="inlineStr">
        <is>
          <t>2021-05</t>
        </is>
      </c>
      <c r="D870" s="10" t="n">
        <v>5</v>
      </c>
      <c r="E870" s="12" t="n">
        <v>10803</v>
      </c>
      <c r="F870" s="12" t="n">
        <v>5875.1</v>
      </c>
      <c r="G870" s="12" t="n">
        <v>4927.9</v>
      </c>
      <c r="H870" s="13" t="n">
        <v>0.0876</v>
      </c>
      <c r="I870" s="13" t="n">
        <v>0.0443</v>
      </c>
    </row>
    <row r="871">
      <c r="A871" s="10" t="inlineStr">
        <is>
          <t>PJ-2021-E</t>
        </is>
      </c>
      <c r="B871" s="10" t="inlineStr">
        <is>
          <t>位置合わせ(MS指定)／単調補間</t>
        </is>
      </c>
      <c r="C871" s="10" t="inlineStr">
        <is>
          <t>2021-06</t>
        </is>
      </c>
      <c r="D871" s="10" t="n">
        <v>6</v>
      </c>
      <c r="E871" s="12" t="n">
        <v>10444.3</v>
      </c>
      <c r="F871" s="12" t="n">
        <v>6664.2</v>
      </c>
      <c r="G871" s="12" t="n">
        <v>3780.1</v>
      </c>
      <c r="H871" s="13" t="n">
        <v>0.1093</v>
      </c>
      <c r="I871" s="13" t="n">
        <v>0.0582</v>
      </c>
    </row>
    <row r="872">
      <c r="A872" s="10" t="inlineStr">
        <is>
          <t>PJ-2021-E</t>
        </is>
      </c>
      <c r="B872" s="10" t="inlineStr">
        <is>
          <t>位置合わせ(MS指定)／単調補間</t>
        </is>
      </c>
      <c r="C872" s="10" t="inlineStr">
        <is>
          <t>2021-07</t>
        </is>
      </c>
      <c r="D872" s="10" t="n">
        <v>7</v>
      </c>
      <c r="E872" s="12" t="n">
        <v>11545.2</v>
      </c>
      <c r="F872" s="12" t="n">
        <v>7114.2</v>
      </c>
      <c r="G872" s="12" t="n">
        <v>4431</v>
      </c>
      <c r="H872" s="13" t="n">
        <v>0.1333</v>
      </c>
      <c r="I872" s="13" t="n">
        <v>0.07290000000000001</v>
      </c>
    </row>
    <row r="873">
      <c r="A873" s="10" t="inlineStr">
        <is>
          <t>PJ-2021-E</t>
        </is>
      </c>
      <c r="B873" s="10" t="inlineStr">
        <is>
          <t>位置合わせ(MS指定)／単調補間</t>
        </is>
      </c>
      <c r="C873" s="10" t="inlineStr">
        <is>
          <t>2021-08</t>
        </is>
      </c>
      <c r="D873" s="10" t="n">
        <v>8</v>
      </c>
      <c r="E873" s="12" t="n">
        <v>12656.5</v>
      </c>
      <c r="F873" s="12" t="n">
        <v>7159.8</v>
      </c>
      <c r="G873" s="12" t="n">
        <v>5496.7</v>
      </c>
      <c r="H873" s="13" t="n">
        <v>0.1595</v>
      </c>
      <c r="I873" s="13" t="n">
        <v>0.0878</v>
      </c>
    </row>
    <row r="874">
      <c r="A874" s="10" t="inlineStr">
        <is>
          <t>PJ-2021-E</t>
        </is>
      </c>
      <c r="B874" s="10" t="inlineStr">
        <is>
          <t>位置合わせ(MS指定)／単調補間</t>
        </is>
      </c>
      <c r="C874" s="10" t="inlineStr">
        <is>
          <t>2021-09</t>
        </is>
      </c>
      <c r="D874" s="10" t="n">
        <v>9</v>
      </c>
      <c r="E874" s="12" t="n">
        <v>13268.6</v>
      </c>
      <c r="F874" s="12" t="n">
        <v>7725.3</v>
      </c>
      <c r="G874" s="12" t="n">
        <v>5543.3</v>
      </c>
      <c r="H874" s="13" t="n">
        <v>0.187</v>
      </c>
      <c r="I874" s="13" t="n">
        <v>0.1038</v>
      </c>
    </row>
    <row r="875">
      <c r="A875" s="10" t="inlineStr">
        <is>
          <t>PJ-2021-E</t>
        </is>
      </c>
      <c r="B875" s="10" t="inlineStr">
        <is>
          <t>位置合わせ(MS指定)／単調補間</t>
        </is>
      </c>
      <c r="C875" s="10" t="inlineStr">
        <is>
          <t>2021-10</t>
        </is>
      </c>
      <c r="D875" s="10" t="n">
        <v>10</v>
      </c>
      <c r="E875" s="12" t="n">
        <v>15037.2</v>
      </c>
      <c r="F875" s="12" t="n">
        <v>11396.5</v>
      </c>
      <c r="G875" s="12" t="n">
        <v>3640.7</v>
      </c>
      <c r="H875" s="13" t="n">
        <v>0.2182</v>
      </c>
      <c r="I875" s="13" t="n">
        <v>0.1274</v>
      </c>
    </row>
    <row r="876">
      <c r="A876" s="10" t="inlineStr">
        <is>
          <t>PJ-2021-E</t>
        </is>
      </c>
      <c r="B876" s="10" t="inlineStr">
        <is>
          <t>位置合わせ(MS指定)／単調補間</t>
        </is>
      </c>
      <c r="C876" s="10" t="inlineStr">
        <is>
          <t>2021-11</t>
        </is>
      </c>
      <c r="D876" s="10" t="n">
        <v>11</v>
      </c>
      <c r="E876" s="12" t="n">
        <v>15662.2</v>
      </c>
      <c r="F876" s="12" t="n">
        <v>22707.4</v>
      </c>
      <c r="G876" s="12" t="n">
        <v>-7045.2</v>
      </c>
      <c r="H876" s="13" t="n">
        <v>0.2507</v>
      </c>
      <c r="I876" s="13" t="n">
        <v>0.1745</v>
      </c>
    </row>
    <row r="877">
      <c r="A877" s="10" t="inlineStr">
        <is>
          <t>PJ-2021-E</t>
        </is>
      </c>
      <c r="B877" s="10" t="inlineStr">
        <is>
          <t>位置合わせ(MS指定)／単調補間</t>
        </is>
      </c>
      <c r="C877" s="10" t="inlineStr">
        <is>
          <t>2021-12</t>
        </is>
      </c>
      <c r="D877" s="10" t="n">
        <v>12</v>
      </c>
      <c r="E877" s="12" t="n">
        <v>16908.1</v>
      </c>
      <c r="F877" s="12" t="n">
        <v>24332.8</v>
      </c>
      <c r="G877" s="12" t="n">
        <v>-7424.7</v>
      </c>
      <c r="H877" s="13" t="n">
        <v>0.2858</v>
      </c>
      <c r="I877" s="13" t="n">
        <v>0.225</v>
      </c>
    </row>
    <row r="878">
      <c r="A878" s="10" t="inlineStr">
        <is>
          <t>PJ-2021-E</t>
        </is>
      </c>
      <c r="B878" s="10" t="inlineStr">
        <is>
          <t>位置合わせ(MS指定)／単調補間</t>
        </is>
      </c>
      <c r="C878" s="10" t="inlineStr">
        <is>
          <t>2022-01</t>
        </is>
      </c>
      <c r="D878" s="10" t="n">
        <v>13</v>
      </c>
      <c r="E878" s="12" t="n">
        <v>18010</v>
      </c>
      <c r="F878" s="12" t="n">
        <v>28940.1</v>
      </c>
      <c r="G878" s="12" t="n">
        <v>-10930.1</v>
      </c>
      <c r="H878" s="13" t="n">
        <v>0.3231</v>
      </c>
      <c r="I878" s="13" t="n">
        <v>0.285</v>
      </c>
    </row>
    <row r="879">
      <c r="A879" s="10" t="inlineStr">
        <is>
          <t>PJ-2021-E</t>
        </is>
      </c>
      <c r="B879" s="10" t="inlineStr">
        <is>
          <t>位置合わせ(MS指定)／単調補間</t>
        </is>
      </c>
      <c r="C879" s="10" t="inlineStr">
        <is>
          <t>2022-02</t>
        </is>
      </c>
      <c r="D879" s="10" t="n">
        <v>14</v>
      </c>
      <c r="E879" s="12" t="n">
        <v>16791.9</v>
      </c>
      <c r="F879" s="12" t="n">
        <v>28533.6</v>
      </c>
      <c r="G879" s="12" t="n">
        <v>-11741.7</v>
      </c>
      <c r="H879" s="13" t="n">
        <v>0.3579</v>
      </c>
      <c r="I879" s="13" t="n">
        <v>0.3442</v>
      </c>
    </row>
    <row r="880">
      <c r="A880" s="10" t="inlineStr">
        <is>
          <t>PJ-2021-E</t>
        </is>
      </c>
      <c r="B880" s="10" t="inlineStr">
        <is>
          <t>位置合わせ(MS指定)／単調補間</t>
        </is>
      </c>
      <c r="C880" s="10" t="inlineStr">
        <is>
          <t>2022-03</t>
        </is>
      </c>
      <c r="D880" s="10" t="n">
        <v>15</v>
      </c>
      <c r="E880" s="12" t="n">
        <v>20050.2</v>
      </c>
      <c r="F880" s="12" t="n">
        <v>39513.1</v>
      </c>
      <c r="G880" s="12" t="n">
        <v>-19462.9</v>
      </c>
      <c r="H880" s="13" t="n">
        <v>0.3995</v>
      </c>
      <c r="I880" s="13" t="n">
        <v>0.4261</v>
      </c>
    </row>
    <row r="881">
      <c r="A881" s="10" t="inlineStr">
        <is>
          <t>PJ-2021-E</t>
        </is>
      </c>
      <c r="B881" s="10" t="inlineStr">
        <is>
          <t>位置合わせ(MS指定)／単調補間</t>
        </is>
      </c>
      <c r="C881" s="10" t="inlineStr">
        <is>
          <t>2022-04</t>
        </is>
      </c>
      <c r="D881" s="10" t="n">
        <v>16</v>
      </c>
      <c r="E881" s="12" t="n">
        <v>18191.4</v>
      </c>
      <c r="F881" s="12" t="n">
        <v>20968.4</v>
      </c>
      <c r="G881" s="12" t="n">
        <v>-2777</v>
      </c>
      <c r="H881" s="13" t="n">
        <v>0.4373</v>
      </c>
      <c r="I881" s="13" t="n">
        <v>0.4696</v>
      </c>
    </row>
    <row r="882">
      <c r="A882" s="10" t="inlineStr">
        <is>
          <t>PJ-2021-E</t>
        </is>
      </c>
      <c r="B882" s="10" t="inlineStr">
        <is>
          <t>位置合わせ(MS指定)／単調補間</t>
        </is>
      </c>
      <c r="C882" s="10" t="inlineStr">
        <is>
          <t>2022-05</t>
        </is>
      </c>
      <c r="D882" s="10" t="n">
        <v>17</v>
      </c>
      <c r="E882" s="12" t="n">
        <v>15226.5</v>
      </c>
      <c r="F882" s="12" t="n">
        <v>18133.4</v>
      </c>
      <c r="G882" s="12" t="n">
        <v>-2906.9</v>
      </c>
      <c r="H882" s="13" t="n">
        <v>0.4688</v>
      </c>
      <c r="I882" s="13" t="n">
        <v>0.5072</v>
      </c>
    </row>
    <row r="883">
      <c r="A883" s="10" t="inlineStr">
        <is>
          <t>PJ-2021-E</t>
        </is>
      </c>
      <c r="B883" s="10" t="inlineStr">
        <is>
          <t>位置合わせ(MS指定)／単調補間</t>
        </is>
      </c>
      <c r="C883" s="10" t="inlineStr">
        <is>
          <t>2022-06</t>
        </is>
      </c>
      <c r="D883" s="10" t="n">
        <v>18</v>
      </c>
      <c r="E883" s="12" t="n">
        <v>15257.3</v>
      </c>
      <c r="F883" s="12" t="n">
        <v>15271.7</v>
      </c>
      <c r="G883" s="12" t="n">
        <v>-14.4</v>
      </c>
      <c r="H883" s="13" t="n">
        <v>0.5004999999999999</v>
      </c>
      <c r="I883" s="13" t="n">
        <v>0.5389</v>
      </c>
    </row>
    <row r="884">
      <c r="A884" s="10" t="inlineStr">
        <is>
          <t>PJ-2021-E</t>
        </is>
      </c>
      <c r="B884" s="10" t="inlineStr">
        <is>
          <t>位置合わせ(MS指定)／単調補間</t>
        </is>
      </c>
      <c r="C884" s="10" t="inlineStr">
        <is>
          <t>2022-07</t>
        </is>
      </c>
      <c r="D884" s="10" t="n">
        <v>19</v>
      </c>
      <c r="E884" s="12" t="n">
        <v>15584.9</v>
      </c>
      <c r="F884" s="12" t="n">
        <v>16417.5</v>
      </c>
      <c r="G884" s="12" t="n">
        <v>-832.6</v>
      </c>
      <c r="H884" s="13" t="n">
        <v>0.5328000000000001</v>
      </c>
      <c r="I884" s="13" t="n">
        <v>0.573</v>
      </c>
    </row>
    <row r="885">
      <c r="A885" s="10" t="inlineStr">
        <is>
          <t>PJ-2021-E</t>
        </is>
      </c>
      <c r="B885" s="10" t="inlineStr">
        <is>
          <t>位置合わせ(MS指定)／単調補間</t>
        </is>
      </c>
      <c r="C885" s="10" t="inlineStr">
        <is>
          <t>2022-08</t>
        </is>
      </c>
      <c r="D885" s="10" t="n">
        <v>20</v>
      </c>
      <c r="E885" s="12" t="n">
        <v>15739.3</v>
      </c>
      <c r="F885" s="12" t="n">
        <v>14656</v>
      </c>
      <c r="G885" s="12" t="n">
        <v>1083.3</v>
      </c>
      <c r="H885" s="13" t="n">
        <v>0.5654</v>
      </c>
      <c r="I885" s="13" t="n">
        <v>0.6034</v>
      </c>
    </row>
    <row r="886">
      <c r="A886" s="10" t="inlineStr">
        <is>
          <t>PJ-2021-E</t>
        </is>
      </c>
      <c r="B886" s="10" t="inlineStr">
        <is>
          <t>位置合わせ(MS指定)／単調補間</t>
        </is>
      </c>
      <c r="C886" s="10" t="inlineStr">
        <is>
          <t>2022-09</t>
        </is>
      </c>
      <c r="D886" s="10" t="n">
        <v>21</v>
      </c>
      <c r="E886" s="12" t="n">
        <v>15301.5</v>
      </c>
      <c r="F886" s="12" t="n">
        <v>13886.2</v>
      </c>
      <c r="G886" s="12" t="n">
        <v>1415.3</v>
      </c>
      <c r="H886" s="13" t="n">
        <v>0.5972</v>
      </c>
      <c r="I886" s="13" t="n">
        <v>0.6322</v>
      </c>
    </row>
    <row r="887">
      <c r="A887" s="10" t="inlineStr">
        <is>
          <t>PJ-2021-E</t>
        </is>
      </c>
      <c r="B887" s="10" t="inlineStr">
        <is>
          <t>位置合わせ(MS指定)／単調補間</t>
        </is>
      </c>
      <c r="C887" s="10" t="inlineStr">
        <is>
          <t>2022-10</t>
        </is>
      </c>
      <c r="D887" s="10" t="n">
        <v>22</v>
      </c>
      <c r="E887" s="12" t="n">
        <v>15474.5</v>
      </c>
      <c r="F887" s="12" t="n">
        <v>13614.7</v>
      </c>
      <c r="G887" s="12" t="n">
        <v>1859.8</v>
      </c>
      <c r="H887" s="13" t="n">
        <v>0.6293</v>
      </c>
      <c r="I887" s="13" t="n">
        <v>0.6604</v>
      </c>
    </row>
    <row r="888">
      <c r="A888" s="10" t="inlineStr">
        <is>
          <t>PJ-2021-E</t>
        </is>
      </c>
      <c r="B888" s="10" t="inlineStr">
        <is>
          <t>位置合わせ(MS指定)／単調補間</t>
        </is>
      </c>
      <c r="C888" s="10" t="inlineStr">
        <is>
          <t>2022-11</t>
        </is>
      </c>
      <c r="D888" s="10" t="n">
        <v>23</v>
      </c>
      <c r="E888" s="12" t="n">
        <v>15326.9</v>
      </c>
      <c r="F888" s="12" t="n">
        <v>14580.3</v>
      </c>
      <c r="G888" s="12" t="n">
        <v>746.6</v>
      </c>
      <c r="H888" s="13" t="n">
        <v>0.6611</v>
      </c>
      <c r="I888" s="13" t="n">
        <v>0.6906</v>
      </c>
    </row>
    <row r="889">
      <c r="A889" s="10" t="inlineStr">
        <is>
          <t>PJ-2021-E</t>
        </is>
      </c>
      <c r="B889" s="10" t="inlineStr">
        <is>
          <t>位置合わせ(MS指定)／単調補間</t>
        </is>
      </c>
      <c r="C889" s="10" t="inlineStr">
        <is>
          <t>2022-12</t>
        </is>
      </c>
      <c r="D889" s="10" t="n">
        <v>24</v>
      </c>
      <c r="E889" s="12" t="n">
        <v>16114.9</v>
      </c>
      <c r="F889" s="12" t="n">
        <v>15865.3</v>
      </c>
      <c r="G889" s="12" t="n">
        <v>249.6</v>
      </c>
      <c r="H889" s="13" t="n">
        <v>0.6945</v>
      </c>
      <c r="I889" s="13" t="n">
        <v>0.7236</v>
      </c>
    </row>
    <row r="890">
      <c r="A890" s="10" t="inlineStr">
        <is>
          <t>PJ-2021-E</t>
        </is>
      </c>
      <c r="B890" s="10" t="inlineStr">
        <is>
          <t>位置合わせ(MS指定)／単調補間</t>
        </is>
      </c>
      <c r="C890" s="10" t="inlineStr">
        <is>
          <t>2023-01</t>
        </is>
      </c>
      <c r="D890" s="10" t="n">
        <v>25</v>
      </c>
      <c r="E890" s="12" t="n">
        <v>15780.3</v>
      </c>
      <c r="F890" s="12" t="n">
        <v>18226.2</v>
      </c>
      <c r="G890" s="12" t="n">
        <v>-2445.9</v>
      </c>
      <c r="H890" s="13" t="n">
        <v>0.7272</v>
      </c>
      <c r="I890" s="13" t="n">
        <v>0.7614</v>
      </c>
    </row>
    <row r="891">
      <c r="A891" s="10" t="inlineStr">
        <is>
          <t>PJ-2021-E</t>
        </is>
      </c>
      <c r="B891" s="10" t="inlineStr">
        <is>
          <t>位置合わせ(MS指定)／単調補間</t>
        </is>
      </c>
      <c r="C891" s="10" t="inlineStr">
        <is>
          <t>2023-02</t>
        </is>
      </c>
      <c r="D891" s="10" t="n">
        <v>26</v>
      </c>
      <c r="E891" s="12" t="n">
        <v>13594.3</v>
      </c>
      <c r="F891" s="12" t="n">
        <v>17827.1</v>
      </c>
      <c r="G891" s="12" t="n">
        <v>-4232.8</v>
      </c>
      <c r="H891" s="13" t="n">
        <v>0.7554</v>
      </c>
      <c r="I891" s="13" t="n">
        <v>0.7983</v>
      </c>
    </row>
    <row r="892">
      <c r="A892" s="10" t="inlineStr">
        <is>
          <t>PJ-2021-E</t>
        </is>
      </c>
      <c r="B892" s="10" t="inlineStr">
        <is>
          <t>位置合わせ(MS指定)／単調補間</t>
        </is>
      </c>
      <c r="C892" s="10" t="inlineStr">
        <is>
          <t>2023-03</t>
        </is>
      </c>
      <c r="D892" s="10" t="n">
        <v>27</v>
      </c>
      <c r="E892" s="12" t="n">
        <v>19513.1</v>
      </c>
      <c r="F892" s="12" t="n">
        <v>22013.8</v>
      </c>
      <c r="G892" s="12" t="n">
        <v>-2500.7</v>
      </c>
      <c r="H892" s="13" t="n">
        <v>0.7959000000000001</v>
      </c>
      <c r="I892" s="13" t="n">
        <v>0.844</v>
      </c>
    </row>
    <row r="893">
      <c r="A893" s="10" t="inlineStr">
        <is>
          <t>PJ-2021-E</t>
        </is>
      </c>
      <c r="B893" s="10" t="inlineStr">
        <is>
          <t>位置合わせ(MS指定)／単調補間</t>
        </is>
      </c>
      <c r="C893" s="10" t="inlineStr">
        <is>
          <t>2023-04</t>
        </is>
      </c>
      <c r="D893" s="10" t="n">
        <v>28</v>
      </c>
      <c r="E893" s="12" t="n">
        <v>20020.5</v>
      </c>
      <c r="F893" s="12" t="n">
        <v>17769.7</v>
      </c>
      <c r="G893" s="12" t="n">
        <v>2250.8</v>
      </c>
      <c r="H893" s="13" t="n">
        <v>0.8374</v>
      </c>
      <c r="I893" s="13" t="n">
        <v>0.8808</v>
      </c>
    </row>
    <row r="894">
      <c r="A894" s="10" t="inlineStr">
        <is>
          <t>PJ-2021-E</t>
        </is>
      </c>
      <c r="B894" s="10" t="inlineStr">
        <is>
          <t>位置合わせ(MS指定)／単調補間</t>
        </is>
      </c>
      <c r="C894" s="10" t="inlineStr">
        <is>
          <t>2023-05</t>
        </is>
      </c>
      <c r="D894" s="10" t="n">
        <v>29</v>
      </c>
      <c r="E894" s="12" t="n">
        <v>19830.5</v>
      </c>
      <c r="F894" s="12" t="n">
        <v>15747.8</v>
      </c>
      <c r="G894" s="12" t="n">
        <v>4082.7</v>
      </c>
      <c r="H894" s="13" t="n">
        <v>0.8784999999999999</v>
      </c>
      <c r="I894" s="13" t="n">
        <v>0.9135</v>
      </c>
    </row>
    <row r="895">
      <c r="A895" s="10" t="inlineStr">
        <is>
          <t>PJ-2021-E</t>
        </is>
      </c>
      <c r="B895" s="10" t="inlineStr">
        <is>
          <t>位置合わせ(MS指定)／単調補間</t>
        </is>
      </c>
      <c r="C895" s="10" t="inlineStr">
        <is>
          <t>2023-06</t>
        </is>
      </c>
      <c r="D895" s="10" t="n">
        <v>30</v>
      </c>
      <c r="E895" s="12" t="n">
        <v>16766.3</v>
      </c>
      <c r="F895" s="12" t="n">
        <v>11049.5</v>
      </c>
      <c r="G895" s="12" t="n">
        <v>5716.8</v>
      </c>
      <c r="H895" s="13" t="n">
        <v>0.9133</v>
      </c>
      <c r="I895" s="13" t="n">
        <v>0.9364</v>
      </c>
    </row>
    <row r="896">
      <c r="A896" s="10" t="inlineStr">
        <is>
          <t>PJ-2021-E</t>
        </is>
      </c>
      <c r="B896" s="10" t="inlineStr">
        <is>
          <t>位置合わせ(MS指定)／単調補間</t>
        </is>
      </c>
      <c r="C896" s="10" t="inlineStr">
        <is>
          <t>2023-07</t>
        </is>
      </c>
      <c r="D896" s="10" t="n">
        <v>31</v>
      </c>
      <c r="E896" s="12" t="n">
        <v>14593</v>
      </c>
      <c r="F896" s="12" t="n">
        <v>10147.8</v>
      </c>
      <c r="G896" s="12" t="n">
        <v>4445.2</v>
      </c>
      <c r="H896" s="13" t="n">
        <v>0.9436</v>
      </c>
      <c r="I896" s="13" t="n">
        <v>0.9575</v>
      </c>
    </row>
    <row r="897">
      <c r="A897" s="10" t="inlineStr">
        <is>
          <t>PJ-2021-E</t>
        </is>
      </c>
      <c r="B897" s="10" t="inlineStr">
        <is>
          <t>位置合わせ(MS指定)／単調補間</t>
        </is>
      </c>
      <c r="C897" s="10" t="inlineStr">
        <is>
          <t>2023-08</t>
        </is>
      </c>
      <c r="D897" s="10" t="n">
        <v>32</v>
      </c>
      <c r="E897" s="12" t="n">
        <v>10136.5</v>
      </c>
      <c r="F897" s="12" t="n">
        <v>8637.799999999999</v>
      </c>
      <c r="G897" s="12" t="n">
        <v>1498.7</v>
      </c>
      <c r="H897" s="13" t="n">
        <v>0.9646</v>
      </c>
      <c r="I897" s="13" t="n">
        <v>0.9754</v>
      </c>
    </row>
    <row r="898">
      <c r="A898" s="10" t="inlineStr">
        <is>
          <t>PJ-2021-E</t>
        </is>
      </c>
      <c r="B898" s="10" t="inlineStr">
        <is>
          <t>位置合わせ(MS指定)／単調補間</t>
        </is>
      </c>
      <c r="C898" s="10" t="inlineStr">
        <is>
          <t>2023-09</t>
        </is>
      </c>
      <c r="D898" s="10" t="n">
        <v>33</v>
      </c>
      <c r="E898" s="12" t="n">
        <v>5791.1</v>
      </c>
      <c r="F898" s="12" t="n">
        <v>5590.1</v>
      </c>
      <c r="G898" s="12" t="n">
        <v>201</v>
      </c>
      <c r="H898" s="13" t="n">
        <v>0.9766</v>
      </c>
      <c r="I898" s="13" t="n">
        <v>0.987</v>
      </c>
    </row>
    <row r="899">
      <c r="A899" s="10" t="inlineStr">
        <is>
          <t>PJ-2021-E</t>
        </is>
      </c>
      <c r="B899" s="10" t="inlineStr">
        <is>
          <t>位置合わせ(MS指定)／単調補間</t>
        </is>
      </c>
      <c r="C899" s="10" t="inlineStr">
        <is>
          <t>2023-10</t>
        </is>
      </c>
      <c r="D899" s="10" t="n">
        <v>34</v>
      </c>
      <c r="E899" s="12" t="n">
        <v>5047.3</v>
      </c>
      <c r="F899" s="12" t="n">
        <v>3746.3</v>
      </c>
      <c r="G899" s="12" t="n">
        <v>1301</v>
      </c>
      <c r="H899" s="13" t="n">
        <v>0.9871</v>
      </c>
      <c r="I899" s="13" t="n">
        <v>0.9947</v>
      </c>
    </row>
    <row r="900">
      <c r="A900" s="10" t="inlineStr">
        <is>
          <t>PJ-2021-E</t>
        </is>
      </c>
      <c r="B900" s="10" t="inlineStr">
        <is>
          <t>位置合わせ(MS指定)／単調補間</t>
        </is>
      </c>
      <c r="C900" s="10" t="inlineStr">
        <is>
          <t>2023-11</t>
        </is>
      </c>
      <c r="D900" s="10" t="n">
        <v>35</v>
      </c>
      <c r="E900" s="12" t="n">
        <v>3628.7</v>
      </c>
      <c r="F900" s="12" t="n">
        <v>1912.1</v>
      </c>
      <c r="G900" s="12" t="n">
        <v>1716.6</v>
      </c>
      <c r="H900" s="13" t="n">
        <v>0.9946</v>
      </c>
      <c r="I900" s="13" t="n">
        <v>0.9987</v>
      </c>
    </row>
    <row r="901">
      <c r="A901" s="10" t="inlineStr">
        <is>
          <t>PJ-2021-E</t>
        </is>
      </c>
      <c r="B901" s="10" t="inlineStr">
        <is>
          <t>位置合わせ(MS指定)／単調補間</t>
        </is>
      </c>
      <c r="C901" s="10" t="inlineStr">
        <is>
          <t>2023-12</t>
        </is>
      </c>
      <c r="D901" s="10" t="n">
        <v>36</v>
      </c>
      <c r="E901" s="12" t="n">
        <v>2600.3</v>
      </c>
      <c r="F901" s="12" t="n">
        <v>620.9</v>
      </c>
      <c r="G901" s="12" t="n">
        <v>1979.4</v>
      </c>
      <c r="H901" s="13" t="n">
        <v>1</v>
      </c>
      <c r="I901" s="13" t="n">
        <v>1</v>
      </c>
    </row>
    <row r="902">
      <c r="A902" s="10" t="inlineStr">
        <is>
          <t>PJ-2022-F</t>
        </is>
      </c>
      <c r="B902" s="10" t="inlineStr">
        <is>
          <t>素朴版／月内均等</t>
        </is>
      </c>
      <c r="C902" s="10" t="inlineStr">
        <is>
          <t>2022-04</t>
        </is>
      </c>
      <c r="D902" s="10" t="n">
        <v>1</v>
      </c>
      <c r="E902" s="12" t="n">
        <v>3337.6</v>
      </c>
      <c r="F902" s="12" t="n">
        <v>1989.3</v>
      </c>
      <c r="G902" s="12" t="n">
        <v>1348.3</v>
      </c>
      <c r="H902" s="13" t="n">
        <v>0.0237</v>
      </c>
      <c r="I902" s="13" t="n">
        <v>0.0141</v>
      </c>
    </row>
    <row r="903">
      <c r="A903" s="10" t="inlineStr">
        <is>
          <t>PJ-2022-F</t>
        </is>
      </c>
      <c r="B903" s="10" t="inlineStr">
        <is>
          <t>素朴版／月内均等</t>
        </is>
      </c>
      <c r="C903" s="10" t="inlineStr">
        <is>
          <t>2022-05</t>
        </is>
      </c>
      <c r="D903" s="10" t="n">
        <v>2</v>
      </c>
      <c r="E903" s="12" t="n">
        <v>4462.2</v>
      </c>
      <c r="F903" s="12" t="n">
        <v>3873.1</v>
      </c>
      <c r="G903" s="12" t="n">
        <v>589.1</v>
      </c>
      <c r="H903" s="13" t="n">
        <v>0.0553</v>
      </c>
      <c r="I903" s="13" t="n">
        <v>0.0416</v>
      </c>
    </row>
    <row r="904">
      <c r="A904" s="10" t="inlineStr">
        <is>
          <t>PJ-2022-F</t>
        </is>
      </c>
      <c r="B904" s="10" t="inlineStr">
        <is>
          <t>素朴版／月内均等</t>
        </is>
      </c>
      <c r="C904" s="10" t="inlineStr">
        <is>
          <t>2022-06</t>
        </is>
      </c>
      <c r="D904" s="10" t="n">
        <v>3</v>
      </c>
      <c r="E904" s="12" t="n">
        <v>4959.5</v>
      </c>
      <c r="F904" s="12" t="n">
        <v>5042.1</v>
      </c>
      <c r="G904" s="12" t="n">
        <v>-82.59999999999999</v>
      </c>
      <c r="H904" s="13" t="n">
        <v>0.09039999999999999</v>
      </c>
      <c r="I904" s="13" t="n">
        <v>0.07729999999999999</v>
      </c>
    </row>
    <row r="905">
      <c r="A905" s="10" t="inlineStr">
        <is>
          <t>PJ-2022-F</t>
        </is>
      </c>
      <c r="B905" s="10" t="inlineStr">
        <is>
          <t>素朴版／月内均等</t>
        </is>
      </c>
      <c r="C905" s="10" t="inlineStr">
        <is>
          <t>2022-07</t>
        </is>
      </c>
      <c r="D905" s="10" t="n">
        <v>4</v>
      </c>
      <c r="E905" s="12" t="n">
        <v>5481</v>
      </c>
      <c r="F905" s="12" t="n">
        <v>6282.6</v>
      </c>
      <c r="G905" s="12" t="n">
        <v>-801.6</v>
      </c>
      <c r="H905" s="13" t="n">
        <v>0.1293</v>
      </c>
      <c r="I905" s="13" t="n">
        <v>0.1218</v>
      </c>
    </row>
    <row r="906">
      <c r="A906" s="10" t="inlineStr">
        <is>
          <t>PJ-2022-F</t>
        </is>
      </c>
      <c r="B906" s="10" t="inlineStr">
        <is>
          <t>素朴版／月内均等</t>
        </is>
      </c>
      <c r="C906" s="10" t="inlineStr">
        <is>
          <t>2022-08</t>
        </is>
      </c>
      <c r="D906" s="10" t="n">
        <v>5</v>
      </c>
      <c r="E906" s="12" t="n">
        <v>6350.2</v>
      </c>
      <c r="F906" s="12" t="n">
        <v>7785.3</v>
      </c>
      <c r="G906" s="12" t="n">
        <v>-1435.1</v>
      </c>
      <c r="H906" s="13" t="n">
        <v>0.1743</v>
      </c>
      <c r="I906" s="13" t="n">
        <v>0.177</v>
      </c>
    </row>
    <row r="907">
      <c r="A907" s="10" t="inlineStr">
        <is>
          <t>PJ-2022-F</t>
        </is>
      </c>
      <c r="B907" s="10" t="inlineStr">
        <is>
          <t>素朴版／月内均等</t>
        </is>
      </c>
      <c r="C907" s="10" t="inlineStr">
        <is>
          <t>2022-09</t>
        </is>
      </c>
      <c r="D907" s="10" t="n">
        <v>6</v>
      </c>
      <c r="E907" s="12" t="n">
        <v>7880</v>
      </c>
      <c r="F907" s="12" t="n">
        <v>8593</v>
      </c>
      <c r="G907" s="12" t="n">
        <v>-713</v>
      </c>
      <c r="H907" s="13" t="n">
        <v>0.2302</v>
      </c>
      <c r="I907" s="13" t="n">
        <v>0.2379</v>
      </c>
    </row>
    <row r="908">
      <c r="A908" s="10" t="inlineStr">
        <is>
          <t>PJ-2022-F</t>
        </is>
      </c>
      <c r="B908" s="10" t="inlineStr">
        <is>
          <t>素朴版／月内均等</t>
        </is>
      </c>
      <c r="C908" s="10" t="inlineStr">
        <is>
          <t>2022-10</t>
        </is>
      </c>
      <c r="D908" s="10" t="n">
        <v>7</v>
      </c>
      <c r="E908" s="12" t="n">
        <v>9414.799999999999</v>
      </c>
      <c r="F908" s="12" t="n">
        <v>9513.5</v>
      </c>
      <c r="G908" s="12" t="n">
        <v>-98.7</v>
      </c>
      <c r="H908" s="13" t="n">
        <v>0.2969</v>
      </c>
      <c r="I908" s="13" t="n">
        <v>0.3053</v>
      </c>
    </row>
    <row r="909">
      <c r="A909" s="10" t="inlineStr">
        <is>
          <t>PJ-2022-F</t>
        </is>
      </c>
      <c r="B909" s="10" t="inlineStr">
        <is>
          <t>素朴版／月内均等</t>
        </is>
      </c>
      <c r="C909" s="10" t="inlineStr">
        <is>
          <t>2022-11</t>
        </is>
      </c>
      <c r="D909" s="10" t="n">
        <v>8</v>
      </c>
      <c r="E909" s="12" t="n">
        <v>9599.4</v>
      </c>
      <c r="F909" s="12" t="n">
        <v>11622</v>
      </c>
      <c r="G909" s="12" t="n">
        <v>-2022.6</v>
      </c>
      <c r="H909" s="13" t="n">
        <v>0.3649</v>
      </c>
      <c r="I909" s="13" t="n">
        <v>0.3877</v>
      </c>
    </row>
    <row r="910">
      <c r="A910" s="10" t="inlineStr">
        <is>
          <t>PJ-2022-F</t>
        </is>
      </c>
      <c r="B910" s="10" t="inlineStr">
        <is>
          <t>素朴版／月内均等</t>
        </is>
      </c>
      <c r="C910" s="10" t="inlineStr">
        <is>
          <t>2022-12</t>
        </is>
      </c>
      <c r="D910" s="10" t="n">
        <v>9</v>
      </c>
      <c r="E910" s="12" t="n">
        <v>9253.299999999999</v>
      </c>
      <c r="F910" s="12" t="n">
        <v>11222.9</v>
      </c>
      <c r="G910" s="12" t="n">
        <v>-1969.6</v>
      </c>
      <c r="H910" s="13" t="n">
        <v>0.4305</v>
      </c>
      <c r="I910" s="13" t="n">
        <v>0.4673</v>
      </c>
    </row>
    <row r="911">
      <c r="A911" s="10" t="inlineStr">
        <is>
          <t>PJ-2022-F</t>
        </is>
      </c>
      <c r="B911" s="10" t="inlineStr">
        <is>
          <t>素朴版／月内均等</t>
        </is>
      </c>
      <c r="C911" s="10" t="inlineStr">
        <is>
          <t>2023-01</t>
        </is>
      </c>
      <c r="D911" s="10" t="n">
        <v>10</v>
      </c>
      <c r="E911" s="12" t="n">
        <v>11020.3</v>
      </c>
      <c r="F911" s="12" t="n">
        <v>9600.700000000001</v>
      </c>
      <c r="G911" s="12" t="n">
        <v>1419.6</v>
      </c>
      <c r="H911" s="13" t="n">
        <v>0.5086000000000001</v>
      </c>
      <c r="I911" s="13" t="n">
        <v>0.5353</v>
      </c>
    </row>
    <row r="912">
      <c r="A912" s="10" t="inlineStr">
        <is>
          <t>PJ-2022-F</t>
        </is>
      </c>
      <c r="B912" s="10" t="inlineStr">
        <is>
          <t>素朴版／月内均等</t>
        </is>
      </c>
      <c r="C912" s="10" t="inlineStr">
        <is>
          <t>2023-02</t>
        </is>
      </c>
      <c r="D912" s="10" t="n">
        <v>11</v>
      </c>
      <c r="E912" s="12" t="n">
        <v>10775</v>
      </c>
      <c r="F912" s="12" t="n">
        <v>7097.2</v>
      </c>
      <c r="G912" s="12" t="n">
        <v>3677.8</v>
      </c>
      <c r="H912" s="13" t="n">
        <v>0.585</v>
      </c>
      <c r="I912" s="13" t="n">
        <v>0.5856</v>
      </c>
    </row>
    <row r="913">
      <c r="A913" s="10" t="inlineStr">
        <is>
          <t>PJ-2022-F</t>
        </is>
      </c>
      <c r="B913" s="10" t="inlineStr">
        <is>
          <t>素朴版／月内均等</t>
        </is>
      </c>
      <c r="C913" s="10" t="inlineStr">
        <is>
          <t>2023-03</t>
        </is>
      </c>
      <c r="D913" s="10" t="n">
        <v>12</v>
      </c>
      <c r="E913" s="12" t="n">
        <v>12538</v>
      </c>
      <c r="F913" s="12" t="n">
        <v>8011</v>
      </c>
      <c r="G913" s="12" t="n">
        <v>4527</v>
      </c>
      <c r="H913" s="13" t="n">
        <v>0.6739000000000001</v>
      </c>
      <c r="I913" s="13" t="n">
        <v>0.6424</v>
      </c>
    </row>
    <row r="914">
      <c r="A914" s="10" t="inlineStr">
        <is>
          <t>PJ-2022-F</t>
        </is>
      </c>
      <c r="B914" s="10" t="inlineStr">
        <is>
          <t>素朴版／月内均等</t>
        </is>
      </c>
      <c r="C914" s="10" t="inlineStr">
        <is>
          <t>2023-04</t>
        </is>
      </c>
      <c r="D914" s="10" t="n">
        <v>13</v>
      </c>
      <c r="E914" s="12" t="n">
        <v>10732</v>
      </c>
      <c r="F914" s="12" t="n">
        <v>7572.9</v>
      </c>
      <c r="G914" s="12" t="n">
        <v>3159.1</v>
      </c>
      <c r="H914" s="13" t="n">
        <v>0.7499</v>
      </c>
      <c r="I914" s="13" t="n">
        <v>0.6961000000000001</v>
      </c>
    </row>
    <row r="915">
      <c r="A915" s="10" t="inlineStr">
        <is>
          <t>PJ-2022-F</t>
        </is>
      </c>
      <c r="B915" s="10" t="inlineStr">
        <is>
          <t>素朴版／月内均等</t>
        </is>
      </c>
      <c r="C915" s="10" t="inlineStr">
        <is>
          <t>2023-05</t>
        </is>
      </c>
      <c r="D915" s="10" t="n">
        <v>14</v>
      </c>
      <c r="E915" s="12" t="n">
        <v>10196.3</v>
      </c>
      <c r="F915" s="12" t="n">
        <v>10002.8</v>
      </c>
      <c r="G915" s="12" t="n">
        <v>193.5</v>
      </c>
      <c r="H915" s="13" t="n">
        <v>0.8222</v>
      </c>
      <c r="I915" s="13" t="n">
        <v>0.767</v>
      </c>
    </row>
    <row r="916">
      <c r="A916" s="10" t="inlineStr">
        <is>
          <t>PJ-2022-F</t>
        </is>
      </c>
      <c r="B916" s="10" t="inlineStr">
        <is>
          <t>素朴版／月内均等</t>
        </is>
      </c>
      <c r="C916" s="10" t="inlineStr">
        <is>
          <t>2023-06</t>
        </is>
      </c>
      <c r="D916" s="10" t="n">
        <v>15</v>
      </c>
      <c r="E916" s="12" t="n">
        <v>9174.1</v>
      </c>
      <c r="F916" s="12" t="n">
        <v>14960.5</v>
      </c>
      <c r="G916" s="12" t="n">
        <v>-5786.4</v>
      </c>
      <c r="H916" s="13" t="n">
        <v>0.8872</v>
      </c>
      <c r="I916" s="13" t="n">
        <v>0.873</v>
      </c>
    </row>
    <row r="917">
      <c r="A917" s="10" t="inlineStr">
        <is>
          <t>PJ-2022-F</t>
        </is>
      </c>
      <c r="B917" s="10" t="inlineStr">
        <is>
          <t>素朴版／月内均等</t>
        </is>
      </c>
      <c r="C917" s="10" t="inlineStr">
        <is>
          <t>2023-07</t>
        </is>
      </c>
      <c r="D917" s="10" t="n">
        <v>16</v>
      </c>
      <c r="E917" s="12" t="n">
        <v>7201.6</v>
      </c>
      <c r="F917" s="12" t="n">
        <v>11519.7</v>
      </c>
      <c r="G917" s="12" t="n">
        <v>-4318.1</v>
      </c>
      <c r="H917" s="13" t="n">
        <v>0.9383</v>
      </c>
      <c r="I917" s="13" t="n">
        <v>0.9547</v>
      </c>
    </row>
    <row r="918">
      <c r="A918" s="10" t="inlineStr">
        <is>
          <t>PJ-2022-F</t>
        </is>
      </c>
      <c r="B918" s="10" t="inlineStr">
        <is>
          <t>素朴版／月内均等</t>
        </is>
      </c>
      <c r="C918" s="10" t="inlineStr">
        <is>
          <t>2023-08</t>
        </is>
      </c>
      <c r="D918" s="10" t="n">
        <v>17</v>
      </c>
      <c r="E918" s="12" t="n">
        <v>5608.4</v>
      </c>
      <c r="F918" s="12" t="n">
        <v>5165</v>
      </c>
      <c r="G918" s="12" t="n">
        <v>443.4</v>
      </c>
      <c r="H918" s="13" t="n">
        <v>0.978</v>
      </c>
      <c r="I918" s="13" t="n">
        <v>0.9913</v>
      </c>
    </row>
    <row r="919">
      <c r="A919" s="10" t="inlineStr">
        <is>
          <t>PJ-2022-F</t>
        </is>
      </c>
      <c r="B919" s="10" t="inlineStr">
        <is>
          <t>素朴版／月内均等</t>
        </is>
      </c>
      <c r="C919" s="10" t="inlineStr">
        <is>
          <t>2023-09</t>
        </is>
      </c>
      <c r="D919" s="10" t="n">
        <v>18</v>
      </c>
      <c r="E919" s="12" t="n">
        <v>3098.4</v>
      </c>
      <c r="F919" s="12" t="n">
        <v>1228.6</v>
      </c>
      <c r="G919" s="12" t="n">
        <v>1869.8</v>
      </c>
      <c r="H919" s="13" t="n">
        <v>1</v>
      </c>
      <c r="I919" s="13" t="n">
        <v>1</v>
      </c>
    </row>
    <row r="920">
      <c r="A920" s="10" t="inlineStr">
        <is>
          <t>PJ-2022-F</t>
        </is>
      </c>
      <c r="B920" s="10" t="inlineStr">
        <is>
          <t>位置合わせ(MS学習値)／月内均等</t>
        </is>
      </c>
      <c r="C920" s="10" t="inlineStr">
        <is>
          <t>2022-04</t>
        </is>
      </c>
      <c r="D920" s="10" t="n">
        <v>1</v>
      </c>
      <c r="E920" s="12" t="n">
        <v>3297</v>
      </c>
      <c r="F920" s="12" t="n">
        <v>1989.3</v>
      </c>
      <c r="G920" s="12" t="n">
        <v>1307.7</v>
      </c>
      <c r="H920" s="13" t="n">
        <v>0.0234</v>
      </c>
      <c r="I920" s="13" t="n">
        <v>0.0141</v>
      </c>
    </row>
    <row r="921">
      <c r="A921" s="10" t="inlineStr">
        <is>
          <t>PJ-2022-F</t>
        </is>
      </c>
      <c r="B921" s="10" t="inlineStr">
        <is>
          <t>位置合わせ(MS学習値)／月内均等</t>
        </is>
      </c>
      <c r="C921" s="10" t="inlineStr">
        <is>
          <t>2022-05</t>
        </is>
      </c>
      <c r="D921" s="10" t="n">
        <v>2</v>
      </c>
      <c r="E921" s="12" t="n">
        <v>4391.6</v>
      </c>
      <c r="F921" s="12" t="n">
        <v>3873.1</v>
      </c>
      <c r="G921" s="12" t="n">
        <v>518.5</v>
      </c>
      <c r="H921" s="13" t="n">
        <v>0.0545</v>
      </c>
      <c r="I921" s="13" t="n">
        <v>0.0416</v>
      </c>
    </row>
    <row r="922">
      <c r="A922" s="10" t="inlineStr">
        <is>
          <t>PJ-2022-F</t>
        </is>
      </c>
      <c r="B922" s="10" t="inlineStr">
        <is>
          <t>位置合わせ(MS学習値)／月内均等</t>
        </is>
      </c>
      <c r="C922" s="10" t="inlineStr">
        <is>
          <t>2022-06</t>
        </is>
      </c>
      <c r="D922" s="10" t="n">
        <v>3</v>
      </c>
      <c r="E922" s="12" t="n">
        <v>4879.2</v>
      </c>
      <c r="F922" s="12" t="n">
        <v>5042.1</v>
      </c>
      <c r="G922" s="12" t="n">
        <v>-162.9</v>
      </c>
      <c r="H922" s="13" t="n">
        <v>0.0891</v>
      </c>
      <c r="I922" s="13" t="n">
        <v>0.07729999999999999</v>
      </c>
    </row>
    <row r="923">
      <c r="A923" s="10" t="inlineStr">
        <is>
          <t>PJ-2022-F</t>
        </is>
      </c>
      <c r="B923" s="10" t="inlineStr">
        <is>
          <t>位置合わせ(MS学習値)／月内均等</t>
        </is>
      </c>
      <c r="C923" s="10" t="inlineStr">
        <is>
          <t>2022-07</t>
        </is>
      </c>
      <c r="D923" s="10" t="n">
        <v>4</v>
      </c>
      <c r="E923" s="12" t="n">
        <v>5396.7</v>
      </c>
      <c r="F923" s="12" t="n">
        <v>6282.6</v>
      </c>
      <c r="G923" s="12" t="n">
        <v>-885.9</v>
      </c>
      <c r="H923" s="13" t="n">
        <v>0.1273</v>
      </c>
      <c r="I923" s="13" t="n">
        <v>0.1218</v>
      </c>
    </row>
    <row r="924">
      <c r="A924" s="10" t="inlineStr">
        <is>
          <t>PJ-2022-F</t>
        </is>
      </c>
      <c r="B924" s="10" t="inlineStr">
        <is>
          <t>位置合わせ(MS学習値)／月内均等</t>
        </is>
      </c>
      <c r="C924" s="10" t="inlineStr">
        <is>
          <t>2022-08</t>
        </is>
      </c>
      <c r="D924" s="10" t="n">
        <v>5</v>
      </c>
      <c r="E924" s="12" t="n">
        <v>6146.6</v>
      </c>
      <c r="F924" s="12" t="n">
        <v>7785.3</v>
      </c>
      <c r="G924" s="12" t="n">
        <v>-1638.7</v>
      </c>
      <c r="H924" s="13" t="n">
        <v>0.1709</v>
      </c>
      <c r="I924" s="13" t="n">
        <v>0.177</v>
      </c>
    </row>
    <row r="925">
      <c r="A925" s="10" t="inlineStr">
        <is>
          <t>PJ-2022-F</t>
        </is>
      </c>
      <c r="B925" s="10" t="inlineStr">
        <is>
          <t>位置合わせ(MS学習値)／月内均等</t>
        </is>
      </c>
      <c r="C925" s="10" t="inlineStr">
        <is>
          <t>2022-09</t>
        </is>
      </c>
      <c r="D925" s="10" t="n">
        <v>6</v>
      </c>
      <c r="E925" s="12" t="n">
        <v>7109.5</v>
      </c>
      <c r="F925" s="12" t="n">
        <v>8593</v>
      </c>
      <c r="G925" s="12" t="n">
        <v>-1483.5</v>
      </c>
      <c r="H925" s="13" t="n">
        <v>0.2213</v>
      </c>
      <c r="I925" s="13" t="n">
        <v>0.2379</v>
      </c>
    </row>
    <row r="926">
      <c r="A926" s="10" t="inlineStr">
        <is>
          <t>PJ-2022-F</t>
        </is>
      </c>
      <c r="B926" s="10" t="inlineStr">
        <is>
          <t>位置合わせ(MS学習値)／月内均等</t>
        </is>
      </c>
      <c r="C926" s="10" t="inlineStr">
        <is>
          <t>2022-10</t>
        </is>
      </c>
      <c r="D926" s="10" t="n">
        <v>7</v>
      </c>
      <c r="E926" s="12" t="n">
        <v>8760.5</v>
      </c>
      <c r="F926" s="12" t="n">
        <v>9513.5</v>
      </c>
      <c r="G926" s="12" t="n">
        <v>-753</v>
      </c>
      <c r="H926" s="13" t="n">
        <v>0.2834</v>
      </c>
      <c r="I926" s="13" t="n">
        <v>0.3053</v>
      </c>
    </row>
    <row r="927">
      <c r="A927" s="10" t="inlineStr">
        <is>
          <t>PJ-2022-F</t>
        </is>
      </c>
      <c r="B927" s="10" t="inlineStr">
        <is>
          <t>位置合わせ(MS学習値)／月内均等</t>
        </is>
      </c>
      <c r="C927" s="10" t="inlineStr">
        <is>
          <t>2022-11</t>
        </is>
      </c>
      <c r="D927" s="10" t="n">
        <v>8</v>
      </c>
      <c r="E927" s="12" t="n">
        <v>9393.5</v>
      </c>
      <c r="F927" s="12" t="n">
        <v>11622</v>
      </c>
      <c r="G927" s="12" t="n">
        <v>-2228.5</v>
      </c>
      <c r="H927" s="13" t="n">
        <v>0.35</v>
      </c>
      <c r="I927" s="13" t="n">
        <v>0.3877</v>
      </c>
    </row>
    <row r="928">
      <c r="A928" s="10" t="inlineStr">
        <is>
          <t>PJ-2022-F</t>
        </is>
      </c>
      <c r="B928" s="10" t="inlineStr">
        <is>
          <t>位置合わせ(MS学習値)／月内均等</t>
        </is>
      </c>
      <c r="C928" s="10" t="inlineStr">
        <is>
          <t>2022-12</t>
        </is>
      </c>
      <c r="D928" s="10" t="n">
        <v>9</v>
      </c>
      <c r="E928" s="12" t="n">
        <v>11226.9</v>
      </c>
      <c r="F928" s="12" t="n">
        <v>11222.9</v>
      </c>
      <c r="G928" s="12" t="n">
        <v>4</v>
      </c>
      <c r="H928" s="13" t="n">
        <v>0.4295</v>
      </c>
      <c r="I928" s="13" t="n">
        <v>0.4673</v>
      </c>
    </row>
    <row r="929">
      <c r="A929" s="10" t="inlineStr">
        <is>
          <t>PJ-2022-F</t>
        </is>
      </c>
      <c r="B929" s="10" t="inlineStr">
        <is>
          <t>位置合わせ(MS学習値)／月内均等</t>
        </is>
      </c>
      <c r="C929" s="10" t="inlineStr">
        <is>
          <t>2023-01</t>
        </is>
      </c>
      <c r="D929" s="10" t="n">
        <v>10</v>
      </c>
      <c r="E929" s="12" t="n">
        <v>11789.1</v>
      </c>
      <c r="F929" s="12" t="n">
        <v>9600.700000000001</v>
      </c>
      <c r="G929" s="12" t="n">
        <v>2188.4</v>
      </c>
      <c r="H929" s="13" t="n">
        <v>0.5131</v>
      </c>
      <c r="I929" s="13" t="n">
        <v>0.5353</v>
      </c>
    </row>
    <row r="930">
      <c r="A930" s="10" t="inlineStr">
        <is>
          <t>PJ-2022-F</t>
        </is>
      </c>
      <c r="B930" s="10" t="inlineStr">
        <is>
          <t>位置合わせ(MS学習値)／月内均等</t>
        </is>
      </c>
      <c r="C930" s="10" t="inlineStr">
        <is>
          <t>2023-02</t>
        </is>
      </c>
      <c r="D930" s="10" t="n">
        <v>11</v>
      </c>
      <c r="E930" s="12" t="n">
        <v>10920.2</v>
      </c>
      <c r="F930" s="12" t="n">
        <v>7097.2</v>
      </c>
      <c r="G930" s="12" t="n">
        <v>3823</v>
      </c>
      <c r="H930" s="13" t="n">
        <v>0.5905</v>
      </c>
      <c r="I930" s="13" t="n">
        <v>0.5856</v>
      </c>
    </row>
    <row r="931">
      <c r="A931" s="10" t="inlineStr">
        <is>
          <t>PJ-2022-F</t>
        </is>
      </c>
      <c r="B931" s="10" t="inlineStr">
        <is>
          <t>位置合わせ(MS学習値)／月内均等</t>
        </is>
      </c>
      <c r="C931" s="10" t="inlineStr">
        <is>
          <t>2023-03</t>
        </is>
      </c>
      <c r="D931" s="10" t="n">
        <v>12</v>
      </c>
      <c r="E931" s="12" t="n">
        <v>12155.1</v>
      </c>
      <c r="F931" s="12" t="n">
        <v>8011</v>
      </c>
      <c r="G931" s="12" t="n">
        <v>4144.1</v>
      </c>
      <c r="H931" s="13" t="n">
        <v>0.6767</v>
      </c>
      <c r="I931" s="13" t="n">
        <v>0.6424</v>
      </c>
    </row>
    <row r="932">
      <c r="A932" s="10" t="inlineStr">
        <is>
          <t>PJ-2022-F</t>
        </is>
      </c>
      <c r="B932" s="10" t="inlineStr">
        <is>
          <t>位置合わせ(MS学習値)／月内均等</t>
        </is>
      </c>
      <c r="C932" s="10" t="inlineStr">
        <is>
          <t>2023-04</t>
        </is>
      </c>
      <c r="D932" s="10" t="n">
        <v>13</v>
      </c>
      <c r="E932" s="12" t="n">
        <v>11485.8</v>
      </c>
      <c r="F932" s="12" t="n">
        <v>7572.9</v>
      </c>
      <c r="G932" s="12" t="n">
        <v>3912.9</v>
      </c>
      <c r="H932" s="13" t="n">
        <v>0.7581</v>
      </c>
      <c r="I932" s="13" t="n">
        <v>0.6961000000000001</v>
      </c>
    </row>
    <row r="933">
      <c r="A933" s="10" t="inlineStr">
        <is>
          <t>PJ-2022-F</t>
        </is>
      </c>
      <c r="B933" s="10" t="inlineStr">
        <is>
          <t>位置合わせ(MS学習値)／月内均等</t>
        </is>
      </c>
      <c r="C933" s="10" t="inlineStr">
        <is>
          <t>2023-05</t>
        </is>
      </c>
      <c r="D933" s="10" t="n">
        <v>14</v>
      </c>
      <c r="E933" s="12" t="n">
        <v>10070.4</v>
      </c>
      <c r="F933" s="12" t="n">
        <v>10002.8</v>
      </c>
      <c r="G933" s="12" t="n">
        <v>67.59999999999999</v>
      </c>
      <c r="H933" s="13" t="n">
        <v>0.8295</v>
      </c>
      <c r="I933" s="13" t="n">
        <v>0.767</v>
      </c>
    </row>
    <row r="934">
      <c r="A934" s="10" t="inlineStr">
        <is>
          <t>PJ-2022-F</t>
        </is>
      </c>
      <c r="B934" s="10" t="inlineStr">
        <is>
          <t>位置合わせ(MS学習値)／月内均等</t>
        </is>
      </c>
      <c r="C934" s="10" t="inlineStr">
        <is>
          <t>2023-06</t>
        </is>
      </c>
      <c r="D934" s="10" t="n">
        <v>15</v>
      </c>
      <c r="E934" s="12" t="n">
        <v>8292.299999999999</v>
      </c>
      <c r="F934" s="12" t="n">
        <v>14960.5</v>
      </c>
      <c r="G934" s="12" t="n">
        <v>-6668.2</v>
      </c>
      <c r="H934" s="13" t="n">
        <v>0.8882</v>
      </c>
      <c r="I934" s="13" t="n">
        <v>0.873</v>
      </c>
    </row>
    <row r="935">
      <c r="A935" s="10" t="inlineStr">
        <is>
          <t>PJ-2022-F</t>
        </is>
      </c>
      <c r="B935" s="10" t="inlineStr">
        <is>
          <t>位置合わせ(MS学習値)／月内均等</t>
        </is>
      </c>
      <c r="C935" s="10" t="inlineStr">
        <is>
          <t>2023-07</t>
        </is>
      </c>
      <c r="D935" s="10" t="n">
        <v>16</v>
      </c>
      <c r="E935" s="12" t="n">
        <v>7002</v>
      </c>
      <c r="F935" s="12" t="n">
        <v>11519.7</v>
      </c>
      <c r="G935" s="12" t="n">
        <v>-4517.7</v>
      </c>
      <c r="H935" s="13" t="n">
        <v>0.9379</v>
      </c>
      <c r="I935" s="13" t="n">
        <v>0.9547</v>
      </c>
    </row>
    <row r="936">
      <c r="A936" s="10" t="inlineStr">
        <is>
          <t>PJ-2022-F</t>
        </is>
      </c>
      <c r="B936" s="10" t="inlineStr">
        <is>
          <t>位置合わせ(MS学習値)／月内均等</t>
        </is>
      </c>
      <c r="C936" s="10" t="inlineStr">
        <is>
          <t>2023-08</t>
        </is>
      </c>
      <c r="D936" s="10" t="n">
        <v>17</v>
      </c>
      <c r="E936" s="12" t="n">
        <v>5726.5</v>
      </c>
      <c r="F936" s="12" t="n">
        <v>5165</v>
      </c>
      <c r="G936" s="12" t="n">
        <v>561.5</v>
      </c>
      <c r="H936" s="13" t="n">
        <v>0.9785</v>
      </c>
      <c r="I936" s="13" t="n">
        <v>0.9913</v>
      </c>
    </row>
    <row r="937">
      <c r="A937" s="10" t="inlineStr">
        <is>
          <t>PJ-2022-F</t>
        </is>
      </c>
      <c r="B937" s="10" t="inlineStr">
        <is>
          <t>位置合わせ(MS学習値)／月内均等</t>
        </is>
      </c>
      <c r="C937" s="10" t="inlineStr">
        <is>
          <t>2023-09</t>
        </is>
      </c>
      <c r="D937" s="10" t="n">
        <v>18</v>
      </c>
      <c r="E937" s="12" t="n">
        <v>3039.3</v>
      </c>
      <c r="F937" s="12" t="n">
        <v>1228.6</v>
      </c>
      <c r="G937" s="12" t="n">
        <v>1810.7</v>
      </c>
      <c r="H937" s="13" t="n">
        <v>1</v>
      </c>
      <c r="I937" s="13" t="n">
        <v>1</v>
      </c>
    </row>
    <row r="938">
      <c r="A938" s="10" t="inlineStr">
        <is>
          <t>PJ-2022-F</t>
        </is>
      </c>
      <c r="B938" s="10" t="inlineStr">
        <is>
          <t>位置合わせ(MS指定)／月内均等</t>
        </is>
      </c>
      <c r="C938" s="10" t="inlineStr">
        <is>
          <t>2022-04</t>
        </is>
      </c>
      <c r="D938" s="10" t="n">
        <v>1</v>
      </c>
      <c r="E938" s="12" t="n">
        <v>3501.7</v>
      </c>
      <c r="F938" s="12" t="n">
        <v>1989.3</v>
      </c>
      <c r="G938" s="12" t="n">
        <v>1512.4</v>
      </c>
      <c r="H938" s="13" t="n">
        <v>0.0248</v>
      </c>
      <c r="I938" s="13" t="n">
        <v>0.0141</v>
      </c>
    </row>
    <row r="939">
      <c r="A939" s="10" t="inlineStr">
        <is>
          <t>PJ-2022-F</t>
        </is>
      </c>
      <c r="B939" s="10" t="inlineStr">
        <is>
          <t>位置合わせ(MS指定)／月内均等</t>
        </is>
      </c>
      <c r="C939" s="10" t="inlineStr">
        <is>
          <t>2022-05</t>
        </is>
      </c>
      <c r="D939" s="10" t="n">
        <v>2</v>
      </c>
      <c r="E939" s="12" t="n">
        <v>4704.8</v>
      </c>
      <c r="F939" s="12" t="n">
        <v>3873.1</v>
      </c>
      <c r="G939" s="12" t="n">
        <v>831.7</v>
      </c>
      <c r="H939" s="13" t="n">
        <v>0.0582</v>
      </c>
      <c r="I939" s="13" t="n">
        <v>0.0416</v>
      </c>
    </row>
    <row r="940">
      <c r="A940" s="10" t="inlineStr">
        <is>
          <t>PJ-2022-F</t>
        </is>
      </c>
      <c r="B940" s="10" t="inlineStr">
        <is>
          <t>位置合わせ(MS指定)／月内均等</t>
        </is>
      </c>
      <c r="C940" s="10" t="inlineStr">
        <is>
          <t>2022-06</t>
        </is>
      </c>
      <c r="D940" s="10" t="n">
        <v>3</v>
      </c>
      <c r="E940" s="12" t="n">
        <v>5199.6</v>
      </c>
      <c r="F940" s="12" t="n">
        <v>5042.1</v>
      </c>
      <c r="G940" s="12" t="n">
        <v>157.5</v>
      </c>
      <c r="H940" s="13" t="n">
        <v>0.095</v>
      </c>
      <c r="I940" s="13" t="n">
        <v>0.07729999999999999</v>
      </c>
    </row>
    <row r="941">
      <c r="A941" s="10" t="inlineStr">
        <is>
          <t>PJ-2022-F</t>
        </is>
      </c>
      <c r="B941" s="10" t="inlineStr">
        <is>
          <t>位置合わせ(MS指定)／月内均等</t>
        </is>
      </c>
      <c r="C941" s="10" t="inlineStr">
        <is>
          <t>2022-07</t>
        </is>
      </c>
      <c r="D941" s="10" t="n">
        <v>4</v>
      </c>
      <c r="E941" s="12" t="n">
        <v>5803.5</v>
      </c>
      <c r="F941" s="12" t="n">
        <v>6282.6</v>
      </c>
      <c r="G941" s="12" t="n">
        <v>-479.1</v>
      </c>
      <c r="H941" s="13" t="n">
        <v>0.1362</v>
      </c>
      <c r="I941" s="13" t="n">
        <v>0.1218</v>
      </c>
    </row>
    <row r="942">
      <c r="A942" s="10" t="inlineStr">
        <is>
          <t>PJ-2022-F</t>
        </is>
      </c>
      <c r="B942" s="10" t="inlineStr">
        <is>
          <t>位置合わせ(MS指定)／月内均等</t>
        </is>
      </c>
      <c r="C942" s="10" t="inlineStr">
        <is>
          <t>2022-08</t>
        </is>
      </c>
      <c r="D942" s="10" t="n">
        <v>5</v>
      </c>
      <c r="E942" s="12" t="n">
        <v>6686</v>
      </c>
      <c r="F942" s="12" t="n">
        <v>7785.3</v>
      </c>
      <c r="G942" s="12" t="n">
        <v>-1099.3</v>
      </c>
      <c r="H942" s="13" t="n">
        <v>0.1835</v>
      </c>
      <c r="I942" s="13" t="n">
        <v>0.177</v>
      </c>
    </row>
    <row r="943">
      <c r="A943" s="10" t="inlineStr">
        <is>
          <t>PJ-2022-F</t>
        </is>
      </c>
      <c r="B943" s="10" t="inlineStr">
        <is>
          <t>位置合わせ(MS指定)／月内均等</t>
        </is>
      </c>
      <c r="C943" s="10" t="inlineStr">
        <is>
          <t>2022-09</t>
        </is>
      </c>
      <c r="D943" s="10" t="n">
        <v>6</v>
      </c>
      <c r="E943" s="12" t="n">
        <v>8058</v>
      </c>
      <c r="F943" s="12" t="n">
        <v>8593</v>
      </c>
      <c r="G943" s="12" t="n">
        <v>-535</v>
      </c>
      <c r="H943" s="13" t="n">
        <v>0.2407</v>
      </c>
      <c r="I943" s="13" t="n">
        <v>0.2379</v>
      </c>
    </row>
    <row r="944">
      <c r="A944" s="10" t="inlineStr">
        <is>
          <t>PJ-2022-F</t>
        </is>
      </c>
      <c r="B944" s="10" t="inlineStr">
        <is>
          <t>位置合わせ(MS指定)／月内均等</t>
        </is>
      </c>
      <c r="C944" s="10" t="inlineStr">
        <is>
          <t>2022-10</t>
        </is>
      </c>
      <c r="D944" s="10" t="n">
        <v>7</v>
      </c>
      <c r="E944" s="12" t="n">
        <v>9606.9</v>
      </c>
      <c r="F944" s="12" t="n">
        <v>9513.5</v>
      </c>
      <c r="G944" s="12" t="n">
        <v>93.40000000000001</v>
      </c>
      <c r="H944" s="13" t="n">
        <v>0.3088</v>
      </c>
      <c r="I944" s="13" t="n">
        <v>0.3053</v>
      </c>
    </row>
    <row r="945">
      <c r="A945" s="10" t="inlineStr">
        <is>
          <t>PJ-2022-F</t>
        </is>
      </c>
      <c r="B945" s="10" t="inlineStr">
        <is>
          <t>位置合わせ(MS指定)／月内均等</t>
        </is>
      </c>
      <c r="C945" s="10" t="inlineStr">
        <is>
          <t>2022-11</t>
        </is>
      </c>
      <c r="D945" s="10" t="n">
        <v>8</v>
      </c>
      <c r="E945" s="12" t="n">
        <v>10293.5</v>
      </c>
      <c r="F945" s="12" t="n">
        <v>11622</v>
      </c>
      <c r="G945" s="12" t="n">
        <v>-1328.5</v>
      </c>
      <c r="H945" s="13" t="n">
        <v>0.3817</v>
      </c>
      <c r="I945" s="13" t="n">
        <v>0.3877</v>
      </c>
    </row>
    <row r="946">
      <c r="A946" s="10" t="inlineStr">
        <is>
          <t>PJ-2022-F</t>
        </is>
      </c>
      <c r="B946" s="10" t="inlineStr">
        <is>
          <t>位置合わせ(MS指定)／月内均等</t>
        </is>
      </c>
      <c r="C946" s="10" t="inlineStr">
        <is>
          <t>2022-12</t>
        </is>
      </c>
      <c r="D946" s="10" t="n">
        <v>9</v>
      </c>
      <c r="E946" s="12" t="n">
        <v>10259.2</v>
      </c>
      <c r="F946" s="12" t="n">
        <v>11222.9</v>
      </c>
      <c r="G946" s="12" t="n">
        <v>-963.7</v>
      </c>
      <c r="H946" s="13" t="n">
        <v>0.4544</v>
      </c>
      <c r="I946" s="13" t="n">
        <v>0.4673</v>
      </c>
    </row>
    <row r="947">
      <c r="A947" s="10" t="inlineStr">
        <is>
          <t>PJ-2022-F</t>
        </is>
      </c>
      <c r="B947" s="10" t="inlineStr">
        <is>
          <t>位置合わせ(MS指定)／月内均等</t>
        </is>
      </c>
      <c r="C947" s="10" t="inlineStr">
        <is>
          <t>2023-01</t>
        </is>
      </c>
      <c r="D947" s="10" t="n">
        <v>10</v>
      </c>
      <c r="E947" s="12" t="n">
        <v>8277.4</v>
      </c>
      <c r="F947" s="12" t="n">
        <v>9600.700000000001</v>
      </c>
      <c r="G947" s="12" t="n">
        <v>-1323.3</v>
      </c>
      <c r="H947" s="13" t="n">
        <v>0.5131</v>
      </c>
      <c r="I947" s="13" t="n">
        <v>0.5353</v>
      </c>
    </row>
    <row r="948">
      <c r="A948" s="10" t="inlineStr">
        <is>
          <t>PJ-2022-F</t>
        </is>
      </c>
      <c r="B948" s="10" t="inlineStr">
        <is>
          <t>位置合わせ(MS指定)／月内均等</t>
        </is>
      </c>
      <c r="C948" s="10" t="inlineStr">
        <is>
          <t>2023-02</t>
        </is>
      </c>
      <c r="D948" s="10" t="n">
        <v>11</v>
      </c>
      <c r="E948" s="12" t="n">
        <v>7674</v>
      </c>
      <c r="F948" s="12" t="n">
        <v>7097.2</v>
      </c>
      <c r="G948" s="12" t="n">
        <v>576.8</v>
      </c>
      <c r="H948" s="13" t="n">
        <v>0.5675</v>
      </c>
      <c r="I948" s="13" t="n">
        <v>0.5856</v>
      </c>
    </row>
    <row r="949">
      <c r="A949" s="10" t="inlineStr">
        <is>
          <t>PJ-2022-F</t>
        </is>
      </c>
      <c r="B949" s="10" t="inlineStr">
        <is>
          <t>位置合わせ(MS指定)／月内均等</t>
        </is>
      </c>
      <c r="C949" s="10" t="inlineStr">
        <is>
          <t>2023-03</t>
        </is>
      </c>
      <c r="D949" s="10" t="n">
        <v>12</v>
      </c>
      <c r="E949" s="12" t="n">
        <v>8331.1</v>
      </c>
      <c r="F949" s="12" t="n">
        <v>8011</v>
      </c>
      <c r="G949" s="12" t="n">
        <v>320.1</v>
      </c>
      <c r="H949" s="13" t="n">
        <v>0.6266</v>
      </c>
      <c r="I949" s="13" t="n">
        <v>0.6424</v>
      </c>
    </row>
    <row r="950">
      <c r="A950" s="10" t="inlineStr">
        <is>
          <t>PJ-2022-F</t>
        </is>
      </c>
      <c r="B950" s="10" t="inlineStr">
        <is>
          <t>位置合わせ(MS指定)／月内均等</t>
        </is>
      </c>
      <c r="C950" s="10" t="inlineStr">
        <is>
          <t>2023-04</t>
        </is>
      </c>
      <c r="D950" s="10" t="n">
        <v>13</v>
      </c>
      <c r="E950" s="12" t="n">
        <v>8334.200000000001</v>
      </c>
      <c r="F950" s="12" t="n">
        <v>7572.9</v>
      </c>
      <c r="G950" s="12" t="n">
        <v>761.3</v>
      </c>
      <c r="H950" s="13" t="n">
        <v>0.6856</v>
      </c>
      <c r="I950" s="13" t="n">
        <v>0.6961000000000001</v>
      </c>
    </row>
    <row r="951">
      <c r="A951" s="10" t="inlineStr">
        <is>
          <t>PJ-2022-F</t>
        </is>
      </c>
      <c r="B951" s="10" t="inlineStr">
        <is>
          <t>位置合わせ(MS指定)／月内均等</t>
        </is>
      </c>
      <c r="C951" s="10" t="inlineStr">
        <is>
          <t>2023-05</t>
        </is>
      </c>
      <c r="D951" s="10" t="n">
        <v>14</v>
      </c>
      <c r="E951" s="12" t="n">
        <v>8396.9</v>
      </c>
      <c r="F951" s="12" t="n">
        <v>10002.8</v>
      </c>
      <c r="G951" s="12" t="n">
        <v>-1605.9</v>
      </c>
      <c r="H951" s="13" t="n">
        <v>0.7451</v>
      </c>
      <c r="I951" s="13" t="n">
        <v>0.767</v>
      </c>
    </row>
    <row r="952">
      <c r="A952" s="10" t="inlineStr">
        <is>
          <t>PJ-2022-F</t>
        </is>
      </c>
      <c r="B952" s="10" t="inlineStr">
        <is>
          <t>位置合わせ(MS指定)／月内均等</t>
        </is>
      </c>
      <c r="C952" s="10" t="inlineStr">
        <is>
          <t>2023-06</t>
        </is>
      </c>
      <c r="D952" s="10" t="n">
        <v>15</v>
      </c>
      <c r="E952" s="12" t="n">
        <v>11686.9</v>
      </c>
      <c r="F952" s="12" t="n">
        <v>14960.5</v>
      </c>
      <c r="G952" s="12" t="n">
        <v>-3273.6</v>
      </c>
      <c r="H952" s="13" t="n">
        <v>0.828</v>
      </c>
      <c r="I952" s="13" t="n">
        <v>0.873</v>
      </c>
    </row>
    <row r="953">
      <c r="A953" s="10" t="inlineStr">
        <is>
          <t>PJ-2022-F</t>
        </is>
      </c>
      <c r="B953" s="10" t="inlineStr">
        <is>
          <t>位置合わせ(MS指定)／月内均等</t>
        </is>
      </c>
      <c r="C953" s="10" t="inlineStr">
        <is>
          <t>2023-07</t>
        </is>
      </c>
      <c r="D953" s="10" t="n">
        <v>16</v>
      </c>
      <c r="E953" s="12" t="n">
        <v>13114</v>
      </c>
      <c r="F953" s="12" t="n">
        <v>11519.7</v>
      </c>
      <c r="G953" s="12" t="n">
        <v>1594.3</v>
      </c>
      <c r="H953" s="13" t="n">
        <v>0.9209000000000001</v>
      </c>
      <c r="I953" s="13" t="n">
        <v>0.9547</v>
      </c>
    </row>
    <row r="954">
      <c r="A954" s="10" t="inlineStr">
        <is>
          <t>PJ-2022-F</t>
        </is>
      </c>
      <c r="B954" s="10" t="inlineStr">
        <is>
          <t>位置合わせ(MS指定)／月内均等</t>
        </is>
      </c>
      <c r="C954" s="10" t="inlineStr">
        <is>
          <t>2023-08</t>
        </is>
      </c>
      <c r="D954" s="10" t="n">
        <v>17</v>
      </c>
      <c r="E954" s="12" t="n">
        <v>7866</v>
      </c>
      <c r="F954" s="12" t="n">
        <v>5165</v>
      </c>
      <c r="G954" s="12" t="n">
        <v>2701</v>
      </c>
      <c r="H954" s="13" t="n">
        <v>0.9767</v>
      </c>
      <c r="I954" s="13" t="n">
        <v>0.9913</v>
      </c>
    </row>
    <row r="955">
      <c r="A955" s="10" t="inlineStr">
        <is>
          <t>PJ-2022-F</t>
        </is>
      </c>
      <c r="B955" s="10" t="inlineStr">
        <is>
          <t>位置合わせ(MS指定)／月内均等</t>
        </is>
      </c>
      <c r="C955" s="10" t="inlineStr">
        <is>
          <t>2023-09</t>
        </is>
      </c>
      <c r="D955" s="10" t="n">
        <v>18</v>
      </c>
      <c r="E955" s="12" t="n">
        <v>3288.5</v>
      </c>
      <c r="F955" s="12" t="n">
        <v>1228.6</v>
      </c>
      <c r="G955" s="12" t="n">
        <v>2059.9</v>
      </c>
      <c r="H955" s="13" t="n">
        <v>1</v>
      </c>
      <c r="I955" s="13" t="n">
        <v>1</v>
      </c>
    </row>
    <row r="956">
      <c r="A956" s="10" t="inlineStr">
        <is>
          <t>PJ-2022-F</t>
        </is>
      </c>
      <c r="B956" s="10" t="inlineStr">
        <is>
          <t>素朴版／単調補間</t>
        </is>
      </c>
      <c r="C956" s="10" t="inlineStr">
        <is>
          <t>2022-04</t>
        </is>
      </c>
      <c r="D956" s="10" t="n">
        <v>1</v>
      </c>
      <c r="E956" s="12" t="n">
        <v>3307.5</v>
      </c>
      <c r="F956" s="12" t="n">
        <v>1989.3</v>
      </c>
      <c r="G956" s="12" t="n">
        <v>1318.2</v>
      </c>
      <c r="H956" s="13" t="n">
        <v>0.0234</v>
      </c>
      <c r="I956" s="13" t="n">
        <v>0.0141</v>
      </c>
    </row>
    <row r="957">
      <c r="A957" s="10" t="inlineStr">
        <is>
          <t>PJ-2022-F</t>
        </is>
      </c>
      <c r="B957" s="10" t="inlineStr">
        <is>
          <t>素朴版／単調補間</t>
        </is>
      </c>
      <c r="C957" s="10" t="inlineStr">
        <is>
          <t>2022-05</t>
        </is>
      </c>
      <c r="D957" s="10" t="n">
        <v>2</v>
      </c>
      <c r="E957" s="12" t="n">
        <v>4446.4</v>
      </c>
      <c r="F957" s="12" t="n">
        <v>3873.1</v>
      </c>
      <c r="G957" s="12" t="n">
        <v>573.3</v>
      </c>
      <c r="H957" s="13" t="n">
        <v>0.055</v>
      </c>
      <c r="I957" s="13" t="n">
        <v>0.0416</v>
      </c>
    </row>
    <row r="958">
      <c r="A958" s="10" t="inlineStr">
        <is>
          <t>PJ-2022-F</t>
        </is>
      </c>
      <c r="B958" s="10" t="inlineStr">
        <is>
          <t>素朴版／単調補間</t>
        </is>
      </c>
      <c r="C958" s="10" t="inlineStr">
        <is>
          <t>2022-06</t>
        </is>
      </c>
      <c r="D958" s="10" t="n">
        <v>3</v>
      </c>
      <c r="E958" s="12" t="n">
        <v>4962.5</v>
      </c>
      <c r="F958" s="12" t="n">
        <v>5042.1</v>
      </c>
      <c r="G958" s="12" t="n">
        <v>-79.59999999999999</v>
      </c>
      <c r="H958" s="13" t="n">
        <v>0.0901</v>
      </c>
      <c r="I958" s="13" t="n">
        <v>0.07729999999999999</v>
      </c>
    </row>
    <row r="959">
      <c r="A959" s="10" t="inlineStr">
        <is>
          <t>PJ-2022-F</t>
        </is>
      </c>
      <c r="B959" s="10" t="inlineStr">
        <is>
          <t>素朴版／単調補間</t>
        </is>
      </c>
      <c r="C959" s="10" t="inlineStr">
        <is>
          <t>2022-07</t>
        </is>
      </c>
      <c r="D959" s="10" t="n">
        <v>4</v>
      </c>
      <c r="E959" s="12" t="n">
        <v>5470.7</v>
      </c>
      <c r="F959" s="12" t="n">
        <v>6282.6</v>
      </c>
      <c r="G959" s="12" t="n">
        <v>-811.9</v>
      </c>
      <c r="H959" s="13" t="n">
        <v>0.1289</v>
      </c>
      <c r="I959" s="13" t="n">
        <v>0.1218</v>
      </c>
    </row>
    <row r="960">
      <c r="A960" s="10" t="inlineStr">
        <is>
          <t>PJ-2022-F</t>
        </is>
      </c>
      <c r="B960" s="10" t="inlineStr">
        <is>
          <t>素朴版／単調補間</t>
        </is>
      </c>
      <c r="C960" s="10" t="inlineStr">
        <is>
          <t>2022-08</t>
        </is>
      </c>
      <c r="D960" s="10" t="n">
        <v>5</v>
      </c>
      <c r="E960" s="12" t="n">
        <v>6342.8</v>
      </c>
      <c r="F960" s="12" t="n">
        <v>7785.3</v>
      </c>
      <c r="G960" s="12" t="n">
        <v>-1442.5</v>
      </c>
      <c r="H960" s="13" t="n">
        <v>0.1739</v>
      </c>
      <c r="I960" s="13" t="n">
        <v>0.177</v>
      </c>
    </row>
    <row r="961">
      <c r="A961" s="10" t="inlineStr">
        <is>
          <t>PJ-2022-F</t>
        </is>
      </c>
      <c r="B961" s="10" t="inlineStr">
        <is>
          <t>素朴版／単調補間</t>
        </is>
      </c>
      <c r="C961" s="10" t="inlineStr">
        <is>
          <t>2022-09</t>
        </is>
      </c>
      <c r="D961" s="10" t="n">
        <v>6</v>
      </c>
      <c r="E961" s="12" t="n">
        <v>7894.1</v>
      </c>
      <c r="F961" s="12" t="n">
        <v>8593</v>
      </c>
      <c r="G961" s="12" t="n">
        <v>-698.9</v>
      </c>
      <c r="H961" s="13" t="n">
        <v>0.2298</v>
      </c>
      <c r="I961" s="13" t="n">
        <v>0.2379</v>
      </c>
    </row>
    <row r="962">
      <c r="A962" s="10" t="inlineStr">
        <is>
          <t>PJ-2022-F</t>
        </is>
      </c>
      <c r="B962" s="10" t="inlineStr">
        <is>
          <t>素朴版／単調補間</t>
        </is>
      </c>
      <c r="C962" s="10" t="inlineStr">
        <is>
          <t>2022-10</t>
        </is>
      </c>
      <c r="D962" s="10" t="n">
        <v>7</v>
      </c>
      <c r="E962" s="12" t="n">
        <v>9431.4</v>
      </c>
      <c r="F962" s="12" t="n">
        <v>9513.5</v>
      </c>
      <c r="G962" s="12" t="n">
        <v>-82.09999999999999</v>
      </c>
      <c r="H962" s="13" t="n">
        <v>0.2967</v>
      </c>
      <c r="I962" s="13" t="n">
        <v>0.3053</v>
      </c>
    </row>
    <row r="963">
      <c r="A963" s="10" t="inlineStr">
        <is>
          <t>PJ-2022-F</t>
        </is>
      </c>
      <c r="B963" s="10" t="inlineStr">
        <is>
          <t>素朴版／単調補間</t>
        </is>
      </c>
      <c r="C963" s="10" t="inlineStr">
        <is>
          <t>2022-11</t>
        </is>
      </c>
      <c r="D963" s="10" t="n">
        <v>8</v>
      </c>
      <c r="E963" s="12" t="n">
        <v>9640</v>
      </c>
      <c r="F963" s="12" t="n">
        <v>11622</v>
      </c>
      <c r="G963" s="12" t="n">
        <v>-1982</v>
      </c>
      <c r="H963" s="13" t="n">
        <v>0.365</v>
      </c>
      <c r="I963" s="13" t="n">
        <v>0.3877</v>
      </c>
    </row>
    <row r="964">
      <c r="A964" s="10" t="inlineStr">
        <is>
          <t>PJ-2022-F</t>
        </is>
      </c>
      <c r="B964" s="10" t="inlineStr">
        <is>
          <t>素朴版／単調補間</t>
        </is>
      </c>
      <c r="C964" s="10" t="inlineStr">
        <is>
          <t>2022-12</t>
        </is>
      </c>
      <c r="D964" s="10" t="n">
        <v>9</v>
      </c>
      <c r="E964" s="12" t="n">
        <v>9209.799999999999</v>
      </c>
      <c r="F964" s="12" t="n">
        <v>11222.9</v>
      </c>
      <c r="G964" s="12" t="n">
        <v>-2013.1</v>
      </c>
      <c r="H964" s="13" t="n">
        <v>0.4303</v>
      </c>
      <c r="I964" s="13" t="n">
        <v>0.4673</v>
      </c>
    </row>
    <row r="965">
      <c r="A965" s="10" t="inlineStr">
        <is>
          <t>PJ-2022-F</t>
        </is>
      </c>
      <c r="B965" s="10" t="inlineStr">
        <is>
          <t>素朴版／単調補間</t>
        </is>
      </c>
      <c r="C965" s="10" t="inlineStr">
        <is>
          <t>2023-01</t>
        </is>
      </c>
      <c r="D965" s="10" t="n">
        <v>10</v>
      </c>
      <c r="E965" s="12" t="n">
        <v>10964.4</v>
      </c>
      <c r="F965" s="12" t="n">
        <v>9600.700000000001</v>
      </c>
      <c r="G965" s="12" t="n">
        <v>1363.7</v>
      </c>
      <c r="H965" s="13" t="n">
        <v>0.508</v>
      </c>
      <c r="I965" s="13" t="n">
        <v>0.5353</v>
      </c>
    </row>
    <row r="966">
      <c r="A966" s="10" t="inlineStr">
        <is>
          <t>PJ-2022-F</t>
        </is>
      </c>
      <c r="B966" s="10" t="inlineStr">
        <is>
          <t>素朴版／単調補間</t>
        </is>
      </c>
      <c r="C966" s="10" t="inlineStr">
        <is>
          <t>2023-02</t>
        </is>
      </c>
      <c r="D966" s="10" t="n">
        <v>11</v>
      </c>
      <c r="E966" s="12" t="n">
        <v>10703.3</v>
      </c>
      <c r="F966" s="12" t="n">
        <v>7097.2</v>
      </c>
      <c r="G966" s="12" t="n">
        <v>3606.1</v>
      </c>
      <c r="H966" s="13" t="n">
        <v>0.5839</v>
      </c>
      <c r="I966" s="13" t="n">
        <v>0.5856</v>
      </c>
    </row>
    <row r="967">
      <c r="A967" s="10" t="inlineStr">
        <is>
          <t>PJ-2022-F</t>
        </is>
      </c>
      <c r="B967" s="10" t="inlineStr">
        <is>
          <t>素朴版／単調補間</t>
        </is>
      </c>
      <c r="C967" s="10" t="inlineStr">
        <is>
          <t>2023-03</t>
        </is>
      </c>
      <c r="D967" s="10" t="n">
        <v>12</v>
      </c>
      <c r="E967" s="12" t="n">
        <v>12703.3</v>
      </c>
      <c r="F967" s="12" t="n">
        <v>8011</v>
      </c>
      <c r="G967" s="12" t="n">
        <v>4692.3</v>
      </c>
      <c r="H967" s="13" t="n">
        <v>0.6739000000000001</v>
      </c>
      <c r="I967" s="13" t="n">
        <v>0.6424</v>
      </c>
    </row>
    <row r="968">
      <c r="A968" s="10" t="inlineStr">
        <is>
          <t>PJ-2022-F</t>
        </is>
      </c>
      <c r="B968" s="10" t="inlineStr">
        <is>
          <t>素朴版／単調補間</t>
        </is>
      </c>
      <c r="C968" s="10" t="inlineStr">
        <is>
          <t>2023-04</t>
        </is>
      </c>
      <c r="D968" s="10" t="n">
        <v>13</v>
      </c>
      <c r="E968" s="12" t="n">
        <v>10756.2</v>
      </c>
      <c r="F968" s="12" t="n">
        <v>7572.9</v>
      </c>
      <c r="G968" s="12" t="n">
        <v>3183.3</v>
      </c>
      <c r="H968" s="13" t="n">
        <v>0.7501</v>
      </c>
      <c r="I968" s="13" t="n">
        <v>0.6961000000000001</v>
      </c>
    </row>
    <row r="969">
      <c r="A969" s="10" t="inlineStr">
        <is>
          <t>PJ-2022-F</t>
        </is>
      </c>
      <c r="B969" s="10" t="inlineStr">
        <is>
          <t>素朴版／単調補間</t>
        </is>
      </c>
      <c r="C969" s="10" t="inlineStr">
        <is>
          <t>2023-05</t>
        </is>
      </c>
      <c r="D969" s="10" t="n">
        <v>14</v>
      </c>
      <c r="E969" s="12" t="n">
        <v>10242</v>
      </c>
      <c r="F969" s="12" t="n">
        <v>10002.8</v>
      </c>
      <c r="G969" s="12" t="n">
        <v>239.2</v>
      </c>
      <c r="H969" s="13" t="n">
        <v>0.8227</v>
      </c>
      <c r="I969" s="13" t="n">
        <v>0.767</v>
      </c>
    </row>
    <row r="970">
      <c r="A970" s="10" t="inlineStr">
        <is>
          <t>PJ-2022-F</t>
        </is>
      </c>
      <c r="B970" s="10" t="inlineStr">
        <is>
          <t>素朴版／単調補間</t>
        </is>
      </c>
      <c r="C970" s="10" t="inlineStr">
        <is>
          <t>2023-06</t>
        </is>
      </c>
      <c r="D970" s="10" t="n">
        <v>15</v>
      </c>
      <c r="E970" s="12" t="n">
        <v>9288.5</v>
      </c>
      <c r="F970" s="12" t="n">
        <v>14960.5</v>
      </c>
      <c r="G970" s="12" t="n">
        <v>-5672</v>
      </c>
      <c r="H970" s="13" t="n">
        <v>0.8885999999999999</v>
      </c>
      <c r="I970" s="13" t="n">
        <v>0.873</v>
      </c>
    </row>
    <row r="971">
      <c r="A971" s="10" t="inlineStr">
        <is>
          <t>PJ-2022-F</t>
        </is>
      </c>
      <c r="B971" s="10" t="inlineStr">
        <is>
          <t>素朴版／単調補間</t>
        </is>
      </c>
      <c r="C971" s="10" t="inlineStr">
        <is>
          <t>2023-07</t>
        </is>
      </c>
      <c r="D971" s="10" t="n">
        <v>16</v>
      </c>
      <c r="E971" s="12" t="n">
        <v>7153.4</v>
      </c>
      <c r="F971" s="12" t="n">
        <v>11519.7</v>
      </c>
      <c r="G971" s="12" t="n">
        <v>-4366.3</v>
      </c>
      <c r="H971" s="13" t="n">
        <v>0.9393</v>
      </c>
      <c r="I971" s="13" t="n">
        <v>0.9547</v>
      </c>
    </row>
    <row r="972">
      <c r="A972" s="10" t="inlineStr">
        <is>
          <t>PJ-2022-F</t>
        </is>
      </c>
      <c r="B972" s="10" t="inlineStr">
        <is>
          <t>素朴版／単調補間</t>
        </is>
      </c>
      <c r="C972" s="10" t="inlineStr">
        <is>
          <t>2023-08</t>
        </is>
      </c>
      <c r="D972" s="10" t="n">
        <v>17</v>
      </c>
      <c r="E972" s="12" t="n">
        <v>5557.6</v>
      </c>
      <c r="F972" s="12" t="n">
        <v>5165</v>
      </c>
      <c r="G972" s="12" t="n">
        <v>392.6</v>
      </c>
      <c r="H972" s="13" t="n">
        <v>0.9787</v>
      </c>
      <c r="I972" s="13" t="n">
        <v>0.9913</v>
      </c>
    </row>
    <row r="973">
      <c r="A973" s="10" t="inlineStr">
        <is>
          <t>PJ-2022-F</t>
        </is>
      </c>
      <c r="B973" s="10" t="inlineStr">
        <is>
          <t>素朴版／単調補間</t>
        </is>
      </c>
      <c r="C973" s="10" t="inlineStr">
        <is>
          <t>2023-09</t>
        </is>
      </c>
      <c r="D973" s="10" t="n">
        <v>18</v>
      </c>
      <c r="E973" s="12" t="n">
        <v>3008.4</v>
      </c>
      <c r="F973" s="12" t="n">
        <v>1228.6</v>
      </c>
      <c r="G973" s="12" t="n">
        <v>1779.8</v>
      </c>
      <c r="H973" s="13" t="n">
        <v>1</v>
      </c>
      <c r="I973" s="13" t="n">
        <v>1</v>
      </c>
    </row>
    <row r="974">
      <c r="A974" s="10" t="inlineStr">
        <is>
          <t>PJ-2022-F</t>
        </is>
      </c>
      <c r="B974" s="10" t="inlineStr">
        <is>
          <t>位置合わせ(MS学習値)／単調補間</t>
        </is>
      </c>
      <c r="C974" s="10" t="inlineStr">
        <is>
          <t>2022-04</t>
        </is>
      </c>
      <c r="D974" s="10" t="n">
        <v>1</v>
      </c>
      <c r="E974" s="12" t="n">
        <v>3267.8</v>
      </c>
      <c r="F974" s="12" t="n">
        <v>1989.3</v>
      </c>
      <c r="G974" s="12" t="n">
        <v>1278.5</v>
      </c>
      <c r="H974" s="13" t="n">
        <v>0.0232</v>
      </c>
      <c r="I974" s="13" t="n">
        <v>0.0141</v>
      </c>
    </row>
    <row r="975">
      <c r="A975" s="10" t="inlineStr">
        <is>
          <t>PJ-2022-F</t>
        </is>
      </c>
      <c r="B975" s="10" t="inlineStr">
        <is>
          <t>位置合わせ(MS学習値)／単調補間</t>
        </is>
      </c>
      <c r="C975" s="10" t="inlineStr">
        <is>
          <t>2022-05</t>
        </is>
      </c>
      <c r="D975" s="10" t="n">
        <v>2</v>
      </c>
      <c r="E975" s="12" t="n">
        <v>4396.2</v>
      </c>
      <c r="F975" s="12" t="n">
        <v>3873.1</v>
      </c>
      <c r="G975" s="12" t="n">
        <v>523.1</v>
      </c>
      <c r="H975" s="13" t="n">
        <v>0.0543</v>
      </c>
      <c r="I975" s="13" t="n">
        <v>0.0416</v>
      </c>
    </row>
    <row r="976">
      <c r="A976" s="10" t="inlineStr">
        <is>
          <t>PJ-2022-F</t>
        </is>
      </c>
      <c r="B976" s="10" t="inlineStr">
        <is>
          <t>位置合わせ(MS学習値)／単調補間</t>
        </is>
      </c>
      <c r="C976" s="10" t="inlineStr">
        <is>
          <t>2022-06</t>
        </is>
      </c>
      <c r="D976" s="10" t="n">
        <v>3</v>
      </c>
      <c r="E976" s="12" t="n">
        <v>4880</v>
      </c>
      <c r="F976" s="12" t="n">
        <v>5042.1</v>
      </c>
      <c r="G976" s="12" t="n">
        <v>-162.1</v>
      </c>
      <c r="H976" s="13" t="n">
        <v>0.08890000000000001</v>
      </c>
      <c r="I976" s="13" t="n">
        <v>0.07729999999999999</v>
      </c>
    </row>
    <row r="977">
      <c r="A977" s="10" t="inlineStr">
        <is>
          <t>PJ-2022-F</t>
        </is>
      </c>
      <c r="B977" s="10" t="inlineStr">
        <is>
          <t>位置合わせ(MS学習値)／単調補間</t>
        </is>
      </c>
      <c r="C977" s="10" t="inlineStr">
        <is>
          <t>2022-07</t>
        </is>
      </c>
      <c r="D977" s="10" t="n">
        <v>4</v>
      </c>
      <c r="E977" s="12" t="n">
        <v>5383.4</v>
      </c>
      <c r="F977" s="12" t="n">
        <v>6282.6</v>
      </c>
      <c r="G977" s="12" t="n">
        <v>-899.2</v>
      </c>
      <c r="H977" s="13" t="n">
        <v>0.1271</v>
      </c>
      <c r="I977" s="13" t="n">
        <v>0.1218</v>
      </c>
    </row>
    <row r="978">
      <c r="A978" s="10" t="inlineStr">
        <is>
          <t>PJ-2022-F</t>
        </is>
      </c>
      <c r="B978" s="10" t="inlineStr">
        <is>
          <t>位置合わせ(MS学習値)／単調補間</t>
        </is>
      </c>
      <c r="C978" s="10" t="inlineStr">
        <is>
          <t>2022-08</t>
        </is>
      </c>
      <c r="D978" s="10" t="n">
        <v>5</v>
      </c>
      <c r="E978" s="12" t="n">
        <v>6113.9</v>
      </c>
      <c r="F978" s="12" t="n">
        <v>7785.3</v>
      </c>
      <c r="G978" s="12" t="n">
        <v>-1671.4</v>
      </c>
      <c r="H978" s="13" t="n">
        <v>0.1704</v>
      </c>
      <c r="I978" s="13" t="n">
        <v>0.177</v>
      </c>
    </row>
    <row r="979">
      <c r="A979" s="10" t="inlineStr">
        <is>
          <t>PJ-2022-F</t>
        </is>
      </c>
      <c r="B979" s="10" t="inlineStr">
        <is>
          <t>位置合わせ(MS学習値)／単調補間</t>
        </is>
      </c>
      <c r="C979" s="10" t="inlineStr">
        <is>
          <t>2022-09</t>
        </is>
      </c>
      <c r="D979" s="10" t="n">
        <v>6</v>
      </c>
      <c r="E979" s="12" t="n">
        <v>7094</v>
      </c>
      <c r="F979" s="12" t="n">
        <v>8593</v>
      </c>
      <c r="G979" s="12" t="n">
        <v>-1499</v>
      </c>
      <c r="H979" s="13" t="n">
        <v>0.2207</v>
      </c>
      <c r="I979" s="13" t="n">
        <v>0.2379</v>
      </c>
    </row>
    <row r="980">
      <c r="A980" s="10" t="inlineStr">
        <is>
          <t>PJ-2022-F</t>
        </is>
      </c>
      <c r="B980" s="10" t="inlineStr">
        <is>
          <t>位置合わせ(MS学習値)／単調補間</t>
        </is>
      </c>
      <c r="C980" s="10" t="inlineStr">
        <is>
          <t>2022-10</t>
        </is>
      </c>
      <c r="D980" s="10" t="n">
        <v>7</v>
      </c>
      <c r="E980" s="12" t="n">
        <v>8798.9</v>
      </c>
      <c r="F980" s="12" t="n">
        <v>9513.5</v>
      </c>
      <c r="G980" s="12" t="n">
        <v>-714.6</v>
      </c>
      <c r="H980" s="13" t="n">
        <v>0.2831</v>
      </c>
      <c r="I980" s="13" t="n">
        <v>0.3053</v>
      </c>
    </row>
    <row r="981">
      <c r="A981" s="10" t="inlineStr">
        <is>
          <t>PJ-2022-F</t>
        </is>
      </c>
      <c r="B981" s="10" t="inlineStr">
        <is>
          <t>位置合わせ(MS学習値)／単調補間</t>
        </is>
      </c>
      <c r="C981" s="10" t="inlineStr">
        <is>
          <t>2022-11</t>
        </is>
      </c>
      <c r="D981" s="10" t="n">
        <v>8</v>
      </c>
      <c r="E981" s="12" t="n">
        <v>9332.799999999999</v>
      </c>
      <c r="F981" s="12" t="n">
        <v>11622</v>
      </c>
      <c r="G981" s="12" t="n">
        <v>-2289.2</v>
      </c>
      <c r="H981" s="13" t="n">
        <v>0.3492</v>
      </c>
      <c r="I981" s="13" t="n">
        <v>0.3877</v>
      </c>
    </row>
    <row r="982">
      <c r="A982" s="10" t="inlineStr">
        <is>
          <t>PJ-2022-F</t>
        </is>
      </c>
      <c r="B982" s="10" t="inlineStr">
        <is>
          <t>位置合わせ(MS学習値)／単調補間</t>
        </is>
      </c>
      <c r="C982" s="10" t="inlineStr">
        <is>
          <t>2022-12</t>
        </is>
      </c>
      <c r="D982" s="10" t="n">
        <v>9</v>
      </c>
      <c r="E982" s="12" t="n">
        <v>11112.5</v>
      </c>
      <c r="F982" s="12" t="n">
        <v>11222.9</v>
      </c>
      <c r="G982" s="12" t="n">
        <v>-110.4</v>
      </c>
      <c r="H982" s="13" t="n">
        <v>0.428</v>
      </c>
      <c r="I982" s="13" t="n">
        <v>0.4673</v>
      </c>
    </row>
    <row r="983">
      <c r="A983" s="10" t="inlineStr">
        <is>
          <t>PJ-2022-F</t>
        </is>
      </c>
      <c r="B983" s="10" t="inlineStr">
        <is>
          <t>位置合わせ(MS学習値)／単調補間</t>
        </is>
      </c>
      <c r="C983" s="10" t="inlineStr">
        <is>
          <t>2023-01</t>
        </is>
      </c>
      <c r="D983" s="10" t="n">
        <v>10</v>
      </c>
      <c r="E983" s="12" t="n">
        <v>11937</v>
      </c>
      <c r="F983" s="12" t="n">
        <v>9600.700000000001</v>
      </c>
      <c r="G983" s="12" t="n">
        <v>2336.3</v>
      </c>
      <c r="H983" s="13" t="n">
        <v>0.5125999999999999</v>
      </c>
      <c r="I983" s="13" t="n">
        <v>0.5353</v>
      </c>
    </row>
    <row r="984">
      <c r="A984" s="10" t="inlineStr">
        <is>
          <t>PJ-2022-F</t>
        </is>
      </c>
      <c r="B984" s="10" t="inlineStr">
        <is>
          <t>位置合わせ(MS学習値)／単調補間</t>
        </is>
      </c>
      <c r="C984" s="10" t="inlineStr">
        <is>
          <t>2023-02</t>
        </is>
      </c>
      <c r="D984" s="10" t="n">
        <v>11</v>
      </c>
      <c r="E984" s="12" t="n">
        <v>10990.6</v>
      </c>
      <c r="F984" s="12" t="n">
        <v>7097.2</v>
      </c>
      <c r="G984" s="12" t="n">
        <v>3893.4</v>
      </c>
      <c r="H984" s="13" t="n">
        <v>0.5905</v>
      </c>
      <c r="I984" s="13" t="n">
        <v>0.5856</v>
      </c>
    </row>
    <row r="985">
      <c r="A985" s="10" t="inlineStr">
        <is>
          <t>PJ-2022-F</t>
        </is>
      </c>
      <c r="B985" s="10" t="inlineStr">
        <is>
          <t>位置合わせ(MS学習値)／単調補間</t>
        </is>
      </c>
      <c r="C985" s="10" t="inlineStr">
        <is>
          <t>2023-03</t>
        </is>
      </c>
      <c r="D985" s="10" t="n">
        <v>12</v>
      </c>
      <c r="E985" s="12" t="n">
        <v>12243.1</v>
      </c>
      <c r="F985" s="12" t="n">
        <v>8011</v>
      </c>
      <c r="G985" s="12" t="n">
        <v>4232.1</v>
      </c>
      <c r="H985" s="13" t="n">
        <v>0.6773</v>
      </c>
      <c r="I985" s="13" t="n">
        <v>0.6424</v>
      </c>
    </row>
    <row r="986">
      <c r="A986" s="10" t="inlineStr">
        <is>
          <t>PJ-2022-F</t>
        </is>
      </c>
      <c r="B986" s="10" t="inlineStr">
        <is>
          <t>位置合わせ(MS学習値)／単調補間</t>
        </is>
      </c>
      <c r="C986" s="10" t="inlineStr">
        <is>
          <t>2023-04</t>
        </is>
      </c>
      <c r="D986" s="10" t="n">
        <v>13</v>
      </c>
      <c r="E986" s="12" t="n">
        <v>11608.5</v>
      </c>
      <c r="F986" s="12" t="n">
        <v>7572.9</v>
      </c>
      <c r="G986" s="12" t="n">
        <v>4035.6</v>
      </c>
      <c r="H986" s="13" t="n">
        <v>0.7595</v>
      </c>
      <c r="I986" s="13" t="n">
        <v>0.6961000000000001</v>
      </c>
    </row>
    <row r="987">
      <c r="A987" s="10" t="inlineStr">
        <is>
          <t>PJ-2022-F</t>
        </is>
      </c>
      <c r="B987" s="10" t="inlineStr">
        <is>
          <t>位置合わせ(MS学習値)／単調補間</t>
        </is>
      </c>
      <c r="C987" s="10" t="inlineStr">
        <is>
          <t>2023-05</t>
        </is>
      </c>
      <c r="D987" s="10" t="n">
        <v>14</v>
      </c>
      <c r="E987" s="12" t="n">
        <v>9920.1</v>
      </c>
      <c r="F987" s="12" t="n">
        <v>10002.8</v>
      </c>
      <c r="G987" s="12" t="n">
        <v>-82.7</v>
      </c>
      <c r="H987" s="13" t="n">
        <v>0.8299</v>
      </c>
      <c r="I987" s="13" t="n">
        <v>0.767</v>
      </c>
    </row>
    <row r="988">
      <c r="A988" s="10" t="inlineStr">
        <is>
          <t>PJ-2022-F</t>
        </is>
      </c>
      <c r="B988" s="10" t="inlineStr">
        <is>
          <t>位置合わせ(MS学習値)／単調補間</t>
        </is>
      </c>
      <c r="C988" s="10" t="inlineStr">
        <is>
          <t>2023-06</t>
        </is>
      </c>
      <c r="D988" s="10" t="n">
        <v>15</v>
      </c>
      <c r="E988" s="12" t="n">
        <v>8427.700000000001</v>
      </c>
      <c r="F988" s="12" t="n">
        <v>14960.5</v>
      </c>
      <c r="G988" s="12" t="n">
        <v>-6532.8</v>
      </c>
      <c r="H988" s="13" t="n">
        <v>0.8895999999999999</v>
      </c>
      <c r="I988" s="13" t="n">
        <v>0.873</v>
      </c>
    </row>
    <row r="989">
      <c r="A989" s="10" t="inlineStr">
        <is>
          <t>PJ-2022-F</t>
        </is>
      </c>
      <c r="B989" s="10" t="inlineStr">
        <is>
          <t>位置合わせ(MS学習値)／単調補間</t>
        </is>
      </c>
      <c r="C989" s="10" t="inlineStr">
        <is>
          <t>2023-07</t>
        </is>
      </c>
      <c r="D989" s="10" t="n">
        <v>16</v>
      </c>
      <c r="E989" s="12" t="n">
        <v>6913.3</v>
      </c>
      <c r="F989" s="12" t="n">
        <v>11519.7</v>
      </c>
      <c r="G989" s="12" t="n">
        <v>-4606.4</v>
      </c>
      <c r="H989" s="13" t="n">
        <v>0.9386</v>
      </c>
      <c r="I989" s="13" t="n">
        <v>0.9547</v>
      </c>
    </row>
    <row r="990">
      <c r="A990" s="10" t="inlineStr">
        <is>
          <t>PJ-2022-F</t>
        </is>
      </c>
      <c r="B990" s="10" t="inlineStr">
        <is>
          <t>位置合わせ(MS学習値)／単調補間</t>
        </is>
      </c>
      <c r="C990" s="10" t="inlineStr">
        <is>
          <t>2023-08</t>
        </is>
      </c>
      <c r="D990" s="10" t="n">
        <v>17</v>
      </c>
      <c r="E990" s="12" t="n">
        <v>5718.7</v>
      </c>
      <c r="F990" s="12" t="n">
        <v>5165</v>
      </c>
      <c r="G990" s="12" t="n">
        <v>553.7</v>
      </c>
      <c r="H990" s="13" t="n">
        <v>0.9791</v>
      </c>
      <c r="I990" s="13" t="n">
        <v>0.9913</v>
      </c>
    </row>
    <row r="991">
      <c r="A991" s="10" t="inlineStr">
        <is>
          <t>PJ-2022-F</t>
        </is>
      </c>
      <c r="B991" s="10" t="inlineStr">
        <is>
          <t>位置合わせ(MS学習値)／単調補間</t>
        </is>
      </c>
      <c r="C991" s="10" t="inlineStr">
        <is>
          <t>2023-09</t>
        </is>
      </c>
      <c r="D991" s="10" t="n">
        <v>18</v>
      </c>
      <c r="E991" s="12" t="n">
        <v>2943.6</v>
      </c>
      <c r="F991" s="12" t="n">
        <v>1228.6</v>
      </c>
      <c r="G991" s="12" t="n">
        <v>1715</v>
      </c>
      <c r="H991" s="13" t="n">
        <v>1</v>
      </c>
      <c r="I991" s="13" t="n">
        <v>1</v>
      </c>
    </row>
    <row r="992">
      <c r="A992" s="10" t="inlineStr">
        <is>
          <t>PJ-2022-F</t>
        </is>
      </c>
      <c r="B992" s="10" t="inlineStr">
        <is>
          <t>位置合わせ(MS指定)／単調補間</t>
        </is>
      </c>
      <c r="C992" s="10" t="inlineStr">
        <is>
          <t>2022-04</t>
        </is>
      </c>
      <c r="D992" s="10" t="n">
        <v>1</v>
      </c>
      <c r="E992" s="12" t="n">
        <v>3478.4</v>
      </c>
      <c r="F992" s="12" t="n">
        <v>1989.3</v>
      </c>
      <c r="G992" s="12" t="n">
        <v>1489.1</v>
      </c>
      <c r="H992" s="13" t="n">
        <v>0.0247</v>
      </c>
      <c r="I992" s="13" t="n">
        <v>0.0141</v>
      </c>
    </row>
    <row r="993">
      <c r="A993" s="10" t="inlineStr">
        <is>
          <t>PJ-2022-F</t>
        </is>
      </c>
      <c r="B993" s="10" t="inlineStr">
        <is>
          <t>位置合わせ(MS指定)／単調補間</t>
        </is>
      </c>
      <c r="C993" s="10" t="inlineStr">
        <is>
          <t>2022-05</t>
        </is>
      </c>
      <c r="D993" s="10" t="n">
        <v>2</v>
      </c>
      <c r="E993" s="12" t="n">
        <v>4701.1</v>
      </c>
      <c r="F993" s="12" t="n">
        <v>3873.1</v>
      </c>
      <c r="G993" s="12" t="n">
        <v>828</v>
      </c>
      <c r="H993" s="13" t="n">
        <v>0.058</v>
      </c>
      <c r="I993" s="13" t="n">
        <v>0.0416</v>
      </c>
    </row>
    <row r="994">
      <c r="A994" s="10" t="inlineStr">
        <is>
          <t>PJ-2022-F</t>
        </is>
      </c>
      <c r="B994" s="10" t="inlineStr">
        <is>
          <t>位置合わせ(MS指定)／単調補間</t>
        </is>
      </c>
      <c r="C994" s="10" t="inlineStr">
        <is>
          <t>2022-06</t>
        </is>
      </c>
      <c r="D994" s="10" t="n">
        <v>3</v>
      </c>
      <c r="E994" s="12" t="n">
        <v>5204.8</v>
      </c>
      <c r="F994" s="12" t="n">
        <v>5042.1</v>
      </c>
      <c r="G994" s="12" t="n">
        <v>162.7</v>
      </c>
      <c r="H994" s="13" t="n">
        <v>0.0949</v>
      </c>
      <c r="I994" s="13" t="n">
        <v>0.07729999999999999</v>
      </c>
    </row>
    <row r="995">
      <c r="A995" s="10" t="inlineStr">
        <is>
          <t>PJ-2022-F</t>
        </is>
      </c>
      <c r="B995" s="10" t="inlineStr">
        <is>
          <t>位置合わせ(MS指定)／単調補間</t>
        </is>
      </c>
      <c r="C995" s="10" t="inlineStr">
        <is>
          <t>2022-07</t>
        </is>
      </c>
      <c r="D995" s="10" t="n">
        <v>4</v>
      </c>
      <c r="E995" s="12" t="n">
        <v>5789.6</v>
      </c>
      <c r="F995" s="12" t="n">
        <v>6282.6</v>
      </c>
      <c r="G995" s="12" t="n">
        <v>-493</v>
      </c>
      <c r="H995" s="13" t="n">
        <v>0.1359</v>
      </c>
      <c r="I995" s="13" t="n">
        <v>0.1218</v>
      </c>
    </row>
    <row r="996">
      <c r="A996" s="10" t="inlineStr">
        <is>
          <t>PJ-2022-F</t>
        </is>
      </c>
      <c r="B996" s="10" t="inlineStr">
        <is>
          <t>位置合わせ(MS指定)／単調補間</t>
        </is>
      </c>
      <c r="C996" s="10" t="inlineStr">
        <is>
          <t>2022-08</t>
        </is>
      </c>
      <c r="D996" s="10" t="n">
        <v>5</v>
      </c>
      <c r="E996" s="12" t="n">
        <v>6674.5</v>
      </c>
      <c r="F996" s="12" t="n">
        <v>7785.3</v>
      </c>
      <c r="G996" s="12" t="n">
        <v>-1110.8</v>
      </c>
      <c r="H996" s="13" t="n">
        <v>0.1832</v>
      </c>
      <c r="I996" s="13" t="n">
        <v>0.177</v>
      </c>
    </row>
    <row r="997">
      <c r="A997" s="10" t="inlineStr">
        <is>
          <t>PJ-2022-F</t>
        </is>
      </c>
      <c r="B997" s="10" t="inlineStr">
        <is>
          <t>位置合わせ(MS指定)／単調補間</t>
        </is>
      </c>
      <c r="C997" s="10" t="inlineStr">
        <is>
          <t>2022-09</t>
        </is>
      </c>
      <c r="D997" s="10" t="n">
        <v>6</v>
      </c>
      <c r="E997" s="12" t="n">
        <v>8084.4</v>
      </c>
      <c r="F997" s="12" t="n">
        <v>8593</v>
      </c>
      <c r="G997" s="12" t="n">
        <v>-508.6</v>
      </c>
      <c r="H997" s="13" t="n">
        <v>0.2405</v>
      </c>
      <c r="I997" s="13" t="n">
        <v>0.2379</v>
      </c>
    </row>
    <row r="998">
      <c r="A998" s="10" t="inlineStr">
        <is>
          <t>PJ-2022-F</t>
        </is>
      </c>
      <c r="B998" s="10" t="inlineStr">
        <is>
          <t>位置合わせ(MS指定)／単調補間</t>
        </is>
      </c>
      <c r="C998" s="10" t="inlineStr">
        <is>
          <t>2022-10</t>
        </is>
      </c>
      <c r="D998" s="10" t="n">
        <v>7</v>
      </c>
      <c r="E998" s="12" t="n">
        <v>9608.200000000001</v>
      </c>
      <c r="F998" s="12" t="n">
        <v>9513.5</v>
      </c>
      <c r="G998" s="12" t="n">
        <v>94.7</v>
      </c>
      <c r="H998" s="13" t="n">
        <v>0.3086</v>
      </c>
      <c r="I998" s="13" t="n">
        <v>0.3053</v>
      </c>
    </row>
    <row r="999">
      <c r="A999" s="10" t="inlineStr">
        <is>
          <t>PJ-2022-F</t>
        </is>
      </c>
      <c r="B999" s="10" t="inlineStr">
        <is>
          <t>位置合わせ(MS指定)／単調補間</t>
        </is>
      </c>
      <c r="C999" s="10" t="inlineStr">
        <is>
          <t>2022-11</t>
        </is>
      </c>
      <c r="D999" s="10" t="n">
        <v>8</v>
      </c>
      <c r="E999" s="12" t="n">
        <v>10308.1</v>
      </c>
      <c r="F999" s="12" t="n">
        <v>11622</v>
      </c>
      <c r="G999" s="12" t="n">
        <v>-1313.9</v>
      </c>
      <c r="H999" s="13" t="n">
        <v>0.3817</v>
      </c>
      <c r="I999" s="13" t="n">
        <v>0.3877</v>
      </c>
    </row>
    <row r="1000">
      <c r="A1000" s="10" t="inlineStr">
        <is>
          <t>PJ-2022-F</t>
        </is>
      </c>
      <c r="B1000" s="10" t="inlineStr">
        <is>
          <t>位置合わせ(MS指定)／単調補間</t>
        </is>
      </c>
      <c r="C1000" s="10" t="inlineStr">
        <is>
          <t>2022-12</t>
        </is>
      </c>
      <c r="D1000" s="10" t="n">
        <v>9</v>
      </c>
      <c r="E1000" s="12" t="n">
        <v>10105.7</v>
      </c>
      <c r="F1000" s="12" t="n">
        <v>11222.9</v>
      </c>
      <c r="G1000" s="12" t="n">
        <v>-1117.2</v>
      </c>
      <c r="H1000" s="13" t="n">
        <v>0.4533</v>
      </c>
      <c r="I1000" s="13" t="n">
        <v>0.4673</v>
      </c>
    </row>
    <row r="1001">
      <c r="A1001" s="10" t="inlineStr">
        <is>
          <t>PJ-2022-F</t>
        </is>
      </c>
      <c r="B1001" s="10" t="inlineStr">
        <is>
          <t>位置合わせ(MS指定)／単調補間</t>
        </is>
      </c>
      <c r="C1001" s="10" t="inlineStr">
        <is>
          <t>2023-01</t>
        </is>
      </c>
      <c r="D1001" s="10" t="n">
        <v>10</v>
      </c>
      <c r="E1001" s="12" t="n">
        <v>8361.700000000001</v>
      </c>
      <c r="F1001" s="12" t="n">
        <v>9600.700000000001</v>
      </c>
      <c r="G1001" s="12" t="n">
        <v>-1239</v>
      </c>
      <c r="H1001" s="13" t="n">
        <v>0.5125999999999999</v>
      </c>
      <c r="I1001" s="13" t="n">
        <v>0.5353</v>
      </c>
    </row>
    <row r="1002">
      <c r="A1002" s="10" t="inlineStr">
        <is>
          <t>PJ-2022-F</t>
        </is>
      </c>
      <c r="B1002" s="10" t="inlineStr">
        <is>
          <t>位置合わせ(MS指定)／単調補間</t>
        </is>
      </c>
      <c r="C1002" s="10" t="inlineStr">
        <is>
          <t>2023-02</t>
        </is>
      </c>
      <c r="D1002" s="10" t="n">
        <v>11</v>
      </c>
      <c r="E1002" s="12" t="n">
        <v>7702.2</v>
      </c>
      <c r="F1002" s="12" t="n">
        <v>7097.2</v>
      </c>
      <c r="G1002" s="12" t="n">
        <v>605</v>
      </c>
      <c r="H1002" s="13" t="n">
        <v>0.5672</v>
      </c>
      <c r="I1002" s="13" t="n">
        <v>0.5856</v>
      </c>
    </row>
    <row r="1003">
      <c r="A1003" s="10" t="inlineStr">
        <is>
          <t>PJ-2022-F</t>
        </is>
      </c>
      <c r="B1003" s="10" t="inlineStr">
        <is>
          <t>位置合わせ(MS指定)／単調補間</t>
        </is>
      </c>
      <c r="C1003" s="10" t="inlineStr">
        <is>
          <t>2023-03</t>
        </is>
      </c>
      <c r="D1003" s="10" t="n">
        <v>12</v>
      </c>
      <c r="E1003" s="12" t="n">
        <v>8428.799999999999</v>
      </c>
      <c r="F1003" s="12" t="n">
        <v>8011</v>
      </c>
      <c r="G1003" s="12" t="n">
        <v>417.8</v>
      </c>
      <c r="H1003" s="13" t="n">
        <v>0.6269</v>
      </c>
      <c r="I1003" s="13" t="n">
        <v>0.6424</v>
      </c>
    </row>
    <row r="1004">
      <c r="A1004" s="10" t="inlineStr">
        <is>
          <t>PJ-2022-F</t>
        </is>
      </c>
      <c r="B1004" s="10" t="inlineStr">
        <is>
          <t>位置合わせ(MS指定)／単調補間</t>
        </is>
      </c>
      <c r="C1004" s="10" t="inlineStr">
        <is>
          <t>2023-04</t>
        </is>
      </c>
      <c r="D1004" s="10" t="n">
        <v>13</v>
      </c>
      <c r="E1004" s="12" t="n">
        <v>8385.5</v>
      </c>
      <c r="F1004" s="12" t="n">
        <v>7572.9</v>
      </c>
      <c r="G1004" s="12" t="n">
        <v>812.6</v>
      </c>
      <c r="H1004" s="13" t="n">
        <v>0.6864</v>
      </c>
      <c r="I1004" s="13" t="n">
        <v>0.6961000000000001</v>
      </c>
    </row>
    <row r="1005">
      <c r="A1005" s="10" t="inlineStr">
        <is>
          <t>PJ-2022-F</t>
        </is>
      </c>
      <c r="B1005" s="10" t="inlineStr">
        <is>
          <t>位置合わせ(MS指定)／単調補間</t>
        </is>
      </c>
      <c r="C1005" s="10" t="inlineStr">
        <is>
          <t>2023-05</t>
        </is>
      </c>
      <c r="D1005" s="10" t="n">
        <v>14</v>
      </c>
      <c r="E1005" s="12" t="n">
        <v>8415</v>
      </c>
      <c r="F1005" s="12" t="n">
        <v>10002.8</v>
      </c>
      <c r="G1005" s="12" t="n">
        <v>-1587.8</v>
      </c>
      <c r="H1005" s="13" t="n">
        <v>0.746</v>
      </c>
      <c r="I1005" s="13" t="n">
        <v>0.767</v>
      </c>
    </row>
    <row r="1006">
      <c r="A1006" s="10" t="inlineStr">
        <is>
          <t>PJ-2022-F</t>
        </is>
      </c>
      <c r="B1006" s="10" t="inlineStr">
        <is>
          <t>位置合わせ(MS指定)／単調補間</t>
        </is>
      </c>
      <c r="C1006" s="10" t="inlineStr">
        <is>
          <t>2023-06</t>
        </is>
      </c>
      <c r="D1006" s="10" t="n">
        <v>15</v>
      </c>
      <c r="E1006" s="12" t="n">
        <v>11627.9</v>
      </c>
      <c r="F1006" s="12" t="n">
        <v>14960.5</v>
      </c>
      <c r="G1006" s="12" t="n">
        <v>-3332.6</v>
      </c>
      <c r="H1006" s="13" t="n">
        <v>0.8284</v>
      </c>
      <c r="I1006" s="13" t="n">
        <v>0.873</v>
      </c>
    </row>
    <row r="1007">
      <c r="A1007" s="10" t="inlineStr">
        <is>
          <t>PJ-2022-F</t>
        </is>
      </c>
      <c r="B1007" s="10" t="inlineStr">
        <is>
          <t>位置合わせ(MS指定)／単調補間</t>
        </is>
      </c>
      <c r="C1007" s="10" t="inlineStr">
        <is>
          <t>2023-07</t>
        </is>
      </c>
      <c r="D1007" s="10" t="n">
        <v>16</v>
      </c>
      <c r="E1007" s="12" t="n">
        <v>13107.1</v>
      </c>
      <c r="F1007" s="12" t="n">
        <v>11519.7</v>
      </c>
      <c r="G1007" s="12" t="n">
        <v>1587.4</v>
      </c>
      <c r="H1007" s="13" t="n">
        <v>0.9213</v>
      </c>
      <c r="I1007" s="13" t="n">
        <v>0.9547</v>
      </c>
    </row>
    <row r="1008">
      <c r="A1008" s="10" t="inlineStr">
        <is>
          <t>PJ-2022-F</t>
        </is>
      </c>
      <c r="B1008" s="10" t="inlineStr">
        <is>
          <t>位置合わせ(MS指定)／単調補間</t>
        </is>
      </c>
      <c r="C1008" s="10" t="inlineStr">
        <is>
          <t>2023-08</t>
        </is>
      </c>
      <c r="D1008" s="10" t="n">
        <v>17</v>
      </c>
      <c r="E1008" s="12" t="n">
        <v>7902</v>
      </c>
      <c r="F1008" s="12" t="n">
        <v>5165</v>
      </c>
      <c r="G1008" s="12" t="n">
        <v>2737</v>
      </c>
      <c r="H1008" s="13" t="n">
        <v>0.9772999999999999</v>
      </c>
      <c r="I1008" s="13" t="n">
        <v>0.9913</v>
      </c>
    </row>
    <row r="1009">
      <c r="A1009" s="10" t="inlineStr">
        <is>
          <t>PJ-2022-F</t>
        </is>
      </c>
      <c r="B1009" s="10" t="inlineStr">
        <is>
          <t>位置合わせ(MS指定)／単調補間</t>
        </is>
      </c>
      <c r="C1009" s="10" t="inlineStr">
        <is>
          <t>2023-09</t>
        </is>
      </c>
      <c r="D1009" s="10" t="n">
        <v>18</v>
      </c>
      <c r="E1009" s="12" t="n">
        <v>3197.1</v>
      </c>
      <c r="F1009" s="12" t="n">
        <v>1228.6</v>
      </c>
      <c r="G1009" s="12" t="n">
        <v>1968.5</v>
      </c>
      <c r="H1009" s="13" t="n">
        <v>1</v>
      </c>
      <c r="I1009" s="13" t="n">
        <v>1</v>
      </c>
    </row>
    <row r="1010">
      <c r="A1010" s="10" t="inlineStr">
        <is>
          <t>PJ-2022-G</t>
        </is>
      </c>
      <c r="B1010" s="10" t="inlineStr">
        <is>
          <t>素朴版／月内均等</t>
        </is>
      </c>
      <c r="C1010" s="10" t="inlineStr">
        <is>
          <t>2022-02</t>
        </is>
      </c>
      <c r="D1010" s="10" t="n">
        <v>1</v>
      </c>
      <c r="E1010" s="12" t="n">
        <v>3014.1</v>
      </c>
      <c r="F1010" s="12" t="n">
        <v>9203.5</v>
      </c>
      <c r="G1010" s="12" t="n">
        <v>-6189.4</v>
      </c>
      <c r="H1010" s="13" t="n">
        <v>0.0129</v>
      </c>
      <c r="I1010" s="13" t="n">
        <v>0.0394</v>
      </c>
    </row>
    <row r="1011">
      <c r="A1011" s="10" t="inlineStr">
        <is>
          <t>PJ-2022-G</t>
        </is>
      </c>
      <c r="B1011" s="10" t="inlineStr">
        <is>
          <t>素朴版／月内均等</t>
        </is>
      </c>
      <c r="C1011" s="10" t="inlineStr">
        <is>
          <t>2022-03</t>
        </is>
      </c>
      <c r="D1011" s="10" t="n">
        <v>2</v>
      </c>
      <c r="E1011" s="12" t="n">
        <v>4401.8</v>
      </c>
      <c r="F1011" s="12" t="n">
        <v>11045.5</v>
      </c>
      <c r="G1011" s="12" t="n">
        <v>-6643.7</v>
      </c>
      <c r="H1011" s="13" t="n">
        <v>0.0317</v>
      </c>
      <c r="I1011" s="13" t="n">
        <v>0.0866</v>
      </c>
    </row>
    <row r="1012">
      <c r="A1012" s="10" t="inlineStr">
        <is>
          <t>PJ-2022-G</t>
        </is>
      </c>
      <c r="B1012" s="10" t="inlineStr">
        <is>
          <t>素朴版／月内均等</t>
        </is>
      </c>
      <c r="C1012" s="10" t="inlineStr">
        <is>
          <t>2022-04</t>
        </is>
      </c>
      <c r="D1012" s="10" t="n">
        <v>3</v>
      </c>
      <c r="E1012" s="12" t="n">
        <v>4997</v>
      </c>
      <c r="F1012" s="12" t="n">
        <v>10444.9</v>
      </c>
      <c r="G1012" s="12" t="n">
        <v>-5447.9</v>
      </c>
      <c r="H1012" s="13" t="n">
        <v>0.0531</v>
      </c>
      <c r="I1012" s="13" t="n">
        <v>0.1313</v>
      </c>
    </row>
    <row r="1013">
      <c r="A1013" s="10" t="inlineStr">
        <is>
          <t>PJ-2022-G</t>
        </is>
      </c>
      <c r="B1013" s="10" t="inlineStr">
        <is>
          <t>素朴版／月内均等</t>
        </is>
      </c>
      <c r="C1013" s="10" t="inlineStr">
        <is>
          <t>2022-05</t>
        </is>
      </c>
      <c r="D1013" s="10" t="n">
        <v>4</v>
      </c>
      <c r="E1013" s="12" t="n">
        <v>5877.2</v>
      </c>
      <c r="F1013" s="12" t="n">
        <v>11771</v>
      </c>
      <c r="G1013" s="12" t="n">
        <v>-5893.8</v>
      </c>
      <c r="H1013" s="13" t="n">
        <v>0.07820000000000001</v>
      </c>
      <c r="I1013" s="13" t="n">
        <v>0.1817</v>
      </c>
    </row>
    <row r="1014">
      <c r="A1014" s="10" t="inlineStr">
        <is>
          <t>PJ-2022-G</t>
        </is>
      </c>
      <c r="B1014" s="10" t="inlineStr">
        <is>
          <t>素朴版／月内均等</t>
        </is>
      </c>
      <c r="C1014" s="10" t="inlineStr">
        <is>
          <t>2022-06</t>
        </is>
      </c>
      <c r="D1014" s="10" t="n">
        <v>5</v>
      </c>
      <c r="E1014" s="12" t="n">
        <v>6054.7</v>
      </c>
      <c r="F1014" s="12" t="n">
        <v>10986.1</v>
      </c>
      <c r="G1014" s="12" t="n">
        <v>-4931.4</v>
      </c>
      <c r="H1014" s="13" t="n">
        <v>0.1041</v>
      </c>
      <c r="I1014" s="13" t="n">
        <v>0.2287</v>
      </c>
    </row>
    <row r="1015">
      <c r="A1015" s="10" t="inlineStr">
        <is>
          <t>PJ-2022-G</t>
        </is>
      </c>
      <c r="B1015" s="10" t="inlineStr">
        <is>
          <t>素朴版／月内均等</t>
        </is>
      </c>
      <c r="C1015" s="10" t="inlineStr">
        <is>
          <t>2022-07</t>
        </is>
      </c>
      <c r="D1015" s="10" t="n">
        <v>6</v>
      </c>
      <c r="E1015" s="12" t="n">
        <v>6836.9</v>
      </c>
      <c r="F1015" s="12" t="n">
        <v>12683.3</v>
      </c>
      <c r="G1015" s="12" t="n">
        <v>-5846.4</v>
      </c>
      <c r="H1015" s="13" t="n">
        <v>0.1334</v>
      </c>
      <c r="I1015" s="13" t="n">
        <v>0.2829</v>
      </c>
    </row>
    <row r="1016">
      <c r="A1016" s="10" t="inlineStr">
        <is>
          <t>PJ-2022-G</t>
        </is>
      </c>
      <c r="B1016" s="10" t="inlineStr">
        <is>
          <t>素朴版／月内均等</t>
        </is>
      </c>
      <c r="C1016" s="10" t="inlineStr">
        <is>
          <t>2022-08</t>
        </is>
      </c>
      <c r="D1016" s="10" t="n">
        <v>7</v>
      </c>
      <c r="E1016" s="12" t="n">
        <v>8110.7</v>
      </c>
      <c r="F1016" s="12" t="n">
        <v>14085.9</v>
      </c>
      <c r="G1016" s="12" t="n">
        <v>-5975.2</v>
      </c>
      <c r="H1016" s="13" t="n">
        <v>0.1681</v>
      </c>
      <c r="I1016" s="13" t="n">
        <v>0.3432</v>
      </c>
    </row>
    <row r="1017">
      <c r="A1017" s="10" t="inlineStr">
        <is>
          <t>PJ-2022-G</t>
        </is>
      </c>
      <c r="B1017" s="10" t="inlineStr">
        <is>
          <t>素朴版／月内均等</t>
        </is>
      </c>
      <c r="C1017" s="10" t="inlineStr">
        <is>
          <t>2022-09</t>
        </is>
      </c>
      <c r="D1017" s="10" t="n">
        <v>8</v>
      </c>
      <c r="E1017" s="12" t="n">
        <v>9285.200000000001</v>
      </c>
      <c r="F1017" s="12" t="n">
        <v>16396.3</v>
      </c>
      <c r="G1017" s="12" t="n">
        <v>-7111.1</v>
      </c>
      <c r="H1017" s="13" t="n">
        <v>0.2078</v>
      </c>
      <c r="I1017" s="13" t="n">
        <v>0.4133</v>
      </c>
    </row>
    <row r="1018">
      <c r="A1018" s="10" t="inlineStr">
        <is>
          <t>PJ-2022-G</t>
        </is>
      </c>
      <c r="B1018" s="10" t="inlineStr">
        <is>
          <t>素朴版／月内均等</t>
        </is>
      </c>
      <c r="C1018" s="10" t="inlineStr">
        <is>
          <t>2022-10</t>
        </is>
      </c>
      <c r="D1018" s="10" t="n">
        <v>9</v>
      </c>
      <c r="E1018" s="12" t="n">
        <v>10869.7</v>
      </c>
      <c r="F1018" s="12" t="n">
        <v>16496.9</v>
      </c>
      <c r="G1018" s="12" t="n">
        <v>-5627.2</v>
      </c>
      <c r="H1018" s="13" t="n">
        <v>0.2543</v>
      </c>
      <c r="I1018" s="13" t="n">
        <v>0.4839</v>
      </c>
    </row>
    <row r="1019">
      <c r="A1019" s="10" t="inlineStr">
        <is>
          <t>PJ-2022-G</t>
        </is>
      </c>
      <c r="B1019" s="10" t="inlineStr">
        <is>
          <t>素朴版／月内均等</t>
        </is>
      </c>
      <c r="C1019" s="10" t="inlineStr">
        <is>
          <t>2022-11</t>
        </is>
      </c>
      <c r="D1019" s="10" t="n">
        <v>10</v>
      </c>
      <c r="E1019" s="12" t="n">
        <v>11984.7</v>
      </c>
      <c r="F1019" s="12" t="n">
        <v>15571.5</v>
      </c>
      <c r="G1019" s="12" t="n">
        <v>-3586.8</v>
      </c>
      <c r="H1019" s="13" t="n">
        <v>0.3056</v>
      </c>
      <c r="I1019" s="13" t="n">
        <v>0.5505</v>
      </c>
    </row>
    <row r="1020">
      <c r="A1020" s="10" t="inlineStr">
        <is>
          <t>PJ-2022-G</t>
        </is>
      </c>
      <c r="B1020" s="10" t="inlineStr">
        <is>
          <t>素朴版／月内均等</t>
        </is>
      </c>
      <c r="C1020" s="10" t="inlineStr">
        <is>
          <t>2022-12</t>
        </is>
      </c>
      <c r="D1020" s="10" t="n">
        <v>11</v>
      </c>
      <c r="E1020" s="12" t="n">
        <v>11963.7</v>
      </c>
      <c r="F1020" s="12" t="n">
        <v>12580.5</v>
      </c>
      <c r="G1020" s="12" t="n">
        <v>-616.8</v>
      </c>
      <c r="H1020" s="13" t="n">
        <v>0.3568</v>
      </c>
      <c r="I1020" s="13" t="n">
        <v>0.6042999999999999</v>
      </c>
    </row>
    <row r="1021">
      <c r="A1021" s="10" t="inlineStr">
        <is>
          <t>PJ-2022-G</t>
        </is>
      </c>
      <c r="B1021" s="10" t="inlineStr">
        <is>
          <t>素朴版／月内均等</t>
        </is>
      </c>
      <c r="C1021" s="10" t="inlineStr">
        <is>
          <t>2023-01</t>
        </is>
      </c>
      <c r="D1021" s="10" t="n">
        <v>12</v>
      </c>
      <c r="E1021" s="12" t="n">
        <v>11734</v>
      </c>
      <c r="F1021" s="12" t="n">
        <v>10581</v>
      </c>
      <c r="G1021" s="12" t="n">
        <v>1153</v>
      </c>
      <c r="H1021" s="13" t="n">
        <v>0.407</v>
      </c>
      <c r="I1021" s="13" t="n">
        <v>0.6496</v>
      </c>
    </row>
    <row r="1022">
      <c r="A1022" s="10" t="inlineStr">
        <is>
          <t>PJ-2022-G</t>
        </is>
      </c>
      <c r="B1022" s="10" t="inlineStr">
        <is>
          <t>素朴版／月内均等</t>
        </is>
      </c>
      <c r="C1022" s="10" t="inlineStr">
        <is>
          <t>2023-02</t>
        </is>
      </c>
      <c r="D1022" s="10" t="n">
        <v>13</v>
      </c>
      <c r="E1022" s="12" t="n">
        <v>12352.9</v>
      </c>
      <c r="F1022" s="12" t="n">
        <v>9159.700000000001</v>
      </c>
      <c r="G1022" s="12" t="n">
        <v>3193.2</v>
      </c>
      <c r="H1022" s="13" t="n">
        <v>0.4598</v>
      </c>
      <c r="I1022" s="13" t="n">
        <v>0.6888</v>
      </c>
    </row>
    <row r="1023">
      <c r="A1023" s="10" t="inlineStr">
        <is>
          <t>PJ-2022-G</t>
        </is>
      </c>
      <c r="B1023" s="10" t="inlineStr">
        <is>
          <t>素朴版／月内均等</t>
        </is>
      </c>
      <c r="C1023" s="10" t="inlineStr">
        <is>
          <t>2023-03</t>
        </is>
      </c>
      <c r="D1023" s="10" t="n">
        <v>14</v>
      </c>
      <c r="E1023" s="12" t="n">
        <v>14149.2</v>
      </c>
      <c r="F1023" s="12" t="n">
        <v>10036.4</v>
      </c>
      <c r="G1023" s="12" t="n">
        <v>4112.8</v>
      </c>
      <c r="H1023" s="13" t="n">
        <v>0.5203</v>
      </c>
      <c r="I1023" s="13" t="n">
        <v>0.7317</v>
      </c>
    </row>
    <row r="1024">
      <c r="A1024" s="10" t="inlineStr">
        <is>
          <t>PJ-2022-G</t>
        </is>
      </c>
      <c r="B1024" s="10" t="inlineStr">
        <is>
          <t>素朴版／月内均等</t>
        </is>
      </c>
      <c r="C1024" s="10" t="inlineStr">
        <is>
          <t>2023-04</t>
        </is>
      </c>
      <c r="D1024" s="10" t="n">
        <v>15</v>
      </c>
      <c r="E1024" s="12" t="n">
        <v>14825.6</v>
      </c>
      <c r="F1024" s="12" t="n">
        <v>11511.6</v>
      </c>
      <c r="G1024" s="12" t="n">
        <v>3314</v>
      </c>
      <c r="H1024" s="13" t="n">
        <v>0.5838</v>
      </c>
      <c r="I1024" s="13" t="n">
        <v>0.7809</v>
      </c>
    </row>
    <row r="1025">
      <c r="A1025" s="10" t="inlineStr">
        <is>
          <t>PJ-2022-G</t>
        </is>
      </c>
      <c r="B1025" s="10" t="inlineStr">
        <is>
          <t>素朴版／月内均等</t>
        </is>
      </c>
      <c r="C1025" s="10" t="inlineStr">
        <is>
          <t>2023-05</t>
        </is>
      </c>
      <c r="D1025" s="10" t="n">
        <v>16</v>
      </c>
      <c r="E1025" s="12" t="n">
        <v>15260.9</v>
      </c>
      <c r="F1025" s="12" t="n">
        <v>12070.3</v>
      </c>
      <c r="G1025" s="12" t="n">
        <v>3190.6</v>
      </c>
      <c r="H1025" s="13" t="n">
        <v>0.649</v>
      </c>
      <c r="I1025" s="13" t="n">
        <v>0.8326</v>
      </c>
    </row>
    <row r="1026">
      <c r="A1026" s="10" t="inlineStr">
        <is>
          <t>PJ-2022-G</t>
        </is>
      </c>
      <c r="B1026" s="10" t="inlineStr">
        <is>
          <t>素朴版／月内均等</t>
        </is>
      </c>
      <c r="C1026" s="10" t="inlineStr">
        <is>
          <t>2023-06</t>
        </is>
      </c>
      <c r="D1026" s="10" t="n">
        <v>17</v>
      </c>
      <c r="E1026" s="12" t="n">
        <v>13539.2</v>
      </c>
      <c r="F1026" s="12" t="n">
        <v>10093.2</v>
      </c>
      <c r="G1026" s="12" t="n">
        <v>3446</v>
      </c>
      <c r="H1026" s="13" t="n">
        <v>0.707</v>
      </c>
      <c r="I1026" s="13" t="n">
        <v>0.8758</v>
      </c>
    </row>
    <row r="1027">
      <c r="A1027" s="10" t="inlineStr">
        <is>
          <t>PJ-2022-G</t>
        </is>
      </c>
      <c r="B1027" s="10" t="inlineStr">
        <is>
          <t>素朴版／月内均等</t>
        </is>
      </c>
      <c r="C1027" s="10" t="inlineStr">
        <is>
          <t>2023-07</t>
        </is>
      </c>
      <c r="D1027" s="10" t="n">
        <v>18</v>
      </c>
      <c r="E1027" s="12" t="n">
        <v>13278.6</v>
      </c>
      <c r="F1027" s="12" t="n">
        <v>8162.9</v>
      </c>
      <c r="G1027" s="12" t="n">
        <v>5115.7</v>
      </c>
      <c r="H1027" s="13" t="n">
        <v>0.7638</v>
      </c>
      <c r="I1027" s="13" t="n">
        <v>0.9107</v>
      </c>
    </row>
    <row r="1028">
      <c r="A1028" s="10" t="inlineStr">
        <is>
          <t>PJ-2022-G</t>
        </is>
      </c>
      <c r="B1028" s="10" t="inlineStr">
        <is>
          <t>素朴版／月内均等</t>
        </is>
      </c>
      <c r="C1028" s="10" t="inlineStr">
        <is>
          <t>2023-08</t>
        </is>
      </c>
      <c r="D1028" s="10" t="n">
        <v>19</v>
      </c>
      <c r="E1028" s="12" t="n">
        <v>13674.1</v>
      </c>
      <c r="F1028" s="12" t="n">
        <v>5336.7</v>
      </c>
      <c r="G1028" s="12" t="n">
        <v>8337.4</v>
      </c>
      <c r="H1028" s="13" t="n">
        <v>0.8223</v>
      </c>
      <c r="I1028" s="13" t="n">
        <v>0.9335</v>
      </c>
    </row>
    <row r="1029">
      <c r="A1029" s="10" t="inlineStr">
        <is>
          <t>PJ-2022-G</t>
        </is>
      </c>
      <c r="B1029" s="10" t="inlineStr">
        <is>
          <t>素朴版／月内均等</t>
        </is>
      </c>
      <c r="C1029" s="10" t="inlineStr">
        <is>
          <t>2023-09</t>
        </is>
      </c>
      <c r="D1029" s="10" t="n">
        <v>20</v>
      </c>
      <c r="E1029" s="12" t="n">
        <v>12770</v>
      </c>
      <c r="F1029" s="12" t="n">
        <v>4269.9</v>
      </c>
      <c r="G1029" s="12" t="n">
        <v>8500.1</v>
      </c>
      <c r="H1029" s="13" t="n">
        <v>0.8769</v>
      </c>
      <c r="I1029" s="13" t="n">
        <v>0.9518</v>
      </c>
    </row>
    <row r="1030">
      <c r="A1030" s="10" t="inlineStr">
        <is>
          <t>PJ-2022-G</t>
        </is>
      </c>
      <c r="B1030" s="10" t="inlineStr">
        <is>
          <t>素朴版／月内均等</t>
        </is>
      </c>
      <c r="C1030" s="10" t="inlineStr">
        <is>
          <t>2023-10</t>
        </is>
      </c>
      <c r="D1030" s="10" t="n">
        <v>21</v>
      </c>
      <c r="E1030" s="12" t="n">
        <v>10612</v>
      </c>
      <c r="F1030" s="12" t="n">
        <v>4101.6</v>
      </c>
      <c r="G1030" s="12" t="n">
        <v>6510.4</v>
      </c>
      <c r="H1030" s="13" t="n">
        <v>0.9223</v>
      </c>
      <c r="I1030" s="13" t="n">
        <v>0.9693000000000001</v>
      </c>
    </row>
    <row r="1031">
      <c r="A1031" s="10" t="inlineStr">
        <is>
          <t>PJ-2022-G</t>
        </is>
      </c>
      <c r="B1031" s="10" t="inlineStr">
        <is>
          <t>素朴版／月内均等</t>
        </is>
      </c>
      <c r="C1031" s="10" t="inlineStr">
        <is>
          <t>2023-11</t>
        </is>
      </c>
      <c r="D1031" s="10" t="n">
        <v>22</v>
      </c>
      <c r="E1031" s="12" t="n">
        <v>7932.2</v>
      </c>
      <c r="F1031" s="12" t="n">
        <v>3281.7</v>
      </c>
      <c r="G1031" s="12" t="n">
        <v>4650.5</v>
      </c>
      <c r="H1031" s="13" t="n">
        <v>0.9562</v>
      </c>
      <c r="I1031" s="13" t="n">
        <v>0.9834000000000001</v>
      </c>
    </row>
    <row r="1032">
      <c r="A1032" s="10" t="inlineStr">
        <is>
          <t>PJ-2022-G</t>
        </is>
      </c>
      <c r="B1032" s="10" t="inlineStr">
        <is>
          <t>素朴版／月内均等</t>
        </is>
      </c>
      <c r="C1032" s="10" t="inlineStr">
        <is>
          <t>2023-12</t>
        </is>
      </c>
      <c r="D1032" s="10" t="n">
        <v>23</v>
      </c>
      <c r="E1032" s="12" t="n">
        <v>6487.3</v>
      </c>
      <c r="F1032" s="12" t="n">
        <v>2964.5</v>
      </c>
      <c r="G1032" s="12" t="n">
        <v>3522.8</v>
      </c>
      <c r="H1032" s="13" t="n">
        <v>0.984</v>
      </c>
      <c r="I1032" s="13" t="n">
        <v>0.996</v>
      </c>
    </row>
    <row r="1033">
      <c r="A1033" s="10" t="inlineStr">
        <is>
          <t>PJ-2022-G</t>
        </is>
      </c>
      <c r="B1033" s="10" t="inlineStr">
        <is>
          <t>素朴版／月内均等</t>
        </is>
      </c>
      <c r="C1033" s="10" t="inlineStr">
        <is>
          <t>2024-01</t>
        </is>
      </c>
      <c r="D1033" s="10" t="n">
        <v>24</v>
      </c>
      <c r="E1033" s="12" t="n">
        <v>3748.2</v>
      </c>
      <c r="F1033" s="12" t="n">
        <v>925</v>
      </c>
      <c r="G1033" s="12" t="n">
        <v>2823.2</v>
      </c>
      <c r="H1033" s="13" t="n">
        <v>1</v>
      </c>
      <c r="I1033" s="13" t="n">
        <v>1</v>
      </c>
    </row>
    <row r="1034">
      <c r="A1034" s="10" t="inlineStr">
        <is>
          <t>PJ-2022-G</t>
        </is>
      </c>
      <c r="B1034" s="10" t="inlineStr">
        <is>
          <t>位置合わせ(MS学習値)／月内均等</t>
        </is>
      </c>
      <c r="C1034" s="10" t="inlineStr">
        <is>
          <t>2022-02</t>
        </is>
      </c>
      <c r="D1034" s="10" t="n">
        <v>1</v>
      </c>
      <c r="E1034" s="12" t="n">
        <v>3023.3</v>
      </c>
      <c r="F1034" s="12" t="n">
        <v>9203.5</v>
      </c>
      <c r="G1034" s="12" t="n">
        <v>-6180.2</v>
      </c>
      <c r="H1034" s="13" t="n">
        <v>0.0129</v>
      </c>
      <c r="I1034" s="13" t="n">
        <v>0.0394</v>
      </c>
    </row>
    <row r="1035">
      <c r="A1035" s="10" t="inlineStr">
        <is>
          <t>PJ-2022-G</t>
        </is>
      </c>
      <c r="B1035" s="10" t="inlineStr">
        <is>
          <t>位置合わせ(MS学習値)／月内均等</t>
        </is>
      </c>
      <c r="C1035" s="10" t="inlineStr">
        <is>
          <t>2022-03</t>
        </is>
      </c>
      <c r="D1035" s="10" t="n">
        <v>2</v>
      </c>
      <c r="E1035" s="12" t="n">
        <v>4358</v>
      </c>
      <c r="F1035" s="12" t="n">
        <v>11045.5</v>
      </c>
      <c r="G1035" s="12" t="n">
        <v>-6687.5</v>
      </c>
      <c r="H1035" s="13" t="n">
        <v>0.0316</v>
      </c>
      <c r="I1035" s="13" t="n">
        <v>0.0866</v>
      </c>
    </row>
    <row r="1036">
      <c r="A1036" s="10" t="inlineStr">
        <is>
          <t>PJ-2022-G</t>
        </is>
      </c>
      <c r="B1036" s="10" t="inlineStr">
        <is>
          <t>位置合わせ(MS学習値)／月内均等</t>
        </is>
      </c>
      <c r="C1036" s="10" t="inlineStr">
        <is>
          <t>2022-04</t>
        </is>
      </c>
      <c r="D1036" s="10" t="n">
        <v>3</v>
      </c>
      <c r="E1036" s="12" t="n">
        <v>4872.5</v>
      </c>
      <c r="F1036" s="12" t="n">
        <v>10444.9</v>
      </c>
      <c r="G1036" s="12" t="n">
        <v>-5572.4</v>
      </c>
      <c r="H1036" s="13" t="n">
        <v>0.0524</v>
      </c>
      <c r="I1036" s="13" t="n">
        <v>0.1313</v>
      </c>
    </row>
    <row r="1037">
      <c r="A1037" s="10" t="inlineStr">
        <is>
          <t>PJ-2022-G</t>
        </is>
      </c>
      <c r="B1037" s="10" t="inlineStr">
        <is>
          <t>位置合わせ(MS学習値)／月内均等</t>
        </is>
      </c>
      <c r="C1037" s="10" t="inlineStr">
        <is>
          <t>2022-05</t>
        </is>
      </c>
      <c r="D1037" s="10" t="n">
        <v>4</v>
      </c>
      <c r="E1037" s="12" t="n">
        <v>5810.8</v>
      </c>
      <c r="F1037" s="12" t="n">
        <v>11771</v>
      </c>
      <c r="G1037" s="12" t="n">
        <v>-5960.2</v>
      </c>
      <c r="H1037" s="13" t="n">
        <v>0.07729999999999999</v>
      </c>
      <c r="I1037" s="13" t="n">
        <v>0.1817</v>
      </c>
    </row>
    <row r="1038">
      <c r="A1038" s="10" t="inlineStr">
        <is>
          <t>PJ-2022-G</t>
        </is>
      </c>
      <c r="B1038" s="10" t="inlineStr">
        <is>
          <t>位置合わせ(MS学習値)／月内均等</t>
        </is>
      </c>
      <c r="C1038" s="10" t="inlineStr">
        <is>
          <t>2022-06</t>
        </is>
      </c>
      <c r="D1038" s="10" t="n">
        <v>5</v>
      </c>
      <c r="E1038" s="12" t="n">
        <v>5987.7</v>
      </c>
      <c r="F1038" s="12" t="n">
        <v>10986.1</v>
      </c>
      <c r="G1038" s="12" t="n">
        <v>-4998.4</v>
      </c>
      <c r="H1038" s="13" t="n">
        <v>0.1029</v>
      </c>
      <c r="I1038" s="13" t="n">
        <v>0.2287</v>
      </c>
    </row>
    <row r="1039">
      <c r="A1039" s="10" t="inlineStr">
        <is>
          <t>PJ-2022-G</t>
        </is>
      </c>
      <c r="B1039" s="10" t="inlineStr">
        <is>
          <t>位置合わせ(MS学習値)／月内均等</t>
        </is>
      </c>
      <c r="C1039" s="10" t="inlineStr">
        <is>
          <t>2022-07</t>
        </is>
      </c>
      <c r="D1039" s="10" t="n">
        <v>6</v>
      </c>
      <c r="E1039" s="12" t="n">
        <v>6701.5</v>
      </c>
      <c r="F1039" s="12" t="n">
        <v>12683.3</v>
      </c>
      <c r="G1039" s="12" t="n">
        <v>-5981.8</v>
      </c>
      <c r="H1039" s="13" t="n">
        <v>0.1316</v>
      </c>
      <c r="I1039" s="13" t="n">
        <v>0.2829</v>
      </c>
    </row>
    <row r="1040">
      <c r="A1040" s="10" t="inlineStr">
        <is>
          <t>PJ-2022-G</t>
        </is>
      </c>
      <c r="B1040" s="10" t="inlineStr">
        <is>
          <t>位置合わせ(MS学習値)／月内均等</t>
        </is>
      </c>
      <c r="C1040" s="10" t="inlineStr">
        <is>
          <t>2022-08</t>
        </is>
      </c>
      <c r="D1040" s="10" t="n">
        <v>7</v>
      </c>
      <c r="E1040" s="12" t="n">
        <v>7456.7</v>
      </c>
      <c r="F1040" s="12" t="n">
        <v>14085.9</v>
      </c>
      <c r="G1040" s="12" t="n">
        <v>-6629.2</v>
      </c>
      <c r="H1040" s="13" t="n">
        <v>0.1635</v>
      </c>
      <c r="I1040" s="13" t="n">
        <v>0.3432</v>
      </c>
    </row>
    <row r="1041">
      <c r="A1041" s="10" t="inlineStr">
        <is>
          <t>PJ-2022-G</t>
        </is>
      </c>
      <c r="B1041" s="10" t="inlineStr">
        <is>
          <t>位置合わせ(MS学習値)／月内均等</t>
        </is>
      </c>
      <c r="C1041" s="10" t="inlineStr">
        <is>
          <t>2022-09</t>
        </is>
      </c>
      <c r="D1041" s="10" t="n">
        <v>8</v>
      </c>
      <c r="E1041" s="12" t="n">
        <v>8536.700000000001</v>
      </c>
      <c r="F1041" s="12" t="n">
        <v>16396.3</v>
      </c>
      <c r="G1041" s="12" t="n">
        <v>-7859.6</v>
      </c>
      <c r="H1041" s="13" t="n">
        <v>0.2</v>
      </c>
      <c r="I1041" s="13" t="n">
        <v>0.4133</v>
      </c>
    </row>
    <row r="1042">
      <c r="A1042" s="10" t="inlineStr">
        <is>
          <t>PJ-2022-G</t>
        </is>
      </c>
      <c r="B1042" s="10" t="inlineStr">
        <is>
          <t>位置合わせ(MS学習値)／月内均等</t>
        </is>
      </c>
      <c r="C1042" s="10" t="inlineStr">
        <is>
          <t>2022-10</t>
        </is>
      </c>
      <c r="D1042" s="10" t="n">
        <v>9</v>
      </c>
      <c r="E1042" s="12" t="n">
        <v>10092</v>
      </c>
      <c r="F1042" s="12" t="n">
        <v>16496.9</v>
      </c>
      <c r="G1042" s="12" t="n">
        <v>-6404.9</v>
      </c>
      <c r="H1042" s="13" t="n">
        <v>0.2432</v>
      </c>
      <c r="I1042" s="13" t="n">
        <v>0.4839</v>
      </c>
    </row>
    <row r="1043">
      <c r="A1043" s="10" t="inlineStr">
        <is>
          <t>PJ-2022-G</t>
        </is>
      </c>
      <c r="B1043" s="10" t="inlineStr">
        <is>
          <t>位置合わせ(MS学習値)／月内均等</t>
        </is>
      </c>
      <c r="C1043" s="10" t="inlineStr">
        <is>
          <t>2022-11</t>
        </is>
      </c>
      <c r="D1043" s="10" t="n">
        <v>10</v>
      </c>
      <c r="E1043" s="12" t="n">
        <v>10735.1</v>
      </c>
      <c r="F1043" s="12" t="n">
        <v>15571.5</v>
      </c>
      <c r="G1043" s="12" t="n">
        <v>-4836.4</v>
      </c>
      <c r="H1043" s="13" t="n">
        <v>0.2891</v>
      </c>
      <c r="I1043" s="13" t="n">
        <v>0.5505</v>
      </c>
    </row>
    <row r="1044">
      <c r="A1044" s="10" t="inlineStr">
        <is>
          <t>PJ-2022-G</t>
        </is>
      </c>
      <c r="B1044" s="10" t="inlineStr">
        <is>
          <t>位置合わせ(MS学習値)／月内均等</t>
        </is>
      </c>
      <c r="C1044" s="10" t="inlineStr">
        <is>
          <t>2022-12</t>
        </is>
      </c>
      <c r="D1044" s="10" t="n">
        <v>11</v>
      </c>
      <c r="E1044" s="12" t="n">
        <v>12510.9</v>
      </c>
      <c r="F1044" s="12" t="n">
        <v>12580.5</v>
      </c>
      <c r="G1044" s="12" t="n">
        <v>-69.59999999999999</v>
      </c>
      <c r="H1044" s="13" t="n">
        <v>0.3426</v>
      </c>
      <c r="I1044" s="13" t="n">
        <v>0.6042999999999999</v>
      </c>
    </row>
    <row r="1045">
      <c r="A1045" s="10" t="inlineStr">
        <is>
          <t>PJ-2022-G</t>
        </is>
      </c>
      <c r="B1045" s="10" t="inlineStr">
        <is>
          <t>位置合わせ(MS学習値)／月内均等</t>
        </is>
      </c>
      <c r="C1045" s="10" t="inlineStr">
        <is>
          <t>2023-01</t>
        </is>
      </c>
      <c r="D1045" s="10" t="n">
        <v>12</v>
      </c>
      <c r="E1045" s="12" t="n">
        <v>14585.1</v>
      </c>
      <c r="F1045" s="12" t="n">
        <v>10581</v>
      </c>
      <c r="G1045" s="12" t="n">
        <v>4004.1</v>
      </c>
      <c r="H1045" s="13" t="n">
        <v>0.405</v>
      </c>
      <c r="I1045" s="13" t="n">
        <v>0.6496</v>
      </c>
    </row>
    <row r="1046">
      <c r="A1046" s="10" t="inlineStr">
        <is>
          <t>PJ-2022-G</t>
        </is>
      </c>
      <c r="B1046" s="10" t="inlineStr">
        <is>
          <t>位置合わせ(MS学習値)／月内均等</t>
        </is>
      </c>
      <c r="C1046" s="10" t="inlineStr">
        <is>
          <t>2023-02</t>
        </is>
      </c>
      <c r="D1046" s="10" t="n">
        <v>13</v>
      </c>
      <c r="E1046" s="12" t="n">
        <v>13216.8</v>
      </c>
      <c r="F1046" s="12" t="n">
        <v>9159.700000000001</v>
      </c>
      <c r="G1046" s="12" t="n">
        <v>4057.1</v>
      </c>
      <c r="H1046" s="13" t="n">
        <v>0.4615</v>
      </c>
      <c r="I1046" s="13" t="n">
        <v>0.6888</v>
      </c>
    </row>
    <row r="1047">
      <c r="A1047" s="10" t="inlineStr">
        <is>
          <t>PJ-2022-G</t>
        </is>
      </c>
      <c r="B1047" s="10" t="inlineStr">
        <is>
          <t>位置合わせ(MS学習値)／月内均等</t>
        </is>
      </c>
      <c r="C1047" s="10" t="inlineStr">
        <is>
          <t>2023-03</t>
        </is>
      </c>
      <c r="D1047" s="10" t="n">
        <v>14</v>
      </c>
      <c r="E1047" s="12" t="n">
        <v>14994.5</v>
      </c>
      <c r="F1047" s="12" t="n">
        <v>10036.4</v>
      </c>
      <c r="G1047" s="12" t="n">
        <v>4958.1</v>
      </c>
      <c r="H1047" s="13" t="n">
        <v>0.5256999999999999</v>
      </c>
      <c r="I1047" s="13" t="n">
        <v>0.7317</v>
      </c>
    </row>
    <row r="1048">
      <c r="A1048" s="10" t="inlineStr">
        <is>
          <t>PJ-2022-G</t>
        </is>
      </c>
      <c r="B1048" s="10" t="inlineStr">
        <is>
          <t>位置合わせ(MS学習値)／月内均等</t>
        </is>
      </c>
      <c r="C1048" s="10" t="inlineStr">
        <is>
          <t>2023-04</t>
        </is>
      </c>
      <c r="D1048" s="10" t="n">
        <v>15</v>
      </c>
      <c r="E1048" s="12" t="n">
        <v>14203.7</v>
      </c>
      <c r="F1048" s="12" t="n">
        <v>11511.6</v>
      </c>
      <c r="G1048" s="12" t="n">
        <v>2692.1</v>
      </c>
      <c r="H1048" s="13" t="n">
        <v>0.5864</v>
      </c>
      <c r="I1048" s="13" t="n">
        <v>0.7809</v>
      </c>
    </row>
    <row r="1049">
      <c r="A1049" s="10" t="inlineStr">
        <is>
          <t>PJ-2022-G</t>
        </is>
      </c>
      <c r="B1049" s="10" t="inlineStr">
        <is>
          <t>位置合わせ(MS学習値)／月内均等</t>
        </is>
      </c>
      <c r="C1049" s="10" t="inlineStr">
        <is>
          <t>2023-05</t>
        </is>
      </c>
      <c r="D1049" s="10" t="n">
        <v>16</v>
      </c>
      <c r="E1049" s="12" t="n">
        <v>14555.5</v>
      </c>
      <c r="F1049" s="12" t="n">
        <v>12070.3</v>
      </c>
      <c r="G1049" s="12" t="n">
        <v>2485.2</v>
      </c>
      <c r="H1049" s="13" t="n">
        <v>0.6487000000000001</v>
      </c>
      <c r="I1049" s="13" t="n">
        <v>0.8326</v>
      </c>
    </row>
    <row r="1050">
      <c r="A1050" s="10" t="inlineStr">
        <is>
          <t>PJ-2022-G</t>
        </is>
      </c>
      <c r="B1050" s="10" t="inlineStr">
        <is>
          <t>位置合わせ(MS学習値)／月内均等</t>
        </is>
      </c>
      <c r="C1050" s="10" t="inlineStr">
        <is>
          <t>2023-06</t>
        </is>
      </c>
      <c r="D1050" s="10" t="n">
        <v>17</v>
      </c>
      <c r="E1050" s="12" t="n">
        <v>14854.9</v>
      </c>
      <c r="F1050" s="12" t="n">
        <v>10093.2</v>
      </c>
      <c r="G1050" s="12" t="n">
        <v>4761.7</v>
      </c>
      <c r="H1050" s="13" t="n">
        <v>0.7123</v>
      </c>
      <c r="I1050" s="13" t="n">
        <v>0.8758</v>
      </c>
    </row>
    <row r="1051">
      <c r="A1051" s="10" t="inlineStr">
        <is>
          <t>PJ-2022-G</t>
        </is>
      </c>
      <c r="B1051" s="10" t="inlineStr">
        <is>
          <t>位置合わせ(MS学習値)／月内均等</t>
        </is>
      </c>
      <c r="C1051" s="10" t="inlineStr">
        <is>
          <t>2023-07</t>
        </is>
      </c>
      <c r="D1051" s="10" t="n">
        <v>18</v>
      </c>
      <c r="E1051" s="12" t="n">
        <v>14938.6</v>
      </c>
      <c r="F1051" s="12" t="n">
        <v>8162.9</v>
      </c>
      <c r="G1051" s="12" t="n">
        <v>6775.7</v>
      </c>
      <c r="H1051" s="13" t="n">
        <v>0.7762</v>
      </c>
      <c r="I1051" s="13" t="n">
        <v>0.9107</v>
      </c>
    </row>
    <row r="1052">
      <c r="A1052" s="10" t="inlineStr">
        <is>
          <t>PJ-2022-G</t>
        </is>
      </c>
      <c r="B1052" s="10" t="inlineStr">
        <is>
          <t>位置合わせ(MS学習値)／月内均等</t>
        </is>
      </c>
      <c r="C1052" s="10" t="inlineStr">
        <is>
          <t>2023-08</t>
        </is>
      </c>
      <c r="D1052" s="10" t="n">
        <v>19</v>
      </c>
      <c r="E1052" s="12" t="n">
        <v>12997.1</v>
      </c>
      <c r="F1052" s="12" t="n">
        <v>5336.7</v>
      </c>
      <c r="G1052" s="12" t="n">
        <v>7660.4</v>
      </c>
      <c r="H1052" s="13" t="n">
        <v>0.8318</v>
      </c>
      <c r="I1052" s="13" t="n">
        <v>0.9335</v>
      </c>
    </row>
    <row r="1053">
      <c r="A1053" s="10" t="inlineStr">
        <is>
          <t>PJ-2022-G</t>
        </is>
      </c>
      <c r="B1053" s="10" t="inlineStr">
        <is>
          <t>位置合わせ(MS学習値)／月内均等</t>
        </is>
      </c>
      <c r="C1053" s="10" t="inlineStr">
        <is>
          <t>2023-09</t>
        </is>
      </c>
      <c r="D1053" s="10" t="n">
        <v>20</v>
      </c>
      <c r="E1053" s="12" t="n">
        <v>11376.9</v>
      </c>
      <c r="F1053" s="12" t="n">
        <v>4269.9</v>
      </c>
      <c r="G1053" s="12" t="n">
        <v>7107</v>
      </c>
      <c r="H1053" s="13" t="n">
        <v>0.8804</v>
      </c>
      <c r="I1053" s="13" t="n">
        <v>0.9518</v>
      </c>
    </row>
    <row r="1054">
      <c r="A1054" s="10" t="inlineStr">
        <is>
          <t>PJ-2022-G</t>
        </is>
      </c>
      <c r="B1054" s="10" t="inlineStr">
        <is>
          <t>位置合わせ(MS学習値)／月内均等</t>
        </is>
      </c>
      <c r="C1054" s="10" t="inlineStr">
        <is>
          <t>2023-10</t>
        </is>
      </c>
      <c r="D1054" s="10" t="n">
        <v>21</v>
      </c>
      <c r="E1054" s="12" t="n">
        <v>10098.3</v>
      </c>
      <c r="F1054" s="12" t="n">
        <v>4101.6</v>
      </c>
      <c r="G1054" s="12" t="n">
        <v>5996.7</v>
      </c>
      <c r="H1054" s="13" t="n">
        <v>0.9236</v>
      </c>
      <c r="I1054" s="13" t="n">
        <v>0.9693000000000001</v>
      </c>
    </row>
    <row r="1055">
      <c r="A1055" s="10" t="inlineStr">
        <is>
          <t>PJ-2022-G</t>
        </is>
      </c>
      <c r="B1055" s="10" t="inlineStr">
        <is>
          <t>位置合わせ(MS学習値)／月内均等</t>
        </is>
      </c>
      <c r="C1055" s="10" t="inlineStr">
        <is>
          <t>2023-11</t>
        </is>
      </c>
      <c r="D1055" s="10" t="n">
        <v>22</v>
      </c>
      <c r="E1055" s="12" t="n">
        <v>7761.3</v>
      </c>
      <c r="F1055" s="12" t="n">
        <v>3281.7</v>
      </c>
      <c r="G1055" s="12" t="n">
        <v>4479.6</v>
      </c>
      <c r="H1055" s="13" t="n">
        <v>0.9568</v>
      </c>
      <c r="I1055" s="13" t="n">
        <v>0.9834000000000001</v>
      </c>
    </row>
    <row r="1056">
      <c r="A1056" s="10" t="inlineStr">
        <is>
          <t>PJ-2022-G</t>
        </is>
      </c>
      <c r="B1056" s="10" t="inlineStr">
        <is>
          <t>位置合わせ(MS学習値)／月内均等</t>
        </is>
      </c>
      <c r="C1056" s="10" t="inlineStr">
        <is>
          <t>2023-12</t>
        </is>
      </c>
      <c r="D1056" s="10" t="n">
        <v>23</v>
      </c>
      <c r="E1056" s="12" t="n">
        <v>6510.9</v>
      </c>
      <c r="F1056" s="12" t="n">
        <v>2964.5</v>
      </c>
      <c r="G1056" s="12" t="n">
        <v>3546.4</v>
      </c>
      <c r="H1056" s="13" t="n">
        <v>0.9847</v>
      </c>
      <c r="I1056" s="13" t="n">
        <v>0.996</v>
      </c>
    </row>
    <row r="1057">
      <c r="A1057" s="10" t="inlineStr">
        <is>
          <t>PJ-2022-G</t>
        </is>
      </c>
      <c r="B1057" s="10" t="inlineStr">
        <is>
          <t>位置合わせ(MS学習値)／月内均等</t>
        </is>
      </c>
      <c r="C1057" s="10" t="inlineStr">
        <is>
          <t>2024-01</t>
        </is>
      </c>
      <c r="D1057" s="10" t="n">
        <v>24</v>
      </c>
      <c r="E1057" s="12" t="n">
        <v>3581</v>
      </c>
      <c r="F1057" s="12" t="n">
        <v>925</v>
      </c>
      <c r="G1057" s="12" t="n">
        <v>2656</v>
      </c>
      <c r="H1057" s="13" t="n">
        <v>1</v>
      </c>
      <c r="I1057" s="13" t="n">
        <v>1</v>
      </c>
    </row>
    <row r="1058">
      <c r="A1058" s="10" t="inlineStr">
        <is>
          <t>PJ-2022-G</t>
        </is>
      </c>
      <c r="B1058" s="10" t="inlineStr">
        <is>
          <t>位置合わせ(MS指定)／月内均等</t>
        </is>
      </c>
      <c r="C1058" s="10" t="inlineStr">
        <is>
          <t>2022-02</t>
        </is>
      </c>
      <c r="D1058" s="10" t="n">
        <v>1</v>
      </c>
      <c r="E1058" s="12" t="n">
        <v>3152.9</v>
      </c>
      <c r="F1058" s="12" t="n">
        <v>9203.5</v>
      </c>
      <c r="G1058" s="12" t="n">
        <v>-6050.6</v>
      </c>
      <c r="H1058" s="13" t="n">
        <v>0.0135</v>
      </c>
      <c r="I1058" s="13" t="n">
        <v>0.0394</v>
      </c>
    </row>
    <row r="1059">
      <c r="A1059" s="10" t="inlineStr">
        <is>
          <t>PJ-2022-G</t>
        </is>
      </c>
      <c r="B1059" s="10" t="inlineStr">
        <is>
          <t>位置合わせ(MS指定)／月内均等</t>
        </is>
      </c>
      <c r="C1059" s="10" t="inlineStr">
        <is>
          <t>2022-03</t>
        </is>
      </c>
      <c r="D1059" s="10" t="n">
        <v>2</v>
      </c>
      <c r="E1059" s="12" t="n">
        <v>4603.7</v>
      </c>
      <c r="F1059" s="12" t="n">
        <v>11045.5</v>
      </c>
      <c r="G1059" s="12" t="n">
        <v>-6441.8</v>
      </c>
      <c r="H1059" s="13" t="n">
        <v>0.0332</v>
      </c>
      <c r="I1059" s="13" t="n">
        <v>0.0866</v>
      </c>
    </row>
    <row r="1060">
      <c r="A1060" s="10" t="inlineStr">
        <is>
          <t>PJ-2022-G</t>
        </is>
      </c>
      <c r="B1060" s="10" t="inlineStr">
        <is>
          <t>位置合わせ(MS指定)／月内均等</t>
        </is>
      </c>
      <c r="C1060" s="10" t="inlineStr">
        <is>
          <t>2022-04</t>
        </is>
      </c>
      <c r="D1060" s="10" t="n">
        <v>3</v>
      </c>
      <c r="E1060" s="12" t="n">
        <v>5201.5</v>
      </c>
      <c r="F1060" s="12" t="n">
        <v>10444.9</v>
      </c>
      <c r="G1060" s="12" t="n">
        <v>-5243.4</v>
      </c>
      <c r="H1060" s="13" t="n">
        <v>0.0554</v>
      </c>
      <c r="I1060" s="13" t="n">
        <v>0.1313</v>
      </c>
    </row>
    <row r="1061">
      <c r="A1061" s="10" t="inlineStr">
        <is>
          <t>PJ-2022-G</t>
        </is>
      </c>
      <c r="B1061" s="10" t="inlineStr">
        <is>
          <t>位置合わせ(MS指定)／月内均等</t>
        </is>
      </c>
      <c r="C1061" s="10" t="inlineStr">
        <is>
          <t>2022-05</t>
        </is>
      </c>
      <c r="D1061" s="10" t="n">
        <v>4</v>
      </c>
      <c r="E1061" s="12" t="n">
        <v>6056</v>
      </c>
      <c r="F1061" s="12" t="n">
        <v>11771</v>
      </c>
      <c r="G1061" s="12" t="n">
        <v>-5715</v>
      </c>
      <c r="H1061" s="13" t="n">
        <v>0.0813</v>
      </c>
      <c r="I1061" s="13" t="n">
        <v>0.1817</v>
      </c>
    </row>
    <row r="1062">
      <c r="A1062" s="10" t="inlineStr">
        <is>
          <t>PJ-2022-G</t>
        </is>
      </c>
      <c r="B1062" s="10" t="inlineStr">
        <is>
          <t>位置合わせ(MS指定)／月内均等</t>
        </is>
      </c>
      <c r="C1062" s="10" t="inlineStr">
        <is>
          <t>2022-06</t>
        </is>
      </c>
      <c r="D1062" s="10" t="n">
        <v>5</v>
      </c>
      <c r="E1062" s="12" t="n">
        <v>6351.8</v>
      </c>
      <c r="F1062" s="12" t="n">
        <v>10986.1</v>
      </c>
      <c r="G1062" s="12" t="n">
        <v>-4634.3</v>
      </c>
      <c r="H1062" s="13" t="n">
        <v>0.1085</v>
      </c>
      <c r="I1062" s="13" t="n">
        <v>0.2287</v>
      </c>
    </row>
    <row r="1063">
      <c r="A1063" s="10" t="inlineStr">
        <is>
          <t>PJ-2022-G</t>
        </is>
      </c>
      <c r="B1063" s="10" t="inlineStr">
        <is>
          <t>位置合わせ(MS指定)／月内均等</t>
        </is>
      </c>
      <c r="C1063" s="10" t="inlineStr">
        <is>
          <t>2022-07</t>
        </is>
      </c>
      <c r="D1063" s="10" t="n">
        <v>6</v>
      </c>
      <c r="E1063" s="12" t="n">
        <v>7203.9</v>
      </c>
      <c r="F1063" s="12" t="n">
        <v>12683.3</v>
      </c>
      <c r="G1063" s="12" t="n">
        <v>-5479.4</v>
      </c>
      <c r="H1063" s="13" t="n">
        <v>0.1393</v>
      </c>
      <c r="I1063" s="13" t="n">
        <v>0.2829</v>
      </c>
    </row>
    <row r="1064">
      <c r="A1064" s="10" t="inlineStr">
        <is>
          <t>PJ-2022-G</t>
        </is>
      </c>
      <c r="B1064" s="10" t="inlineStr">
        <is>
          <t>位置合わせ(MS指定)／月内均等</t>
        </is>
      </c>
      <c r="C1064" s="10" t="inlineStr">
        <is>
          <t>2022-08</t>
        </is>
      </c>
      <c r="D1064" s="10" t="n">
        <v>7</v>
      </c>
      <c r="E1064" s="12" t="n">
        <v>8067.5</v>
      </c>
      <c r="F1064" s="12" t="n">
        <v>14085.9</v>
      </c>
      <c r="G1064" s="12" t="n">
        <v>-6018.4</v>
      </c>
      <c r="H1064" s="13" t="n">
        <v>0.1738</v>
      </c>
      <c r="I1064" s="13" t="n">
        <v>0.3432</v>
      </c>
    </row>
    <row r="1065">
      <c r="A1065" s="10" t="inlineStr">
        <is>
          <t>PJ-2022-G</t>
        </is>
      </c>
      <c r="B1065" s="10" t="inlineStr">
        <is>
          <t>位置合わせ(MS指定)／月内均等</t>
        </is>
      </c>
      <c r="C1065" s="10" t="inlineStr">
        <is>
          <t>2022-09</t>
        </is>
      </c>
      <c r="D1065" s="10" t="n">
        <v>8</v>
      </c>
      <c r="E1065" s="12" t="n">
        <v>9284</v>
      </c>
      <c r="F1065" s="12" t="n">
        <v>16396.3</v>
      </c>
      <c r="G1065" s="12" t="n">
        <v>-7112.3</v>
      </c>
      <c r="H1065" s="13" t="n">
        <v>0.2136</v>
      </c>
      <c r="I1065" s="13" t="n">
        <v>0.4133</v>
      </c>
    </row>
    <row r="1066">
      <c r="A1066" s="10" t="inlineStr">
        <is>
          <t>PJ-2022-G</t>
        </is>
      </c>
      <c r="B1066" s="10" t="inlineStr">
        <is>
          <t>位置合わせ(MS指定)／月内均等</t>
        </is>
      </c>
      <c r="C1066" s="10" t="inlineStr">
        <is>
          <t>2022-10</t>
        </is>
      </c>
      <c r="D1066" s="10" t="n">
        <v>9</v>
      </c>
      <c r="E1066" s="12" t="n">
        <v>10875.7</v>
      </c>
      <c r="F1066" s="12" t="n">
        <v>16496.9</v>
      </c>
      <c r="G1066" s="12" t="n">
        <v>-5621.2</v>
      </c>
      <c r="H1066" s="13" t="n">
        <v>0.2601</v>
      </c>
      <c r="I1066" s="13" t="n">
        <v>0.4839</v>
      </c>
    </row>
    <row r="1067">
      <c r="A1067" s="10" t="inlineStr">
        <is>
          <t>PJ-2022-G</t>
        </is>
      </c>
      <c r="B1067" s="10" t="inlineStr">
        <is>
          <t>位置合わせ(MS指定)／月内均等</t>
        </is>
      </c>
      <c r="C1067" s="10" t="inlineStr">
        <is>
          <t>2022-11</t>
        </is>
      </c>
      <c r="D1067" s="10" t="n">
        <v>10</v>
      </c>
      <c r="E1067" s="12" t="n">
        <v>11824.6</v>
      </c>
      <c r="F1067" s="12" t="n">
        <v>15571.5</v>
      </c>
      <c r="G1067" s="12" t="n">
        <v>-3746.9</v>
      </c>
      <c r="H1067" s="13" t="n">
        <v>0.3107</v>
      </c>
      <c r="I1067" s="13" t="n">
        <v>0.5505</v>
      </c>
    </row>
    <row r="1068">
      <c r="A1068" s="10" t="inlineStr">
        <is>
          <t>PJ-2022-G</t>
        </is>
      </c>
      <c r="B1068" s="10" t="inlineStr">
        <is>
          <t>位置合わせ(MS指定)／月内均等</t>
        </is>
      </c>
      <c r="C1068" s="10" t="inlineStr">
        <is>
          <t>2022-12</t>
        </is>
      </c>
      <c r="D1068" s="10" t="n">
        <v>11</v>
      </c>
      <c r="E1068" s="12" t="n">
        <v>13795.8</v>
      </c>
      <c r="F1068" s="12" t="n">
        <v>12580.5</v>
      </c>
      <c r="G1068" s="12" t="n">
        <v>1215.3</v>
      </c>
      <c r="H1068" s="13" t="n">
        <v>0.3697</v>
      </c>
      <c r="I1068" s="13" t="n">
        <v>0.6042999999999999</v>
      </c>
    </row>
    <row r="1069">
      <c r="A1069" s="10" t="inlineStr">
        <is>
          <t>PJ-2022-G</t>
        </is>
      </c>
      <c r="B1069" s="10" t="inlineStr">
        <is>
          <t>位置合わせ(MS指定)／月内均等</t>
        </is>
      </c>
      <c r="C1069" s="10" t="inlineStr">
        <is>
          <t>2023-01</t>
        </is>
      </c>
      <c r="D1069" s="10" t="n">
        <v>12</v>
      </c>
      <c r="E1069" s="12" t="n">
        <v>15007.7</v>
      </c>
      <c r="F1069" s="12" t="n">
        <v>10581</v>
      </c>
      <c r="G1069" s="12" t="n">
        <v>4426.7</v>
      </c>
      <c r="H1069" s="13" t="n">
        <v>0.4339</v>
      </c>
      <c r="I1069" s="13" t="n">
        <v>0.6496</v>
      </c>
    </row>
    <row r="1070">
      <c r="A1070" s="10" t="inlineStr">
        <is>
          <t>PJ-2022-G</t>
        </is>
      </c>
      <c r="B1070" s="10" t="inlineStr">
        <is>
          <t>位置合わせ(MS指定)／月内均等</t>
        </is>
      </c>
      <c r="C1070" s="10" t="inlineStr">
        <is>
          <t>2023-02</t>
        </is>
      </c>
      <c r="D1070" s="10" t="n">
        <v>13</v>
      </c>
      <c r="E1070" s="12" t="n">
        <v>12929.5</v>
      </c>
      <c r="F1070" s="12" t="n">
        <v>9159.700000000001</v>
      </c>
      <c r="G1070" s="12" t="n">
        <v>3769.8</v>
      </c>
      <c r="H1070" s="13" t="n">
        <v>0.4892</v>
      </c>
      <c r="I1070" s="13" t="n">
        <v>0.6888</v>
      </c>
    </row>
    <row r="1071">
      <c r="A1071" s="10" t="inlineStr">
        <is>
          <t>PJ-2022-G</t>
        </is>
      </c>
      <c r="B1071" s="10" t="inlineStr">
        <is>
          <t>位置合わせ(MS指定)／月内均等</t>
        </is>
      </c>
      <c r="C1071" s="10" t="inlineStr">
        <is>
          <t>2023-03</t>
        </is>
      </c>
      <c r="D1071" s="10" t="n">
        <v>14</v>
      </c>
      <c r="E1071" s="12" t="n">
        <v>14430</v>
      </c>
      <c r="F1071" s="12" t="n">
        <v>10036.4</v>
      </c>
      <c r="G1071" s="12" t="n">
        <v>4393.6</v>
      </c>
      <c r="H1071" s="13" t="n">
        <v>0.5508999999999999</v>
      </c>
      <c r="I1071" s="13" t="n">
        <v>0.7317</v>
      </c>
    </row>
    <row r="1072">
      <c r="A1072" s="10" t="inlineStr">
        <is>
          <t>PJ-2022-G</t>
        </is>
      </c>
      <c r="B1072" s="10" t="inlineStr">
        <is>
          <t>位置合わせ(MS指定)／月内均等</t>
        </is>
      </c>
      <c r="C1072" s="10" t="inlineStr">
        <is>
          <t>2023-04</t>
        </is>
      </c>
      <c r="D1072" s="10" t="n">
        <v>15</v>
      </c>
      <c r="E1072" s="12" t="n">
        <v>13504</v>
      </c>
      <c r="F1072" s="12" t="n">
        <v>11511.6</v>
      </c>
      <c r="G1072" s="12" t="n">
        <v>1992.4</v>
      </c>
      <c r="H1072" s="13" t="n">
        <v>0.6087</v>
      </c>
      <c r="I1072" s="13" t="n">
        <v>0.7809</v>
      </c>
    </row>
    <row r="1073">
      <c r="A1073" s="10" t="inlineStr">
        <is>
          <t>PJ-2022-G</t>
        </is>
      </c>
      <c r="B1073" s="10" t="inlineStr">
        <is>
          <t>位置合わせ(MS指定)／月内均等</t>
        </is>
      </c>
      <c r="C1073" s="10" t="inlineStr">
        <is>
          <t>2023-05</t>
        </is>
      </c>
      <c r="D1073" s="10" t="n">
        <v>16</v>
      </c>
      <c r="E1073" s="12" t="n">
        <v>14315.1</v>
      </c>
      <c r="F1073" s="12" t="n">
        <v>12070.3</v>
      </c>
      <c r="G1073" s="12" t="n">
        <v>2244.8</v>
      </c>
      <c r="H1073" s="13" t="n">
        <v>0.6699000000000001</v>
      </c>
      <c r="I1073" s="13" t="n">
        <v>0.8326</v>
      </c>
    </row>
    <row r="1074">
      <c r="A1074" s="10" t="inlineStr">
        <is>
          <t>PJ-2022-G</t>
        </is>
      </c>
      <c r="B1074" s="10" t="inlineStr">
        <is>
          <t>位置合わせ(MS指定)／月内均等</t>
        </is>
      </c>
      <c r="C1074" s="10" t="inlineStr">
        <is>
          <t>2023-06</t>
        </is>
      </c>
      <c r="D1074" s="10" t="n">
        <v>17</v>
      </c>
      <c r="E1074" s="12" t="n">
        <v>14253</v>
      </c>
      <c r="F1074" s="12" t="n">
        <v>10093.2</v>
      </c>
      <c r="G1074" s="12" t="n">
        <v>4159.8</v>
      </c>
      <c r="H1074" s="13" t="n">
        <v>0.7309</v>
      </c>
      <c r="I1074" s="13" t="n">
        <v>0.8758</v>
      </c>
    </row>
    <row r="1075">
      <c r="A1075" s="10" t="inlineStr">
        <is>
          <t>PJ-2022-G</t>
        </is>
      </c>
      <c r="B1075" s="10" t="inlineStr">
        <is>
          <t>位置合わせ(MS指定)／月内均等</t>
        </is>
      </c>
      <c r="C1075" s="10" t="inlineStr">
        <is>
          <t>2023-07</t>
        </is>
      </c>
      <c r="D1075" s="10" t="n">
        <v>18</v>
      </c>
      <c r="E1075" s="12" t="n">
        <v>13148</v>
      </c>
      <c r="F1075" s="12" t="n">
        <v>8162.9</v>
      </c>
      <c r="G1075" s="12" t="n">
        <v>4985.1</v>
      </c>
      <c r="H1075" s="13" t="n">
        <v>0.7872</v>
      </c>
      <c r="I1075" s="13" t="n">
        <v>0.9107</v>
      </c>
    </row>
    <row r="1076">
      <c r="A1076" s="10" t="inlineStr">
        <is>
          <t>PJ-2022-G</t>
        </is>
      </c>
      <c r="B1076" s="10" t="inlineStr">
        <is>
          <t>位置合わせ(MS指定)／月内均等</t>
        </is>
      </c>
      <c r="C1076" s="10" t="inlineStr">
        <is>
          <t>2023-08</t>
        </is>
      </c>
      <c r="D1076" s="10" t="n">
        <v>19</v>
      </c>
      <c r="E1076" s="12" t="n">
        <v>10568.3</v>
      </c>
      <c r="F1076" s="12" t="n">
        <v>5336.7</v>
      </c>
      <c r="G1076" s="12" t="n">
        <v>5231.6</v>
      </c>
      <c r="H1076" s="13" t="n">
        <v>0.8324</v>
      </c>
      <c r="I1076" s="13" t="n">
        <v>0.9335</v>
      </c>
    </row>
    <row r="1077">
      <c r="A1077" s="10" t="inlineStr">
        <is>
          <t>PJ-2022-G</t>
        </is>
      </c>
      <c r="B1077" s="10" t="inlineStr">
        <is>
          <t>位置合わせ(MS指定)／月内均等</t>
        </is>
      </c>
      <c r="C1077" s="10" t="inlineStr">
        <is>
          <t>2023-09</t>
        </is>
      </c>
      <c r="D1077" s="10" t="n">
        <v>20</v>
      </c>
      <c r="E1077" s="12" t="n">
        <v>9331</v>
      </c>
      <c r="F1077" s="12" t="n">
        <v>4269.9</v>
      </c>
      <c r="G1077" s="12" t="n">
        <v>5061.1</v>
      </c>
      <c r="H1077" s="13" t="n">
        <v>0.8723</v>
      </c>
      <c r="I1077" s="13" t="n">
        <v>0.9518</v>
      </c>
    </row>
    <row r="1078">
      <c r="A1078" s="10" t="inlineStr">
        <is>
          <t>PJ-2022-G</t>
        </is>
      </c>
      <c r="B1078" s="10" t="inlineStr">
        <is>
          <t>位置合わせ(MS指定)／月内均等</t>
        </is>
      </c>
      <c r="C1078" s="10" t="inlineStr">
        <is>
          <t>2023-10</t>
        </is>
      </c>
      <c r="D1078" s="10" t="n">
        <v>21</v>
      </c>
      <c r="E1078" s="12" t="n">
        <v>8732.6</v>
      </c>
      <c r="F1078" s="12" t="n">
        <v>4101.6</v>
      </c>
      <c r="G1078" s="12" t="n">
        <v>4631</v>
      </c>
      <c r="H1078" s="13" t="n">
        <v>0.9096</v>
      </c>
      <c r="I1078" s="13" t="n">
        <v>0.9693000000000001</v>
      </c>
    </row>
    <row r="1079">
      <c r="A1079" s="10" t="inlineStr">
        <is>
          <t>PJ-2022-G</t>
        </is>
      </c>
      <c r="B1079" s="10" t="inlineStr">
        <is>
          <t>位置合わせ(MS指定)／月内均等</t>
        </is>
      </c>
      <c r="C1079" s="10" t="inlineStr">
        <is>
          <t>2023-11</t>
        </is>
      </c>
      <c r="D1079" s="10" t="n">
        <v>22</v>
      </c>
      <c r="E1079" s="12" t="n">
        <v>6925.9</v>
      </c>
      <c r="F1079" s="12" t="n">
        <v>3281.7</v>
      </c>
      <c r="G1079" s="12" t="n">
        <v>3644.2</v>
      </c>
      <c r="H1079" s="13" t="n">
        <v>0.9393</v>
      </c>
      <c r="I1079" s="13" t="n">
        <v>0.9834000000000001</v>
      </c>
    </row>
    <row r="1080">
      <c r="A1080" s="10" t="inlineStr">
        <is>
          <t>PJ-2022-G</t>
        </is>
      </c>
      <c r="B1080" s="10" t="inlineStr">
        <is>
          <t>位置合わせ(MS指定)／月内均等</t>
        </is>
      </c>
      <c r="C1080" s="10" t="inlineStr">
        <is>
          <t>2023-12</t>
        </is>
      </c>
      <c r="D1080" s="10" t="n">
        <v>23</v>
      </c>
      <c r="E1080" s="12" t="n">
        <v>8503.700000000001</v>
      </c>
      <c r="F1080" s="12" t="n">
        <v>2964.5</v>
      </c>
      <c r="G1080" s="12" t="n">
        <v>5539.2</v>
      </c>
      <c r="H1080" s="13" t="n">
        <v>0.9756</v>
      </c>
      <c r="I1080" s="13" t="n">
        <v>0.996</v>
      </c>
    </row>
    <row r="1081">
      <c r="A1081" s="10" t="inlineStr">
        <is>
          <t>PJ-2022-G</t>
        </is>
      </c>
      <c r="B1081" s="10" t="inlineStr">
        <is>
          <t>位置合わせ(MS指定)／月内均等</t>
        </is>
      </c>
      <c r="C1081" s="10" t="inlineStr">
        <is>
          <t>2024-01</t>
        </is>
      </c>
      <c r="D1081" s="10" t="n">
        <v>24</v>
      </c>
      <c r="E1081" s="12" t="n">
        <v>5693.8</v>
      </c>
      <c r="F1081" s="12" t="n">
        <v>925</v>
      </c>
      <c r="G1081" s="12" t="n">
        <v>4768.8</v>
      </c>
      <c r="H1081" s="13" t="n">
        <v>1</v>
      </c>
      <c r="I1081" s="13" t="n">
        <v>1</v>
      </c>
    </row>
    <row r="1082">
      <c r="A1082" s="10" t="inlineStr">
        <is>
          <t>PJ-2022-G</t>
        </is>
      </c>
      <c r="B1082" s="10" t="inlineStr">
        <is>
          <t>素朴版／単調補間</t>
        </is>
      </c>
      <c r="C1082" s="10" t="inlineStr">
        <is>
          <t>2022-02</t>
        </is>
      </c>
      <c r="D1082" s="10" t="n">
        <v>1</v>
      </c>
      <c r="E1082" s="12" t="n">
        <v>2918.9</v>
      </c>
      <c r="F1082" s="12" t="n">
        <v>9203.5</v>
      </c>
      <c r="G1082" s="12" t="n">
        <v>-6284.6</v>
      </c>
      <c r="H1082" s="13" t="n">
        <v>0.0125</v>
      </c>
      <c r="I1082" s="13" t="n">
        <v>0.0394</v>
      </c>
    </row>
    <row r="1083">
      <c r="A1083" s="10" t="inlineStr">
        <is>
          <t>PJ-2022-G</t>
        </is>
      </c>
      <c r="B1083" s="10" t="inlineStr">
        <is>
          <t>素朴版／単調補間</t>
        </is>
      </c>
      <c r="C1083" s="10" t="inlineStr">
        <is>
          <t>2022-03</t>
        </is>
      </c>
      <c r="D1083" s="10" t="n">
        <v>2</v>
      </c>
      <c r="E1083" s="12" t="n">
        <v>4359.3</v>
      </c>
      <c r="F1083" s="12" t="n">
        <v>11045.5</v>
      </c>
      <c r="G1083" s="12" t="n">
        <v>-6686.2</v>
      </c>
      <c r="H1083" s="13" t="n">
        <v>0.0311</v>
      </c>
      <c r="I1083" s="13" t="n">
        <v>0.0866</v>
      </c>
    </row>
    <row r="1084">
      <c r="A1084" s="10" t="inlineStr">
        <is>
          <t>PJ-2022-G</t>
        </is>
      </c>
      <c r="B1084" s="10" t="inlineStr">
        <is>
          <t>素朴版／単調補間</t>
        </is>
      </c>
      <c r="C1084" s="10" t="inlineStr">
        <is>
          <t>2022-04</t>
        </is>
      </c>
      <c r="D1084" s="10" t="n">
        <v>3</v>
      </c>
      <c r="E1084" s="12" t="n">
        <v>5034.7</v>
      </c>
      <c r="F1084" s="12" t="n">
        <v>10444.9</v>
      </c>
      <c r="G1084" s="12" t="n">
        <v>-5410.2</v>
      </c>
      <c r="H1084" s="13" t="n">
        <v>0.0527</v>
      </c>
      <c r="I1084" s="13" t="n">
        <v>0.1313</v>
      </c>
    </row>
    <row r="1085">
      <c r="A1085" s="10" t="inlineStr">
        <is>
          <t>PJ-2022-G</t>
        </is>
      </c>
      <c r="B1085" s="10" t="inlineStr">
        <is>
          <t>素朴版／単調補間</t>
        </is>
      </c>
      <c r="C1085" s="10" t="inlineStr">
        <is>
          <t>2022-05</t>
        </is>
      </c>
      <c r="D1085" s="10" t="n">
        <v>4</v>
      </c>
      <c r="E1085" s="12" t="n">
        <v>5901</v>
      </c>
      <c r="F1085" s="12" t="n">
        <v>11771</v>
      </c>
      <c r="G1085" s="12" t="n">
        <v>-5870</v>
      </c>
      <c r="H1085" s="13" t="n">
        <v>0.0779</v>
      </c>
      <c r="I1085" s="13" t="n">
        <v>0.1817</v>
      </c>
    </row>
    <row r="1086">
      <c r="A1086" s="10" t="inlineStr">
        <is>
          <t>PJ-2022-G</t>
        </is>
      </c>
      <c r="B1086" s="10" t="inlineStr">
        <is>
          <t>素朴版／単調補間</t>
        </is>
      </c>
      <c r="C1086" s="10" t="inlineStr">
        <is>
          <t>2022-06</t>
        </is>
      </c>
      <c r="D1086" s="10" t="n">
        <v>5</v>
      </c>
      <c r="E1086" s="12" t="n">
        <v>6053.3</v>
      </c>
      <c r="F1086" s="12" t="n">
        <v>10986.1</v>
      </c>
      <c r="G1086" s="12" t="n">
        <v>-4932.8</v>
      </c>
      <c r="H1086" s="13" t="n">
        <v>0.1038</v>
      </c>
      <c r="I1086" s="13" t="n">
        <v>0.2287</v>
      </c>
    </row>
    <row r="1087">
      <c r="A1087" s="10" t="inlineStr">
        <is>
          <t>PJ-2022-G</t>
        </is>
      </c>
      <c r="B1087" s="10" t="inlineStr">
        <is>
          <t>素朴版／単調補間</t>
        </is>
      </c>
      <c r="C1087" s="10" t="inlineStr">
        <is>
          <t>2022-07</t>
        </is>
      </c>
      <c r="D1087" s="10" t="n">
        <v>6</v>
      </c>
      <c r="E1087" s="12" t="n">
        <v>6798.5</v>
      </c>
      <c r="F1087" s="12" t="n">
        <v>12683.3</v>
      </c>
      <c r="G1087" s="12" t="n">
        <v>-5884.8</v>
      </c>
      <c r="H1087" s="13" t="n">
        <v>0.1329</v>
      </c>
      <c r="I1087" s="13" t="n">
        <v>0.2829</v>
      </c>
    </row>
    <row r="1088">
      <c r="A1088" s="10" t="inlineStr">
        <is>
          <t>PJ-2022-G</t>
        </is>
      </c>
      <c r="B1088" s="10" t="inlineStr">
        <is>
          <t>素朴版／単調補間</t>
        </is>
      </c>
      <c r="C1088" s="10" t="inlineStr">
        <is>
          <t>2022-08</t>
        </is>
      </c>
      <c r="D1088" s="10" t="n">
        <v>7</v>
      </c>
      <c r="E1088" s="12" t="n">
        <v>8090.4</v>
      </c>
      <c r="F1088" s="12" t="n">
        <v>14085.9</v>
      </c>
      <c r="G1088" s="12" t="n">
        <v>-5995.5</v>
      </c>
      <c r="H1088" s="13" t="n">
        <v>0.1675</v>
      </c>
      <c r="I1088" s="13" t="n">
        <v>0.3432</v>
      </c>
    </row>
    <row r="1089">
      <c r="A1089" s="10" t="inlineStr">
        <is>
          <t>PJ-2022-G</t>
        </is>
      </c>
      <c r="B1089" s="10" t="inlineStr">
        <is>
          <t>素朴版／単調補間</t>
        </is>
      </c>
      <c r="C1089" s="10" t="inlineStr">
        <is>
          <t>2022-09</t>
        </is>
      </c>
      <c r="D1089" s="10" t="n">
        <v>8</v>
      </c>
      <c r="E1089" s="12" t="n">
        <v>9333.9</v>
      </c>
      <c r="F1089" s="12" t="n">
        <v>16396.3</v>
      </c>
      <c r="G1089" s="12" t="n">
        <v>-7062.4</v>
      </c>
      <c r="H1089" s="13" t="n">
        <v>0.2074</v>
      </c>
      <c r="I1089" s="13" t="n">
        <v>0.4133</v>
      </c>
    </row>
    <row r="1090">
      <c r="A1090" s="10" t="inlineStr">
        <is>
          <t>PJ-2022-G</t>
        </is>
      </c>
      <c r="B1090" s="10" t="inlineStr">
        <is>
          <t>素朴版／単調補間</t>
        </is>
      </c>
      <c r="C1090" s="10" t="inlineStr">
        <is>
          <t>2022-10</t>
        </is>
      </c>
      <c r="D1090" s="10" t="n">
        <v>9</v>
      </c>
      <c r="E1090" s="12" t="n">
        <v>10797.6</v>
      </c>
      <c r="F1090" s="12" t="n">
        <v>16496.9</v>
      </c>
      <c r="G1090" s="12" t="n">
        <v>-5699.3</v>
      </c>
      <c r="H1090" s="13" t="n">
        <v>0.2536</v>
      </c>
      <c r="I1090" s="13" t="n">
        <v>0.4839</v>
      </c>
    </row>
    <row r="1091">
      <c r="A1091" s="10" t="inlineStr">
        <is>
          <t>PJ-2022-G</t>
        </is>
      </c>
      <c r="B1091" s="10" t="inlineStr">
        <is>
          <t>素朴版／単調補間</t>
        </is>
      </c>
      <c r="C1091" s="10" t="inlineStr">
        <is>
          <t>2022-11</t>
        </is>
      </c>
      <c r="D1091" s="10" t="n">
        <v>10</v>
      </c>
      <c r="E1091" s="12" t="n">
        <v>12100.5</v>
      </c>
      <c r="F1091" s="12" t="n">
        <v>15571.5</v>
      </c>
      <c r="G1091" s="12" t="n">
        <v>-3471</v>
      </c>
      <c r="H1091" s="13" t="n">
        <v>0.3054</v>
      </c>
      <c r="I1091" s="13" t="n">
        <v>0.5505</v>
      </c>
    </row>
    <row r="1092">
      <c r="A1092" s="10" t="inlineStr">
        <is>
          <t>PJ-2022-G</t>
        </is>
      </c>
      <c r="B1092" s="10" t="inlineStr">
        <is>
          <t>素朴版／単調補間</t>
        </is>
      </c>
      <c r="C1092" s="10" t="inlineStr">
        <is>
          <t>2022-12</t>
        </is>
      </c>
      <c r="D1092" s="10" t="n">
        <v>11</v>
      </c>
      <c r="E1092" s="12" t="n">
        <v>11974.4</v>
      </c>
      <c r="F1092" s="12" t="n">
        <v>12580.5</v>
      </c>
      <c r="G1092" s="12" t="n">
        <v>-606.1</v>
      </c>
      <c r="H1092" s="13" t="n">
        <v>0.3566</v>
      </c>
      <c r="I1092" s="13" t="n">
        <v>0.6042999999999999</v>
      </c>
    </row>
    <row r="1093">
      <c r="A1093" s="10" t="inlineStr">
        <is>
          <t>PJ-2022-G</t>
        </is>
      </c>
      <c r="B1093" s="10" t="inlineStr">
        <is>
          <t>素朴版／単調補間</t>
        </is>
      </c>
      <c r="C1093" s="10" t="inlineStr">
        <is>
          <t>2023-01</t>
        </is>
      </c>
      <c r="D1093" s="10" t="n">
        <v>12</v>
      </c>
      <c r="E1093" s="12" t="n">
        <v>11748.2</v>
      </c>
      <c r="F1093" s="12" t="n">
        <v>10581</v>
      </c>
      <c r="G1093" s="12" t="n">
        <v>1167.2</v>
      </c>
      <c r="H1093" s="13" t="n">
        <v>0.4069</v>
      </c>
      <c r="I1093" s="13" t="n">
        <v>0.6496</v>
      </c>
    </row>
    <row r="1094">
      <c r="A1094" s="10" t="inlineStr">
        <is>
          <t>PJ-2022-G</t>
        </is>
      </c>
      <c r="B1094" s="10" t="inlineStr">
        <is>
          <t>素朴版／単調補間</t>
        </is>
      </c>
      <c r="C1094" s="10" t="inlineStr">
        <is>
          <t>2023-02</t>
        </is>
      </c>
      <c r="D1094" s="10" t="n">
        <v>13</v>
      </c>
      <c r="E1094" s="12" t="n">
        <v>12270.3</v>
      </c>
      <c r="F1094" s="12" t="n">
        <v>9159.700000000001</v>
      </c>
      <c r="G1094" s="12" t="n">
        <v>3110.6</v>
      </c>
      <c r="H1094" s="13" t="n">
        <v>0.4594</v>
      </c>
      <c r="I1094" s="13" t="n">
        <v>0.6888</v>
      </c>
    </row>
    <row r="1095">
      <c r="A1095" s="10" t="inlineStr">
        <is>
          <t>PJ-2022-G</t>
        </is>
      </c>
      <c r="B1095" s="10" t="inlineStr">
        <is>
          <t>素朴版／単調補間</t>
        </is>
      </c>
      <c r="C1095" s="10" t="inlineStr">
        <is>
          <t>2023-03</t>
        </is>
      </c>
      <c r="D1095" s="10" t="n">
        <v>14</v>
      </c>
      <c r="E1095" s="12" t="n">
        <v>14133.3</v>
      </c>
      <c r="F1095" s="12" t="n">
        <v>10036.4</v>
      </c>
      <c r="G1095" s="12" t="n">
        <v>4096.9</v>
      </c>
      <c r="H1095" s="13" t="n">
        <v>0.5198</v>
      </c>
      <c r="I1095" s="13" t="n">
        <v>0.7317</v>
      </c>
    </row>
    <row r="1096">
      <c r="A1096" s="10" t="inlineStr">
        <is>
          <t>PJ-2022-G</t>
        </is>
      </c>
      <c r="B1096" s="10" t="inlineStr">
        <is>
          <t>素朴版／単調補間</t>
        </is>
      </c>
      <c r="C1096" s="10" t="inlineStr">
        <is>
          <t>2023-04</t>
        </is>
      </c>
      <c r="D1096" s="10" t="n">
        <v>15</v>
      </c>
      <c r="E1096" s="12" t="n">
        <v>14762.1</v>
      </c>
      <c r="F1096" s="12" t="n">
        <v>11511.6</v>
      </c>
      <c r="G1096" s="12" t="n">
        <v>3250.5</v>
      </c>
      <c r="H1096" s="13" t="n">
        <v>0.583</v>
      </c>
      <c r="I1096" s="13" t="n">
        <v>0.7809</v>
      </c>
    </row>
    <row r="1097">
      <c r="A1097" s="10" t="inlineStr">
        <is>
          <t>PJ-2022-G</t>
        </is>
      </c>
      <c r="B1097" s="10" t="inlineStr">
        <is>
          <t>素朴版／単調補間</t>
        </is>
      </c>
      <c r="C1097" s="10" t="inlineStr">
        <is>
          <t>2023-05</t>
        </is>
      </c>
      <c r="D1097" s="10" t="n">
        <v>16</v>
      </c>
      <c r="E1097" s="12" t="n">
        <v>15457.4</v>
      </c>
      <c r="F1097" s="12" t="n">
        <v>12070.3</v>
      </c>
      <c r="G1097" s="12" t="n">
        <v>3387.1</v>
      </c>
      <c r="H1097" s="13" t="n">
        <v>0.6491</v>
      </c>
      <c r="I1097" s="13" t="n">
        <v>0.8326</v>
      </c>
    </row>
    <row r="1098">
      <c r="A1098" s="10" t="inlineStr">
        <is>
          <t>PJ-2022-G</t>
        </is>
      </c>
      <c r="B1098" s="10" t="inlineStr">
        <is>
          <t>素朴版／単調補間</t>
        </is>
      </c>
      <c r="C1098" s="10" t="inlineStr">
        <is>
          <t>2023-06</t>
        </is>
      </c>
      <c r="D1098" s="10" t="n">
        <v>17</v>
      </c>
      <c r="E1098" s="12" t="n">
        <v>13662.7</v>
      </c>
      <c r="F1098" s="12" t="n">
        <v>10093.2</v>
      </c>
      <c r="G1098" s="12" t="n">
        <v>3569.5</v>
      </c>
      <c r="H1098" s="13" t="n">
        <v>0.7075</v>
      </c>
      <c r="I1098" s="13" t="n">
        <v>0.8758</v>
      </c>
    </row>
    <row r="1099">
      <c r="A1099" s="10" t="inlineStr">
        <is>
          <t>PJ-2022-G</t>
        </is>
      </c>
      <c r="B1099" s="10" t="inlineStr">
        <is>
          <t>素朴版／単調補間</t>
        </is>
      </c>
      <c r="C1099" s="10" t="inlineStr">
        <is>
          <t>2023-07</t>
        </is>
      </c>
      <c r="D1099" s="10" t="n">
        <v>18</v>
      </c>
      <c r="E1099" s="12" t="n">
        <v>13208.3</v>
      </c>
      <c r="F1099" s="12" t="n">
        <v>8162.9</v>
      </c>
      <c r="G1099" s="12" t="n">
        <v>5045.4</v>
      </c>
      <c r="H1099" s="13" t="n">
        <v>0.7641</v>
      </c>
      <c r="I1099" s="13" t="n">
        <v>0.9107</v>
      </c>
    </row>
    <row r="1100">
      <c r="A1100" s="10" t="inlineStr">
        <is>
          <t>PJ-2022-G</t>
        </is>
      </c>
      <c r="B1100" s="10" t="inlineStr">
        <is>
          <t>素朴版／単調補間</t>
        </is>
      </c>
      <c r="C1100" s="10" t="inlineStr">
        <is>
          <t>2023-08</t>
        </is>
      </c>
      <c r="D1100" s="10" t="n">
        <v>19</v>
      </c>
      <c r="E1100" s="12" t="n">
        <v>13643.5</v>
      </c>
      <c r="F1100" s="12" t="n">
        <v>5336.7</v>
      </c>
      <c r="G1100" s="12" t="n">
        <v>8306.799999999999</v>
      </c>
      <c r="H1100" s="13" t="n">
        <v>0.8224</v>
      </c>
      <c r="I1100" s="13" t="n">
        <v>0.9335</v>
      </c>
    </row>
    <row r="1101">
      <c r="A1101" s="10" t="inlineStr">
        <is>
          <t>PJ-2022-G</t>
        </is>
      </c>
      <c r="B1101" s="10" t="inlineStr">
        <is>
          <t>素朴版／単調補間</t>
        </is>
      </c>
      <c r="C1101" s="10" t="inlineStr">
        <is>
          <t>2023-09</t>
        </is>
      </c>
      <c r="D1101" s="10" t="n">
        <v>20</v>
      </c>
      <c r="E1101" s="12" t="n">
        <v>13075.1</v>
      </c>
      <c r="F1101" s="12" t="n">
        <v>4269.9</v>
      </c>
      <c r="G1101" s="12" t="n">
        <v>8805.200000000001</v>
      </c>
      <c r="H1101" s="13" t="n">
        <v>0.8784</v>
      </c>
      <c r="I1101" s="13" t="n">
        <v>0.9518</v>
      </c>
    </row>
    <row r="1102">
      <c r="A1102" s="10" t="inlineStr">
        <is>
          <t>PJ-2022-G</t>
        </is>
      </c>
      <c r="B1102" s="10" t="inlineStr">
        <is>
          <t>素朴版／単調補間</t>
        </is>
      </c>
      <c r="C1102" s="10" t="inlineStr">
        <is>
          <t>2023-10</t>
        </is>
      </c>
      <c r="D1102" s="10" t="n">
        <v>21</v>
      </c>
      <c r="E1102" s="12" t="n">
        <v>10580.2</v>
      </c>
      <c r="F1102" s="12" t="n">
        <v>4101.6</v>
      </c>
      <c r="G1102" s="12" t="n">
        <v>6478.6</v>
      </c>
      <c r="H1102" s="13" t="n">
        <v>0.9236</v>
      </c>
      <c r="I1102" s="13" t="n">
        <v>0.9693000000000001</v>
      </c>
    </row>
    <row r="1103">
      <c r="A1103" s="10" t="inlineStr">
        <is>
          <t>PJ-2022-G</t>
        </is>
      </c>
      <c r="B1103" s="10" t="inlineStr">
        <is>
          <t>素朴版／単調補間</t>
        </is>
      </c>
      <c r="C1103" s="10" t="inlineStr">
        <is>
          <t>2023-11</t>
        </is>
      </c>
      <c r="D1103" s="10" t="n">
        <v>22</v>
      </c>
      <c r="E1103" s="12" t="n">
        <v>7978.2</v>
      </c>
      <c r="F1103" s="12" t="n">
        <v>3281.7</v>
      </c>
      <c r="G1103" s="12" t="n">
        <v>4696.5</v>
      </c>
      <c r="H1103" s="13" t="n">
        <v>0.9577</v>
      </c>
      <c r="I1103" s="13" t="n">
        <v>0.9834000000000001</v>
      </c>
    </row>
    <row r="1104">
      <c r="A1104" s="10" t="inlineStr">
        <is>
          <t>PJ-2022-G</t>
        </is>
      </c>
      <c r="B1104" s="10" t="inlineStr">
        <is>
          <t>素朴版／単調補間</t>
        </is>
      </c>
      <c r="C1104" s="10" t="inlineStr">
        <is>
          <t>2023-12</t>
        </is>
      </c>
      <c r="D1104" s="10" t="n">
        <v>23</v>
      </c>
      <c r="E1104" s="12" t="n">
        <v>6392.4</v>
      </c>
      <c r="F1104" s="12" t="n">
        <v>2964.5</v>
      </c>
      <c r="G1104" s="12" t="n">
        <v>3427.9</v>
      </c>
      <c r="H1104" s="13" t="n">
        <v>0.9851</v>
      </c>
      <c r="I1104" s="13" t="n">
        <v>0.996</v>
      </c>
    </row>
    <row r="1105">
      <c r="A1105" s="10" t="inlineStr">
        <is>
          <t>PJ-2022-G</t>
        </is>
      </c>
      <c r="B1105" s="10" t="inlineStr">
        <is>
          <t>素朴版／単調補間</t>
        </is>
      </c>
      <c r="C1105" s="10" t="inlineStr">
        <is>
          <t>2024-01</t>
        </is>
      </c>
      <c r="D1105" s="10" t="n">
        <v>24</v>
      </c>
      <c r="E1105" s="12" t="n">
        <v>3485.8</v>
      </c>
      <c r="F1105" s="12" t="n">
        <v>925</v>
      </c>
      <c r="G1105" s="12" t="n">
        <v>2560.8</v>
      </c>
      <c r="H1105" s="13" t="n">
        <v>1</v>
      </c>
      <c r="I1105" s="13" t="n">
        <v>1</v>
      </c>
    </row>
    <row r="1106">
      <c r="A1106" s="10" t="inlineStr">
        <is>
          <t>PJ-2022-G</t>
        </is>
      </c>
      <c r="B1106" s="10" t="inlineStr">
        <is>
          <t>位置合わせ(MS学習値)／単調補間</t>
        </is>
      </c>
      <c r="C1106" s="10" t="inlineStr">
        <is>
          <t>2022-02</t>
        </is>
      </c>
      <c r="D1106" s="10" t="n">
        <v>1</v>
      </c>
      <c r="E1106" s="12" t="n">
        <v>2923.2</v>
      </c>
      <c r="F1106" s="12" t="n">
        <v>9203.5</v>
      </c>
      <c r="G1106" s="12" t="n">
        <v>-6280.3</v>
      </c>
      <c r="H1106" s="13" t="n">
        <v>0.0125</v>
      </c>
      <c r="I1106" s="13" t="n">
        <v>0.0394</v>
      </c>
    </row>
    <row r="1107">
      <c r="A1107" s="10" t="inlineStr">
        <is>
          <t>PJ-2022-G</t>
        </is>
      </c>
      <c r="B1107" s="10" t="inlineStr">
        <is>
          <t>位置合わせ(MS学習値)／単調補間</t>
        </is>
      </c>
      <c r="C1107" s="10" t="inlineStr">
        <is>
          <t>2022-03</t>
        </is>
      </c>
      <c r="D1107" s="10" t="n">
        <v>2</v>
      </c>
      <c r="E1107" s="12" t="n">
        <v>4295.2</v>
      </c>
      <c r="F1107" s="12" t="n">
        <v>11045.5</v>
      </c>
      <c r="G1107" s="12" t="n">
        <v>-6750.3</v>
      </c>
      <c r="H1107" s="13" t="n">
        <v>0.0309</v>
      </c>
      <c r="I1107" s="13" t="n">
        <v>0.0866</v>
      </c>
    </row>
    <row r="1108">
      <c r="A1108" s="10" t="inlineStr">
        <is>
          <t>PJ-2022-G</t>
        </is>
      </c>
      <c r="B1108" s="10" t="inlineStr">
        <is>
          <t>位置合わせ(MS学習値)／単調補間</t>
        </is>
      </c>
      <c r="C1108" s="10" t="inlineStr">
        <is>
          <t>2022-04</t>
        </is>
      </c>
      <c r="D1108" s="10" t="n">
        <v>3</v>
      </c>
      <c r="E1108" s="12" t="n">
        <v>4966.5</v>
      </c>
      <c r="F1108" s="12" t="n">
        <v>10444.9</v>
      </c>
      <c r="G1108" s="12" t="n">
        <v>-5478.4</v>
      </c>
      <c r="H1108" s="13" t="n">
        <v>0.0521</v>
      </c>
      <c r="I1108" s="13" t="n">
        <v>0.1313</v>
      </c>
    </row>
    <row r="1109">
      <c r="A1109" s="10" t="inlineStr">
        <is>
          <t>PJ-2022-G</t>
        </is>
      </c>
      <c r="B1109" s="10" t="inlineStr">
        <is>
          <t>位置合わせ(MS学習値)／単調補間</t>
        </is>
      </c>
      <c r="C1109" s="10" t="inlineStr">
        <is>
          <t>2022-05</t>
        </is>
      </c>
      <c r="D1109" s="10" t="n">
        <v>4</v>
      </c>
      <c r="E1109" s="12" t="n">
        <v>5826.2</v>
      </c>
      <c r="F1109" s="12" t="n">
        <v>11771</v>
      </c>
      <c r="G1109" s="12" t="n">
        <v>-5944.8</v>
      </c>
      <c r="H1109" s="13" t="n">
        <v>0.077</v>
      </c>
      <c r="I1109" s="13" t="n">
        <v>0.1817</v>
      </c>
    </row>
    <row r="1110">
      <c r="A1110" s="10" t="inlineStr">
        <is>
          <t>PJ-2022-G</t>
        </is>
      </c>
      <c r="B1110" s="10" t="inlineStr">
        <is>
          <t>位置合わせ(MS学習値)／単調補間</t>
        </is>
      </c>
      <c r="C1110" s="10" t="inlineStr">
        <is>
          <t>2022-06</t>
        </is>
      </c>
      <c r="D1110" s="10" t="n">
        <v>5</v>
      </c>
      <c r="E1110" s="12" t="n">
        <v>5923.2</v>
      </c>
      <c r="F1110" s="12" t="n">
        <v>10986.1</v>
      </c>
      <c r="G1110" s="12" t="n">
        <v>-5062.9</v>
      </c>
      <c r="H1110" s="13" t="n">
        <v>0.1024</v>
      </c>
      <c r="I1110" s="13" t="n">
        <v>0.2287</v>
      </c>
    </row>
    <row r="1111">
      <c r="A1111" s="10" t="inlineStr">
        <is>
          <t>PJ-2022-G</t>
        </is>
      </c>
      <c r="B1111" s="10" t="inlineStr">
        <is>
          <t>位置合わせ(MS学習値)／単調補間</t>
        </is>
      </c>
      <c r="C1111" s="10" t="inlineStr">
        <is>
          <t>2022-07</t>
        </is>
      </c>
      <c r="D1111" s="10" t="n">
        <v>6</v>
      </c>
      <c r="E1111" s="12" t="n">
        <v>6707</v>
      </c>
      <c r="F1111" s="12" t="n">
        <v>12683.3</v>
      </c>
      <c r="G1111" s="12" t="n">
        <v>-5976.3</v>
      </c>
      <c r="H1111" s="13" t="n">
        <v>0.1311</v>
      </c>
      <c r="I1111" s="13" t="n">
        <v>0.2829</v>
      </c>
    </row>
    <row r="1112">
      <c r="A1112" s="10" t="inlineStr">
        <is>
          <t>PJ-2022-G</t>
        </is>
      </c>
      <c r="B1112" s="10" t="inlineStr">
        <is>
          <t>位置合わせ(MS学習値)／単調補間</t>
        </is>
      </c>
      <c r="C1112" s="10" t="inlineStr">
        <is>
          <t>2022-08</t>
        </is>
      </c>
      <c r="D1112" s="10" t="n">
        <v>7</v>
      </c>
      <c r="E1112" s="12" t="n">
        <v>7528.8</v>
      </c>
      <c r="F1112" s="12" t="n">
        <v>14085.9</v>
      </c>
      <c r="G1112" s="12" t="n">
        <v>-6557.1</v>
      </c>
      <c r="H1112" s="13" t="n">
        <v>0.1633</v>
      </c>
      <c r="I1112" s="13" t="n">
        <v>0.3432</v>
      </c>
    </row>
    <row r="1113">
      <c r="A1113" s="10" t="inlineStr">
        <is>
          <t>PJ-2022-G</t>
        </is>
      </c>
      <c r="B1113" s="10" t="inlineStr">
        <is>
          <t>位置合わせ(MS学習値)／単調補間</t>
        </is>
      </c>
      <c r="C1113" s="10" t="inlineStr">
        <is>
          <t>2022-09</t>
        </is>
      </c>
      <c r="D1113" s="10" t="n">
        <v>8</v>
      </c>
      <c r="E1113" s="12" t="n">
        <v>8411.4</v>
      </c>
      <c r="F1113" s="12" t="n">
        <v>16396.3</v>
      </c>
      <c r="G1113" s="12" t="n">
        <v>-7984.9</v>
      </c>
      <c r="H1113" s="13" t="n">
        <v>0.1993</v>
      </c>
      <c r="I1113" s="13" t="n">
        <v>0.4133</v>
      </c>
    </row>
    <row r="1114">
      <c r="A1114" s="10" t="inlineStr">
        <is>
          <t>PJ-2022-G</t>
        </is>
      </c>
      <c r="B1114" s="10" t="inlineStr">
        <is>
          <t>位置合わせ(MS学習値)／単調補間</t>
        </is>
      </c>
      <c r="C1114" s="10" t="inlineStr">
        <is>
          <t>2022-10</t>
        </is>
      </c>
      <c r="D1114" s="10" t="n">
        <v>9</v>
      </c>
      <c r="E1114" s="12" t="n">
        <v>10113.9</v>
      </c>
      <c r="F1114" s="12" t="n">
        <v>16496.9</v>
      </c>
      <c r="G1114" s="12" t="n">
        <v>-6383</v>
      </c>
      <c r="H1114" s="13" t="n">
        <v>0.2425</v>
      </c>
      <c r="I1114" s="13" t="n">
        <v>0.4839</v>
      </c>
    </row>
    <row r="1115">
      <c r="A1115" s="10" t="inlineStr">
        <is>
          <t>PJ-2022-G</t>
        </is>
      </c>
      <c r="B1115" s="10" t="inlineStr">
        <is>
          <t>位置合わせ(MS学習値)／単調補間</t>
        </is>
      </c>
      <c r="C1115" s="10" t="inlineStr">
        <is>
          <t>2022-11</t>
        </is>
      </c>
      <c r="D1115" s="10" t="n">
        <v>10</v>
      </c>
      <c r="E1115" s="12" t="n">
        <v>10801.7</v>
      </c>
      <c r="F1115" s="12" t="n">
        <v>15571.5</v>
      </c>
      <c r="G1115" s="12" t="n">
        <v>-4769.8</v>
      </c>
      <c r="H1115" s="13" t="n">
        <v>0.2887</v>
      </c>
      <c r="I1115" s="13" t="n">
        <v>0.5505</v>
      </c>
    </row>
    <row r="1116">
      <c r="A1116" s="10" t="inlineStr">
        <is>
          <t>PJ-2022-G</t>
        </is>
      </c>
      <c r="B1116" s="10" t="inlineStr">
        <is>
          <t>位置合わせ(MS学習値)／単調補間</t>
        </is>
      </c>
      <c r="C1116" s="10" t="inlineStr">
        <is>
          <t>2022-12</t>
        </is>
      </c>
      <c r="D1116" s="10" t="n">
        <v>11</v>
      </c>
      <c r="E1116" s="12" t="n">
        <v>12420.1</v>
      </c>
      <c r="F1116" s="12" t="n">
        <v>12580.5</v>
      </c>
      <c r="G1116" s="12" t="n">
        <v>-160.4</v>
      </c>
      <c r="H1116" s="13" t="n">
        <v>0.3419</v>
      </c>
      <c r="I1116" s="13" t="n">
        <v>0.6042999999999999</v>
      </c>
    </row>
    <row r="1117">
      <c r="A1117" s="10" t="inlineStr">
        <is>
          <t>PJ-2022-G</t>
        </is>
      </c>
      <c r="B1117" s="10" t="inlineStr">
        <is>
          <t>位置合わせ(MS学習値)／単調補間</t>
        </is>
      </c>
      <c r="C1117" s="10" t="inlineStr">
        <is>
          <t>2023-01</t>
        </is>
      </c>
      <c r="D1117" s="10" t="n">
        <v>12</v>
      </c>
      <c r="E1117" s="12" t="n">
        <v>14386.9</v>
      </c>
      <c r="F1117" s="12" t="n">
        <v>10581</v>
      </c>
      <c r="G1117" s="12" t="n">
        <v>3805.9</v>
      </c>
      <c r="H1117" s="13" t="n">
        <v>0.4034</v>
      </c>
      <c r="I1117" s="13" t="n">
        <v>0.6496</v>
      </c>
    </row>
    <row r="1118">
      <c r="A1118" s="10" t="inlineStr">
        <is>
          <t>PJ-2022-G</t>
        </is>
      </c>
      <c r="B1118" s="10" t="inlineStr">
        <is>
          <t>位置合わせ(MS学習値)／単調補間</t>
        </is>
      </c>
      <c r="C1118" s="10" t="inlineStr">
        <is>
          <t>2023-02</t>
        </is>
      </c>
      <c r="D1118" s="10" t="n">
        <v>13</v>
      </c>
      <c r="E1118" s="12" t="n">
        <v>13423.1</v>
      </c>
      <c r="F1118" s="12" t="n">
        <v>9159.700000000001</v>
      </c>
      <c r="G1118" s="12" t="n">
        <v>4263.4</v>
      </c>
      <c r="H1118" s="13" t="n">
        <v>0.4608</v>
      </c>
      <c r="I1118" s="13" t="n">
        <v>0.6888</v>
      </c>
    </row>
    <row r="1119">
      <c r="A1119" s="10" t="inlineStr">
        <is>
          <t>PJ-2022-G</t>
        </is>
      </c>
      <c r="B1119" s="10" t="inlineStr">
        <is>
          <t>位置合わせ(MS学習値)／単調補間</t>
        </is>
      </c>
      <c r="C1119" s="10" t="inlineStr">
        <is>
          <t>2023-03</t>
        </is>
      </c>
      <c r="D1119" s="10" t="n">
        <v>14</v>
      </c>
      <c r="E1119" s="12" t="n">
        <v>15066.3</v>
      </c>
      <c r="F1119" s="12" t="n">
        <v>10036.4</v>
      </c>
      <c r="G1119" s="12" t="n">
        <v>5029.9</v>
      </c>
      <c r="H1119" s="13" t="n">
        <v>0.5253</v>
      </c>
      <c r="I1119" s="13" t="n">
        <v>0.7317</v>
      </c>
    </row>
    <row r="1120">
      <c r="A1120" s="10" t="inlineStr">
        <is>
          <t>PJ-2022-G</t>
        </is>
      </c>
      <c r="B1120" s="10" t="inlineStr">
        <is>
          <t>位置合わせ(MS学習値)／単調補間</t>
        </is>
      </c>
      <c r="C1120" s="10" t="inlineStr">
        <is>
          <t>2023-04</t>
        </is>
      </c>
      <c r="D1120" s="10" t="n">
        <v>15</v>
      </c>
      <c r="E1120" s="12" t="n">
        <v>14323.2</v>
      </c>
      <c r="F1120" s="12" t="n">
        <v>11511.6</v>
      </c>
      <c r="G1120" s="12" t="n">
        <v>2811.6</v>
      </c>
      <c r="H1120" s="13" t="n">
        <v>0.5866</v>
      </c>
      <c r="I1120" s="13" t="n">
        <v>0.7809</v>
      </c>
    </row>
    <row r="1121">
      <c r="A1121" s="10" t="inlineStr">
        <is>
          <t>PJ-2022-G</t>
        </is>
      </c>
      <c r="B1121" s="10" t="inlineStr">
        <is>
          <t>位置合わせ(MS学習値)／単調補間</t>
        </is>
      </c>
      <c r="C1121" s="10" t="inlineStr">
        <is>
          <t>2023-05</t>
        </is>
      </c>
      <c r="D1121" s="10" t="n">
        <v>16</v>
      </c>
      <c r="E1121" s="12" t="n">
        <v>14616.2</v>
      </c>
      <c r="F1121" s="12" t="n">
        <v>12070.3</v>
      </c>
      <c r="G1121" s="12" t="n">
        <v>2545.9</v>
      </c>
      <c r="H1121" s="13" t="n">
        <v>0.6491</v>
      </c>
      <c r="I1121" s="13" t="n">
        <v>0.8326</v>
      </c>
    </row>
    <row r="1122">
      <c r="A1122" s="10" t="inlineStr">
        <is>
          <t>PJ-2022-G</t>
        </is>
      </c>
      <c r="B1122" s="10" t="inlineStr">
        <is>
          <t>位置合わせ(MS学習値)／単調補間</t>
        </is>
      </c>
      <c r="C1122" s="10" t="inlineStr">
        <is>
          <t>2023-06</t>
        </is>
      </c>
      <c r="D1122" s="10" t="n">
        <v>17</v>
      </c>
      <c r="E1122" s="12" t="n">
        <v>14848.7</v>
      </c>
      <c r="F1122" s="12" t="n">
        <v>10093.2</v>
      </c>
      <c r="G1122" s="12" t="n">
        <v>4755.5</v>
      </c>
      <c r="H1122" s="13" t="n">
        <v>0.7126</v>
      </c>
      <c r="I1122" s="13" t="n">
        <v>0.8758</v>
      </c>
    </row>
    <row r="1123">
      <c r="A1123" s="10" t="inlineStr">
        <is>
          <t>PJ-2022-G</t>
        </is>
      </c>
      <c r="B1123" s="10" t="inlineStr">
        <is>
          <t>位置合わせ(MS学習値)／単調補間</t>
        </is>
      </c>
      <c r="C1123" s="10" t="inlineStr">
        <is>
          <t>2023-07</t>
        </is>
      </c>
      <c r="D1123" s="10" t="n">
        <v>18</v>
      </c>
      <c r="E1123" s="12" t="n">
        <v>15121.8</v>
      </c>
      <c r="F1123" s="12" t="n">
        <v>8162.9</v>
      </c>
      <c r="G1123" s="12" t="n">
        <v>6958.9</v>
      </c>
      <c r="H1123" s="13" t="n">
        <v>0.7773</v>
      </c>
      <c r="I1123" s="13" t="n">
        <v>0.9107</v>
      </c>
    </row>
    <row r="1124">
      <c r="A1124" s="10" t="inlineStr">
        <is>
          <t>PJ-2022-G</t>
        </is>
      </c>
      <c r="B1124" s="10" t="inlineStr">
        <is>
          <t>位置合わせ(MS学習値)／単調補間</t>
        </is>
      </c>
      <c r="C1124" s="10" t="inlineStr">
        <is>
          <t>2023-08</t>
        </is>
      </c>
      <c r="D1124" s="10" t="n">
        <v>19</v>
      </c>
      <c r="E1124" s="12" t="n">
        <v>12863.9</v>
      </c>
      <c r="F1124" s="12" t="n">
        <v>5336.7</v>
      </c>
      <c r="G1124" s="12" t="n">
        <v>7527.2</v>
      </c>
      <c r="H1124" s="13" t="n">
        <v>0.8323</v>
      </c>
      <c r="I1124" s="13" t="n">
        <v>0.9335</v>
      </c>
    </row>
    <row r="1125">
      <c r="A1125" s="10" t="inlineStr">
        <is>
          <t>PJ-2022-G</t>
        </is>
      </c>
      <c r="B1125" s="10" t="inlineStr">
        <is>
          <t>位置合わせ(MS学習値)／単調補間</t>
        </is>
      </c>
      <c r="C1125" s="10" t="inlineStr">
        <is>
          <t>2023-09</t>
        </is>
      </c>
      <c r="D1125" s="10" t="n">
        <v>20</v>
      </c>
      <c r="E1125" s="12" t="n">
        <v>11680.3</v>
      </c>
      <c r="F1125" s="12" t="n">
        <v>4269.9</v>
      </c>
      <c r="G1125" s="12" t="n">
        <v>7410.4</v>
      </c>
      <c r="H1125" s="13" t="n">
        <v>0.8823</v>
      </c>
      <c r="I1125" s="13" t="n">
        <v>0.9518</v>
      </c>
    </row>
    <row r="1126">
      <c r="A1126" s="10" t="inlineStr">
        <is>
          <t>PJ-2022-G</t>
        </is>
      </c>
      <c r="B1126" s="10" t="inlineStr">
        <is>
          <t>位置合わせ(MS学習値)／単調補間</t>
        </is>
      </c>
      <c r="C1126" s="10" t="inlineStr">
        <is>
          <t>2023-10</t>
        </is>
      </c>
      <c r="D1126" s="10" t="n">
        <v>21</v>
      </c>
      <c r="E1126" s="12" t="n">
        <v>9775.9</v>
      </c>
      <c r="F1126" s="12" t="n">
        <v>4101.6</v>
      </c>
      <c r="G1126" s="12" t="n">
        <v>5674.3</v>
      </c>
      <c r="H1126" s="13" t="n">
        <v>0.9241</v>
      </c>
      <c r="I1126" s="13" t="n">
        <v>0.9693000000000001</v>
      </c>
    </row>
    <row r="1127">
      <c r="A1127" s="10" t="inlineStr">
        <is>
          <t>PJ-2022-G</t>
        </is>
      </c>
      <c r="B1127" s="10" t="inlineStr">
        <is>
          <t>位置合わせ(MS学習値)／単調補間</t>
        </is>
      </c>
      <c r="C1127" s="10" t="inlineStr">
        <is>
          <t>2023-11</t>
        </is>
      </c>
      <c r="D1127" s="10" t="n">
        <v>22</v>
      </c>
      <c r="E1127" s="12" t="n">
        <v>8065.2</v>
      </c>
      <c r="F1127" s="12" t="n">
        <v>3281.7</v>
      </c>
      <c r="G1127" s="12" t="n">
        <v>4783.5</v>
      </c>
      <c r="H1127" s="13" t="n">
        <v>0.9586</v>
      </c>
      <c r="I1127" s="13" t="n">
        <v>0.9834000000000001</v>
      </c>
    </row>
    <row r="1128">
      <c r="A1128" s="10" t="inlineStr">
        <is>
          <t>PJ-2022-G</t>
        </is>
      </c>
      <c r="B1128" s="10" t="inlineStr">
        <is>
          <t>位置合わせ(MS学習値)／単調補間</t>
        </is>
      </c>
      <c r="C1128" s="10" t="inlineStr">
        <is>
          <t>2023-12</t>
        </is>
      </c>
      <c r="D1128" s="10" t="n">
        <v>23</v>
      </c>
      <c r="E1128" s="12" t="n">
        <v>6334.9</v>
      </c>
      <c r="F1128" s="12" t="n">
        <v>2964.5</v>
      </c>
      <c r="G1128" s="12" t="n">
        <v>3370.4</v>
      </c>
      <c r="H1128" s="13" t="n">
        <v>0.9857</v>
      </c>
      <c r="I1128" s="13" t="n">
        <v>0.996</v>
      </c>
    </row>
    <row r="1129">
      <c r="A1129" s="10" t="inlineStr">
        <is>
          <t>PJ-2022-G</t>
        </is>
      </c>
      <c r="B1129" s="10" t="inlineStr">
        <is>
          <t>位置合わせ(MS学習値)／単調補間</t>
        </is>
      </c>
      <c r="C1129" s="10" t="inlineStr">
        <is>
          <t>2024-01</t>
        </is>
      </c>
      <c r="D1129" s="10" t="n">
        <v>24</v>
      </c>
      <c r="E1129" s="12" t="n">
        <v>3336.5</v>
      </c>
      <c r="F1129" s="12" t="n">
        <v>925</v>
      </c>
      <c r="G1129" s="12" t="n">
        <v>2411.5</v>
      </c>
      <c r="H1129" s="13" t="n">
        <v>1</v>
      </c>
      <c r="I1129" s="13" t="n">
        <v>1</v>
      </c>
    </row>
    <row r="1130">
      <c r="A1130" s="10" t="inlineStr">
        <is>
          <t>PJ-2022-G</t>
        </is>
      </c>
      <c r="B1130" s="10" t="inlineStr">
        <is>
          <t>位置合わせ(MS指定)／単調補間</t>
        </is>
      </c>
      <c r="C1130" s="10" t="inlineStr">
        <is>
          <t>2022-02</t>
        </is>
      </c>
      <c r="D1130" s="10" t="n">
        <v>1</v>
      </c>
      <c r="E1130" s="12" t="n">
        <v>3051.1</v>
      </c>
      <c r="F1130" s="12" t="n">
        <v>9203.5</v>
      </c>
      <c r="G1130" s="12" t="n">
        <v>-6152.4</v>
      </c>
      <c r="H1130" s="13" t="n">
        <v>0.0131</v>
      </c>
      <c r="I1130" s="13" t="n">
        <v>0.0394</v>
      </c>
    </row>
    <row r="1131">
      <c r="A1131" s="10" t="inlineStr">
        <is>
          <t>PJ-2022-G</t>
        </is>
      </c>
      <c r="B1131" s="10" t="inlineStr">
        <is>
          <t>位置合わせ(MS指定)／単調補間</t>
        </is>
      </c>
      <c r="C1131" s="10" t="inlineStr">
        <is>
          <t>2022-03</t>
        </is>
      </c>
      <c r="D1131" s="10" t="n">
        <v>2</v>
      </c>
      <c r="E1131" s="12" t="n">
        <v>4546.2</v>
      </c>
      <c r="F1131" s="12" t="n">
        <v>11045.5</v>
      </c>
      <c r="G1131" s="12" t="n">
        <v>-6499.3</v>
      </c>
      <c r="H1131" s="13" t="n">
        <v>0.0325</v>
      </c>
      <c r="I1131" s="13" t="n">
        <v>0.0866</v>
      </c>
    </row>
    <row r="1132">
      <c r="A1132" s="10" t="inlineStr">
        <is>
          <t>PJ-2022-G</t>
        </is>
      </c>
      <c r="B1132" s="10" t="inlineStr">
        <is>
          <t>位置合わせ(MS指定)／単調補間</t>
        </is>
      </c>
      <c r="C1132" s="10" t="inlineStr">
        <is>
          <t>2022-04</t>
        </is>
      </c>
      <c r="D1132" s="10" t="n">
        <v>3</v>
      </c>
      <c r="E1132" s="12" t="n">
        <v>5262</v>
      </c>
      <c r="F1132" s="12" t="n">
        <v>10444.9</v>
      </c>
      <c r="G1132" s="12" t="n">
        <v>-5182.9</v>
      </c>
      <c r="H1132" s="13" t="n">
        <v>0.055</v>
      </c>
      <c r="I1132" s="13" t="n">
        <v>0.1313</v>
      </c>
    </row>
    <row r="1133">
      <c r="A1133" s="10" t="inlineStr">
        <is>
          <t>PJ-2022-G</t>
        </is>
      </c>
      <c r="B1133" s="10" t="inlineStr">
        <is>
          <t>位置合わせ(MS指定)／単調補間</t>
        </is>
      </c>
      <c r="C1133" s="10" t="inlineStr">
        <is>
          <t>2022-05</t>
        </is>
      </c>
      <c r="D1133" s="10" t="n">
        <v>4</v>
      </c>
      <c r="E1133" s="12" t="n">
        <v>6126.8</v>
      </c>
      <c r="F1133" s="12" t="n">
        <v>11771</v>
      </c>
      <c r="G1133" s="12" t="n">
        <v>-5644.2</v>
      </c>
      <c r="H1133" s="13" t="n">
        <v>0.08119999999999999</v>
      </c>
      <c r="I1133" s="13" t="n">
        <v>0.1817</v>
      </c>
    </row>
    <row r="1134">
      <c r="A1134" s="10" t="inlineStr">
        <is>
          <t>PJ-2022-G</t>
        </is>
      </c>
      <c r="B1134" s="10" t="inlineStr">
        <is>
          <t>位置合わせ(MS指定)／単調補間</t>
        </is>
      </c>
      <c r="C1134" s="10" t="inlineStr">
        <is>
          <t>2022-06</t>
        </is>
      </c>
      <c r="D1134" s="10" t="n">
        <v>5</v>
      </c>
      <c r="E1134" s="12" t="n">
        <v>6281.5</v>
      </c>
      <c r="F1134" s="12" t="n">
        <v>10986.1</v>
      </c>
      <c r="G1134" s="12" t="n">
        <v>-4704.6</v>
      </c>
      <c r="H1134" s="13" t="n">
        <v>0.1081</v>
      </c>
      <c r="I1134" s="13" t="n">
        <v>0.2287</v>
      </c>
    </row>
    <row r="1135">
      <c r="A1135" s="10" t="inlineStr">
        <is>
          <t>PJ-2022-G</t>
        </is>
      </c>
      <c r="B1135" s="10" t="inlineStr">
        <is>
          <t>位置合わせ(MS指定)／単調補間</t>
        </is>
      </c>
      <c r="C1135" s="10" t="inlineStr">
        <is>
          <t>2022-07</t>
        </is>
      </c>
      <c r="D1135" s="10" t="n">
        <v>6</v>
      </c>
      <c r="E1135" s="12" t="n">
        <v>7161</v>
      </c>
      <c r="F1135" s="12" t="n">
        <v>12683.3</v>
      </c>
      <c r="G1135" s="12" t="n">
        <v>-5522.3</v>
      </c>
      <c r="H1135" s="13" t="n">
        <v>0.1387</v>
      </c>
      <c r="I1135" s="13" t="n">
        <v>0.2829</v>
      </c>
    </row>
    <row r="1136">
      <c r="A1136" s="10" t="inlineStr">
        <is>
          <t>PJ-2022-G</t>
        </is>
      </c>
      <c r="B1136" s="10" t="inlineStr">
        <is>
          <t>位置合わせ(MS指定)／単調補間</t>
        </is>
      </c>
      <c r="C1136" s="10" t="inlineStr">
        <is>
          <t>2022-08</t>
        </is>
      </c>
      <c r="D1136" s="10" t="n">
        <v>7</v>
      </c>
      <c r="E1136" s="12" t="n">
        <v>8084.7</v>
      </c>
      <c r="F1136" s="12" t="n">
        <v>14085.9</v>
      </c>
      <c r="G1136" s="12" t="n">
        <v>-6001.2</v>
      </c>
      <c r="H1136" s="13" t="n">
        <v>0.1733</v>
      </c>
      <c r="I1136" s="13" t="n">
        <v>0.3432</v>
      </c>
    </row>
    <row r="1137">
      <c r="A1137" s="10" t="inlineStr">
        <is>
          <t>PJ-2022-G</t>
        </is>
      </c>
      <c r="B1137" s="10" t="inlineStr">
        <is>
          <t>位置合わせ(MS指定)／単調補間</t>
        </is>
      </c>
      <c r="C1137" s="10" t="inlineStr">
        <is>
          <t>2022-09</t>
        </is>
      </c>
      <c r="D1137" s="10" t="n">
        <v>8</v>
      </c>
      <c r="E1137" s="12" t="n">
        <v>9340.1</v>
      </c>
      <c r="F1137" s="12" t="n">
        <v>16396.3</v>
      </c>
      <c r="G1137" s="12" t="n">
        <v>-7056.2</v>
      </c>
      <c r="H1137" s="13" t="n">
        <v>0.2133</v>
      </c>
      <c r="I1137" s="13" t="n">
        <v>0.4133</v>
      </c>
    </row>
    <row r="1138">
      <c r="A1138" s="10" t="inlineStr">
        <is>
          <t>PJ-2022-G</t>
        </is>
      </c>
      <c r="B1138" s="10" t="inlineStr">
        <is>
          <t>位置合わせ(MS指定)／単調補間</t>
        </is>
      </c>
      <c r="C1138" s="10" t="inlineStr">
        <is>
          <t>2022-10</t>
        </is>
      </c>
      <c r="D1138" s="10" t="n">
        <v>9</v>
      </c>
      <c r="E1138" s="12" t="n">
        <v>10822.7</v>
      </c>
      <c r="F1138" s="12" t="n">
        <v>16496.9</v>
      </c>
      <c r="G1138" s="12" t="n">
        <v>-5674.2</v>
      </c>
      <c r="H1138" s="13" t="n">
        <v>0.2596</v>
      </c>
      <c r="I1138" s="13" t="n">
        <v>0.4839</v>
      </c>
    </row>
    <row r="1139">
      <c r="A1139" s="10" t="inlineStr">
        <is>
          <t>PJ-2022-G</t>
        </is>
      </c>
      <c r="B1139" s="10" t="inlineStr">
        <is>
          <t>位置合わせ(MS指定)／単調補間</t>
        </is>
      </c>
      <c r="C1139" s="10" t="inlineStr">
        <is>
          <t>2022-11</t>
        </is>
      </c>
      <c r="D1139" s="10" t="n">
        <v>10</v>
      </c>
      <c r="E1139" s="12" t="n">
        <v>11730.8</v>
      </c>
      <c r="F1139" s="12" t="n">
        <v>15571.5</v>
      </c>
      <c r="G1139" s="12" t="n">
        <v>-3840.7</v>
      </c>
      <c r="H1139" s="13" t="n">
        <v>0.3097</v>
      </c>
      <c r="I1139" s="13" t="n">
        <v>0.5505</v>
      </c>
    </row>
    <row r="1140">
      <c r="A1140" s="10" t="inlineStr">
        <is>
          <t>PJ-2022-G</t>
        </is>
      </c>
      <c r="B1140" s="10" t="inlineStr">
        <is>
          <t>位置合わせ(MS指定)／単調補間</t>
        </is>
      </c>
      <c r="C1140" s="10" t="inlineStr">
        <is>
          <t>2022-12</t>
        </is>
      </c>
      <c r="D1140" s="10" t="n">
        <v>11</v>
      </c>
      <c r="E1140" s="12" t="n">
        <v>13850.7</v>
      </c>
      <c r="F1140" s="12" t="n">
        <v>12580.5</v>
      </c>
      <c r="G1140" s="12" t="n">
        <v>1270.2</v>
      </c>
      <c r="H1140" s="13" t="n">
        <v>0.369</v>
      </c>
      <c r="I1140" s="13" t="n">
        <v>0.6042999999999999</v>
      </c>
    </row>
    <row r="1141">
      <c r="A1141" s="10" t="inlineStr">
        <is>
          <t>PJ-2022-G</t>
        </is>
      </c>
      <c r="B1141" s="10" t="inlineStr">
        <is>
          <t>位置合わせ(MS指定)／単調補間</t>
        </is>
      </c>
      <c r="C1141" s="10" t="inlineStr">
        <is>
          <t>2023-01</t>
        </is>
      </c>
      <c r="D1141" s="10" t="n">
        <v>12</v>
      </c>
      <c r="E1141" s="12" t="n">
        <v>14905</v>
      </c>
      <c r="F1141" s="12" t="n">
        <v>10581</v>
      </c>
      <c r="G1141" s="12" t="n">
        <v>4324</v>
      </c>
      <c r="H1141" s="13" t="n">
        <v>0.4328</v>
      </c>
      <c r="I1141" s="13" t="n">
        <v>0.6496</v>
      </c>
    </row>
    <row r="1142">
      <c r="A1142" s="10" t="inlineStr">
        <is>
          <t>PJ-2022-G</t>
        </is>
      </c>
      <c r="B1142" s="10" t="inlineStr">
        <is>
          <t>位置合わせ(MS指定)／単調補間</t>
        </is>
      </c>
      <c r="C1142" s="10" t="inlineStr">
        <is>
          <t>2023-02</t>
        </is>
      </c>
      <c r="D1142" s="10" t="n">
        <v>13</v>
      </c>
      <c r="E1142" s="12" t="n">
        <v>13059.4</v>
      </c>
      <c r="F1142" s="12" t="n">
        <v>9159.700000000001</v>
      </c>
      <c r="G1142" s="12" t="n">
        <v>3899.7</v>
      </c>
      <c r="H1142" s="13" t="n">
        <v>0.4886</v>
      </c>
      <c r="I1142" s="13" t="n">
        <v>0.6888</v>
      </c>
    </row>
    <row r="1143">
      <c r="A1143" s="10" t="inlineStr">
        <is>
          <t>PJ-2022-G</t>
        </is>
      </c>
      <c r="B1143" s="10" t="inlineStr">
        <is>
          <t>位置合わせ(MS指定)／単調補間</t>
        </is>
      </c>
      <c r="C1143" s="10" t="inlineStr">
        <is>
          <t>2023-03</t>
        </is>
      </c>
      <c r="D1143" s="10" t="n">
        <v>14</v>
      </c>
      <c r="E1143" s="12" t="n">
        <v>14506</v>
      </c>
      <c r="F1143" s="12" t="n">
        <v>10036.4</v>
      </c>
      <c r="G1143" s="12" t="n">
        <v>4469.6</v>
      </c>
      <c r="H1143" s="13" t="n">
        <v>0.5507</v>
      </c>
      <c r="I1143" s="13" t="n">
        <v>0.7317</v>
      </c>
    </row>
    <row r="1144">
      <c r="A1144" s="10" t="inlineStr">
        <is>
          <t>PJ-2022-G</t>
        </is>
      </c>
      <c r="B1144" s="10" t="inlineStr">
        <is>
          <t>位置合わせ(MS指定)／単調補間</t>
        </is>
      </c>
      <c r="C1144" s="10" t="inlineStr">
        <is>
          <t>2023-04</t>
        </is>
      </c>
      <c r="D1144" s="10" t="n">
        <v>15</v>
      </c>
      <c r="E1144" s="12" t="n">
        <v>13646.4</v>
      </c>
      <c r="F1144" s="12" t="n">
        <v>11511.6</v>
      </c>
      <c r="G1144" s="12" t="n">
        <v>2134.8</v>
      </c>
      <c r="H1144" s="13" t="n">
        <v>0.6091</v>
      </c>
      <c r="I1144" s="13" t="n">
        <v>0.7809</v>
      </c>
    </row>
    <row r="1145">
      <c r="A1145" s="10" t="inlineStr">
        <is>
          <t>PJ-2022-G</t>
        </is>
      </c>
      <c r="B1145" s="10" t="inlineStr">
        <is>
          <t>位置合わせ(MS指定)／単調補間</t>
        </is>
      </c>
      <c r="C1145" s="10" t="inlineStr">
        <is>
          <t>2023-05</t>
        </is>
      </c>
      <c r="D1145" s="10" t="n">
        <v>16</v>
      </c>
      <c r="E1145" s="12" t="n">
        <v>14399.1</v>
      </c>
      <c r="F1145" s="12" t="n">
        <v>12070.3</v>
      </c>
      <c r="G1145" s="12" t="n">
        <v>2328.8</v>
      </c>
      <c r="H1145" s="13" t="n">
        <v>0.6707</v>
      </c>
      <c r="I1145" s="13" t="n">
        <v>0.8326</v>
      </c>
    </row>
    <row r="1146">
      <c r="A1146" s="10" t="inlineStr">
        <is>
          <t>PJ-2022-G</t>
        </is>
      </c>
      <c r="B1146" s="10" t="inlineStr">
        <is>
          <t>位置合わせ(MS指定)／単調補間</t>
        </is>
      </c>
      <c r="C1146" s="10" t="inlineStr">
        <is>
          <t>2023-06</t>
        </is>
      </c>
      <c r="D1146" s="10" t="n">
        <v>17</v>
      </c>
      <c r="E1146" s="12" t="n">
        <v>14249.7</v>
      </c>
      <c r="F1146" s="12" t="n">
        <v>10093.2</v>
      </c>
      <c r="G1146" s="12" t="n">
        <v>4156.5</v>
      </c>
      <c r="H1146" s="13" t="n">
        <v>0.7316</v>
      </c>
      <c r="I1146" s="13" t="n">
        <v>0.8758</v>
      </c>
    </row>
    <row r="1147">
      <c r="A1147" s="10" t="inlineStr">
        <is>
          <t>PJ-2022-G</t>
        </is>
      </c>
      <c r="B1147" s="10" t="inlineStr">
        <is>
          <t>位置合わせ(MS指定)／単調補間</t>
        </is>
      </c>
      <c r="C1147" s="10" t="inlineStr">
        <is>
          <t>2023-07</t>
        </is>
      </c>
      <c r="D1147" s="10" t="n">
        <v>18</v>
      </c>
      <c r="E1147" s="12" t="n">
        <v>13214.2</v>
      </c>
      <c r="F1147" s="12" t="n">
        <v>8162.9</v>
      </c>
      <c r="G1147" s="12" t="n">
        <v>5051.3</v>
      </c>
      <c r="H1147" s="13" t="n">
        <v>0.7881</v>
      </c>
      <c r="I1147" s="13" t="n">
        <v>0.9107</v>
      </c>
    </row>
    <row r="1148">
      <c r="A1148" s="10" t="inlineStr">
        <is>
          <t>PJ-2022-G</t>
        </is>
      </c>
      <c r="B1148" s="10" t="inlineStr">
        <is>
          <t>位置合わせ(MS指定)／単調補間</t>
        </is>
      </c>
      <c r="C1148" s="10" t="inlineStr">
        <is>
          <t>2023-08</t>
        </is>
      </c>
      <c r="D1148" s="10" t="n">
        <v>19</v>
      </c>
      <c r="E1148" s="12" t="n">
        <v>10477.4</v>
      </c>
      <c r="F1148" s="12" t="n">
        <v>5336.7</v>
      </c>
      <c r="G1148" s="12" t="n">
        <v>5140.7</v>
      </c>
      <c r="H1148" s="13" t="n">
        <v>0.833</v>
      </c>
      <c r="I1148" s="13" t="n">
        <v>0.9335</v>
      </c>
    </row>
    <row r="1149">
      <c r="A1149" s="10" t="inlineStr">
        <is>
          <t>PJ-2022-G</t>
        </is>
      </c>
      <c r="B1149" s="10" t="inlineStr">
        <is>
          <t>位置合わせ(MS指定)／単調補間</t>
        </is>
      </c>
      <c r="C1149" s="10" t="inlineStr">
        <is>
          <t>2023-09</t>
        </is>
      </c>
      <c r="D1149" s="10" t="n">
        <v>20</v>
      </c>
      <c r="E1149" s="12" t="n">
        <v>9609.9</v>
      </c>
      <c r="F1149" s="12" t="n">
        <v>4269.9</v>
      </c>
      <c r="G1149" s="12" t="n">
        <v>5340</v>
      </c>
      <c r="H1149" s="13" t="n">
        <v>0.8741</v>
      </c>
      <c r="I1149" s="13" t="n">
        <v>0.9518</v>
      </c>
    </row>
    <row r="1150">
      <c r="A1150" s="10" t="inlineStr">
        <is>
          <t>PJ-2022-G</t>
        </is>
      </c>
      <c r="B1150" s="10" t="inlineStr">
        <is>
          <t>位置合わせ(MS指定)／単調補間</t>
        </is>
      </c>
      <c r="C1150" s="10" t="inlineStr">
        <is>
          <t>2023-10</t>
        </is>
      </c>
      <c r="D1150" s="10" t="n">
        <v>21</v>
      </c>
      <c r="E1150" s="12" t="n">
        <v>8578.4</v>
      </c>
      <c r="F1150" s="12" t="n">
        <v>4101.6</v>
      </c>
      <c r="G1150" s="12" t="n">
        <v>4476.8</v>
      </c>
      <c r="H1150" s="13" t="n">
        <v>0.9108000000000001</v>
      </c>
      <c r="I1150" s="13" t="n">
        <v>0.9693000000000001</v>
      </c>
    </row>
    <row r="1151">
      <c r="A1151" s="10" t="inlineStr">
        <is>
          <t>PJ-2022-G</t>
        </is>
      </c>
      <c r="B1151" s="10" t="inlineStr">
        <is>
          <t>位置合わせ(MS指定)／単調補間</t>
        </is>
      </c>
      <c r="C1151" s="10" t="inlineStr">
        <is>
          <t>2023-11</t>
        </is>
      </c>
      <c r="D1151" s="10" t="n">
        <v>22</v>
      </c>
      <c r="E1151" s="12" t="n">
        <v>6918.3</v>
      </c>
      <c r="F1151" s="12" t="n">
        <v>3281.7</v>
      </c>
      <c r="G1151" s="12" t="n">
        <v>3636.6</v>
      </c>
      <c r="H1151" s="13" t="n">
        <v>0.9404</v>
      </c>
      <c r="I1151" s="13" t="n">
        <v>0.9834000000000001</v>
      </c>
    </row>
    <row r="1152">
      <c r="A1152" s="10" t="inlineStr">
        <is>
          <t>PJ-2022-G</t>
        </is>
      </c>
      <c r="B1152" s="10" t="inlineStr">
        <is>
          <t>位置合わせ(MS指定)／単調補間</t>
        </is>
      </c>
      <c r="C1152" s="10" t="inlineStr">
        <is>
          <t>2023-12</t>
        </is>
      </c>
      <c r="D1152" s="10" t="n">
        <v>23</v>
      </c>
      <c r="E1152" s="12" t="n">
        <v>8384.9</v>
      </c>
      <c r="F1152" s="12" t="n">
        <v>2964.5</v>
      </c>
      <c r="G1152" s="12" t="n">
        <v>5420.4</v>
      </c>
      <c r="H1152" s="13" t="n">
        <v>0.9762</v>
      </c>
      <c r="I1152" s="13" t="n">
        <v>0.996</v>
      </c>
    </row>
    <row r="1153">
      <c r="A1153" s="10" t="inlineStr">
        <is>
          <t>PJ-2022-G</t>
        </is>
      </c>
      <c r="B1153" s="10" t="inlineStr">
        <is>
          <t>位置合わせ(MS指定)／単調補間</t>
        </is>
      </c>
      <c r="C1153" s="10" t="inlineStr">
        <is>
          <t>2024-01</t>
        </is>
      </c>
      <c r="D1153" s="10" t="n">
        <v>24</v>
      </c>
      <c r="E1153" s="12" t="n">
        <v>5553.5</v>
      </c>
      <c r="F1153" s="12" t="n">
        <v>925</v>
      </c>
      <c r="G1153" s="12" t="n">
        <v>4628.5</v>
      </c>
      <c r="H1153" s="13" t="n">
        <v>1</v>
      </c>
      <c r="I1153" s="13" t="n">
        <v>1</v>
      </c>
    </row>
    <row r="1154">
      <c r="A1154" s="10" t="inlineStr">
        <is>
          <t>PJ-2023-H</t>
        </is>
      </c>
      <c r="B1154" s="10" t="inlineStr">
        <is>
          <t>素朴版／月内均等</t>
        </is>
      </c>
      <c r="C1154" s="10" t="inlineStr">
        <is>
          <t>2023-01</t>
        </is>
      </c>
      <c r="D1154" s="10" t="n">
        <v>1</v>
      </c>
      <c r="E1154" s="12" t="n">
        <v>3833.4</v>
      </c>
      <c r="F1154" s="12" t="n">
        <v>2440.7</v>
      </c>
      <c r="G1154" s="12" t="n">
        <v>1392.7</v>
      </c>
      <c r="H1154" s="13" t="n">
        <v>0.0217</v>
      </c>
      <c r="I1154" s="13" t="n">
        <v>0.0138</v>
      </c>
    </row>
    <row r="1155">
      <c r="A1155" s="10" t="inlineStr">
        <is>
          <t>PJ-2023-H</t>
        </is>
      </c>
      <c r="B1155" s="10" t="inlineStr">
        <is>
          <t>素朴版／月内均等</t>
        </is>
      </c>
      <c r="C1155" s="10" t="inlineStr">
        <is>
          <t>2023-02</t>
        </is>
      </c>
      <c r="D1155" s="10" t="n">
        <v>2</v>
      </c>
      <c r="E1155" s="12" t="n">
        <v>4419</v>
      </c>
      <c r="F1155" s="12" t="n">
        <v>3859.4</v>
      </c>
      <c r="G1155" s="12" t="n">
        <v>559.6</v>
      </c>
      <c r="H1155" s="13" t="n">
        <v>0.0467</v>
      </c>
      <c r="I1155" s="13" t="n">
        <v>0.0356</v>
      </c>
    </row>
    <row r="1156">
      <c r="A1156" s="10" t="inlineStr">
        <is>
          <t>PJ-2023-H</t>
        </is>
      </c>
      <c r="B1156" s="10" t="inlineStr">
        <is>
          <t>素朴版／月内均等</t>
        </is>
      </c>
      <c r="C1156" s="10" t="inlineStr">
        <is>
          <t>2023-03</t>
        </is>
      </c>
      <c r="D1156" s="10" t="n">
        <v>3</v>
      </c>
      <c r="E1156" s="12" t="n">
        <v>5475.7</v>
      </c>
      <c r="F1156" s="12" t="n">
        <v>6095.6</v>
      </c>
      <c r="G1156" s="12" t="n">
        <v>-619.9</v>
      </c>
      <c r="H1156" s="13" t="n">
        <v>0.07770000000000001</v>
      </c>
      <c r="I1156" s="13" t="n">
        <v>0.0701</v>
      </c>
    </row>
    <row r="1157">
      <c r="A1157" s="10" t="inlineStr">
        <is>
          <t>PJ-2023-H</t>
        </is>
      </c>
      <c r="B1157" s="10" t="inlineStr">
        <is>
          <t>素朴版／月内均等</t>
        </is>
      </c>
      <c r="C1157" s="10" t="inlineStr">
        <is>
          <t>2023-04</t>
        </is>
      </c>
      <c r="D1157" s="10" t="n">
        <v>4</v>
      </c>
      <c r="E1157" s="12" t="n">
        <v>5747.3</v>
      </c>
      <c r="F1157" s="12" t="n">
        <v>7110.8</v>
      </c>
      <c r="G1157" s="12" t="n">
        <v>-1363.5</v>
      </c>
      <c r="H1157" s="13" t="n">
        <v>0.1102</v>
      </c>
      <c r="I1157" s="13" t="n">
        <v>0.1103</v>
      </c>
    </row>
    <row r="1158">
      <c r="A1158" s="10" t="inlineStr">
        <is>
          <t>PJ-2023-H</t>
        </is>
      </c>
      <c r="B1158" s="10" t="inlineStr">
        <is>
          <t>素朴版／月内均等</t>
        </is>
      </c>
      <c r="C1158" s="10" t="inlineStr">
        <is>
          <t>2023-05</t>
        </is>
      </c>
      <c r="D1158" s="10" t="n">
        <v>5</v>
      </c>
      <c r="E1158" s="12" t="n">
        <v>6499.9</v>
      </c>
      <c r="F1158" s="12" t="n">
        <v>8343.200000000001</v>
      </c>
      <c r="G1158" s="12" t="n">
        <v>-1843.3</v>
      </c>
      <c r="H1158" s="13" t="n">
        <v>0.1469</v>
      </c>
      <c r="I1158" s="13" t="n">
        <v>0.1575</v>
      </c>
    </row>
    <row r="1159">
      <c r="A1159" s="10" t="inlineStr">
        <is>
          <t>PJ-2023-H</t>
        </is>
      </c>
      <c r="B1159" s="10" t="inlineStr">
        <is>
          <t>素朴版／月内均等</t>
        </is>
      </c>
      <c r="C1159" s="10" t="inlineStr">
        <is>
          <t>2023-06</t>
        </is>
      </c>
      <c r="D1159" s="10" t="n">
        <v>6</v>
      </c>
      <c r="E1159" s="12" t="n">
        <v>7658.7</v>
      </c>
      <c r="F1159" s="12" t="n">
        <v>9678</v>
      </c>
      <c r="G1159" s="12" t="n">
        <v>-2019.3</v>
      </c>
      <c r="H1159" s="13" t="n">
        <v>0.1903</v>
      </c>
      <c r="I1159" s="13" t="n">
        <v>0.2123</v>
      </c>
    </row>
    <row r="1160">
      <c r="A1160" s="10" t="inlineStr">
        <is>
          <t>PJ-2023-H</t>
        </is>
      </c>
      <c r="B1160" s="10" t="inlineStr">
        <is>
          <t>素朴版／月内均等</t>
        </is>
      </c>
      <c r="C1160" s="10" t="inlineStr">
        <is>
          <t>2023-07</t>
        </is>
      </c>
      <c r="D1160" s="10" t="n">
        <v>7</v>
      </c>
      <c r="E1160" s="12" t="n">
        <v>9439</v>
      </c>
      <c r="F1160" s="12" t="n">
        <v>11523.9</v>
      </c>
      <c r="G1160" s="12" t="n">
        <v>-2084.9</v>
      </c>
      <c r="H1160" s="13" t="n">
        <v>0.2436</v>
      </c>
      <c r="I1160" s="13" t="n">
        <v>0.2775</v>
      </c>
    </row>
    <row r="1161">
      <c r="A1161" s="10" t="inlineStr">
        <is>
          <t>PJ-2023-H</t>
        </is>
      </c>
      <c r="B1161" s="10" t="inlineStr">
        <is>
          <t>素朴版／月内均等</t>
        </is>
      </c>
      <c r="C1161" s="10" t="inlineStr">
        <is>
          <t>2023-08</t>
        </is>
      </c>
      <c r="D1161" s="10" t="n">
        <v>8</v>
      </c>
      <c r="E1161" s="12" t="n">
        <v>10647.5</v>
      </c>
      <c r="F1161" s="12" t="n">
        <v>13879.8</v>
      </c>
      <c r="G1161" s="12" t="n">
        <v>-3232.3</v>
      </c>
      <c r="H1161" s="13" t="n">
        <v>0.3039</v>
      </c>
      <c r="I1161" s="13" t="n">
        <v>0.356</v>
      </c>
    </row>
    <row r="1162">
      <c r="A1162" s="10" t="inlineStr">
        <is>
          <t>PJ-2023-H</t>
        </is>
      </c>
      <c r="B1162" s="10" t="inlineStr">
        <is>
          <t>素朴版／月内均等</t>
        </is>
      </c>
      <c r="C1162" s="10" t="inlineStr">
        <is>
          <t>2023-09</t>
        </is>
      </c>
      <c r="D1162" s="10" t="n">
        <v>9</v>
      </c>
      <c r="E1162" s="12" t="n">
        <v>10583.6</v>
      </c>
      <c r="F1162" s="12" t="n">
        <v>13966.5</v>
      </c>
      <c r="G1162" s="12" t="n">
        <v>-3382.9</v>
      </c>
      <c r="H1162" s="13" t="n">
        <v>0.3637</v>
      </c>
      <c r="I1162" s="13" t="n">
        <v>0.435</v>
      </c>
    </row>
    <row r="1163">
      <c r="A1163" s="10" t="inlineStr">
        <is>
          <t>PJ-2023-H</t>
        </is>
      </c>
      <c r="B1163" s="10" t="inlineStr">
        <is>
          <t>素朴版／月内均等</t>
        </is>
      </c>
      <c r="C1163" s="10" t="inlineStr">
        <is>
          <t>2023-10</t>
        </is>
      </c>
      <c r="D1163" s="10" t="n">
        <v>10</v>
      </c>
      <c r="E1163" s="12" t="n">
        <v>10605.4</v>
      </c>
      <c r="F1163" s="12" t="n">
        <v>10043.9</v>
      </c>
      <c r="G1163" s="12" t="n">
        <v>561.5</v>
      </c>
      <c r="H1163" s="13" t="n">
        <v>0.4237</v>
      </c>
      <c r="I1163" s="13" t="n">
        <v>0.4918</v>
      </c>
    </row>
    <row r="1164">
      <c r="A1164" s="10" t="inlineStr">
        <is>
          <t>PJ-2023-H</t>
        </is>
      </c>
      <c r="B1164" s="10" t="inlineStr">
        <is>
          <t>素朴版／月内均等</t>
        </is>
      </c>
      <c r="C1164" s="10" t="inlineStr">
        <is>
          <t>2023-11</t>
        </is>
      </c>
      <c r="D1164" s="10" t="n">
        <v>11</v>
      </c>
      <c r="E1164" s="12" t="n">
        <v>12081.1</v>
      </c>
      <c r="F1164" s="12" t="n">
        <v>9363.200000000001</v>
      </c>
      <c r="G1164" s="12" t="n">
        <v>2717.9</v>
      </c>
      <c r="H1164" s="13" t="n">
        <v>0.4921</v>
      </c>
      <c r="I1164" s="13" t="n">
        <v>0.5448</v>
      </c>
    </row>
    <row r="1165">
      <c r="A1165" s="10" t="inlineStr">
        <is>
          <t>PJ-2023-H</t>
        </is>
      </c>
      <c r="B1165" s="10" t="inlineStr">
        <is>
          <t>素朴版／月内均等</t>
        </is>
      </c>
      <c r="C1165" s="10" t="inlineStr">
        <is>
          <t>2023-12</t>
        </is>
      </c>
      <c r="D1165" s="10" t="n">
        <v>12</v>
      </c>
      <c r="E1165" s="12" t="n">
        <v>13291</v>
      </c>
      <c r="F1165" s="12" t="n">
        <v>8579.200000000001</v>
      </c>
      <c r="G1165" s="12" t="n">
        <v>4711.8</v>
      </c>
      <c r="H1165" s="13" t="n">
        <v>0.5672</v>
      </c>
      <c r="I1165" s="13" t="n">
        <v>0.5933</v>
      </c>
    </row>
    <row r="1166">
      <c r="A1166" s="10" t="inlineStr">
        <is>
          <t>PJ-2023-H</t>
        </is>
      </c>
      <c r="B1166" s="10" t="inlineStr">
        <is>
          <t>素朴版／月内均等</t>
        </is>
      </c>
      <c r="C1166" s="10" t="inlineStr">
        <is>
          <t>2024-01</t>
        </is>
      </c>
      <c r="D1166" s="10" t="n">
        <v>13</v>
      </c>
      <c r="E1166" s="12" t="n">
        <v>14196.1</v>
      </c>
      <c r="F1166" s="12" t="n">
        <v>8088</v>
      </c>
      <c r="G1166" s="12" t="n">
        <v>6108.1</v>
      </c>
      <c r="H1166" s="13" t="n">
        <v>0.6475</v>
      </c>
      <c r="I1166" s="13" t="n">
        <v>0.639</v>
      </c>
    </row>
    <row r="1167">
      <c r="A1167" s="10" t="inlineStr">
        <is>
          <t>PJ-2023-H</t>
        </is>
      </c>
      <c r="B1167" s="10" t="inlineStr">
        <is>
          <t>素朴版／月内均等</t>
        </is>
      </c>
      <c r="C1167" s="10" t="inlineStr">
        <is>
          <t>2024-02</t>
        </is>
      </c>
      <c r="D1167" s="10" t="n">
        <v>14</v>
      </c>
      <c r="E1167" s="12" t="n">
        <v>12331.2</v>
      </c>
      <c r="F1167" s="12" t="n">
        <v>8288.700000000001</v>
      </c>
      <c r="G1167" s="12" t="n">
        <v>4042.5</v>
      </c>
      <c r="H1167" s="13" t="n">
        <v>0.7173</v>
      </c>
      <c r="I1167" s="13" t="n">
        <v>0.6859</v>
      </c>
    </row>
    <row r="1168">
      <c r="A1168" s="10" t="inlineStr">
        <is>
          <t>PJ-2023-H</t>
        </is>
      </c>
      <c r="B1168" s="10" t="inlineStr">
        <is>
          <t>素朴版／月内均等</t>
        </is>
      </c>
      <c r="C1168" s="10" t="inlineStr">
        <is>
          <t>2024-03</t>
        </is>
      </c>
      <c r="D1168" s="10" t="n">
        <v>15</v>
      </c>
      <c r="E1168" s="12" t="n">
        <v>11864.8</v>
      </c>
      <c r="F1168" s="12" t="n">
        <v>9844.9</v>
      </c>
      <c r="G1168" s="12" t="n">
        <v>2019.9</v>
      </c>
      <c r="H1168" s="13" t="n">
        <v>0.7844</v>
      </c>
      <c r="I1168" s="13" t="n">
        <v>0.7416</v>
      </c>
    </row>
    <row r="1169">
      <c r="A1169" s="10" t="inlineStr">
        <is>
          <t>PJ-2023-H</t>
        </is>
      </c>
      <c r="B1169" s="10" t="inlineStr">
        <is>
          <t>素朴版／月内均等</t>
        </is>
      </c>
      <c r="C1169" s="10" t="inlineStr">
        <is>
          <t>2024-04</t>
        </is>
      </c>
      <c r="D1169" s="10" t="n">
        <v>16</v>
      </c>
      <c r="E1169" s="12" t="n">
        <v>11186.9</v>
      </c>
      <c r="F1169" s="12" t="n">
        <v>11975.4</v>
      </c>
      <c r="G1169" s="12" t="n">
        <v>-788.5</v>
      </c>
      <c r="H1169" s="13" t="n">
        <v>0.8477</v>
      </c>
      <c r="I1169" s="13" t="n">
        <v>0.8093</v>
      </c>
    </row>
    <row r="1170">
      <c r="A1170" s="10" t="inlineStr">
        <is>
          <t>PJ-2023-H</t>
        </is>
      </c>
      <c r="B1170" s="10" t="inlineStr">
        <is>
          <t>素朴版／月内均等</t>
        </is>
      </c>
      <c r="C1170" s="10" t="inlineStr">
        <is>
          <t>2024-05</t>
        </is>
      </c>
      <c r="D1170" s="10" t="n">
        <v>17</v>
      </c>
      <c r="E1170" s="12" t="n">
        <v>10259.5</v>
      </c>
      <c r="F1170" s="12" t="n">
        <v>13374.7</v>
      </c>
      <c r="G1170" s="12" t="n">
        <v>-3115.2</v>
      </c>
      <c r="H1170" s="13" t="n">
        <v>0.9056999999999999</v>
      </c>
      <c r="I1170" s="13" t="n">
        <v>0.885</v>
      </c>
    </row>
    <row r="1171">
      <c r="A1171" s="10" t="inlineStr">
        <is>
          <t>PJ-2023-H</t>
        </is>
      </c>
      <c r="B1171" s="10" t="inlineStr">
        <is>
          <t>素朴版／月内均等</t>
        </is>
      </c>
      <c r="C1171" s="10" t="inlineStr">
        <is>
          <t>2024-06</t>
        </is>
      </c>
      <c r="D1171" s="10" t="n">
        <v>18</v>
      </c>
      <c r="E1171" s="12" t="n">
        <v>7574.6</v>
      </c>
      <c r="F1171" s="12" t="n">
        <v>8541.700000000001</v>
      </c>
      <c r="G1171" s="12" t="n">
        <v>-967.1</v>
      </c>
      <c r="H1171" s="13" t="n">
        <v>0.9486</v>
      </c>
      <c r="I1171" s="13" t="n">
        <v>0.9333</v>
      </c>
    </row>
    <row r="1172">
      <c r="A1172" s="10" t="inlineStr">
        <is>
          <t>PJ-2023-H</t>
        </is>
      </c>
      <c r="B1172" s="10" t="inlineStr">
        <is>
          <t>素朴版／月内均等</t>
        </is>
      </c>
      <c r="C1172" s="10" t="inlineStr">
        <is>
          <t>2024-07</t>
        </is>
      </c>
      <c r="D1172" s="10" t="n">
        <v>19</v>
      </c>
      <c r="E1172" s="12" t="n">
        <v>5941.7</v>
      </c>
      <c r="F1172" s="12" t="n">
        <v>7179.1</v>
      </c>
      <c r="G1172" s="12" t="n">
        <v>-1237.4</v>
      </c>
      <c r="H1172" s="13" t="n">
        <v>0.9822</v>
      </c>
      <c r="I1172" s="13" t="n">
        <v>0.9739</v>
      </c>
    </row>
    <row r="1173">
      <c r="A1173" s="10" t="inlineStr">
        <is>
          <t>PJ-2023-H</t>
        </is>
      </c>
      <c r="B1173" s="10" t="inlineStr">
        <is>
          <t>素朴版／月内均等</t>
        </is>
      </c>
      <c r="C1173" s="10" t="inlineStr">
        <is>
          <t>2024-08</t>
        </is>
      </c>
      <c r="D1173" s="10" t="n">
        <v>20</v>
      </c>
      <c r="E1173" s="12" t="n">
        <v>3149.5</v>
      </c>
      <c r="F1173" s="12" t="n">
        <v>4609.2</v>
      </c>
      <c r="G1173" s="12" t="n">
        <v>-1459.7</v>
      </c>
      <c r="H1173" s="13" t="n">
        <v>1</v>
      </c>
      <c r="I1173" s="13" t="n">
        <v>1</v>
      </c>
    </row>
    <row r="1174">
      <c r="A1174" s="10" t="inlineStr">
        <is>
          <t>PJ-2023-H</t>
        </is>
      </c>
      <c r="B1174" s="10" t="inlineStr">
        <is>
          <t>位置合わせ(MS学習値)／月内均等</t>
        </is>
      </c>
      <c r="C1174" s="10" t="inlineStr">
        <is>
          <t>2023-01</t>
        </is>
      </c>
      <c r="D1174" s="10" t="n">
        <v>1</v>
      </c>
      <c r="E1174" s="12" t="n">
        <v>3785.6</v>
      </c>
      <c r="F1174" s="12" t="n">
        <v>2440.7</v>
      </c>
      <c r="G1174" s="12" t="n">
        <v>1344.9</v>
      </c>
      <c r="H1174" s="13" t="n">
        <v>0.0214</v>
      </c>
      <c r="I1174" s="13" t="n">
        <v>0.0138</v>
      </c>
    </row>
    <row r="1175">
      <c r="A1175" s="10" t="inlineStr">
        <is>
          <t>PJ-2023-H</t>
        </is>
      </c>
      <c r="B1175" s="10" t="inlineStr">
        <is>
          <t>位置合わせ(MS学習値)／月内均等</t>
        </is>
      </c>
      <c r="C1175" s="10" t="inlineStr">
        <is>
          <t>2023-02</t>
        </is>
      </c>
      <c r="D1175" s="10" t="n">
        <v>2</v>
      </c>
      <c r="E1175" s="12" t="n">
        <v>4369.4</v>
      </c>
      <c r="F1175" s="12" t="n">
        <v>3859.4</v>
      </c>
      <c r="G1175" s="12" t="n">
        <v>510</v>
      </c>
      <c r="H1175" s="13" t="n">
        <v>0.0461</v>
      </c>
      <c r="I1175" s="13" t="n">
        <v>0.0356</v>
      </c>
    </row>
    <row r="1176">
      <c r="A1176" s="10" t="inlineStr">
        <is>
          <t>PJ-2023-H</t>
        </is>
      </c>
      <c r="B1176" s="10" t="inlineStr">
        <is>
          <t>位置合わせ(MS学習値)／月内均等</t>
        </is>
      </c>
      <c r="C1176" s="10" t="inlineStr">
        <is>
          <t>2023-03</t>
        </is>
      </c>
      <c r="D1176" s="10" t="n">
        <v>3</v>
      </c>
      <c r="E1176" s="12" t="n">
        <v>5446</v>
      </c>
      <c r="F1176" s="12" t="n">
        <v>6095.6</v>
      </c>
      <c r="G1176" s="12" t="n">
        <v>-649.6</v>
      </c>
      <c r="H1176" s="13" t="n">
        <v>0.0769</v>
      </c>
      <c r="I1176" s="13" t="n">
        <v>0.0701</v>
      </c>
    </row>
    <row r="1177">
      <c r="A1177" s="10" t="inlineStr">
        <is>
          <t>PJ-2023-H</t>
        </is>
      </c>
      <c r="B1177" s="10" t="inlineStr">
        <is>
          <t>位置合わせ(MS学習値)／月内均等</t>
        </is>
      </c>
      <c r="C1177" s="10" t="inlineStr">
        <is>
          <t>2023-04</t>
        </is>
      </c>
      <c r="D1177" s="10" t="n">
        <v>4</v>
      </c>
      <c r="E1177" s="12" t="n">
        <v>5666.5</v>
      </c>
      <c r="F1177" s="12" t="n">
        <v>7110.8</v>
      </c>
      <c r="G1177" s="12" t="n">
        <v>-1444.3</v>
      </c>
      <c r="H1177" s="13" t="n">
        <v>0.109</v>
      </c>
      <c r="I1177" s="13" t="n">
        <v>0.1103</v>
      </c>
    </row>
    <row r="1178">
      <c r="A1178" s="10" t="inlineStr">
        <is>
          <t>PJ-2023-H</t>
        </is>
      </c>
      <c r="B1178" s="10" t="inlineStr">
        <is>
          <t>位置合わせ(MS学習値)／月内均等</t>
        </is>
      </c>
      <c r="C1178" s="10" t="inlineStr">
        <is>
          <t>2023-05</t>
        </is>
      </c>
      <c r="D1178" s="10" t="n">
        <v>5</v>
      </c>
      <c r="E1178" s="12" t="n">
        <v>6395.9</v>
      </c>
      <c r="F1178" s="12" t="n">
        <v>8343.200000000001</v>
      </c>
      <c r="G1178" s="12" t="n">
        <v>-1947.3</v>
      </c>
      <c r="H1178" s="13" t="n">
        <v>0.1452</v>
      </c>
      <c r="I1178" s="13" t="n">
        <v>0.1575</v>
      </c>
    </row>
    <row r="1179">
      <c r="A1179" s="10" t="inlineStr">
        <is>
          <t>PJ-2023-H</t>
        </is>
      </c>
      <c r="B1179" s="10" t="inlineStr">
        <is>
          <t>位置合わせ(MS学習値)／月内均等</t>
        </is>
      </c>
      <c r="C1179" s="10" t="inlineStr">
        <is>
          <t>2023-06</t>
        </is>
      </c>
      <c r="D1179" s="10" t="n">
        <v>6</v>
      </c>
      <c r="E1179" s="12" t="n">
        <v>7045.3</v>
      </c>
      <c r="F1179" s="12" t="n">
        <v>9678</v>
      </c>
      <c r="G1179" s="12" t="n">
        <v>-2632.7</v>
      </c>
      <c r="H1179" s="13" t="n">
        <v>0.185</v>
      </c>
      <c r="I1179" s="13" t="n">
        <v>0.2123</v>
      </c>
    </row>
    <row r="1180">
      <c r="A1180" s="10" t="inlineStr">
        <is>
          <t>PJ-2023-H</t>
        </is>
      </c>
      <c r="B1180" s="10" t="inlineStr">
        <is>
          <t>位置合わせ(MS学習値)／月内均等</t>
        </is>
      </c>
      <c r="C1180" s="10" t="inlineStr">
        <is>
          <t>2023-07</t>
        </is>
      </c>
      <c r="D1180" s="10" t="n">
        <v>7</v>
      </c>
      <c r="E1180" s="12" t="n">
        <v>8799.5</v>
      </c>
      <c r="F1180" s="12" t="n">
        <v>11523.9</v>
      </c>
      <c r="G1180" s="12" t="n">
        <v>-2724.4</v>
      </c>
      <c r="H1180" s="13" t="n">
        <v>0.2348</v>
      </c>
      <c r="I1180" s="13" t="n">
        <v>0.2775</v>
      </c>
    </row>
    <row r="1181">
      <c r="A1181" s="10" t="inlineStr">
        <is>
          <t>PJ-2023-H</t>
        </is>
      </c>
      <c r="B1181" s="10" t="inlineStr">
        <is>
          <t>位置合わせ(MS学習値)／月内均等</t>
        </is>
      </c>
      <c r="C1181" s="10" t="inlineStr">
        <is>
          <t>2023-08</t>
        </is>
      </c>
      <c r="D1181" s="10" t="n">
        <v>8</v>
      </c>
      <c r="E1181" s="12" t="n">
        <v>9951.1</v>
      </c>
      <c r="F1181" s="12" t="n">
        <v>13879.8</v>
      </c>
      <c r="G1181" s="12" t="n">
        <v>-3928.7</v>
      </c>
      <c r="H1181" s="13" t="n">
        <v>0.2911</v>
      </c>
      <c r="I1181" s="13" t="n">
        <v>0.356</v>
      </c>
    </row>
    <row r="1182">
      <c r="A1182" s="10" t="inlineStr">
        <is>
          <t>PJ-2023-H</t>
        </is>
      </c>
      <c r="B1182" s="10" t="inlineStr">
        <is>
          <t>位置合わせ(MS学習値)／月内均等</t>
        </is>
      </c>
      <c r="C1182" s="10" t="inlineStr">
        <is>
          <t>2023-09</t>
        </is>
      </c>
      <c r="D1182" s="10" t="n">
        <v>9</v>
      </c>
      <c r="E1182" s="12" t="n">
        <v>10586</v>
      </c>
      <c r="F1182" s="12" t="n">
        <v>13966.5</v>
      </c>
      <c r="G1182" s="12" t="n">
        <v>-3380.5</v>
      </c>
      <c r="H1182" s="13" t="n">
        <v>0.351</v>
      </c>
      <c r="I1182" s="13" t="n">
        <v>0.435</v>
      </c>
    </row>
    <row r="1183">
      <c r="A1183" s="10" t="inlineStr">
        <is>
          <t>PJ-2023-H</t>
        </is>
      </c>
      <c r="B1183" s="10" t="inlineStr">
        <is>
          <t>位置合わせ(MS学習値)／月内均等</t>
        </is>
      </c>
      <c r="C1183" s="10" t="inlineStr">
        <is>
          <t>2023-10</t>
        </is>
      </c>
      <c r="D1183" s="10" t="n">
        <v>10</v>
      </c>
      <c r="E1183" s="12" t="n">
        <v>12393.6</v>
      </c>
      <c r="F1183" s="12" t="n">
        <v>10043.9</v>
      </c>
      <c r="G1183" s="12" t="n">
        <v>2349.7</v>
      </c>
      <c r="H1183" s="13" t="n">
        <v>0.4211</v>
      </c>
      <c r="I1183" s="13" t="n">
        <v>0.4918</v>
      </c>
    </row>
    <row r="1184">
      <c r="A1184" s="10" t="inlineStr">
        <is>
          <t>PJ-2023-H</t>
        </is>
      </c>
      <c r="B1184" s="10" t="inlineStr">
        <is>
          <t>位置合わせ(MS学習値)／月内均等</t>
        </is>
      </c>
      <c r="C1184" s="10" t="inlineStr">
        <is>
          <t>2023-11</t>
        </is>
      </c>
      <c r="D1184" s="10" t="n">
        <v>11</v>
      </c>
      <c r="E1184" s="12" t="n">
        <v>12716.2</v>
      </c>
      <c r="F1184" s="12" t="n">
        <v>9363.200000000001</v>
      </c>
      <c r="G1184" s="12" t="n">
        <v>3353</v>
      </c>
      <c r="H1184" s="13" t="n">
        <v>0.493</v>
      </c>
      <c r="I1184" s="13" t="n">
        <v>0.5448</v>
      </c>
    </row>
    <row r="1185">
      <c r="A1185" s="10" t="inlineStr">
        <is>
          <t>PJ-2023-H</t>
        </is>
      </c>
      <c r="B1185" s="10" t="inlineStr">
        <is>
          <t>位置合わせ(MS学習値)／月内均等</t>
        </is>
      </c>
      <c r="C1185" s="10" t="inlineStr">
        <is>
          <t>2023-12</t>
        </is>
      </c>
      <c r="D1185" s="10" t="n">
        <v>12</v>
      </c>
      <c r="E1185" s="12" t="n">
        <v>13719.4</v>
      </c>
      <c r="F1185" s="12" t="n">
        <v>8579.200000000001</v>
      </c>
      <c r="G1185" s="12" t="n">
        <v>5140.2</v>
      </c>
      <c r="H1185" s="13" t="n">
        <v>0.5706</v>
      </c>
      <c r="I1185" s="13" t="n">
        <v>0.5933</v>
      </c>
    </row>
    <row r="1186">
      <c r="A1186" s="10" t="inlineStr">
        <is>
          <t>PJ-2023-H</t>
        </is>
      </c>
      <c r="B1186" s="10" t="inlineStr">
        <is>
          <t>位置合わせ(MS学習値)／月内均等</t>
        </is>
      </c>
      <c r="C1186" s="10" t="inlineStr">
        <is>
          <t>2024-01</t>
        </is>
      </c>
      <c r="D1186" s="10" t="n">
        <v>13</v>
      </c>
      <c r="E1186" s="12" t="n">
        <v>13641.4</v>
      </c>
      <c r="F1186" s="12" t="n">
        <v>8088</v>
      </c>
      <c r="G1186" s="12" t="n">
        <v>5553.4</v>
      </c>
      <c r="H1186" s="13" t="n">
        <v>0.6478</v>
      </c>
      <c r="I1186" s="13" t="n">
        <v>0.639</v>
      </c>
    </row>
    <row r="1187">
      <c r="A1187" s="10" t="inlineStr">
        <is>
          <t>PJ-2023-H</t>
        </is>
      </c>
      <c r="B1187" s="10" t="inlineStr">
        <is>
          <t>位置合わせ(MS学習値)／月内均等</t>
        </is>
      </c>
      <c r="C1187" s="10" t="inlineStr">
        <is>
          <t>2024-02</t>
        </is>
      </c>
      <c r="D1187" s="10" t="n">
        <v>14</v>
      </c>
      <c r="E1187" s="12" t="n">
        <v>13296.1</v>
      </c>
      <c r="F1187" s="12" t="n">
        <v>8288.700000000001</v>
      </c>
      <c r="G1187" s="12" t="n">
        <v>5007.4</v>
      </c>
      <c r="H1187" s="13" t="n">
        <v>0.723</v>
      </c>
      <c r="I1187" s="13" t="n">
        <v>0.6859</v>
      </c>
    </row>
    <row r="1188">
      <c r="A1188" s="10" t="inlineStr">
        <is>
          <t>PJ-2023-H</t>
        </is>
      </c>
      <c r="B1188" s="10" t="inlineStr">
        <is>
          <t>位置合わせ(MS学習値)／月内均等</t>
        </is>
      </c>
      <c r="C1188" s="10" t="inlineStr">
        <is>
          <t>2024-03</t>
        </is>
      </c>
      <c r="D1188" s="10" t="n">
        <v>15</v>
      </c>
      <c r="E1188" s="12" t="n">
        <v>13123.4</v>
      </c>
      <c r="F1188" s="12" t="n">
        <v>9844.9</v>
      </c>
      <c r="G1188" s="12" t="n">
        <v>3278.5</v>
      </c>
      <c r="H1188" s="13" t="n">
        <v>0.7972</v>
      </c>
      <c r="I1188" s="13" t="n">
        <v>0.7416</v>
      </c>
    </row>
    <row r="1189">
      <c r="A1189" s="10" t="inlineStr">
        <is>
          <t>PJ-2023-H</t>
        </is>
      </c>
      <c r="B1189" s="10" t="inlineStr">
        <is>
          <t>位置合わせ(MS学習値)／月内均等</t>
        </is>
      </c>
      <c r="C1189" s="10" t="inlineStr">
        <is>
          <t>2024-04</t>
        </is>
      </c>
      <c r="D1189" s="10" t="n">
        <v>16</v>
      </c>
      <c r="E1189" s="12" t="n">
        <v>10106</v>
      </c>
      <c r="F1189" s="12" t="n">
        <v>11975.4</v>
      </c>
      <c r="G1189" s="12" t="n">
        <v>-1869.4</v>
      </c>
      <c r="H1189" s="13" t="n">
        <v>0.8544</v>
      </c>
      <c r="I1189" s="13" t="n">
        <v>0.8093</v>
      </c>
    </row>
    <row r="1190">
      <c r="A1190" s="10" t="inlineStr">
        <is>
          <t>PJ-2023-H</t>
        </is>
      </c>
      <c r="B1190" s="10" t="inlineStr">
        <is>
          <t>位置合わせ(MS学習値)／月内均等</t>
        </is>
      </c>
      <c r="C1190" s="10" t="inlineStr">
        <is>
          <t>2024-05</t>
        </is>
      </c>
      <c r="D1190" s="10" t="n">
        <v>17</v>
      </c>
      <c r="E1190" s="12" t="n">
        <v>9281</v>
      </c>
      <c r="F1190" s="12" t="n">
        <v>13374.7</v>
      </c>
      <c r="G1190" s="12" t="n">
        <v>-4093.7</v>
      </c>
      <c r="H1190" s="13" t="n">
        <v>0.9069</v>
      </c>
      <c r="I1190" s="13" t="n">
        <v>0.885</v>
      </c>
    </row>
    <row r="1191">
      <c r="A1191" s="10" t="inlineStr">
        <is>
          <t>PJ-2023-H</t>
        </is>
      </c>
      <c r="B1191" s="10" t="inlineStr">
        <is>
          <t>位置合わせ(MS学習値)／月内均等</t>
        </is>
      </c>
      <c r="C1191" s="10" t="inlineStr">
        <is>
          <t>2024-06</t>
        </is>
      </c>
      <c r="D1191" s="10" t="n">
        <v>18</v>
      </c>
      <c r="E1191" s="12" t="n">
        <v>7258.1</v>
      </c>
      <c r="F1191" s="12" t="n">
        <v>8541.700000000001</v>
      </c>
      <c r="G1191" s="12" t="n">
        <v>-1283.6</v>
      </c>
      <c r="H1191" s="13" t="n">
        <v>0.9479</v>
      </c>
      <c r="I1191" s="13" t="n">
        <v>0.9333</v>
      </c>
    </row>
    <row r="1192">
      <c r="A1192" s="10" t="inlineStr">
        <is>
          <t>PJ-2023-H</t>
        </is>
      </c>
      <c r="B1192" s="10" t="inlineStr">
        <is>
          <t>位置合わせ(MS学習値)／月内均等</t>
        </is>
      </c>
      <c r="C1192" s="10" t="inlineStr">
        <is>
          <t>2024-07</t>
        </is>
      </c>
      <c r="D1192" s="10" t="n">
        <v>19</v>
      </c>
      <c r="E1192" s="12" t="n">
        <v>6104.4</v>
      </c>
      <c r="F1192" s="12" t="n">
        <v>7179.1</v>
      </c>
      <c r="G1192" s="12" t="n">
        <v>-1074.7</v>
      </c>
      <c r="H1192" s="13" t="n">
        <v>0.9825</v>
      </c>
      <c r="I1192" s="13" t="n">
        <v>0.9739</v>
      </c>
    </row>
    <row r="1193">
      <c r="A1193" s="10" t="inlineStr">
        <is>
          <t>PJ-2023-H</t>
        </is>
      </c>
      <c r="B1193" s="10" t="inlineStr">
        <is>
          <t>位置合わせ(MS学習値)／月内均等</t>
        </is>
      </c>
      <c r="C1193" s="10" t="inlineStr">
        <is>
          <t>2024-08</t>
        </is>
      </c>
      <c r="D1193" s="10" t="n">
        <v>20</v>
      </c>
      <c r="E1193" s="12" t="n">
        <v>3101</v>
      </c>
      <c r="F1193" s="12" t="n">
        <v>4609.2</v>
      </c>
      <c r="G1193" s="12" t="n">
        <v>-1508.2</v>
      </c>
      <c r="H1193" s="13" t="n">
        <v>1</v>
      </c>
      <c r="I1193" s="13" t="n">
        <v>1</v>
      </c>
    </row>
    <row r="1194">
      <c r="A1194" s="10" t="inlineStr">
        <is>
          <t>PJ-2023-H</t>
        </is>
      </c>
      <c r="B1194" s="10" t="inlineStr">
        <is>
          <t>位置合わせ(MS指定)／月内均等</t>
        </is>
      </c>
      <c r="C1194" s="10" t="inlineStr">
        <is>
          <t>2023-01</t>
        </is>
      </c>
      <c r="D1194" s="10" t="n">
        <v>1</v>
      </c>
      <c r="E1194" s="12" t="n">
        <v>4645.1</v>
      </c>
      <c r="F1194" s="12" t="n">
        <v>2440.7</v>
      </c>
      <c r="G1194" s="12" t="n">
        <v>2204.4</v>
      </c>
      <c r="H1194" s="13" t="n">
        <v>0.0263</v>
      </c>
      <c r="I1194" s="13" t="n">
        <v>0.0138</v>
      </c>
    </row>
    <row r="1195">
      <c r="A1195" s="10" t="inlineStr">
        <is>
          <t>PJ-2023-H</t>
        </is>
      </c>
      <c r="B1195" s="10" t="inlineStr">
        <is>
          <t>位置合わせ(MS指定)／月内均等</t>
        </is>
      </c>
      <c r="C1195" s="10" t="inlineStr">
        <is>
          <t>2023-02</t>
        </is>
      </c>
      <c r="D1195" s="10" t="n">
        <v>2</v>
      </c>
      <c r="E1195" s="12" t="n">
        <v>5407.4</v>
      </c>
      <c r="F1195" s="12" t="n">
        <v>3859.4</v>
      </c>
      <c r="G1195" s="12" t="n">
        <v>1548</v>
      </c>
      <c r="H1195" s="13" t="n">
        <v>0.0569</v>
      </c>
      <c r="I1195" s="13" t="n">
        <v>0.0356</v>
      </c>
    </row>
    <row r="1196">
      <c r="A1196" s="10" t="inlineStr">
        <is>
          <t>PJ-2023-H</t>
        </is>
      </c>
      <c r="B1196" s="10" t="inlineStr">
        <is>
          <t>位置合わせ(MS指定)／月内均等</t>
        </is>
      </c>
      <c r="C1196" s="10" t="inlineStr">
        <is>
          <t>2023-03</t>
        </is>
      </c>
      <c r="D1196" s="10" t="n">
        <v>3</v>
      </c>
      <c r="E1196" s="12" t="n">
        <v>6817.6</v>
      </c>
      <c r="F1196" s="12" t="n">
        <v>6095.6</v>
      </c>
      <c r="G1196" s="12" t="n">
        <v>722</v>
      </c>
      <c r="H1196" s="13" t="n">
        <v>0.0954</v>
      </c>
      <c r="I1196" s="13" t="n">
        <v>0.0701</v>
      </c>
    </row>
    <row r="1197">
      <c r="A1197" s="10" t="inlineStr">
        <is>
          <t>PJ-2023-H</t>
        </is>
      </c>
      <c r="B1197" s="10" t="inlineStr">
        <is>
          <t>位置合わせ(MS指定)／月内均等</t>
        </is>
      </c>
      <c r="C1197" s="10" t="inlineStr">
        <is>
          <t>2023-04</t>
        </is>
      </c>
      <c r="D1197" s="10" t="n">
        <v>4</v>
      </c>
      <c r="E1197" s="12" t="n">
        <v>7117.4</v>
      </c>
      <c r="F1197" s="12" t="n">
        <v>7110.8</v>
      </c>
      <c r="G1197" s="12" t="n">
        <v>6.6</v>
      </c>
      <c r="H1197" s="13" t="n">
        <v>0.1357</v>
      </c>
      <c r="I1197" s="13" t="n">
        <v>0.1103</v>
      </c>
    </row>
    <row r="1198">
      <c r="A1198" s="10" t="inlineStr">
        <is>
          <t>PJ-2023-H</t>
        </is>
      </c>
      <c r="B1198" s="10" t="inlineStr">
        <is>
          <t>位置合わせ(MS指定)／月内均等</t>
        </is>
      </c>
      <c r="C1198" s="10" t="inlineStr">
        <is>
          <t>2023-05</t>
        </is>
      </c>
      <c r="D1198" s="10" t="n">
        <v>5</v>
      </c>
      <c r="E1198" s="12" t="n">
        <v>8572</v>
      </c>
      <c r="F1198" s="12" t="n">
        <v>8343.200000000001</v>
      </c>
      <c r="G1198" s="12" t="n">
        <v>228.8</v>
      </c>
      <c r="H1198" s="13" t="n">
        <v>0.1842</v>
      </c>
      <c r="I1198" s="13" t="n">
        <v>0.1575</v>
      </c>
    </row>
    <row r="1199">
      <c r="A1199" s="10" t="inlineStr">
        <is>
          <t>PJ-2023-H</t>
        </is>
      </c>
      <c r="B1199" s="10" t="inlineStr">
        <is>
          <t>位置合わせ(MS指定)／月内均等</t>
        </is>
      </c>
      <c r="C1199" s="10" t="inlineStr">
        <is>
          <t>2023-06</t>
        </is>
      </c>
      <c r="D1199" s="10" t="n">
        <v>6</v>
      </c>
      <c r="E1199" s="12" t="n">
        <v>10250.2</v>
      </c>
      <c r="F1199" s="12" t="n">
        <v>9678</v>
      </c>
      <c r="G1199" s="12" t="n">
        <v>572.2</v>
      </c>
      <c r="H1199" s="13" t="n">
        <v>0.2422</v>
      </c>
      <c r="I1199" s="13" t="n">
        <v>0.2123</v>
      </c>
    </row>
    <row r="1200">
      <c r="A1200" s="10" t="inlineStr">
        <is>
          <t>PJ-2023-H</t>
        </is>
      </c>
      <c r="B1200" s="10" t="inlineStr">
        <is>
          <t>位置合わせ(MS指定)／月内均等</t>
        </is>
      </c>
      <c r="C1200" s="10" t="inlineStr">
        <is>
          <t>2023-07</t>
        </is>
      </c>
      <c r="D1200" s="10" t="n">
        <v>7</v>
      </c>
      <c r="E1200" s="12" t="n">
        <v>12177.3</v>
      </c>
      <c r="F1200" s="12" t="n">
        <v>11523.9</v>
      </c>
      <c r="G1200" s="12" t="n">
        <v>653.4</v>
      </c>
      <c r="H1200" s="13" t="n">
        <v>0.311</v>
      </c>
      <c r="I1200" s="13" t="n">
        <v>0.2775</v>
      </c>
    </row>
    <row r="1201">
      <c r="A1201" s="10" t="inlineStr">
        <is>
          <t>PJ-2023-H</t>
        </is>
      </c>
      <c r="B1201" s="10" t="inlineStr">
        <is>
          <t>位置合わせ(MS指定)／月内均等</t>
        </is>
      </c>
      <c r="C1201" s="10" t="inlineStr">
        <is>
          <t>2023-08</t>
        </is>
      </c>
      <c r="D1201" s="10" t="n">
        <v>8</v>
      </c>
      <c r="E1201" s="12" t="n">
        <v>13626.8</v>
      </c>
      <c r="F1201" s="12" t="n">
        <v>13879.8</v>
      </c>
      <c r="G1201" s="12" t="n">
        <v>-253</v>
      </c>
      <c r="H1201" s="13" t="n">
        <v>0.3881</v>
      </c>
      <c r="I1201" s="13" t="n">
        <v>0.356</v>
      </c>
    </row>
    <row r="1202">
      <c r="A1202" s="10" t="inlineStr">
        <is>
          <t>PJ-2023-H</t>
        </is>
      </c>
      <c r="B1202" s="10" t="inlineStr">
        <is>
          <t>位置合わせ(MS指定)／月内均等</t>
        </is>
      </c>
      <c r="C1202" s="10" t="inlineStr">
        <is>
          <t>2023-09</t>
        </is>
      </c>
      <c r="D1202" s="10" t="n">
        <v>9</v>
      </c>
      <c r="E1202" s="12" t="n">
        <v>11444.4</v>
      </c>
      <c r="F1202" s="12" t="n">
        <v>13966.5</v>
      </c>
      <c r="G1202" s="12" t="n">
        <v>-2522.1</v>
      </c>
      <c r="H1202" s="13" t="n">
        <v>0.4529</v>
      </c>
      <c r="I1202" s="13" t="n">
        <v>0.435</v>
      </c>
    </row>
    <row r="1203">
      <c r="A1203" s="10" t="inlineStr">
        <is>
          <t>PJ-2023-H</t>
        </is>
      </c>
      <c r="B1203" s="10" t="inlineStr">
        <is>
          <t>位置合わせ(MS指定)／月内均等</t>
        </is>
      </c>
      <c r="C1203" s="10" t="inlineStr">
        <is>
          <t>2023-10</t>
        </is>
      </c>
      <c r="D1203" s="10" t="n">
        <v>10</v>
      </c>
      <c r="E1203" s="12" t="n">
        <v>8855.799999999999</v>
      </c>
      <c r="F1203" s="12" t="n">
        <v>10043.9</v>
      </c>
      <c r="G1203" s="12" t="n">
        <v>-1188.1</v>
      </c>
      <c r="H1203" s="13" t="n">
        <v>0.5029</v>
      </c>
      <c r="I1203" s="13" t="n">
        <v>0.4918</v>
      </c>
    </row>
    <row r="1204">
      <c r="A1204" s="10" t="inlineStr">
        <is>
          <t>PJ-2023-H</t>
        </is>
      </c>
      <c r="B1204" s="10" t="inlineStr">
        <is>
          <t>位置合わせ(MS指定)／月内均等</t>
        </is>
      </c>
      <c r="C1204" s="10" t="inlineStr">
        <is>
          <t>2023-11</t>
        </is>
      </c>
      <c r="D1204" s="10" t="n">
        <v>11</v>
      </c>
      <c r="E1204" s="12" t="n">
        <v>8603.6</v>
      </c>
      <c r="F1204" s="12" t="n">
        <v>9363.200000000001</v>
      </c>
      <c r="G1204" s="12" t="n">
        <v>-759.6</v>
      </c>
      <c r="H1204" s="13" t="n">
        <v>0.5516</v>
      </c>
      <c r="I1204" s="13" t="n">
        <v>0.5448</v>
      </c>
    </row>
    <row r="1205">
      <c r="A1205" s="10" t="inlineStr">
        <is>
          <t>PJ-2023-H</t>
        </is>
      </c>
      <c r="B1205" s="10" t="inlineStr">
        <is>
          <t>位置合わせ(MS指定)／月内均等</t>
        </is>
      </c>
      <c r="C1205" s="10" t="inlineStr">
        <is>
          <t>2023-12</t>
        </is>
      </c>
      <c r="D1205" s="10" t="n">
        <v>12</v>
      </c>
      <c r="E1205" s="12" t="n">
        <v>8986.9</v>
      </c>
      <c r="F1205" s="12" t="n">
        <v>8579.200000000001</v>
      </c>
      <c r="G1205" s="12" t="n">
        <v>407.7</v>
      </c>
      <c r="H1205" s="13" t="n">
        <v>0.6024</v>
      </c>
      <c r="I1205" s="13" t="n">
        <v>0.5933</v>
      </c>
    </row>
    <row r="1206">
      <c r="A1206" s="10" t="inlineStr">
        <is>
          <t>PJ-2023-H</t>
        </is>
      </c>
      <c r="B1206" s="10" t="inlineStr">
        <is>
          <t>位置合わせ(MS指定)／月内均等</t>
        </is>
      </c>
      <c r="C1206" s="10" t="inlineStr">
        <is>
          <t>2024-01</t>
        </is>
      </c>
      <c r="D1206" s="10" t="n">
        <v>13</v>
      </c>
      <c r="E1206" s="12" t="n">
        <v>8908.700000000001</v>
      </c>
      <c r="F1206" s="12" t="n">
        <v>8088</v>
      </c>
      <c r="G1206" s="12" t="n">
        <v>820.7</v>
      </c>
      <c r="H1206" s="13" t="n">
        <v>0.6528</v>
      </c>
      <c r="I1206" s="13" t="n">
        <v>0.639</v>
      </c>
    </row>
    <row r="1207">
      <c r="A1207" s="10" t="inlineStr">
        <is>
          <t>PJ-2023-H</t>
        </is>
      </c>
      <c r="B1207" s="10" t="inlineStr">
        <is>
          <t>位置合わせ(MS指定)／月内均等</t>
        </is>
      </c>
      <c r="C1207" s="10" t="inlineStr">
        <is>
          <t>2024-02</t>
        </is>
      </c>
      <c r="D1207" s="10" t="n">
        <v>14</v>
      </c>
      <c r="E1207" s="12" t="n">
        <v>8711.1</v>
      </c>
      <c r="F1207" s="12" t="n">
        <v>8288.700000000001</v>
      </c>
      <c r="G1207" s="12" t="n">
        <v>422.4</v>
      </c>
      <c r="H1207" s="13" t="n">
        <v>0.7020999999999999</v>
      </c>
      <c r="I1207" s="13" t="n">
        <v>0.6859</v>
      </c>
    </row>
    <row r="1208">
      <c r="A1208" s="10" t="inlineStr">
        <is>
          <t>PJ-2023-H</t>
        </is>
      </c>
      <c r="B1208" s="10" t="inlineStr">
        <is>
          <t>位置合わせ(MS指定)／月内均等</t>
        </is>
      </c>
      <c r="C1208" s="10" t="inlineStr">
        <is>
          <t>2024-03</t>
        </is>
      </c>
      <c r="D1208" s="10" t="n">
        <v>15</v>
      </c>
      <c r="E1208" s="12" t="n">
        <v>8923.799999999999</v>
      </c>
      <c r="F1208" s="12" t="n">
        <v>9844.9</v>
      </c>
      <c r="G1208" s="12" t="n">
        <v>-921.1</v>
      </c>
      <c r="H1208" s="13" t="n">
        <v>0.7526</v>
      </c>
      <c r="I1208" s="13" t="n">
        <v>0.7416</v>
      </c>
    </row>
    <row r="1209">
      <c r="A1209" s="10" t="inlineStr">
        <is>
          <t>PJ-2023-H</t>
        </is>
      </c>
      <c r="B1209" s="10" t="inlineStr">
        <is>
          <t>位置合わせ(MS指定)／月内均等</t>
        </is>
      </c>
      <c r="C1209" s="10" t="inlineStr">
        <is>
          <t>2024-04</t>
        </is>
      </c>
      <c r="D1209" s="10" t="n">
        <v>16</v>
      </c>
      <c r="E1209" s="12" t="n">
        <v>11065.9</v>
      </c>
      <c r="F1209" s="12" t="n">
        <v>11975.4</v>
      </c>
      <c r="G1209" s="12" t="n">
        <v>-909.5</v>
      </c>
      <c r="H1209" s="13" t="n">
        <v>0.8152</v>
      </c>
      <c r="I1209" s="13" t="n">
        <v>0.8093</v>
      </c>
    </row>
    <row r="1210">
      <c r="A1210" s="10" t="inlineStr">
        <is>
          <t>PJ-2023-H</t>
        </is>
      </c>
      <c r="B1210" s="10" t="inlineStr">
        <is>
          <t>位置合わせ(MS指定)／月内均等</t>
        </is>
      </c>
      <c r="C1210" s="10" t="inlineStr">
        <is>
          <t>2024-05</t>
        </is>
      </c>
      <c r="D1210" s="10" t="n">
        <v>17</v>
      </c>
      <c r="E1210" s="12" t="n">
        <v>11747.9</v>
      </c>
      <c r="F1210" s="12" t="n">
        <v>13374.7</v>
      </c>
      <c r="G1210" s="12" t="n">
        <v>-1626.8</v>
      </c>
      <c r="H1210" s="13" t="n">
        <v>0.8816000000000001</v>
      </c>
      <c r="I1210" s="13" t="n">
        <v>0.885</v>
      </c>
    </row>
    <row r="1211">
      <c r="A1211" s="10" t="inlineStr">
        <is>
          <t>PJ-2023-H</t>
        </is>
      </c>
      <c r="B1211" s="10" t="inlineStr">
        <is>
          <t>位置合わせ(MS指定)／月内均等</t>
        </is>
      </c>
      <c r="C1211" s="10" t="inlineStr">
        <is>
          <t>2024-06</t>
        </is>
      </c>
      <c r="D1211" s="10" t="n">
        <v>18</v>
      </c>
      <c r="E1211" s="12" t="n">
        <v>9511.1</v>
      </c>
      <c r="F1211" s="12" t="n">
        <v>8541.700000000001</v>
      </c>
      <c r="G1211" s="12" t="n">
        <v>969.4</v>
      </c>
      <c r="H1211" s="13" t="n">
        <v>0.9354</v>
      </c>
      <c r="I1211" s="13" t="n">
        <v>0.9333</v>
      </c>
    </row>
    <row r="1212">
      <c r="A1212" s="10" t="inlineStr">
        <is>
          <t>PJ-2023-H</t>
        </is>
      </c>
      <c r="B1212" s="10" t="inlineStr">
        <is>
          <t>位置合わせ(MS指定)／月内均等</t>
        </is>
      </c>
      <c r="C1212" s="10" t="inlineStr">
        <is>
          <t>2024-07</t>
        </is>
      </c>
      <c r="D1212" s="10" t="n">
        <v>19</v>
      </c>
      <c r="E1212" s="12" t="n">
        <v>7539.6</v>
      </c>
      <c r="F1212" s="12" t="n">
        <v>7179.1</v>
      </c>
      <c r="G1212" s="12" t="n">
        <v>360.5</v>
      </c>
      <c r="H1212" s="13" t="n">
        <v>0.9781</v>
      </c>
      <c r="I1212" s="13" t="n">
        <v>0.9739</v>
      </c>
    </row>
    <row r="1213">
      <c r="A1213" s="10" t="inlineStr">
        <is>
          <t>PJ-2023-H</t>
        </is>
      </c>
      <c r="B1213" s="10" t="inlineStr">
        <is>
          <t>位置合わせ(MS指定)／月内均等</t>
        </is>
      </c>
      <c r="C1213" s="10" t="inlineStr">
        <is>
          <t>2024-08</t>
        </is>
      </c>
      <c r="D1213" s="10" t="n">
        <v>20</v>
      </c>
      <c r="E1213" s="12" t="n">
        <v>3873.4</v>
      </c>
      <c r="F1213" s="12" t="n">
        <v>4609.2</v>
      </c>
      <c r="G1213" s="12" t="n">
        <v>-735.8</v>
      </c>
      <c r="H1213" s="13" t="n">
        <v>1</v>
      </c>
      <c r="I1213" s="13" t="n">
        <v>1</v>
      </c>
    </row>
    <row r="1214">
      <c r="A1214" s="10" t="inlineStr">
        <is>
          <t>PJ-2023-H</t>
        </is>
      </c>
      <c r="B1214" s="10" t="inlineStr">
        <is>
          <t>素朴版／単調補間</t>
        </is>
      </c>
      <c r="C1214" s="10" t="inlineStr">
        <is>
          <t>2023-01</t>
        </is>
      </c>
      <c r="D1214" s="10" t="n">
        <v>1</v>
      </c>
      <c r="E1214" s="12" t="n">
        <v>3793.7</v>
      </c>
      <c r="F1214" s="12" t="n">
        <v>2440.7</v>
      </c>
      <c r="G1214" s="12" t="n">
        <v>1353</v>
      </c>
      <c r="H1214" s="13" t="n">
        <v>0.0215</v>
      </c>
      <c r="I1214" s="13" t="n">
        <v>0.0138</v>
      </c>
    </row>
    <row r="1215">
      <c r="A1215" s="10" t="inlineStr">
        <is>
          <t>PJ-2023-H</t>
        </is>
      </c>
      <c r="B1215" s="10" t="inlineStr">
        <is>
          <t>素朴版／単調補間</t>
        </is>
      </c>
      <c r="C1215" s="10" t="inlineStr">
        <is>
          <t>2023-02</t>
        </is>
      </c>
      <c r="D1215" s="10" t="n">
        <v>2</v>
      </c>
      <c r="E1215" s="12" t="n">
        <v>4379.2</v>
      </c>
      <c r="F1215" s="12" t="n">
        <v>3859.4</v>
      </c>
      <c r="G1215" s="12" t="n">
        <v>519.8</v>
      </c>
      <c r="H1215" s="13" t="n">
        <v>0.0462</v>
      </c>
      <c r="I1215" s="13" t="n">
        <v>0.0356</v>
      </c>
    </row>
    <row r="1216">
      <c r="A1216" s="10" t="inlineStr">
        <is>
          <t>PJ-2023-H</t>
        </is>
      </c>
      <c r="B1216" s="10" t="inlineStr">
        <is>
          <t>素朴版／単調補間</t>
        </is>
      </c>
      <c r="C1216" s="10" t="inlineStr">
        <is>
          <t>2023-03</t>
        </is>
      </c>
      <c r="D1216" s="10" t="n">
        <v>3</v>
      </c>
      <c r="E1216" s="12" t="n">
        <v>5493.9</v>
      </c>
      <c r="F1216" s="12" t="n">
        <v>6095.6</v>
      </c>
      <c r="G1216" s="12" t="n">
        <v>-601.7</v>
      </c>
      <c r="H1216" s="13" t="n">
        <v>0.07729999999999999</v>
      </c>
      <c r="I1216" s="13" t="n">
        <v>0.0701</v>
      </c>
    </row>
    <row r="1217">
      <c r="A1217" s="10" t="inlineStr">
        <is>
          <t>PJ-2023-H</t>
        </is>
      </c>
      <c r="B1217" s="10" t="inlineStr">
        <is>
          <t>素朴版／単調補間</t>
        </is>
      </c>
      <c r="C1217" s="10" t="inlineStr">
        <is>
          <t>2023-04</t>
        </is>
      </c>
      <c r="D1217" s="10" t="n">
        <v>4</v>
      </c>
      <c r="E1217" s="12" t="n">
        <v>5749.2</v>
      </c>
      <c r="F1217" s="12" t="n">
        <v>7110.8</v>
      </c>
      <c r="G1217" s="12" t="n">
        <v>-1361.6</v>
      </c>
      <c r="H1217" s="13" t="n">
        <v>0.1098</v>
      </c>
      <c r="I1217" s="13" t="n">
        <v>0.1103</v>
      </c>
    </row>
    <row r="1218">
      <c r="A1218" s="10" t="inlineStr">
        <is>
          <t>PJ-2023-H</t>
        </is>
      </c>
      <c r="B1218" s="10" t="inlineStr">
        <is>
          <t>素朴版／単調補間</t>
        </is>
      </c>
      <c r="C1218" s="10" t="inlineStr">
        <is>
          <t>2023-05</t>
        </is>
      </c>
      <c r="D1218" s="10" t="n">
        <v>5</v>
      </c>
      <c r="E1218" s="12" t="n">
        <v>6474.3</v>
      </c>
      <c r="F1218" s="12" t="n">
        <v>8343.200000000001</v>
      </c>
      <c r="G1218" s="12" t="n">
        <v>-1868.9</v>
      </c>
      <c r="H1218" s="13" t="n">
        <v>0.1465</v>
      </c>
      <c r="I1218" s="13" t="n">
        <v>0.1575</v>
      </c>
    </row>
    <row r="1219">
      <c r="A1219" s="10" t="inlineStr">
        <is>
          <t>PJ-2023-H</t>
        </is>
      </c>
      <c r="B1219" s="10" t="inlineStr">
        <is>
          <t>素朴版／単調補間</t>
        </is>
      </c>
      <c r="C1219" s="10" t="inlineStr">
        <is>
          <t>2023-06</t>
        </is>
      </c>
      <c r="D1219" s="10" t="n">
        <v>6</v>
      </c>
      <c r="E1219" s="12" t="n">
        <v>7640.7</v>
      </c>
      <c r="F1219" s="12" t="n">
        <v>9678</v>
      </c>
      <c r="G1219" s="12" t="n">
        <v>-2037.3</v>
      </c>
      <c r="H1219" s="13" t="n">
        <v>0.1897</v>
      </c>
      <c r="I1219" s="13" t="n">
        <v>0.2123</v>
      </c>
    </row>
    <row r="1220">
      <c r="A1220" s="10" t="inlineStr">
        <is>
          <t>PJ-2023-H</t>
        </is>
      </c>
      <c r="B1220" s="10" t="inlineStr">
        <is>
          <t>素朴版／単調補間</t>
        </is>
      </c>
      <c r="C1220" s="10" t="inlineStr">
        <is>
          <t>2023-07</t>
        </is>
      </c>
      <c r="D1220" s="10" t="n">
        <v>7</v>
      </c>
      <c r="E1220" s="12" t="n">
        <v>9467.6</v>
      </c>
      <c r="F1220" s="12" t="n">
        <v>11523.9</v>
      </c>
      <c r="G1220" s="12" t="n">
        <v>-2056.3</v>
      </c>
      <c r="H1220" s="13" t="n">
        <v>0.2432</v>
      </c>
      <c r="I1220" s="13" t="n">
        <v>0.2775</v>
      </c>
    </row>
    <row r="1221">
      <c r="A1221" s="10" t="inlineStr">
        <is>
          <t>PJ-2023-H</t>
        </is>
      </c>
      <c r="B1221" s="10" t="inlineStr">
        <is>
          <t>素朴版／単調補間</t>
        </is>
      </c>
      <c r="C1221" s="10" t="inlineStr">
        <is>
          <t>2023-08</t>
        </is>
      </c>
      <c r="D1221" s="10" t="n">
        <v>8</v>
      </c>
      <c r="E1221" s="12" t="n">
        <v>10703.2</v>
      </c>
      <c r="F1221" s="12" t="n">
        <v>13879.8</v>
      </c>
      <c r="G1221" s="12" t="n">
        <v>-3176.6</v>
      </c>
      <c r="H1221" s="13" t="n">
        <v>0.3038</v>
      </c>
      <c r="I1221" s="13" t="n">
        <v>0.356</v>
      </c>
    </row>
    <row r="1222">
      <c r="A1222" s="10" t="inlineStr">
        <is>
          <t>PJ-2023-H</t>
        </is>
      </c>
      <c r="B1222" s="10" t="inlineStr">
        <is>
          <t>素朴版／単調補間</t>
        </is>
      </c>
      <c r="C1222" s="10" t="inlineStr">
        <is>
          <t>2023-09</t>
        </is>
      </c>
      <c r="D1222" s="10" t="n">
        <v>9</v>
      </c>
      <c r="E1222" s="12" t="n">
        <v>10595.1</v>
      </c>
      <c r="F1222" s="12" t="n">
        <v>13966.5</v>
      </c>
      <c r="G1222" s="12" t="n">
        <v>-3371.4</v>
      </c>
      <c r="H1222" s="13" t="n">
        <v>0.3637</v>
      </c>
      <c r="I1222" s="13" t="n">
        <v>0.435</v>
      </c>
    </row>
    <row r="1223">
      <c r="A1223" s="10" t="inlineStr">
        <is>
          <t>PJ-2023-H</t>
        </is>
      </c>
      <c r="B1223" s="10" t="inlineStr">
        <is>
          <t>素朴版／単調補間</t>
        </is>
      </c>
      <c r="C1223" s="10" t="inlineStr">
        <is>
          <t>2023-10</t>
        </is>
      </c>
      <c r="D1223" s="10" t="n">
        <v>10</v>
      </c>
      <c r="E1223" s="12" t="n">
        <v>10608.2</v>
      </c>
      <c r="F1223" s="12" t="n">
        <v>10043.9</v>
      </c>
      <c r="G1223" s="12" t="n">
        <v>564.3</v>
      </c>
      <c r="H1223" s="13" t="n">
        <v>0.4237</v>
      </c>
      <c r="I1223" s="13" t="n">
        <v>0.4918</v>
      </c>
    </row>
    <row r="1224">
      <c r="A1224" s="10" t="inlineStr">
        <is>
          <t>PJ-2023-H</t>
        </is>
      </c>
      <c r="B1224" s="10" t="inlineStr">
        <is>
          <t>素朴版／単調補間</t>
        </is>
      </c>
      <c r="C1224" s="10" t="inlineStr">
        <is>
          <t>2023-11</t>
        </is>
      </c>
      <c r="D1224" s="10" t="n">
        <v>11</v>
      </c>
      <c r="E1224" s="12" t="n">
        <v>11981.2</v>
      </c>
      <c r="F1224" s="12" t="n">
        <v>9363.200000000001</v>
      </c>
      <c r="G1224" s="12" t="n">
        <v>2618</v>
      </c>
      <c r="H1224" s="13" t="n">
        <v>0.4915</v>
      </c>
      <c r="I1224" s="13" t="n">
        <v>0.5448</v>
      </c>
    </row>
    <row r="1225">
      <c r="A1225" s="10" t="inlineStr">
        <is>
          <t>PJ-2023-H</t>
        </is>
      </c>
      <c r="B1225" s="10" t="inlineStr">
        <is>
          <t>素朴版／単調補間</t>
        </is>
      </c>
      <c r="C1225" s="10" t="inlineStr">
        <is>
          <t>2023-12</t>
        </is>
      </c>
      <c r="D1225" s="10" t="n">
        <v>12</v>
      </c>
      <c r="E1225" s="12" t="n">
        <v>13165.5</v>
      </c>
      <c r="F1225" s="12" t="n">
        <v>8579.200000000001</v>
      </c>
      <c r="G1225" s="12" t="n">
        <v>4586.3</v>
      </c>
      <c r="H1225" s="13" t="n">
        <v>0.5659</v>
      </c>
      <c r="I1225" s="13" t="n">
        <v>0.5933</v>
      </c>
    </row>
    <row r="1226">
      <c r="A1226" s="10" t="inlineStr">
        <is>
          <t>PJ-2023-H</t>
        </is>
      </c>
      <c r="B1226" s="10" t="inlineStr">
        <is>
          <t>素朴版／単調補間</t>
        </is>
      </c>
      <c r="C1226" s="10" t="inlineStr">
        <is>
          <t>2024-01</t>
        </is>
      </c>
      <c r="D1226" s="10" t="n">
        <v>13</v>
      </c>
      <c r="E1226" s="12" t="n">
        <v>14544.2</v>
      </c>
      <c r="F1226" s="12" t="n">
        <v>8088</v>
      </c>
      <c r="G1226" s="12" t="n">
        <v>6456.2</v>
      </c>
      <c r="H1226" s="13" t="n">
        <v>0.6482</v>
      </c>
      <c r="I1226" s="13" t="n">
        <v>0.639</v>
      </c>
    </row>
    <row r="1227">
      <c r="A1227" s="10" t="inlineStr">
        <is>
          <t>PJ-2023-H</t>
        </is>
      </c>
      <c r="B1227" s="10" t="inlineStr">
        <is>
          <t>素朴版／単調補間</t>
        </is>
      </c>
      <c r="C1227" s="10" t="inlineStr">
        <is>
          <t>2024-02</t>
        </is>
      </c>
      <c r="D1227" s="10" t="n">
        <v>14</v>
      </c>
      <c r="E1227" s="12" t="n">
        <v>12365.3</v>
      </c>
      <c r="F1227" s="12" t="n">
        <v>8288.700000000001</v>
      </c>
      <c r="G1227" s="12" t="n">
        <v>4076.6</v>
      </c>
      <c r="H1227" s="13" t="n">
        <v>0.7181999999999999</v>
      </c>
      <c r="I1227" s="13" t="n">
        <v>0.6859</v>
      </c>
    </row>
    <row r="1228">
      <c r="A1228" s="10" t="inlineStr">
        <is>
          <t>PJ-2023-H</t>
        </is>
      </c>
      <c r="B1228" s="10" t="inlineStr">
        <is>
          <t>素朴版／単調補間</t>
        </is>
      </c>
      <c r="C1228" s="10" t="inlineStr">
        <is>
          <t>2024-03</t>
        </is>
      </c>
      <c r="D1228" s="10" t="n">
        <v>15</v>
      </c>
      <c r="E1228" s="12" t="n">
        <v>11771.5</v>
      </c>
      <c r="F1228" s="12" t="n">
        <v>9844.9</v>
      </c>
      <c r="G1228" s="12" t="n">
        <v>1926.6</v>
      </c>
      <c r="H1228" s="13" t="n">
        <v>0.7848000000000001</v>
      </c>
      <c r="I1228" s="13" t="n">
        <v>0.7416</v>
      </c>
    </row>
    <row r="1229">
      <c r="A1229" s="10" t="inlineStr">
        <is>
          <t>PJ-2023-H</t>
        </is>
      </c>
      <c r="B1229" s="10" t="inlineStr">
        <is>
          <t>素朴版／単調補間</t>
        </is>
      </c>
      <c r="C1229" s="10" t="inlineStr">
        <is>
          <t>2024-04</t>
        </is>
      </c>
      <c r="D1229" s="10" t="n">
        <v>16</v>
      </c>
      <c r="E1229" s="12" t="n">
        <v>11176.8</v>
      </c>
      <c r="F1229" s="12" t="n">
        <v>11975.4</v>
      </c>
      <c r="G1229" s="12" t="n">
        <v>-798.6</v>
      </c>
      <c r="H1229" s="13" t="n">
        <v>0.848</v>
      </c>
      <c r="I1229" s="13" t="n">
        <v>0.8093</v>
      </c>
    </row>
    <row r="1230">
      <c r="A1230" s="10" t="inlineStr">
        <is>
          <t>PJ-2023-H</t>
        </is>
      </c>
      <c r="B1230" s="10" t="inlineStr">
        <is>
          <t>素朴版／単調補間</t>
        </is>
      </c>
      <c r="C1230" s="10" t="inlineStr">
        <is>
          <t>2024-05</t>
        </is>
      </c>
      <c r="D1230" s="10" t="n">
        <v>17</v>
      </c>
      <c r="E1230" s="12" t="n">
        <v>10474.6</v>
      </c>
      <c r="F1230" s="12" t="n">
        <v>13374.7</v>
      </c>
      <c r="G1230" s="12" t="n">
        <v>-2900.1</v>
      </c>
      <c r="H1230" s="13" t="n">
        <v>0.9072</v>
      </c>
      <c r="I1230" s="13" t="n">
        <v>0.885</v>
      </c>
    </row>
    <row r="1231">
      <c r="A1231" s="10" t="inlineStr">
        <is>
          <t>PJ-2023-H</t>
        </is>
      </c>
      <c r="B1231" s="10" t="inlineStr">
        <is>
          <t>素朴版／単調補間</t>
        </is>
      </c>
      <c r="C1231" s="10" t="inlineStr">
        <is>
          <t>2024-06</t>
        </is>
      </c>
      <c r="D1231" s="10" t="n">
        <v>18</v>
      </c>
      <c r="E1231" s="12" t="n">
        <v>7534.9</v>
      </c>
      <c r="F1231" s="12" t="n">
        <v>8541.700000000001</v>
      </c>
      <c r="G1231" s="12" t="n">
        <v>-1006.8</v>
      </c>
      <c r="H1231" s="13" t="n">
        <v>0.9498</v>
      </c>
      <c r="I1231" s="13" t="n">
        <v>0.9333</v>
      </c>
    </row>
    <row r="1232">
      <c r="A1232" s="10" t="inlineStr">
        <is>
          <t>PJ-2023-H</t>
        </is>
      </c>
      <c r="B1232" s="10" t="inlineStr">
        <is>
          <t>素朴版／単調補間</t>
        </is>
      </c>
      <c r="C1232" s="10" t="inlineStr">
        <is>
          <t>2024-07</t>
        </is>
      </c>
      <c r="D1232" s="10" t="n">
        <v>19</v>
      </c>
      <c r="E1232" s="12" t="n">
        <v>5847.8</v>
      </c>
      <c r="F1232" s="12" t="n">
        <v>7179.1</v>
      </c>
      <c r="G1232" s="12" t="n">
        <v>-1331.3</v>
      </c>
      <c r="H1232" s="13" t="n">
        <v>0.9829</v>
      </c>
      <c r="I1232" s="13" t="n">
        <v>0.9739</v>
      </c>
    </row>
    <row r="1233">
      <c r="A1233" s="10" t="inlineStr">
        <is>
          <t>PJ-2023-H</t>
        </is>
      </c>
      <c r="B1233" s="10" t="inlineStr">
        <is>
          <t>素朴版／単調補間</t>
        </is>
      </c>
      <c r="C1233" s="10" t="inlineStr">
        <is>
          <t>2024-08</t>
        </is>
      </c>
      <c r="D1233" s="10" t="n">
        <v>20</v>
      </c>
      <c r="E1233" s="12" t="n">
        <v>3018.9</v>
      </c>
      <c r="F1233" s="12" t="n">
        <v>4609.2</v>
      </c>
      <c r="G1233" s="12" t="n">
        <v>-1590.3</v>
      </c>
      <c r="H1233" s="13" t="n">
        <v>1</v>
      </c>
      <c r="I1233" s="13" t="n">
        <v>1</v>
      </c>
    </row>
    <row r="1234">
      <c r="A1234" s="10" t="inlineStr">
        <is>
          <t>PJ-2023-H</t>
        </is>
      </c>
      <c r="B1234" s="10" t="inlineStr">
        <is>
          <t>位置合わせ(MS学習値)／単調補間</t>
        </is>
      </c>
      <c r="C1234" s="10" t="inlineStr">
        <is>
          <t>2023-01</t>
        </is>
      </c>
      <c r="D1234" s="10" t="n">
        <v>1</v>
      </c>
      <c r="E1234" s="12" t="n">
        <v>3740.2</v>
      </c>
      <c r="F1234" s="12" t="n">
        <v>2440.7</v>
      </c>
      <c r="G1234" s="12" t="n">
        <v>1299.5</v>
      </c>
      <c r="H1234" s="13" t="n">
        <v>0.0212</v>
      </c>
      <c r="I1234" s="13" t="n">
        <v>0.0138</v>
      </c>
    </row>
    <row r="1235">
      <c r="A1235" s="10" t="inlineStr">
        <is>
          <t>PJ-2023-H</t>
        </is>
      </c>
      <c r="B1235" s="10" t="inlineStr">
        <is>
          <t>位置合わせ(MS学習値)／単調補間</t>
        </is>
      </c>
      <c r="C1235" s="10" t="inlineStr">
        <is>
          <t>2023-02</t>
        </is>
      </c>
      <c r="D1235" s="10" t="n">
        <v>2</v>
      </c>
      <c r="E1235" s="12" t="n">
        <v>4340.4</v>
      </c>
      <c r="F1235" s="12" t="n">
        <v>3859.4</v>
      </c>
      <c r="G1235" s="12" t="n">
        <v>481</v>
      </c>
      <c r="H1235" s="13" t="n">
        <v>0.0457</v>
      </c>
      <c r="I1235" s="13" t="n">
        <v>0.0356</v>
      </c>
    </row>
    <row r="1236">
      <c r="A1236" s="10" t="inlineStr">
        <is>
          <t>PJ-2023-H</t>
        </is>
      </c>
      <c r="B1236" s="10" t="inlineStr">
        <is>
          <t>位置合わせ(MS学習値)／単調補間</t>
        </is>
      </c>
      <c r="C1236" s="10" t="inlineStr">
        <is>
          <t>2023-03</t>
        </is>
      </c>
      <c r="D1236" s="10" t="n">
        <v>3</v>
      </c>
      <c r="E1236" s="12" t="n">
        <v>5434.8</v>
      </c>
      <c r="F1236" s="12" t="n">
        <v>6095.6</v>
      </c>
      <c r="G1236" s="12" t="n">
        <v>-660.8</v>
      </c>
      <c r="H1236" s="13" t="n">
        <v>0.0765</v>
      </c>
      <c r="I1236" s="13" t="n">
        <v>0.0701</v>
      </c>
    </row>
    <row r="1237">
      <c r="A1237" s="10" t="inlineStr">
        <is>
          <t>PJ-2023-H</t>
        </is>
      </c>
      <c r="B1237" s="10" t="inlineStr">
        <is>
          <t>位置合わせ(MS学習値)／単調補間</t>
        </is>
      </c>
      <c r="C1237" s="10" t="inlineStr">
        <is>
          <t>2023-04</t>
        </is>
      </c>
      <c r="D1237" s="10" t="n">
        <v>4</v>
      </c>
      <c r="E1237" s="12" t="n">
        <v>5676.1</v>
      </c>
      <c r="F1237" s="12" t="n">
        <v>7110.8</v>
      </c>
      <c r="G1237" s="12" t="n">
        <v>-1434.7</v>
      </c>
      <c r="H1237" s="13" t="n">
        <v>0.1086</v>
      </c>
      <c r="I1237" s="13" t="n">
        <v>0.1103</v>
      </c>
    </row>
    <row r="1238">
      <c r="A1238" s="10" t="inlineStr">
        <is>
          <t>PJ-2023-H</t>
        </is>
      </c>
      <c r="B1238" s="10" t="inlineStr">
        <is>
          <t>位置合わせ(MS学習値)／単調補間</t>
        </is>
      </c>
      <c r="C1238" s="10" t="inlineStr">
        <is>
          <t>2023-05</t>
        </is>
      </c>
      <c r="D1238" s="10" t="n">
        <v>5</v>
      </c>
      <c r="E1238" s="12" t="n">
        <v>6392.4</v>
      </c>
      <c r="F1238" s="12" t="n">
        <v>8343.200000000001</v>
      </c>
      <c r="G1238" s="12" t="n">
        <v>-1950.8</v>
      </c>
      <c r="H1238" s="13" t="n">
        <v>0.1447</v>
      </c>
      <c r="I1238" s="13" t="n">
        <v>0.1575</v>
      </c>
    </row>
    <row r="1239">
      <c r="A1239" s="10" t="inlineStr">
        <is>
          <t>PJ-2023-H</t>
        </is>
      </c>
      <c r="B1239" s="10" t="inlineStr">
        <is>
          <t>位置合わせ(MS学習値)／単調補間</t>
        </is>
      </c>
      <c r="C1239" s="10" t="inlineStr">
        <is>
          <t>2023-06</t>
        </is>
      </c>
      <c r="D1239" s="10" t="n">
        <v>6</v>
      </c>
      <c r="E1239" s="12" t="n">
        <v>7079.8</v>
      </c>
      <c r="F1239" s="12" t="n">
        <v>9678</v>
      </c>
      <c r="G1239" s="12" t="n">
        <v>-2598.2</v>
      </c>
      <c r="H1239" s="13" t="n">
        <v>0.1848</v>
      </c>
      <c r="I1239" s="13" t="n">
        <v>0.2123</v>
      </c>
    </row>
    <row r="1240">
      <c r="A1240" s="10" t="inlineStr">
        <is>
          <t>PJ-2023-H</t>
        </is>
      </c>
      <c r="B1240" s="10" t="inlineStr">
        <is>
          <t>位置合わせ(MS学習値)／単調補間</t>
        </is>
      </c>
      <c r="C1240" s="10" t="inlineStr">
        <is>
          <t>2023-07</t>
        </is>
      </c>
      <c r="D1240" s="10" t="n">
        <v>7</v>
      </c>
      <c r="E1240" s="12" t="n">
        <v>8783.4</v>
      </c>
      <c r="F1240" s="12" t="n">
        <v>11523.9</v>
      </c>
      <c r="G1240" s="12" t="n">
        <v>-2740.5</v>
      </c>
      <c r="H1240" s="13" t="n">
        <v>0.2344</v>
      </c>
      <c r="I1240" s="13" t="n">
        <v>0.2775</v>
      </c>
    </row>
    <row r="1241">
      <c r="A1241" s="10" t="inlineStr">
        <is>
          <t>PJ-2023-H</t>
        </is>
      </c>
      <c r="B1241" s="10" t="inlineStr">
        <is>
          <t>位置合わせ(MS学習値)／単調補間</t>
        </is>
      </c>
      <c r="C1241" s="10" t="inlineStr">
        <is>
          <t>2023-08</t>
        </is>
      </c>
      <c r="D1241" s="10" t="n">
        <v>8</v>
      </c>
      <c r="E1241" s="12" t="n">
        <v>9949.200000000001</v>
      </c>
      <c r="F1241" s="12" t="n">
        <v>13879.8</v>
      </c>
      <c r="G1241" s="12" t="n">
        <v>-3930.6</v>
      </c>
      <c r="H1241" s="13" t="n">
        <v>0.2907</v>
      </c>
      <c r="I1241" s="13" t="n">
        <v>0.356</v>
      </c>
    </row>
    <row r="1242">
      <c r="A1242" s="10" t="inlineStr">
        <is>
          <t>PJ-2023-H</t>
        </is>
      </c>
      <c r="B1242" s="10" t="inlineStr">
        <is>
          <t>位置合わせ(MS学習値)／単調補間</t>
        </is>
      </c>
      <c r="C1242" s="10" t="inlineStr">
        <is>
          <t>2023-09</t>
        </is>
      </c>
      <c r="D1242" s="10" t="n">
        <v>9</v>
      </c>
      <c r="E1242" s="12" t="n">
        <v>10511.3</v>
      </c>
      <c r="F1242" s="12" t="n">
        <v>13966.5</v>
      </c>
      <c r="G1242" s="12" t="n">
        <v>-3455.2</v>
      </c>
      <c r="H1242" s="13" t="n">
        <v>0.3502</v>
      </c>
      <c r="I1242" s="13" t="n">
        <v>0.435</v>
      </c>
    </row>
    <row r="1243">
      <c r="A1243" s="10" t="inlineStr">
        <is>
          <t>PJ-2023-H</t>
        </is>
      </c>
      <c r="B1243" s="10" t="inlineStr">
        <is>
          <t>位置合わせ(MS学習値)／単調補間</t>
        </is>
      </c>
      <c r="C1243" s="10" t="inlineStr">
        <is>
          <t>2023-10</t>
        </is>
      </c>
      <c r="D1243" s="10" t="n">
        <v>10</v>
      </c>
      <c r="E1243" s="12" t="n">
        <v>12255.7</v>
      </c>
      <c r="F1243" s="12" t="n">
        <v>10043.9</v>
      </c>
      <c r="G1243" s="12" t="n">
        <v>2211.8</v>
      </c>
      <c r="H1243" s="13" t="n">
        <v>0.4195</v>
      </c>
      <c r="I1243" s="13" t="n">
        <v>0.4918</v>
      </c>
    </row>
    <row r="1244">
      <c r="A1244" s="10" t="inlineStr">
        <is>
          <t>PJ-2023-H</t>
        </is>
      </c>
      <c r="B1244" s="10" t="inlineStr">
        <is>
          <t>位置合わせ(MS学習値)／単調補間</t>
        </is>
      </c>
      <c r="C1244" s="10" t="inlineStr">
        <is>
          <t>2023-11</t>
        </is>
      </c>
      <c r="D1244" s="10" t="n">
        <v>11</v>
      </c>
      <c r="E1244" s="12" t="n">
        <v>12855.3</v>
      </c>
      <c r="F1244" s="12" t="n">
        <v>9363.200000000001</v>
      </c>
      <c r="G1244" s="12" t="n">
        <v>3492.1</v>
      </c>
      <c r="H1244" s="13" t="n">
        <v>0.4922</v>
      </c>
      <c r="I1244" s="13" t="n">
        <v>0.5448</v>
      </c>
    </row>
    <row r="1245">
      <c r="A1245" s="10" t="inlineStr">
        <is>
          <t>PJ-2023-H</t>
        </is>
      </c>
      <c r="B1245" s="10" t="inlineStr">
        <is>
          <t>位置合わせ(MS学習値)／単調補間</t>
        </is>
      </c>
      <c r="C1245" s="10" t="inlineStr">
        <is>
          <t>2023-12</t>
        </is>
      </c>
      <c r="D1245" s="10" t="n">
        <v>12</v>
      </c>
      <c r="E1245" s="12" t="n">
        <v>13775.2</v>
      </c>
      <c r="F1245" s="12" t="n">
        <v>8579.200000000001</v>
      </c>
      <c r="G1245" s="12" t="n">
        <v>5196</v>
      </c>
      <c r="H1245" s="13" t="n">
        <v>0.5701000000000001</v>
      </c>
      <c r="I1245" s="13" t="n">
        <v>0.5933</v>
      </c>
    </row>
    <row r="1246">
      <c r="A1246" s="10" t="inlineStr">
        <is>
          <t>PJ-2023-H</t>
        </is>
      </c>
      <c r="B1246" s="10" t="inlineStr">
        <is>
          <t>位置合わせ(MS学習値)／単調補間</t>
        </is>
      </c>
      <c r="C1246" s="10" t="inlineStr">
        <is>
          <t>2024-01</t>
        </is>
      </c>
      <c r="D1246" s="10" t="n">
        <v>13</v>
      </c>
      <c r="E1246" s="12" t="n">
        <v>13803.5</v>
      </c>
      <c r="F1246" s="12" t="n">
        <v>8088</v>
      </c>
      <c r="G1246" s="12" t="n">
        <v>5715.5</v>
      </c>
      <c r="H1246" s="13" t="n">
        <v>0.6482</v>
      </c>
      <c r="I1246" s="13" t="n">
        <v>0.639</v>
      </c>
    </row>
    <row r="1247">
      <c r="A1247" s="10" t="inlineStr">
        <is>
          <t>PJ-2023-H</t>
        </is>
      </c>
      <c r="B1247" s="10" t="inlineStr">
        <is>
          <t>位置合わせ(MS学習値)／単調補間</t>
        </is>
      </c>
      <c r="C1247" s="10" t="inlineStr">
        <is>
          <t>2024-02</t>
        </is>
      </c>
      <c r="D1247" s="10" t="n">
        <v>14</v>
      </c>
      <c r="E1247" s="12" t="n">
        <v>13346.9</v>
      </c>
      <c r="F1247" s="12" t="n">
        <v>8288.700000000001</v>
      </c>
      <c r="G1247" s="12" t="n">
        <v>5058.2</v>
      </c>
      <c r="H1247" s="13" t="n">
        <v>0.7237</v>
      </c>
      <c r="I1247" s="13" t="n">
        <v>0.6859</v>
      </c>
    </row>
    <row r="1248">
      <c r="A1248" s="10" t="inlineStr">
        <is>
          <t>PJ-2023-H</t>
        </is>
      </c>
      <c r="B1248" s="10" t="inlineStr">
        <is>
          <t>位置合わせ(MS学習値)／単調補間</t>
        </is>
      </c>
      <c r="C1248" s="10" t="inlineStr">
        <is>
          <t>2024-03</t>
        </is>
      </c>
      <c r="D1248" s="10" t="n">
        <v>15</v>
      </c>
      <c r="E1248" s="12" t="n">
        <v>13206.8</v>
      </c>
      <c r="F1248" s="12" t="n">
        <v>9844.9</v>
      </c>
      <c r="G1248" s="12" t="n">
        <v>3361.9</v>
      </c>
      <c r="H1248" s="13" t="n">
        <v>0.7984</v>
      </c>
      <c r="I1248" s="13" t="n">
        <v>0.7416</v>
      </c>
    </row>
    <row r="1249">
      <c r="A1249" s="10" t="inlineStr">
        <is>
          <t>PJ-2023-H</t>
        </is>
      </c>
      <c r="B1249" s="10" t="inlineStr">
        <is>
          <t>位置合わせ(MS学習値)／単調補間</t>
        </is>
      </c>
      <c r="C1249" s="10" t="inlineStr">
        <is>
          <t>2024-04</t>
        </is>
      </c>
      <c r="D1249" s="10" t="n">
        <v>16</v>
      </c>
      <c r="E1249" s="12" t="n">
        <v>10051.4</v>
      </c>
      <c r="F1249" s="12" t="n">
        <v>11975.4</v>
      </c>
      <c r="G1249" s="12" t="n">
        <v>-1924</v>
      </c>
      <c r="H1249" s="13" t="n">
        <v>0.8552999999999999</v>
      </c>
      <c r="I1249" s="13" t="n">
        <v>0.8093</v>
      </c>
    </row>
    <row r="1250">
      <c r="A1250" s="10" t="inlineStr">
        <is>
          <t>PJ-2023-H</t>
        </is>
      </c>
      <c r="B1250" s="10" t="inlineStr">
        <is>
          <t>位置合わせ(MS学習値)／単調補間</t>
        </is>
      </c>
      <c r="C1250" s="10" t="inlineStr">
        <is>
          <t>2024-05</t>
        </is>
      </c>
      <c r="D1250" s="10" t="n">
        <v>17</v>
      </c>
      <c r="E1250" s="12" t="n">
        <v>9379.799999999999</v>
      </c>
      <c r="F1250" s="12" t="n">
        <v>13374.7</v>
      </c>
      <c r="G1250" s="12" t="n">
        <v>-3994.9</v>
      </c>
      <c r="H1250" s="13" t="n">
        <v>0.9083</v>
      </c>
      <c r="I1250" s="13" t="n">
        <v>0.885</v>
      </c>
    </row>
    <row r="1251">
      <c r="A1251" s="10" t="inlineStr">
        <is>
          <t>PJ-2023-H</t>
        </is>
      </c>
      <c r="B1251" s="10" t="inlineStr">
        <is>
          <t>位置合わせ(MS学習値)／単調補間</t>
        </is>
      </c>
      <c r="C1251" s="10" t="inlineStr">
        <is>
          <t>2024-06</t>
        </is>
      </c>
      <c r="D1251" s="10" t="n">
        <v>18</v>
      </c>
      <c r="E1251" s="12" t="n">
        <v>7209.9</v>
      </c>
      <c r="F1251" s="12" t="n">
        <v>8541.700000000001</v>
      </c>
      <c r="G1251" s="12" t="n">
        <v>-1331.8</v>
      </c>
      <c r="H1251" s="13" t="n">
        <v>0.9491000000000001</v>
      </c>
      <c r="I1251" s="13" t="n">
        <v>0.9333</v>
      </c>
    </row>
    <row r="1252">
      <c r="A1252" s="10" t="inlineStr">
        <is>
          <t>PJ-2023-H</t>
        </is>
      </c>
      <c r="B1252" s="10" t="inlineStr">
        <is>
          <t>位置合わせ(MS学習値)／単調補間</t>
        </is>
      </c>
      <c r="C1252" s="10" t="inlineStr">
        <is>
          <t>2024-07</t>
        </is>
      </c>
      <c r="D1252" s="10" t="n">
        <v>19</v>
      </c>
      <c r="E1252" s="12" t="n">
        <v>6023.1</v>
      </c>
      <c r="F1252" s="12" t="n">
        <v>7179.1</v>
      </c>
      <c r="G1252" s="12" t="n">
        <v>-1156</v>
      </c>
      <c r="H1252" s="13" t="n">
        <v>0.9832</v>
      </c>
      <c r="I1252" s="13" t="n">
        <v>0.9739</v>
      </c>
    </row>
    <row r="1253">
      <c r="A1253" s="10" t="inlineStr">
        <is>
          <t>PJ-2023-H</t>
        </is>
      </c>
      <c r="B1253" s="10" t="inlineStr">
        <is>
          <t>位置合わせ(MS学習値)／単調補間</t>
        </is>
      </c>
      <c r="C1253" s="10" t="inlineStr">
        <is>
          <t>2024-08</t>
        </is>
      </c>
      <c r="D1253" s="10" t="n">
        <v>20</v>
      </c>
      <c r="E1253" s="12" t="n">
        <v>2970.8</v>
      </c>
      <c r="F1253" s="12" t="n">
        <v>4609.2</v>
      </c>
      <c r="G1253" s="12" t="n">
        <v>-1638.4</v>
      </c>
      <c r="H1253" s="13" t="n">
        <v>1</v>
      </c>
      <c r="I1253" s="13" t="n">
        <v>1</v>
      </c>
    </row>
    <row r="1254">
      <c r="A1254" s="10" t="inlineStr">
        <is>
          <t>PJ-2023-H</t>
        </is>
      </c>
      <c r="B1254" s="10" t="inlineStr">
        <is>
          <t>位置合わせ(MS指定)／単調補間</t>
        </is>
      </c>
      <c r="C1254" s="10" t="inlineStr">
        <is>
          <t>2023-01</t>
        </is>
      </c>
      <c r="D1254" s="10" t="n">
        <v>1</v>
      </c>
      <c r="E1254" s="12" t="n">
        <v>4617.1</v>
      </c>
      <c r="F1254" s="12" t="n">
        <v>2440.7</v>
      </c>
      <c r="G1254" s="12" t="n">
        <v>2176.4</v>
      </c>
      <c r="H1254" s="13" t="n">
        <v>0.0261</v>
      </c>
      <c r="I1254" s="13" t="n">
        <v>0.0138</v>
      </c>
    </row>
    <row r="1255">
      <c r="A1255" s="10" t="inlineStr">
        <is>
          <t>PJ-2023-H</t>
        </is>
      </c>
      <c r="B1255" s="10" t="inlineStr">
        <is>
          <t>位置合わせ(MS指定)／単調補間</t>
        </is>
      </c>
      <c r="C1255" s="10" t="inlineStr">
        <is>
          <t>2023-02</t>
        </is>
      </c>
      <c r="D1255" s="10" t="n">
        <v>2</v>
      </c>
      <c r="E1255" s="12" t="n">
        <v>5405.7</v>
      </c>
      <c r="F1255" s="12" t="n">
        <v>3859.4</v>
      </c>
      <c r="G1255" s="12" t="n">
        <v>1546.3</v>
      </c>
      <c r="H1255" s="13" t="n">
        <v>0.0567</v>
      </c>
      <c r="I1255" s="13" t="n">
        <v>0.0356</v>
      </c>
    </row>
    <row r="1256">
      <c r="A1256" s="10" t="inlineStr">
        <is>
          <t>PJ-2023-H</t>
        </is>
      </c>
      <c r="B1256" s="10" t="inlineStr">
        <is>
          <t>位置合わせ(MS指定)／単調補間</t>
        </is>
      </c>
      <c r="C1256" s="10" t="inlineStr">
        <is>
          <t>2023-03</t>
        </is>
      </c>
      <c r="D1256" s="10" t="n">
        <v>3</v>
      </c>
      <c r="E1256" s="12" t="n">
        <v>6830.3</v>
      </c>
      <c r="F1256" s="12" t="n">
        <v>6095.6</v>
      </c>
      <c r="G1256" s="12" t="n">
        <v>734.7</v>
      </c>
      <c r="H1256" s="13" t="n">
        <v>0.0953</v>
      </c>
      <c r="I1256" s="13" t="n">
        <v>0.0701</v>
      </c>
    </row>
    <row r="1257">
      <c r="A1257" s="10" t="inlineStr">
        <is>
          <t>PJ-2023-H</t>
        </is>
      </c>
      <c r="B1257" s="10" t="inlineStr">
        <is>
          <t>位置合わせ(MS指定)／単調補間</t>
        </is>
      </c>
      <c r="C1257" s="10" t="inlineStr">
        <is>
          <t>2023-04</t>
        </is>
      </c>
      <c r="D1257" s="10" t="n">
        <v>4</v>
      </c>
      <c r="E1257" s="12" t="n">
        <v>7090.9</v>
      </c>
      <c r="F1257" s="12" t="n">
        <v>7110.8</v>
      </c>
      <c r="G1257" s="12" t="n">
        <v>-19.9</v>
      </c>
      <c r="H1257" s="13" t="n">
        <v>0.1354</v>
      </c>
      <c r="I1257" s="13" t="n">
        <v>0.1103</v>
      </c>
    </row>
    <row r="1258">
      <c r="A1258" s="10" t="inlineStr">
        <is>
          <t>PJ-2023-H</t>
        </is>
      </c>
      <c r="B1258" s="10" t="inlineStr">
        <is>
          <t>位置合わせ(MS指定)／単調補間</t>
        </is>
      </c>
      <c r="C1258" s="10" t="inlineStr">
        <is>
          <t>2023-05</t>
        </is>
      </c>
      <c r="D1258" s="10" t="n">
        <v>5</v>
      </c>
      <c r="E1258" s="12" t="n">
        <v>8568.6</v>
      </c>
      <c r="F1258" s="12" t="n">
        <v>8343.200000000001</v>
      </c>
      <c r="G1258" s="12" t="n">
        <v>225.4</v>
      </c>
      <c r="H1258" s="13" t="n">
        <v>0.1839</v>
      </c>
      <c r="I1258" s="13" t="n">
        <v>0.1575</v>
      </c>
    </row>
    <row r="1259">
      <c r="A1259" s="10" t="inlineStr">
        <is>
          <t>PJ-2023-H</t>
        </is>
      </c>
      <c r="B1259" s="10" t="inlineStr">
        <is>
          <t>位置合わせ(MS指定)／単調補間</t>
        </is>
      </c>
      <c r="C1259" s="10" t="inlineStr">
        <is>
          <t>2023-06</t>
        </is>
      </c>
      <c r="D1259" s="10" t="n">
        <v>6</v>
      </c>
      <c r="E1259" s="12" t="n">
        <v>10263.4</v>
      </c>
      <c r="F1259" s="12" t="n">
        <v>9678</v>
      </c>
      <c r="G1259" s="12" t="n">
        <v>585.4</v>
      </c>
      <c r="H1259" s="13" t="n">
        <v>0.242</v>
      </c>
      <c r="I1259" s="13" t="n">
        <v>0.2123</v>
      </c>
    </row>
    <row r="1260">
      <c r="A1260" s="10" t="inlineStr">
        <is>
          <t>PJ-2023-H</t>
        </is>
      </c>
      <c r="B1260" s="10" t="inlineStr">
        <is>
          <t>位置合わせ(MS指定)／単調補間</t>
        </is>
      </c>
      <c r="C1260" s="10" t="inlineStr">
        <is>
          <t>2023-07</t>
        </is>
      </c>
      <c r="D1260" s="10" t="n">
        <v>7</v>
      </c>
      <c r="E1260" s="12" t="n">
        <v>12186.6</v>
      </c>
      <c r="F1260" s="12" t="n">
        <v>11523.9</v>
      </c>
      <c r="G1260" s="12" t="n">
        <v>662.7</v>
      </c>
      <c r="H1260" s="13" t="n">
        <v>0.3109</v>
      </c>
      <c r="I1260" s="13" t="n">
        <v>0.2775</v>
      </c>
    </row>
    <row r="1261">
      <c r="A1261" s="10" t="inlineStr">
        <is>
          <t>PJ-2023-H</t>
        </is>
      </c>
      <c r="B1261" s="10" t="inlineStr">
        <is>
          <t>位置合わせ(MS指定)／単調補間</t>
        </is>
      </c>
      <c r="C1261" s="10" t="inlineStr">
        <is>
          <t>2023-08</t>
        </is>
      </c>
      <c r="D1261" s="10" t="n">
        <v>8</v>
      </c>
      <c r="E1261" s="12" t="n">
        <v>13609.2</v>
      </c>
      <c r="F1261" s="12" t="n">
        <v>13879.8</v>
      </c>
      <c r="G1261" s="12" t="n">
        <v>-270.6</v>
      </c>
      <c r="H1261" s="13" t="n">
        <v>0.3879</v>
      </c>
      <c r="I1261" s="13" t="n">
        <v>0.356</v>
      </c>
    </row>
    <row r="1262">
      <c r="A1262" s="10" t="inlineStr">
        <is>
          <t>PJ-2023-H</t>
        </is>
      </c>
      <c r="B1262" s="10" t="inlineStr">
        <is>
          <t>位置合わせ(MS指定)／単調補間</t>
        </is>
      </c>
      <c r="C1262" s="10" t="inlineStr">
        <is>
          <t>2023-09</t>
        </is>
      </c>
      <c r="D1262" s="10" t="n">
        <v>9</v>
      </c>
      <c r="E1262" s="12" t="n">
        <v>11263</v>
      </c>
      <c r="F1262" s="12" t="n">
        <v>13966.5</v>
      </c>
      <c r="G1262" s="12" t="n">
        <v>-2703.5</v>
      </c>
      <c r="H1262" s="13" t="n">
        <v>0.4516</v>
      </c>
      <c r="I1262" s="13" t="n">
        <v>0.435</v>
      </c>
    </row>
    <row r="1263">
      <c r="A1263" s="10" t="inlineStr">
        <is>
          <t>PJ-2023-H</t>
        </is>
      </c>
      <c r="B1263" s="10" t="inlineStr">
        <is>
          <t>位置合わせ(MS指定)／単調補間</t>
        </is>
      </c>
      <c r="C1263" s="10" t="inlineStr">
        <is>
          <t>2023-10</t>
        </is>
      </c>
      <c r="D1263" s="10" t="n">
        <v>10</v>
      </c>
      <c r="E1263" s="12" t="n">
        <v>8955.6</v>
      </c>
      <c r="F1263" s="12" t="n">
        <v>10043.9</v>
      </c>
      <c r="G1263" s="12" t="n">
        <v>-1088.3</v>
      </c>
      <c r="H1263" s="13" t="n">
        <v>0.5022</v>
      </c>
      <c r="I1263" s="13" t="n">
        <v>0.4918</v>
      </c>
    </row>
    <row r="1264">
      <c r="A1264" s="10" t="inlineStr">
        <is>
          <t>PJ-2023-H</t>
        </is>
      </c>
      <c r="B1264" s="10" t="inlineStr">
        <is>
          <t>位置合わせ(MS指定)／単調補間</t>
        </is>
      </c>
      <c r="C1264" s="10" t="inlineStr">
        <is>
          <t>2023-11</t>
        </is>
      </c>
      <c r="D1264" s="10" t="n">
        <v>11</v>
      </c>
      <c r="E1264" s="12" t="n">
        <v>8631.4</v>
      </c>
      <c r="F1264" s="12" t="n">
        <v>9363.200000000001</v>
      </c>
      <c r="G1264" s="12" t="n">
        <v>-731.8</v>
      </c>
      <c r="H1264" s="13" t="n">
        <v>0.5511</v>
      </c>
      <c r="I1264" s="13" t="n">
        <v>0.5448</v>
      </c>
    </row>
    <row r="1265">
      <c r="A1265" s="10" t="inlineStr">
        <is>
          <t>PJ-2023-H</t>
        </is>
      </c>
      <c r="B1265" s="10" t="inlineStr">
        <is>
          <t>位置合わせ(MS指定)／単調補間</t>
        </is>
      </c>
      <c r="C1265" s="10" t="inlineStr">
        <is>
          <t>2023-12</t>
        </is>
      </c>
      <c r="D1265" s="10" t="n">
        <v>12</v>
      </c>
      <c r="E1265" s="12" t="n">
        <v>9083.299999999999</v>
      </c>
      <c r="F1265" s="12" t="n">
        <v>8579.200000000001</v>
      </c>
      <c r="G1265" s="12" t="n">
        <v>504.1</v>
      </c>
      <c r="H1265" s="13" t="n">
        <v>0.6025</v>
      </c>
      <c r="I1265" s="13" t="n">
        <v>0.5933</v>
      </c>
    </row>
    <row r="1266">
      <c r="A1266" s="10" t="inlineStr">
        <is>
          <t>PJ-2023-H</t>
        </is>
      </c>
      <c r="B1266" s="10" t="inlineStr">
        <is>
          <t>位置合わせ(MS指定)／単調補間</t>
        </is>
      </c>
      <c r="C1266" s="10" t="inlineStr">
        <is>
          <t>2024-01</t>
        </is>
      </c>
      <c r="D1266" s="10" t="n">
        <v>13</v>
      </c>
      <c r="E1266" s="12" t="n">
        <v>8990.1</v>
      </c>
      <c r="F1266" s="12" t="n">
        <v>8088</v>
      </c>
      <c r="G1266" s="12" t="n">
        <v>902.1</v>
      </c>
      <c r="H1266" s="13" t="n">
        <v>0.6533</v>
      </c>
      <c r="I1266" s="13" t="n">
        <v>0.639</v>
      </c>
    </row>
    <row r="1267">
      <c r="A1267" s="10" t="inlineStr">
        <is>
          <t>PJ-2023-H</t>
        </is>
      </c>
      <c r="B1267" s="10" t="inlineStr">
        <is>
          <t>位置合わせ(MS指定)／単調補間</t>
        </is>
      </c>
      <c r="C1267" s="10" t="inlineStr">
        <is>
          <t>2024-02</t>
        </is>
      </c>
      <c r="D1267" s="10" t="n">
        <v>14</v>
      </c>
      <c r="E1267" s="12" t="n">
        <v>8771.6</v>
      </c>
      <c r="F1267" s="12" t="n">
        <v>8288.700000000001</v>
      </c>
      <c r="G1267" s="12" t="n">
        <v>482.9</v>
      </c>
      <c r="H1267" s="13" t="n">
        <v>0.7029</v>
      </c>
      <c r="I1267" s="13" t="n">
        <v>0.6859</v>
      </c>
    </row>
    <row r="1268">
      <c r="A1268" s="10" t="inlineStr">
        <is>
          <t>PJ-2023-H</t>
        </is>
      </c>
      <c r="B1268" s="10" t="inlineStr">
        <is>
          <t>位置合わせ(MS指定)／単調補間</t>
        </is>
      </c>
      <c r="C1268" s="10" t="inlineStr">
        <is>
          <t>2024-03</t>
        </is>
      </c>
      <c r="D1268" s="10" t="n">
        <v>15</v>
      </c>
      <c r="E1268" s="12" t="n">
        <v>8958.799999999999</v>
      </c>
      <c r="F1268" s="12" t="n">
        <v>9844.9</v>
      </c>
      <c r="G1268" s="12" t="n">
        <v>-886.1</v>
      </c>
      <c r="H1268" s="13" t="n">
        <v>0.7536</v>
      </c>
      <c r="I1268" s="13" t="n">
        <v>0.7416</v>
      </c>
    </row>
    <row r="1269">
      <c r="A1269" s="10" t="inlineStr">
        <is>
          <t>PJ-2023-H</t>
        </is>
      </c>
      <c r="B1269" s="10" t="inlineStr">
        <is>
          <t>位置合わせ(MS指定)／単調補間</t>
        </is>
      </c>
      <c r="C1269" s="10" t="inlineStr">
        <is>
          <t>2024-04</t>
        </is>
      </c>
      <c r="D1269" s="10" t="n">
        <v>16</v>
      </c>
      <c r="E1269" s="12" t="n">
        <v>11067.2</v>
      </c>
      <c r="F1269" s="12" t="n">
        <v>11975.4</v>
      </c>
      <c r="G1269" s="12" t="n">
        <v>-908.2</v>
      </c>
      <c r="H1269" s="13" t="n">
        <v>0.8162</v>
      </c>
      <c r="I1269" s="13" t="n">
        <v>0.8093</v>
      </c>
    </row>
    <row r="1270">
      <c r="A1270" s="10" t="inlineStr">
        <is>
          <t>PJ-2023-H</t>
        </is>
      </c>
      <c r="B1270" s="10" t="inlineStr">
        <is>
          <t>位置合わせ(MS指定)／単調補間</t>
        </is>
      </c>
      <c r="C1270" s="10" t="inlineStr">
        <is>
          <t>2024-05</t>
        </is>
      </c>
      <c r="D1270" s="10" t="n">
        <v>17</v>
      </c>
      <c r="E1270" s="12" t="n">
        <v>11875.1</v>
      </c>
      <c r="F1270" s="12" t="n">
        <v>13374.7</v>
      </c>
      <c r="G1270" s="12" t="n">
        <v>-1499.6</v>
      </c>
      <c r="H1270" s="13" t="n">
        <v>0.8834</v>
      </c>
      <c r="I1270" s="13" t="n">
        <v>0.885</v>
      </c>
    </row>
    <row r="1271">
      <c r="A1271" s="10" t="inlineStr">
        <is>
          <t>PJ-2023-H</t>
        </is>
      </c>
      <c r="B1271" s="10" t="inlineStr">
        <is>
          <t>位置合わせ(MS指定)／単調補間</t>
        </is>
      </c>
      <c r="C1271" s="10" t="inlineStr">
        <is>
          <t>2024-06</t>
        </is>
      </c>
      <c r="D1271" s="10" t="n">
        <v>18</v>
      </c>
      <c r="E1271" s="12" t="n">
        <v>9336.5</v>
      </c>
      <c r="F1271" s="12" t="n">
        <v>8541.700000000001</v>
      </c>
      <c r="G1271" s="12" t="n">
        <v>794.8</v>
      </c>
      <c r="H1271" s="13" t="n">
        <v>0.9362</v>
      </c>
      <c r="I1271" s="13" t="n">
        <v>0.9333</v>
      </c>
    </row>
    <row r="1272">
      <c r="A1272" s="10" t="inlineStr">
        <is>
          <t>PJ-2023-H</t>
        </is>
      </c>
      <c r="B1272" s="10" t="inlineStr">
        <is>
          <t>位置合わせ(MS指定)／単調補間</t>
        </is>
      </c>
      <c r="C1272" s="10" t="inlineStr">
        <is>
          <t>2024-07</t>
        </is>
      </c>
      <c r="D1272" s="10" t="n">
        <v>19</v>
      </c>
      <c r="E1272" s="12" t="n">
        <v>7524.8</v>
      </c>
      <c r="F1272" s="12" t="n">
        <v>7179.1</v>
      </c>
      <c r="G1272" s="12" t="n">
        <v>345.7</v>
      </c>
      <c r="H1272" s="13" t="n">
        <v>0.9788</v>
      </c>
      <c r="I1272" s="13" t="n">
        <v>0.9739</v>
      </c>
    </row>
    <row r="1273">
      <c r="A1273" s="10" t="inlineStr">
        <is>
          <t>PJ-2023-H</t>
        </is>
      </c>
      <c r="B1273" s="10" t="inlineStr">
        <is>
          <t>位置合わせ(MS指定)／単調補間</t>
        </is>
      </c>
      <c r="C1273" s="10" t="inlineStr">
        <is>
          <t>2024-08</t>
        </is>
      </c>
      <c r="D1273" s="10" t="n">
        <v>20</v>
      </c>
      <c r="E1273" s="12" t="n">
        <v>3756.7</v>
      </c>
      <c r="F1273" s="12" t="n">
        <v>4609.2</v>
      </c>
      <c r="G1273" s="12" t="n">
        <v>-852.5</v>
      </c>
      <c r="H1273" s="13" t="n">
        <v>1</v>
      </c>
      <c r="I1273" s="13" t="n">
        <v>1</v>
      </c>
    </row>
    <row r="1274">
      <c r="A1274" s="10" t="inlineStr">
        <is>
          <t>PJ-2023-I</t>
        </is>
      </c>
      <c r="B1274" s="10" t="inlineStr">
        <is>
          <t>素朴版／月内均等</t>
        </is>
      </c>
      <c r="C1274" s="10" t="inlineStr">
        <is>
          <t>2023-05</t>
        </is>
      </c>
      <c r="D1274" s="10" t="n">
        <v>1</v>
      </c>
      <c r="E1274" s="12" t="n">
        <v>2891.4</v>
      </c>
      <c r="F1274" s="12" t="n">
        <v>1057.9</v>
      </c>
      <c r="G1274" s="12" t="n">
        <v>1833.5</v>
      </c>
      <c r="H1274" s="13" t="n">
        <v>0.0255</v>
      </c>
      <c r="I1274" s="13" t="n">
        <v>0.009299999999999999</v>
      </c>
    </row>
    <row r="1275">
      <c r="A1275" s="10" t="inlineStr">
        <is>
          <t>PJ-2023-I</t>
        </is>
      </c>
      <c r="B1275" s="10" t="inlineStr">
        <is>
          <t>素朴版／月内均等</t>
        </is>
      </c>
      <c r="C1275" s="10" t="inlineStr">
        <is>
          <t>2023-06</t>
        </is>
      </c>
      <c r="D1275" s="10" t="n">
        <v>2</v>
      </c>
      <c r="E1275" s="12" t="n">
        <v>3569</v>
      </c>
      <c r="F1275" s="12" t="n">
        <v>2017.9</v>
      </c>
      <c r="G1275" s="12" t="n">
        <v>1551.1</v>
      </c>
      <c r="H1275" s="13" t="n">
        <v>0.0569</v>
      </c>
      <c r="I1275" s="13" t="n">
        <v>0.0271</v>
      </c>
    </row>
    <row r="1276">
      <c r="A1276" s="10" t="inlineStr">
        <is>
          <t>PJ-2023-I</t>
        </is>
      </c>
      <c r="B1276" s="10" t="inlineStr">
        <is>
          <t>素朴版／月内均等</t>
        </is>
      </c>
      <c r="C1276" s="10" t="inlineStr">
        <is>
          <t>2023-07</t>
        </is>
      </c>
      <c r="D1276" s="10" t="n">
        <v>3</v>
      </c>
      <c r="E1276" s="12" t="n">
        <v>4249.6</v>
      </c>
      <c r="F1276" s="12" t="n">
        <v>2934.1</v>
      </c>
      <c r="G1276" s="12" t="n">
        <v>1315.5</v>
      </c>
      <c r="H1276" s="13" t="n">
        <v>0.09429999999999999</v>
      </c>
      <c r="I1276" s="13" t="n">
        <v>0.0529</v>
      </c>
    </row>
    <row r="1277">
      <c r="A1277" s="10" t="inlineStr">
        <is>
          <t>PJ-2023-I</t>
        </is>
      </c>
      <c r="B1277" s="10" t="inlineStr">
        <is>
          <t>素朴版／月内均等</t>
        </is>
      </c>
      <c r="C1277" s="10" t="inlineStr">
        <is>
          <t>2023-08</t>
        </is>
      </c>
      <c r="D1277" s="10" t="n">
        <v>4</v>
      </c>
      <c r="E1277" s="12" t="n">
        <v>4509.8</v>
      </c>
      <c r="F1277" s="12" t="n">
        <v>3879.4</v>
      </c>
      <c r="G1277" s="12" t="n">
        <v>630.4</v>
      </c>
      <c r="H1277" s="13" t="n">
        <v>0.134</v>
      </c>
      <c r="I1277" s="13" t="n">
        <v>0.0871</v>
      </c>
    </row>
    <row r="1278">
      <c r="A1278" s="10" t="inlineStr">
        <is>
          <t>PJ-2023-I</t>
        </is>
      </c>
      <c r="B1278" s="10" t="inlineStr">
        <is>
          <t>素朴版／月内均等</t>
        </is>
      </c>
      <c r="C1278" s="10" t="inlineStr">
        <is>
          <t>2023-09</t>
        </is>
      </c>
      <c r="D1278" s="10" t="n">
        <v>5</v>
      </c>
      <c r="E1278" s="12" t="n">
        <v>5064.7</v>
      </c>
      <c r="F1278" s="12" t="n">
        <v>4638.5</v>
      </c>
      <c r="G1278" s="12" t="n">
        <v>426.2</v>
      </c>
      <c r="H1278" s="13" t="n">
        <v>0.1786</v>
      </c>
      <c r="I1278" s="13" t="n">
        <v>0.1279</v>
      </c>
    </row>
    <row r="1279">
      <c r="A1279" s="10" t="inlineStr">
        <is>
          <t>PJ-2023-I</t>
        </is>
      </c>
      <c r="B1279" s="10" t="inlineStr">
        <is>
          <t>素朴版／月内均等</t>
        </is>
      </c>
      <c r="C1279" s="10" t="inlineStr">
        <is>
          <t>2023-10</t>
        </is>
      </c>
      <c r="D1279" s="10" t="n">
        <v>6</v>
      </c>
      <c r="E1279" s="12" t="n">
        <v>6680.2</v>
      </c>
      <c r="F1279" s="12" t="n">
        <v>5612.3</v>
      </c>
      <c r="G1279" s="12" t="n">
        <v>1067.9</v>
      </c>
      <c r="H1279" s="13" t="n">
        <v>0.2375</v>
      </c>
      <c r="I1279" s="13" t="n">
        <v>0.1774</v>
      </c>
    </row>
    <row r="1280">
      <c r="A1280" s="10" t="inlineStr">
        <is>
          <t>PJ-2023-I</t>
        </is>
      </c>
      <c r="B1280" s="10" t="inlineStr">
        <is>
          <t>素朴版／月内均等</t>
        </is>
      </c>
      <c r="C1280" s="10" t="inlineStr">
        <is>
          <t>2023-11</t>
        </is>
      </c>
      <c r="D1280" s="10" t="n">
        <v>7</v>
      </c>
      <c r="E1280" s="12" t="n">
        <v>7322.4</v>
      </c>
      <c r="F1280" s="12" t="n">
        <v>6590</v>
      </c>
      <c r="G1280" s="12" t="n">
        <v>732.4</v>
      </c>
      <c r="H1280" s="13" t="n">
        <v>0.302</v>
      </c>
      <c r="I1280" s="13" t="n">
        <v>0.2354</v>
      </c>
    </row>
    <row r="1281">
      <c r="A1281" s="10" t="inlineStr">
        <is>
          <t>PJ-2023-I</t>
        </is>
      </c>
      <c r="B1281" s="10" t="inlineStr">
        <is>
          <t>素朴版／月内均等</t>
        </is>
      </c>
      <c r="C1281" s="10" t="inlineStr">
        <is>
          <t>2023-12</t>
        </is>
      </c>
      <c r="D1281" s="10" t="n">
        <v>8</v>
      </c>
      <c r="E1281" s="12" t="n">
        <v>8104.9</v>
      </c>
      <c r="F1281" s="12" t="n">
        <v>8421.299999999999</v>
      </c>
      <c r="G1281" s="12" t="n">
        <v>-316.4</v>
      </c>
      <c r="H1281" s="13" t="n">
        <v>0.3733</v>
      </c>
      <c r="I1281" s="13" t="n">
        <v>0.3096</v>
      </c>
    </row>
    <row r="1282">
      <c r="A1282" s="10" t="inlineStr">
        <is>
          <t>PJ-2023-I</t>
        </is>
      </c>
      <c r="B1282" s="10" t="inlineStr">
        <is>
          <t>素朴版／月内均等</t>
        </is>
      </c>
      <c r="C1282" s="10" t="inlineStr">
        <is>
          <t>2024-01</t>
        </is>
      </c>
      <c r="D1282" s="10" t="n">
        <v>9</v>
      </c>
      <c r="E1282" s="12" t="n">
        <v>7204.9</v>
      </c>
      <c r="F1282" s="12" t="n">
        <v>11235.7</v>
      </c>
      <c r="G1282" s="12" t="n">
        <v>-4030.8</v>
      </c>
      <c r="H1282" s="13" t="n">
        <v>0.4368</v>
      </c>
      <c r="I1282" s="13" t="n">
        <v>0.4085</v>
      </c>
    </row>
    <row r="1283">
      <c r="A1283" s="10" t="inlineStr">
        <is>
          <t>PJ-2023-I</t>
        </is>
      </c>
      <c r="B1283" s="10" t="inlineStr">
        <is>
          <t>素朴版／月内均等</t>
        </is>
      </c>
      <c r="C1283" s="10" t="inlineStr">
        <is>
          <t>2024-02</t>
        </is>
      </c>
      <c r="D1283" s="10" t="n">
        <v>10</v>
      </c>
      <c r="E1283" s="12" t="n">
        <v>7573.9</v>
      </c>
      <c r="F1283" s="12" t="n">
        <v>13660.8</v>
      </c>
      <c r="G1283" s="12" t="n">
        <v>-6086.9</v>
      </c>
      <c r="H1283" s="13" t="n">
        <v>0.5034999999999999</v>
      </c>
      <c r="I1283" s="13" t="n">
        <v>0.5288</v>
      </c>
    </row>
    <row r="1284">
      <c r="A1284" s="10" t="inlineStr">
        <is>
          <t>PJ-2023-I</t>
        </is>
      </c>
      <c r="B1284" s="10" t="inlineStr">
        <is>
          <t>素朴版／月内均等</t>
        </is>
      </c>
      <c r="C1284" s="10" t="inlineStr">
        <is>
          <t>2024-03</t>
        </is>
      </c>
      <c r="D1284" s="10" t="n">
        <v>11</v>
      </c>
      <c r="E1284" s="12" t="n">
        <v>8786.700000000001</v>
      </c>
      <c r="F1284" s="12" t="n">
        <v>13455.6</v>
      </c>
      <c r="G1284" s="12" t="n">
        <v>-4668.9</v>
      </c>
      <c r="H1284" s="13" t="n">
        <v>0.5809</v>
      </c>
      <c r="I1284" s="13" t="n">
        <v>0.6473</v>
      </c>
    </row>
    <row r="1285">
      <c r="A1285" s="10" t="inlineStr">
        <is>
          <t>PJ-2023-I</t>
        </is>
      </c>
      <c r="B1285" s="10" t="inlineStr">
        <is>
          <t>素朴版／月内均等</t>
        </is>
      </c>
      <c r="C1285" s="10" t="inlineStr">
        <is>
          <t>2024-04</t>
        </is>
      </c>
      <c r="D1285" s="10" t="n">
        <v>12</v>
      </c>
      <c r="E1285" s="12" t="n">
        <v>8817.700000000001</v>
      </c>
      <c r="F1285" s="12" t="n">
        <v>15249</v>
      </c>
      <c r="G1285" s="12" t="n">
        <v>-6431.3</v>
      </c>
      <c r="H1285" s="13" t="n">
        <v>0.6585</v>
      </c>
      <c r="I1285" s="13" t="n">
        <v>0.7816</v>
      </c>
    </row>
    <row r="1286">
      <c r="A1286" s="10" t="inlineStr">
        <is>
          <t>PJ-2023-I</t>
        </is>
      </c>
      <c r="B1286" s="10" t="inlineStr">
        <is>
          <t>素朴版／月内均等</t>
        </is>
      </c>
      <c r="C1286" s="10" t="inlineStr">
        <is>
          <t>2024-05</t>
        </is>
      </c>
      <c r="D1286" s="10" t="n">
        <v>13</v>
      </c>
      <c r="E1286" s="12" t="n">
        <v>8815.299999999999</v>
      </c>
      <c r="F1286" s="12" t="n">
        <v>6881.4</v>
      </c>
      <c r="G1286" s="12" t="n">
        <v>1933.9</v>
      </c>
      <c r="H1286" s="13" t="n">
        <v>0.7362</v>
      </c>
      <c r="I1286" s="13" t="n">
        <v>0.8421999999999999</v>
      </c>
    </row>
    <row r="1287">
      <c r="A1287" s="10" t="inlineStr">
        <is>
          <t>PJ-2023-I</t>
        </is>
      </c>
      <c r="B1287" s="10" t="inlineStr">
        <is>
          <t>素朴版／月内均等</t>
        </is>
      </c>
      <c r="C1287" s="10" t="inlineStr">
        <is>
          <t>2024-06</t>
        </is>
      </c>
      <c r="D1287" s="10" t="n">
        <v>14</v>
      </c>
      <c r="E1287" s="12" t="n">
        <v>8116.3</v>
      </c>
      <c r="F1287" s="12" t="n">
        <v>5543.4</v>
      </c>
      <c r="G1287" s="12" t="n">
        <v>2572.9</v>
      </c>
      <c r="H1287" s="13" t="n">
        <v>0.8077</v>
      </c>
      <c r="I1287" s="13" t="n">
        <v>0.8911</v>
      </c>
    </row>
    <row r="1288">
      <c r="A1288" s="10" t="inlineStr">
        <is>
          <t>PJ-2023-I</t>
        </is>
      </c>
      <c r="B1288" s="10" t="inlineStr">
        <is>
          <t>素朴版／月内均等</t>
        </is>
      </c>
      <c r="C1288" s="10" t="inlineStr">
        <is>
          <t>2024-07</t>
        </is>
      </c>
      <c r="D1288" s="10" t="n">
        <v>15</v>
      </c>
      <c r="E1288" s="12" t="n">
        <v>8479.700000000001</v>
      </c>
      <c r="F1288" s="12" t="n">
        <v>3845</v>
      </c>
      <c r="G1288" s="12" t="n">
        <v>4634.7</v>
      </c>
      <c r="H1288" s="13" t="n">
        <v>0.8823</v>
      </c>
      <c r="I1288" s="13" t="n">
        <v>0.9249000000000001</v>
      </c>
    </row>
    <row r="1289">
      <c r="A1289" s="10" t="inlineStr">
        <is>
          <t>PJ-2023-I</t>
        </is>
      </c>
      <c r="B1289" s="10" t="inlineStr">
        <is>
          <t>素朴版／月内均等</t>
        </is>
      </c>
      <c r="C1289" s="10" t="inlineStr">
        <is>
          <t>2024-08</t>
        </is>
      </c>
      <c r="D1289" s="10" t="n">
        <v>16</v>
      </c>
      <c r="E1289" s="12" t="n">
        <v>6443.8</v>
      </c>
      <c r="F1289" s="12" t="n">
        <v>3094</v>
      </c>
      <c r="G1289" s="12" t="n">
        <v>3349.8</v>
      </c>
      <c r="H1289" s="13" t="n">
        <v>0.9391</v>
      </c>
      <c r="I1289" s="13" t="n">
        <v>0.9522</v>
      </c>
    </row>
    <row r="1290">
      <c r="A1290" s="10" t="inlineStr">
        <is>
          <t>PJ-2023-I</t>
        </is>
      </c>
      <c r="B1290" s="10" t="inlineStr">
        <is>
          <t>素朴版／月内均等</t>
        </is>
      </c>
      <c r="C1290" s="10" t="inlineStr">
        <is>
          <t>2024-09</t>
        </is>
      </c>
      <c r="D1290" s="10" t="n">
        <v>17</v>
      </c>
      <c r="E1290" s="12" t="n">
        <v>4421.1</v>
      </c>
      <c r="F1290" s="12" t="n">
        <v>3246</v>
      </c>
      <c r="G1290" s="12" t="n">
        <v>1175.1</v>
      </c>
      <c r="H1290" s="13" t="n">
        <v>0.978</v>
      </c>
      <c r="I1290" s="13" t="n">
        <v>0.9808</v>
      </c>
    </row>
    <row r="1291">
      <c r="A1291" s="10" t="inlineStr">
        <is>
          <t>PJ-2023-I</t>
        </is>
      </c>
      <c r="B1291" s="10" t="inlineStr">
        <is>
          <t>素朴版／月内均等</t>
        </is>
      </c>
      <c r="C1291" s="10" t="inlineStr">
        <is>
          <t>2024-10</t>
        </is>
      </c>
      <c r="D1291" s="10" t="n">
        <v>18</v>
      </c>
      <c r="E1291" s="12" t="n">
        <v>2495.6</v>
      </c>
      <c r="F1291" s="12" t="n">
        <v>2184.9</v>
      </c>
      <c r="G1291" s="12" t="n">
        <v>310.7</v>
      </c>
      <c r="H1291" s="13" t="n">
        <v>1</v>
      </c>
      <c r="I1291" s="13" t="n">
        <v>1</v>
      </c>
    </row>
    <row r="1292">
      <c r="A1292" s="10" t="inlineStr">
        <is>
          <t>PJ-2023-I</t>
        </is>
      </c>
      <c r="B1292" s="10" t="inlineStr">
        <is>
          <t>位置合わせ(MS学習値)／月内均等</t>
        </is>
      </c>
      <c r="C1292" s="10" t="inlineStr">
        <is>
          <t>2023-05</t>
        </is>
      </c>
      <c r="D1292" s="10" t="n">
        <v>1</v>
      </c>
      <c r="E1292" s="12" t="n">
        <v>2850.4</v>
      </c>
      <c r="F1292" s="12" t="n">
        <v>1057.9</v>
      </c>
      <c r="G1292" s="12" t="n">
        <v>1792.5</v>
      </c>
      <c r="H1292" s="13" t="n">
        <v>0.0251</v>
      </c>
      <c r="I1292" s="13" t="n">
        <v>0.009299999999999999</v>
      </c>
    </row>
    <row r="1293">
      <c r="A1293" s="10" t="inlineStr">
        <is>
          <t>PJ-2023-I</t>
        </is>
      </c>
      <c r="B1293" s="10" t="inlineStr">
        <is>
          <t>位置合わせ(MS学習値)／月内均等</t>
        </is>
      </c>
      <c r="C1293" s="10" t="inlineStr">
        <is>
          <t>2023-06</t>
        </is>
      </c>
      <c r="D1293" s="10" t="n">
        <v>2</v>
      </c>
      <c r="E1293" s="12" t="n">
        <v>3515.5</v>
      </c>
      <c r="F1293" s="12" t="n">
        <v>2017.9</v>
      </c>
      <c r="G1293" s="12" t="n">
        <v>1497.6</v>
      </c>
      <c r="H1293" s="13" t="n">
        <v>0.0561</v>
      </c>
      <c r="I1293" s="13" t="n">
        <v>0.0271</v>
      </c>
    </row>
    <row r="1294">
      <c r="A1294" s="10" t="inlineStr">
        <is>
          <t>PJ-2023-I</t>
        </is>
      </c>
      <c r="B1294" s="10" t="inlineStr">
        <is>
          <t>位置合わせ(MS学習値)／月内均等</t>
        </is>
      </c>
      <c r="C1294" s="10" t="inlineStr">
        <is>
          <t>2023-07</t>
        </is>
      </c>
      <c r="D1294" s="10" t="n">
        <v>3</v>
      </c>
      <c r="E1294" s="12" t="n">
        <v>4173.1</v>
      </c>
      <c r="F1294" s="12" t="n">
        <v>2934.1</v>
      </c>
      <c r="G1294" s="12" t="n">
        <v>1239</v>
      </c>
      <c r="H1294" s="13" t="n">
        <v>0.09279999999999999</v>
      </c>
      <c r="I1294" s="13" t="n">
        <v>0.0529</v>
      </c>
    </row>
    <row r="1295">
      <c r="A1295" s="10" t="inlineStr">
        <is>
          <t>PJ-2023-I</t>
        </is>
      </c>
      <c r="B1295" s="10" t="inlineStr">
        <is>
          <t>位置合わせ(MS学習値)／月内均等</t>
        </is>
      </c>
      <c r="C1295" s="10" t="inlineStr">
        <is>
          <t>2023-08</t>
        </is>
      </c>
      <c r="D1295" s="10" t="n">
        <v>4</v>
      </c>
      <c r="E1295" s="12" t="n">
        <v>4438.7</v>
      </c>
      <c r="F1295" s="12" t="n">
        <v>3879.4</v>
      </c>
      <c r="G1295" s="12" t="n">
        <v>559.3</v>
      </c>
      <c r="H1295" s="13" t="n">
        <v>0.1319</v>
      </c>
      <c r="I1295" s="13" t="n">
        <v>0.0871</v>
      </c>
    </row>
    <row r="1296">
      <c r="A1296" s="10" t="inlineStr">
        <is>
          <t>PJ-2023-I</t>
        </is>
      </c>
      <c r="B1296" s="10" t="inlineStr">
        <is>
          <t>位置合わせ(MS学習値)／月内均等</t>
        </is>
      </c>
      <c r="C1296" s="10" t="inlineStr">
        <is>
          <t>2023-09</t>
        </is>
      </c>
      <c r="D1296" s="10" t="n">
        <v>5</v>
      </c>
      <c r="E1296" s="12" t="n">
        <v>4903</v>
      </c>
      <c r="F1296" s="12" t="n">
        <v>4638.5</v>
      </c>
      <c r="G1296" s="12" t="n">
        <v>264.5</v>
      </c>
      <c r="H1296" s="13" t="n">
        <v>0.1751</v>
      </c>
      <c r="I1296" s="13" t="n">
        <v>0.1279</v>
      </c>
    </row>
    <row r="1297">
      <c r="A1297" s="10" t="inlineStr">
        <is>
          <t>PJ-2023-I</t>
        </is>
      </c>
      <c r="B1297" s="10" t="inlineStr">
        <is>
          <t>位置合わせ(MS学習値)／月内均等</t>
        </is>
      </c>
      <c r="C1297" s="10" t="inlineStr">
        <is>
          <t>2023-10</t>
        </is>
      </c>
      <c r="D1297" s="10" t="n">
        <v>6</v>
      </c>
      <c r="E1297" s="12" t="n">
        <v>6036.3</v>
      </c>
      <c r="F1297" s="12" t="n">
        <v>5612.3</v>
      </c>
      <c r="G1297" s="12" t="n">
        <v>424</v>
      </c>
      <c r="H1297" s="13" t="n">
        <v>0.2282</v>
      </c>
      <c r="I1297" s="13" t="n">
        <v>0.1774</v>
      </c>
    </row>
    <row r="1298">
      <c r="A1298" s="10" t="inlineStr">
        <is>
          <t>PJ-2023-I</t>
        </is>
      </c>
      <c r="B1298" s="10" t="inlineStr">
        <is>
          <t>位置合わせ(MS学習値)／月内均等</t>
        </is>
      </c>
      <c r="C1298" s="10" t="inlineStr">
        <is>
          <t>2023-11</t>
        </is>
      </c>
      <c r="D1298" s="10" t="n">
        <v>7</v>
      </c>
      <c r="E1298" s="12" t="n">
        <v>6840.1</v>
      </c>
      <c r="F1298" s="12" t="n">
        <v>6590</v>
      </c>
      <c r="G1298" s="12" t="n">
        <v>250.1</v>
      </c>
      <c r="H1298" s="13" t="n">
        <v>0.2885</v>
      </c>
      <c r="I1298" s="13" t="n">
        <v>0.2354</v>
      </c>
    </row>
    <row r="1299">
      <c r="A1299" s="10" t="inlineStr">
        <is>
          <t>PJ-2023-I</t>
        </is>
      </c>
      <c r="B1299" s="10" t="inlineStr">
        <is>
          <t>位置合わせ(MS学習値)／月内均等</t>
        </is>
      </c>
      <c r="C1299" s="10" t="inlineStr">
        <is>
          <t>2023-12</t>
        </is>
      </c>
      <c r="D1299" s="10" t="n">
        <v>8</v>
      </c>
      <c r="E1299" s="12" t="n">
        <v>7898.3</v>
      </c>
      <c r="F1299" s="12" t="n">
        <v>8421.299999999999</v>
      </c>
      <c r="G1299" s="12" t="n">
        <v>-523</v>
      </c>
      <c r="H1299" s="13" t="n">
        <v>0.358</v>
      </c>
      <c r="I1299" s="13" t="n">
        <v>0.3096</v>
      </c>
    </row>
    <row r="1300">
      <c r="A1300" s="10" t="inlineStr">
        <is>
          <t>PJ-2023-I</t>
        </is>
      </c>
      <c r="B1300" s="10" t="inlineStr">
        <is>
          <t>位置合わせ(MS学習値)／月内均等</t>
        </is>
      </c>
      <c r="C1300" s="10" t="inlineStr">
        <is>
          <t>2024-01</t>
        </is>
      </c>
      <c r="D1300" s="10" t="n">
        <v>9</v>
      </c>
      <c r="E1300" s="12" t="n">
        <v>8955</v>
      </c>
      <c r="F1300" s="12" t="n">
        <v>11235.7</v>
      </c>
      <c r="G1300" s="12" t="n">
        <v>-2280.7</v>
      </c>
      <c r="H1300" s="13" t="n">
        <v>0.4369</v>
      </c>
      <c r="I1300" s="13" t="n">
        <v>0.4085</v>
      </c>
    </row>
    <row r="1301">
      <c r="A1301" s="10" t="inlineStr">
        <is>
          <t>PJ-2023-I</t>
        </is>
      </c>
      <c r="B1301" s="10" t="inlineStr">
        <is>
          <t>位置合わせ(MS学習値)／月内均等</t>
        </is>
      </c>
      <c r="C1301" s="10" t="inlineStr">
        <is>
          <t>2024-02</t>
        </is>
      </c>
      <c r="D1301" s="10" t="n">
        <v>10</v>
      </c>
      <c r="E1301" s="12" t="n">
        <v>8313</v>
      </c>
      <c r="F1301" s="12" t="n">
        <v>13660.8</v>
      </c>
      <c r="G1301" s="12" t="n">
        <v>-5347.8</v>
      </c>
      <c r="H1301" s="13" t="n">
        <v>0.5101</v>
      </c>
      <c r="I1301" s="13" t="n">
        <v>0.5288</v>
      </c>
    </row>
    <row r="1302">
      <c r="A1302" s="10" t="inlineStr">
        <is>
          <t>PJ-2023-I</t>
        </is>
      </c>
      <c r="B1302" s="10" t="inlineStr">
        <is>
          <t>位置合わせ(MS学習値)／月内均等</t>
        </is>
      </c>
      <c r="C1302" s="10" t="inlineStr">
        <is>
          <t>2024-03</t>
        </is>
      </c>
      <c r="D1302" s="10" t="n">
        <v>11</v>
      </c>
      <c r="E1302" s="12" t="n">
        <v>8803.299999999999</v>
      </c>
      <c r="F1302" s="12" t="n">
        <v>13455.6</v>
      </c>
      <c r="G1302" s="12" t="n">
        <v>-4652.3</v>
      </c>
      <c r="H1302" s="13" t="n">
        <v>0.5877</v>
      </c>
      <c r="I1302" s="13" t="n">
        <v>0.6473</v>
      </c>
    </row>
    <row r="1303">
      <c r="A1303" s="10" t="inlineStr">
        <is>
          <t>PJ-2023-I</t>
        </is>
      </c>
      <c r="B1303" s="10" t="inlineStr">
        <is>
          <t>位置合わせ(MS学習値)／月内均等</t>
        </is>
      </c>
      <c r="C1303" s="10" t="inlineStr">
        <is>
          <t>2024-04</t>
        </is>
      </c>
      <c r="D1303" s="10" t="n">
        <v>12</v>
      </c>
      <c r="E1303" s="12" t="n">
        <v>8478.200000000001</v>
      </c>
      <c r="F1303" s="12" t="n">
        <v>15249</v>
      </c>
      <c r="G1303" s="12" t="n">
        <v>-6770.8</v>
      </c>
      <c r="H1303" s="13" t="n">
        <v>0.6623</v>
      </c>
      <c r="I1303" s="13" t="n">
        <v>0.7816</v>
      </c>
    </row>
    <row r="1304">
      <c r="A1304" s="10" t="inlineStr">
        <is>
          <t>PJ-2023-I</t>
        </is>
      </c>
      <c r="B1304" s="10" t="inlineStr">
        <is>
          <t>位置合わせ(MS学習値)／月内均等</t>
        </is>
      </c>
      <c r="C1304" s="10" t="inlineStr">
        <is>
          <t>2024-05</t>
        </is>
      </c>
      <c r="D1304" s="10" t="n">
        <v>13</v>
      </c>
      <c r="E1304" s="12" t="n">
        <v>9050.9</v>
      </c>
      <c r="F1304" s="12" t="n">
        <v>6881.4</v>
      </c>
      <c r="G1304" s="12" t="n">
        <v>2169.5</v>
      </c>
      <c r="H1304" s="13" t="n">
        <v>0.742</v>
      </c>
      <c r="I1304" s="13" t="n">
        <v>0.8421999999999999</v>
      </c>
    </row>
    <row r="1305">
      <c r="A1305" s="10" t="inlineStr">
        <is>
          <t>PJ-2023-I</t>
        </is>
      </c>
      <c r="B1305" s="10" t="inlineStr">
        <is>
          <t>位置合わせ(MS学習値)／月内均等</t>
        </is>
      </c>
      <c r="C1305" s="10" t="inlineStr">
        <is>
          <t>2024-06</t>
        </is>
      </c>
      <c r="D1305" s="10" t="n">
        <v>14</v>
      </c>
      <c r="E1305" s="12" t="n">
        <v>8573.700000000001</v>
      </c>
      <c r="F1305" s="12" t="n">
        <v>5543.4</v>
      </c>
      <c r="G1305" s="12" t="n">
        <v>3030.3</v>
      </c>
      <c r="H1305" s="13" t="n">
        <v>0.8175</v>
      </c>
      <c r="I1305" s="13" t="n">
        <v>0.8911</v>
      </c>
    </row>
    <row r="1306">
      <c r="A1306" s="10" t="inlineStr">
        <is>
          <t>PJ-2023-I</t>
        </is>
      </c>
      <c r="B1306" s="10" t="inlineStr">
        <is>
          <t>位置合わせ(MS学習値)／月内均等</t>
        </is>
      </c>
      <c r="C1306" s="10" t="inlineStr">
        <is>
          <t>2024-07</t>
        </is>
      </c>
      <c r="D1306" s="10" t="n">
        <v>15</v>
      </c>
      <c r="E1306" s="12" t="n">
        <v>7555.9</v>
      </c>
      <c r="F1306" s="12" t="n">
        <v>3845</v>
      </c>
      <c r="G1306" s="12" t="n">
        <v>3710.9</v>
      </c>
      <c r="H1306" s="13" t="n">
        <v>0.8841</v>
      </c>
      <c r="I1306" s="13" t="n">
        <v>0.9249000000000001</v>
      </c>
    </row>
    <row r="1307">
      <c r="A1307" s="10" t="inlineStr">
        <is>
          <t>PJ-2023-I</t>
        </is>
      </c>
      <c r="B1307" s="10" t="inlineStr">
        <is>
          <t>位置合わせ(MS学習値)／月内均等</t>
        </is>
      </c>
      <c r="C1307" s="10" t="inlineStr">
        <is>
          <t>2024-08</t>
        </is>
      </c>
      <c r="D1307" s="10" t="n">
        <v>16</v>
      </c>
      <c r="E1307" s="12" t="n">
        <v>6157.8</v>
      </c>
      <c r="F1307" s="12" t="n">
        <v>3094</v>
      </c>
      <c r="G1307" s="12" t="n">
        <v>3063.8</v>
      </c>
      <c r="H1307" s="13" t="n">
        <v>0.9383</v>
      </c>
      <c r="I1307" s="13" t="n">
        <v>0.9522</v>
      </c>
    </row>
    <row r="1308">
      <c r="A1308" s="10" t="inlineStr">
        <is>
          <t>PJ-2023-I</t>
        </is>
      </c>
      <c r="B1308" s="10" t="inlineStr">
        <is>
          <t>位置合わせ(MS学習値)／月内均等</t>
        </is>
      </c>
      <c r="C1308" s="10" t="inlineStr">
        <is>
          <t>2024-09</t>
        </is>
      </c>
      <c r="D1308" s="10" t="n">
        <v>17</v>
      </c>
      <c r="E1308" s="12" t="n">
        <v>4553</v>
      </c>
      <c r="F1308" s="12" t="n">
        <v>3246</v>
      </c>
      <c r="G1308" s="12" t="n">
        <v>1307</v>
      </c>
      <c r="H1308" s="13" t="n">
        <v>0.9784</v>
      </c>
      <c r="I1308" s="13" t="n">
        <v>0.9808</v>
      </c>
    </row>
    <row r="1309">
      <c r="A1309" s="10" t="inlineStr">
        <is>
          <t>PJ-2023-I</t>
        </is>
      </c>
      <c r="B1309" s="10" t="inlineStr">
        <is>
          <t>位置合わせ(MS学習値)／月内均等</t>
        </is>
      </c>
      <c r="C1309" s="10" t="inlineStr">
        <is>
          <t>2024-10</t>
        </is>
      </c>
      <c r="D1309" s="10" t="n">
        <v>18</v>
      </c>
      <c r="E1309" s="12" t="n">
        <v>2450.7</v>
      </c>
      <c r="F1309" s="12" t="n">
        <v>2184.9</v>
      </c>
      <c r="G1309" s="12" t="n">
        <v>265.8</v>
      </c>
      <c r="H1309" s="13" t="n">
        <v>1</v>
      </c>
      <c r="I1309" s="13" t="n">
        <v>1</v>
      </c>
    </row>
    <row r="1310">
      <c r="A1310" s="10" t="inlineStr">
        <is>
          <t>PJ-2023-I</t>
        </is>
      </c>
      <c r="B1310" s="10" t="inlineStr">
        <is>
          <t>位置合わせ(MS指定)／月内均等</t>
        </is>
      </c>
      <c r="C1310" s="10" t="inlineStr">
        <is>
          <t>2023-05</t>
        </is>
      </c>
      <c r="D1310" s="10" t="n">
        <v>1</v>
      </c>
      <c r="E1310" s="12" t="n">
        <v>3022</v>
      </c>
      <c r="F1310" s="12" t="n">
        <v>1057.9</v>
      </c>
      <c r="G1310" s="12" t="n">
        <v>1964.1</v>
      </c>
      <c r="H1310" s="13" t="n">
        <v>0.0266</v>
      </c>
      <c r="I1310" s="13" t="n">
        <v>0.009299999999999999</v>
      </c>
    </row>
    <row r="1311">
      <c r="A1311" s="10" t="inlineStr">
        <is>
          <t>PJ-2023-I</t>
        </is>
      </c>
      <c r="B1311" s="10" t="inlineStr">
        <is>
          <t>位置合わせ(MS指定)／月内均等</t>
        </is>
      </c>
      <c r="C1311" s="10" t="inlineStr">
        <is>
          <t>2023-06</t>
        </is>
      </c>
      <c r="D1311" s="10" t="n">
        <v>2</v>
      </c>
      <c r="E1311" s="12" t="n">
        <v>3772.9</v>
      </c>
      <c r="F1311" s="12" t="n">
        <v>2017.9</v>
      </c>
      <c r="G1311" s="12" t="n">
        <v>1755</v>
      </c>
      <c r="H1311" s="13" t="n">
        <v>0.0598</v>
      </c>
      <c r="I1311" s="13" t="n">
        <v>0.0271</v>
      </c>
    </row>
    <row r="1312">
      <c r="A1312" s="10" t="inlineStr">
        <is>
          <t>PJ-2023-I</t>
        </is>
      </c>
      <c r="B1312" s="10" t="inlineStr">
        <is>
          <t>位置合わせ(MS指定)／月内均等</t>
        </is>
      </c>
      <c r="C1312" s="10" t="inlineStr">
        <is>
          <t>2023-07</t>
        </is>
      </c>
      <c r="D1312" s="10" t="n">
        <v>3</v>
      </c>
      <c r="E1312" s="12" t="n">
        <v>4439.4</v>
      </c>
      <c r="F1312" s="12" t="n">
        <v>2934.1</v>
      </c>
      <c r="G1312" s="12" t="n">
        <v>1505.3</v>
      </c>
      <c r="H1312" s="13" t="n">
        <v>0.0989</v>
      </c>
      <c r="I1312" s="13" t="n">
        <v>0.0529</v>
      </c>
    </row>
    <row r="1313">
      <c r="A1313" s="10" t="inlineStr">
        <is>
          <t>PJ-2023-I</t>
        </is>
      </c>
      <c r="B1313" s="10" t="inlineStr">
        <is>
          <t>位置合わせ(MS指定)／月内均等</t>
        </is>
      </c>
      <c r="C1313" s="10" t="inlineStr">
        <is>
          <t>2023-08</t>
        </is>
      </c>
      <c r="D1313" s="10" t="n">
        <v>4</v>
      </c>
      <c r="E1313" s="12" t="n">
        <v>4774.5</v>
      </c>
      <c r="F1313" s="12" t="n">
        <v>3879.4</v>
      </c>
      <c r="G1313" s="12" t="n">
        <v>895.1</v>
      </c>
      <c r="H1313" s="13" t="n">
        <v>0.141</v>
      </c>
      <c r="I1313" s="13" t="n">
        <v>0.0871</v>
      </c>
    </row>
    <row r="1314">
      <c r="A1314" s="10" t="inlineStr">
        <is>
          <t>PJ-2023-I</t>
        </is>
      </c>
      <c r="B1314" s="10" t="inlineStr">
        <is>
          <t>位置合わせ(MS指定)／月内均等</t>
        </is>
      </c>
      <c r="C1314" s="10" t="inlineStr">
        <is>
          <t>2023-09</t>
        </is>
      </c>
      <c r="D1314" s="10" t="n">
        <v>5</v>
      </c>
      <c r="E1314" s="12" t="n">
        <v>5338.4</v>
      </c>
      <c r="F1314" s="12" t="n">
        <v>4638.5</v>
      </c>
      <c r="G1314" s="12" t="n">
        <v>699.9</v>
      </c>
      <c r="H1314" s="13" t="n">
        <v>0.188</v>
      </c>
      <c r="I1314" s="13" t="n">
        <v>0.1279</v>
      </c>
    </row>
    <row r="1315">
      <c r="A1315" s="10" t="inlineStr">
        <is>
          <t>PJ-2023-I</t>
        </is>
      </c>
      <c r="B1315" s="10" t="inlineStr">
        <is>
          <t>位置合わせ(MS指定)／月内均等</t>
        </is>
      </c>
      <c r="C1315" s="10" t="inlineStr">
        <is>
          <t>2023-10</t>
        </is>
      </c>
      <c r="D1315" s="10" t="n">
        <v>6</v>
      </c>
      <c r="E1315" s="12" t="n">
        <v>6782.7</v>
      </c>
      <c r="F1315" s="12" t="n">
        <v>5612.3</v>
      </c>
      <c r="G1315" s="12" t="n">
        <v>1170.4</v>
      </c>
      <c r="H1315" s="13" t="n">
        <v>0.2477</v>
      </c>
      <c r="I1315" s="13" t="n">
        <v>0.1774</v>
      </c>
    </row>
    <row r="1316">
      <c r="A1316" s="10" t="inlineStr">
        <is>
          <t>PJ-2023-I</t>
        </is>
      </c>
      <c r="B1316" s="10" t="inlineStr">
        <is>
          <t>位置合わせ(MS指定)／月内均等</t>
        </is>
      </c>
      <c r="C1316" s="10" t="inlineStr">
        <is>
          <t>2023-11</t>
        </is>
      </c>
      <c r="D1316" s="10" t="n">
        <v>7</v>
      </c>
      <c r="E1316" s="12" t="n">
        <v>7483.8</v>
      </c>
      <c r="F1316" s="12" t="n">
        <v>6590</v>
      </c>
      <c r="G1316" s="12" t="n">
        <v>893.8</v>
      </c>
      <c r="H1316" s="13" t="n">
        <v>0.3136</v>
      </c>
      <c r="I1316" s="13" t="n">
        <v>0.2354</v>
      </c>
    </row>
    <row r="1317">
      <c r="A1317" s="10" t="inlineStr">
        <is>
          <t>PJ-2023-I</t>
        </is>
      </c>
      <c r="B1317" s="10" t="inlineStr">
        <is>
          <t>位置合わせ(MS指定)／月内均等</t>
        </is>
      </c>
      <c r="C1317" s="10" t="inlineStr">
        <is>
          <t>2023-12</t>
        </is>
      </c>
      <c r="D1317" s="10" t="n">
        <v>8</v>
      </c>
      <c r="E1317" s="12" t="n">
        <v>8722.4</v>
      </c>
      <c r="F1317" s="12" t="n">
        <v>8421.299999999999</v>
      </c>
      <c r="G1317" s="12" t="n">
        <v>301.1</v>
      </c>
      <c r="H1317" s="13" t="n">
        <v>0.3905</v>
      </c>
      <c r="I1317" s="13" t="n">
        <v>0.3096</v>
      </c>
    </row>
    <row r="1318">
      <c r="A1318" s="10" t="inlineStr">
        <is>
          <t>PJ-2023-I</t>
        </is>
      </c>
      <c r="B1318" s="10" t="inlineStr">
        <is>
          <t>位置合わせ(MS指定)／月内均等</t>
        </is>
      </c>
      <c r="C1318" s="10" t="inlineStr">
        <is>
          <t>2024-01</t>
        </is>
      </c>
      <c r="D1318" s="10" t="n">
        <v>9</v>
      </c>
      <c r="E1318" s="12" t="n">
        <v>9865.799999999999</v>
      </c>
      <c r="F1318" s="12" t="n">
        <v>11235.7</v>
      </c>
      <c r="G1318" s="12" t="n">
        <v>-1369.9</v>
      </c>
      <c r="H1318" s="13" t="n">
        <v>0.4774</v>
      </c>
      <c r="I1318" s="13" t="n">
        <v>0.4085</v>
      </c>
    </row>
    <row r="1319">
      <c r="A1319" s="10" t="inlineStr">
        <is>
          <t>PJ-2023-I</t>
        </is>
      </c>
      <c r="B1319" s="10" t="inlineStr">
        <is>
          <t>位置合わせ(MS指定)／月内均等</t>
        </is>
      </c>
      <c r="C1319" s="10" t="inlineStr">
        <is>
          <t>2024-02</t>
        </is>
      </c>
      <c r="D1319" s="10" t="n">
        <v>10</v>
      </c>
      <c r="E1319" s="12" t="n">
        <v>9109.5</v>
      </c>
      <c r="F1319" s="12" t="n">
        <v>13660.8</v>
      </c>
      <c r="G1319" s="12" t="n">
        <v>-4551.3</v>
      </c>
      <c r="H1319" s="13" t="n">
        <v>0.5576</v>
      </c>
      <c r="I1319" s="13" t="n">
        <v>0.5288</v>
      </c>
    </row>
    <row r="1320">
      <c r="A1320" s="10" t="inlineStr">
        <is>
          <t>PJ-2023-I</t>
        </is>
      </c>
      <c r="B1320" s="10" t="inlineStr">
        <is>
          <t>位置合わせ(MS指定)／月内均等</t>
        </is>
      </c>
      <c r="C1320" s="10" t="inlineStr">
        <is>
          <t>2024-03</t>
        </is>
      </c>
      <c r="D1320" s="10" t="n">
        <v>11</v>
      </c>
      <c r="E1320" s="12" t="n">
        <v>9612.9</v>
      </c>
      <c r="F1320" s="12" t="n">
        <v>13455.6</v>
      </c>
      <c r="G1320" s="12" t="n">
        <v>-3842.7</v>
      </c>
      <c r="H1320" s="13" t="n">
        <v>0.6422</v>
      </c>
      <c r="I1320" s="13" t="n">
        <v>0.6473</v>
      </c>
    </row>
    <row r="1321">
      <c r="A1321" s="10" t="inlineStr">
        <is>
          <t>PJ-2023-I</t>
        </is>
      </c>
      <c r="B1321" s="10" t="inlineStr">
        <is>
          <t>位置合わせ(MS指定)／月内均等</t>
        </is>
      </c>
      <c r="C1321" s="10" t="inlineStr">
        <is>
          <t>2024-04</t>
        </is>
      </c>
      <c r="D1321" s="10" t="n">
        <v>12</v>
      </c>
      <c r="E1321" s="12" t="n">
        <v>9585.6</v>
      </c>
      <c r="F1321" s="12" t="n">
        <v>15249</v>
      </c>
      <c r="G1321" s="12" t="n">
        <v>-5663.4</v>
      </c>
      <c r="H1321" s="13" t="n">
        <v>0.7267</v>
      </c>
      <c r="I1321" s="13" t="n">
        <v>0.7816</v>
      </c>
    </row>
    <row r="1322">
      <c r="A1322" s="10" t="inlineStr">
        <is>
          <t>PJ-2023-I</t>
        </is>
      </c>
      <c r="B1322" s="10" t="inlineStr">
        <is>
          <t>位置合わせ(MS指定)／月内均等</t>
        </is>
      </c>
      <c r="C1322" s="10" t="inlineStr">
        <is>
          <t>2024-05</t>
        </is>
      </c>
      <c r="D1322" s="10" t="n">
        <v>13</v>
      </c>
      <c r="E1322" s="12" t="n">
        <v>8516.799999999999</v>
      </c>
      <c r="F1322" s="12" t="n">
        <v>6881.4</v>
      </c>
      <c r="G1322" s="12" t="n">
        <v>1635.4</v>
      </c>
      <c r="H1322" s="13" t="n">
        <v>0.8017</v>
      </c>
      <c r="I1322" s="13" t="n">
        <v>0.8421999999999999</v>
      </c>
    </row>
    <row r="1323">
      <c r="A1323" s="10" t="inlineStr">
        <is>
          <t>PJ-2023-I</t>
        </is>
      </c>
      <c r="B1323" s="10" t="inlineStr">
        <is>
          <t>位置合わせ(MS指定)／月内均等</t>
        </is>
      </c>
      <c r="C1323" s="10" t="inlineStr">
        <is>
          <t>2024-06</t>
        </is>
      </c>
      <c r="D1323" s="10" t="n">
        <v>14</v>
      </c>
      <c r="E1323" s="12" t="n">
        <v>5797.4</v>
      </c>
      <c r="F1323" s="12" t="n">
        <v>5543.4</v>
      </c>
      <c r="G1323" s="12" t="n">
        <v>254</v>
      </c>
      <c r="H1323" s="13" t="n">
        <v>0.8527</v>
      </c>
      <c r="I1323" s="13" t="n">
        <v>0.8911</v>
      </c>
    </row>
    <row r="1324">
      <c r="A1324" s="10" t="inlineStr">
        <is>
          <t>PJ-2023-I</t>
        </is>
      </c>
      <c r="B1324" s="10" t="inlineStr">
        <is>
          <t>位置合わせ(MS指定)／月内均等</t>
        </is>
      </c>
      <c r="C1324" s="10" t="inlineStr">
        <is>
          <t>2024-07</t>
        </is>
      </c>
      <c r="D1324" s="10" t="n">
        <v>15</v>
      </c>
      <c r="E1324" s="12" t="n">
        <v>5461.7</v>
      </c>
      <c r="F1324" s="12" t="n">
        <v>3845</v>
      </c>
      <c r="G1324" s="12" t="n">
        <v>1616.7</v>
      </c>
      <c r="H1324" s="13" t="n">
        <v>0.9008</v>
      </c>
      <c r="I1324" s="13" t="n">
        <v>0.9249000000000001</v>
      </c>
    </row>
    <row r="1325">
      <c r="A1325" s="10" t="inlineStr">
        <is>
          <t>PJ-2023-I</t>
        </is>
      </c>
      <c r="B1325" s="10" t="inlineStr">
        <is>
          <t>位置合わせ(MS指定)／月内均等</t>
        </is>
      </c>
      <c r="C1325" s="10" t="inlineStr">
        <is>
          <t>2024-08</t>
        </is>
      </c>
      <c r="D1325" s="10" t="n">
        <v>16</v>
      </c>
      <c r="E1325" s="12" t="n">
        <v>4529.3</v>
      </c>
      <c r="F1325" s="12" t="n">
        <v>3094</v>
      </c>
      <c r="G1325" s="12" t="n">
        <v>1435.3</v>
      </c>
      <c r="H1325" s="13" t="n">
        <v>0.9407</v>
      </c>
      <c r="I1325" s="13" t="n">
        <v>0.9522</v>
      </c>
    </row>
    <row r="1326">
      <c r="A1326" s="10" t="inlineStr">
        <is>
          <t>PJ-2023-I</t>
        </is>
      </c>
      <c r="B1326" s="10" t="inlineStr">
        <is>
          <t>位置合わせ(MS指定)／月内均等</t>
        </is>
      </c>
      <c r="C1326" s="10" t="inlineStr">
        <is>
          <t>2024-09</t>
        </is>
      </c>
      <c r="D1326" s="10" t="n">
        <v>17</v>
      </c>
      <c r="E1326" s="12" t="n">
        <v>4164.7</v>
      </c>
      <c r="F1326" s="12" t="n">
        <v>3246</v>
      </c>
      <c r="G1326" s="12" t="n">
        <v>918.7</v>
      </c>
      <c r="H1326" s="13" t="n">
        <v>0.9774</v>
      </c>
      <c r="I1326" s="13" t="n">
        <v>0.9808</v>
      </c>
    </row>
    <row r="1327">
      <c r="A1327" s="10" t="inlineStr">
        <is>
          <t>PJ-2023-I</t>
        </is>
      </c>
      <c r="B1327" s="10" t="inlineStr">
        <is>
          <t>位置合わせ(MS指定)／月内均等</t>
        </is>
      </c>
      <c r="C1327" s="10" t="inlineStr">
        <is>
          <t>2024-10</t>
        </is>
      </c>
      <c r="D1327" s="10" t="n">
        <v>18</v>
      </c>
      <c r="E1327" s="12" t="n">
        <v>2567.5</v>
      </c>
      <c r="F1327" s="12" t="n">
        <v>2184.9</v>
      </c>
      <c r="G1327" s="12" t="n">
        <v>382.6</v>
      </c>
      <c r="H1327" s="13" t="n">
        <v>1</v>
      </c>
      <c r="I1327" s="13" t="n">
        <v>1</v>
      </c>
    </row>
    <row r="1328">
      <c r="A1328" s="10" t="inlineStr">
        <is>
          <t>PJ-2023-I</t>
        </is>
      </c>
      <c r="B1328" s="10" t="inlineStr">
        <is>
          <t>素朴版／単調補間</t>
        </is>
      </c>
      <c r="C1328" s="10" t="inlineStr">
        <is>
          <t>2023-05</t>
        </is>
      </c>
      <c r="D1328" s="10" t="n">
        <v>1</v>
      </c>
      <c r="E1328" s="12" t="n">
        <v>2864.7</v>
      </c>
      <c r="F1328" s="12" t="n">
        <v>1057.9</v>
      </c>
      <c r="G1328" s="12" t="n">
        <v>1806.8</v>
      </c>
      <c r="H1328" s="13" t="n">
        <v>0.0252</v>
      </c>
      <c r="I1328" s="13" t="n">
        <v>0.009299999999999999</v>
      </c>
    </row>
    <row r="1329">
      <c r="A1329" s="10" t="inlineStr">
        <is>
          <t>PJ-2023-I</t>
        </is>
      </c>
      <c r="B1329" s="10" t="inlineStr">
        <is>
          <t>素朴版／単調補間</t>
        </is>
      </c>
      <c r="C1329" s="10" t="inlineStr">
        <is>
          <t>2023-06</t>
        </is>
      </c>
      <c r="D1329" s="10" t="n">
        <v>2</v>
      </c>
      <c r="E1329" s="12" t="n">
        <v>3559.4</v>
      </c>
      <c r="F1329" s="12" t="n">
        <v>2017.9</v>
      </c>
      <c r="G1329" s="12" t="n">
        <v>1541.5</v>
      </c>
      <c r="H1329" s="13" t="n">
        <v>0.0566</v>
      </c>
      <c r="I1329" s="13" t="n">
        <v>0.0271</v>
      </c>
    </row>
    <row r="1330">
      <c r="A1330" s="10" t="inlineStr">
        <is>
          <t>PJ-2023-I</t>
        </is>
      </c>
      <c r="B1330" s="10" t="inlineStr">
        <is>
          <t>素朴版／単調補間</t>
        </is>
      </c>
      <c r="C1330" s="10" t="inlineStr">
        <is>
          <t>2023-07</t>
        </is>
      </c>
      <c r="D1330" s="10" t="n">
        <v>3</v>
      </c>
      <c r="E1330" s="12" t="n">
        <v>4250.5</v>
      </c>
      <c r="F1330" s="12" t="n">
        <v>2934.1</v>
      </c>
      <c r="G1330" s="12" t="n">
        <v>1316.4</v>
      </c>
      <c r="H1330" s="13" t="n">
        <v>0.094</v>
      </c>
      <c r="I1330" s="13" t="n">
        <v>0.0529</v>
      </c>
    </row>
    <row r="1331">
      <c r="A1331" s="10" t="inlineStr">
        <is>
          <t>PJ-2023-I</t>
        </is>
      </c>
      <c r="B1331" s="10" t="inlineStr">
        <is>
          <t>素朴版／単調補間</t>
        </is>
      </c>
      <c r="C1331" s="10" t="inlineStr">
        <is>
          <t>2023-08</t>
        </is>
      </c>
      <c r="D1331" s="10" t="n">
        <v>4</v>
      </c>
      <c r="E1331" s="12" t="n">
        <v>4500.8</v>
      </c>
      <c r="F1331" s="12" t="n">
        <v>3879.4</v>
      </c>
      <c r="G1331" s="12" t="n">
        <v>621.4</v>
      </c>
      <c r="H1331" s="13" t="n">
        <v>0.1336</v>
      </c>
      <c r="I1331" s="13" t="n">
        <v>0.0871</v>
      </c>
    </row>
    <row r="1332">
      <c r="A1332" s="10" t="inlineStr">
        <is>
          <t>PJ-2023-I</t>
        </is>
      </c>
      <c r="B1332" s="10" t="inlineStr">
        <is>
          <t>素朴版／単調補間</t>
        </is>
      </c>
      <c r="C1332" s="10" t="inlineStr">
        <is>
          <t>2023-09</t>
        </is>
      </c>
      <c r="D1332" s="10" t="n">
        <v>5</v>
      </c>
      <c r="E1332" s="12" t="n">
        <v>5060.4</v>
      </c>
      <c r="F1332" s="12" t="n">
        <v>4638.5</v>
      </c>
      <c r="G1332" s="12" t="n">
        <v>421.9</v>
      </c>
      <c r="H1332" s="13" t="n">
        <v>0.1782</v>
      </c>
      <c r="I1332" s="13" t="n">
        <v>0.1279</v>
      </c>
    </row>
    <row r="1333">
      <c r="A1333" s="10" t="inlineStr">
        <is>
          <t>PJ-2023-I</t>
        </is>
      </c>
      <c r="B1333" s="10" t="inlineStr">
        <is>
          <t>素朴版／単調補間</t>
        </is>
      </c>
      <c r="C1333" s="10" t="inlineStr">
        <is>
          <t>2023-10</t>
        </is>
      </c>
      <c r="D1333" s="10" t="n">
        <v>6</v>
      </c>
      <c r="E1333" s="12" t="n">
        <v>6692.7</v>
      </c>
      <c r="F1333" s="12" t="n">
        <v>5612.3</v>
      </c>
      <c r="G1333" s="12" t="n">
        <v>1080.4</v>
      </c>
      <c r="H1333" s="13" t="n">
        <v>0.2372</v>
      </c>
      <c r="I1333" s="13" t="n">
        <v>0.1774</v>
      </c>
    </row>
    <row r="1334">
      <c r="A1334" s="10" t="inlineStr">
        <is>
          <t>PJ-2023-I</t>
        </is>
      </c>
      <c r="B1334" s="10" t="inlineStr">
        <is>
          <t>素朴版／単調補間</t>
        </is>
      </c>
      <c r="C1334" s="10" t="inlineStr">
        <is>
          <t>2023-11</t>
        </is>
      </c>
      <c r="D1334" s="10" t="n">
        <v>7</v>
      </c>
      <c r="E1334" s="12" t="n">
        <v>7330.4</v>
      </c>
      <c r="F1334" s="12" t="n">
        <v>6590</v>
      </c>
      <c r="G1334" s="12" t="n">
        <v>740.4</v>
      </c>
      <c r="H1334" s="13" t="n">
        <v>0.3017</v>
      </c>
      <c r="I1334" s="13" t="n">
        <v>0.2354</v>
      </c>
    </row>
    <row r="1335">
      <c r="A1335" s="10" t="inlineStr">
        <is>
          <t>PJ-2023-I</t>
        </is>
      </c>
      <c r="B1335" s="10" t="inlineStr">
        <is>
          <t>素朴版／単調補間</t>
        </is>
      </c>
      <c r="C1335" s="10" t="inlineStr">
        <is>
          <t>2023-12</t>
        </is>
      </c>
      <c r="D1335" s="10" t="n">
        <v>8</v>
      </c>
      <c r="E1335" s="12" t="n">
        <v>8152.2</v>
      </c>
      <c r="F1335" s="12" t="n">
        <v>8421.299999999999</v>
      </c>
      <c r="G1335" s="12" t="n">
        <v>-269.1</v>
      </c>
      <c r="H1335" s="13" t="n">
        <v>0.3735</v>
      </c>
      <c r="I1335" s="13" t="n">
        <v>0.3096</v>
      </c>
    </row>
    <row r="1336">
      <c r="A1336" s="10" t="inlineStr">
        <is>
          <t>PJ-2023-I</t>
        </is>
      </c>
      <c r="B1336" s="10" t="inlineStr">
        <is>
          <t>素朴版／単調補間</t>
        </is>
      </c>
      <c r="C1336" s="10" t="inlineStr">
        <is>
          <t>2024-01</t>
        </is>
      </c>
      <c r="D1336" s="10" t="n">
        <v>9</v>
      </c>
      <c r="E1336" s="12" t="n">
        <v>7174.2</v>
      </c>
      <c r="F1336" s="12" t="n">
        <v>11235.7</v>
      </c>
      <c r="G1336" s="12" t="n">
        <v>-4061.5</v>
      </c>
      <c r="H1336" s="13" t="n">
        <v>0.4367</v>
      </c>
      <c r="I1336" s="13" t="n">
        <v>0.4085</v>
      </c>
    </row>
    <row r="1337">
      <c r="A1337" s="10" t="inlineStr">
        <is>
          <t>PJ-2023-I</t>
        </is>
      </c>
      <c r="B1337" s="10" t="inlineStr">
        <is>
          <t>素朴版／単調補間</t>
        </is>
      </c>
      <c r="C1337" s="10" t="inlineStr">
        <is>
          <t>2024-02</t>
        </is>
      </c>
      <c r="D1337" s="10" t="n">
        <v>10</v>
      </c>
      <c r="E1337" s="12" t="n">
        <v>7515.3</v>
      </c>
      <c r="F1337" s="12" t="n">
        <v>13660.8</v>
      </c>
      <c r="G1337" s="12" t="n">
        <v>-6145.5</v>
      </c>
      <c r="H1337" s="13" t="n">
        <v>0.5029</v>
      </c>
      <c r="I1337" s="13" t="n">
        <v>0.5288</v>
      </c>
    </row>
    <row r="1338">
      <c r="A1338" s="10" t="inlineStr">
        <is>
          <t>PJ-2023-I</t>
        </is>
      </c>
      <c r="B1338" s="10" t="inlineStr">
        <is>
          <t>素朴版／単調補間</t>
        </is>
      </c>
      <c r="C1338" s="10" t="inlineStr">
        <is>
          <t>2024-03</t>
        </is>
      </c>
      <c r="D1338" s="10" t="n">
        <v>11</v>
      </c>
      <c r="E1338" s="12" t="n">
        <v>8734.1</v>
      </c>
      <c r="F1338" s="12" t="n">
        <v>13455.6</v>
      </c>
      <c r="G1338" s="12" t="n">
        <v>-4721.5</v>
      </c>
      <c r="H1338" s="13" t="n">
        <v>0.5798</v>
      </c>
      <c r="I1338" s="13" t="n">
        <v>0.6473</v>
      </c>
    </row>
    <row r="1339">
      <c r="A1339" s="10" t="inlineStr">
        <is>
          <t>PJ-2023-I</t>
        </is>
      </c>
      <c r="B1339" s="10" t="inlineStr">
        <is>
          <t>素朴版／単調補間</t>
        </is>
      </c>
      <c r="C1339" s="10" t="inlineStr">
        <is>
          <t>2024-04</t>
        </is>
      </c>
      <c r="D1339" s="10" t="n">
        <v>12</v>
      </c>
      <c r="E1339" s="12" t="n">
        <v>8916.4</v>
      </c>
      <c r="F1339" s="12" t="n">
        <v>15249</v>
      </c>
      <c r="G1339" s="12" t="n">
        <v>-6332.6</v>
      </c>
      <c r="H1339" s="13" t="n">
        <v>0.6583</v>
      </c>
      <c r="I1339" s="13" t="n">
        <v>0.7816</v>
      </c>
    </row>
    <row r="1340">
      <c r="A1340" s="10" t="inlineStr">
        <is>
          <t>PJ-2023-I</t>
        </is>
      </c>
      <c r="B1340" s="10" t="inlineStr">
        <is>
          <t>素朴版／単調補間</t>
        </is>
      </c>
      <c r="C1340" s="10" t="inlineStr">
        <is>
          <t>2024-05</t>
        </is>
      </c>
      <c r="D1340" s="10" t="n">
        <v>13</v>
      </c>
      <c r="E1340" s="12" t="n">
        <v>8849.4</v>
      </c>
      <c r="F1340" s="12" t="n">
        <v>6881.4</v>
      </c>
      <c r="G1340" s="12" t="n">
        <v>1968</v>
      </c>
      <c r="H1340" s="13" t="n">
        <v>0.7363</v>
      </c>
      <c r="I1340" s="13" t="n">
        <v>0.8421999999999999</v>
      </c>
    </row>
    <row r="1341">
      <c r="A1341" s="10" t="inlineStr">
        <is>
          <t>PJ-2023-I</t>
        </is>
      </c>
      <c r="B1341" s="10" t="inlineStr">
        <is>
          <t>素朴版／単調補間</t>
        </is>
      </c>
      <c r="C1341" s="10" t="inlineStr">
        <is>
          <t>2024-06</t>
        </is>
      </c>
      <c r="D1341" s="10" t="n">
        <v>14</v>
      </c>
      <c r="E1341" s="12" t="n">
        <v>8153.3</v>
      </c>
      <c r="F1341" s="12" t="n">
        <v>5543.4</v>
      </c>
      <c r="G1341" s="12" t="n">
        <v>2609.9</v>
      </c>
      <c r="H1341" s="13" t="n">
        <v>0.8081</v>
      </c>
      <c r="I1341" s="13" t="n">
        <v>0.8911</v>
      </c>
    </row>
    <row r="1342">
      <c r="A1342" s="10" t="inlineStr">
        <is>
          <t>PJ-2023-I</t>
        </is>
      </c>
      <c r="B1342" s="10" t="inlineStr">
        <is>
          <t>素朴版／単調補間</t>
        </is>
      </c>
      <c r="C1342" s="10" t="inlineStr">
        <is>
          <t>2024-07</t>
        </is>
      </c>
      <c r="D1342" s="10" t="n">
        <v>15</v>
      </c>
      <c r="E1342" s="12" t="n">
        <v>8596.1</v>
      </c>
      <c r="F1342" s="12" t="n">
        <v>3845</v>
      </c>
      <c r="G1342" s="12" t="n">
        <v>4751.1</v>
      </c>
      <c r="H1342" s="13" t="n">
        <v>0.8838</v>
      </c>
      <c r="I1342" s="13" t="n">
        <v>0.9249000000000001</v>
      </c>
    </row>
    <row r="1343">
      <c r="A1343" s="10" t="inlineStr">
        <is>
          <t>PJ-2023-I</t>
        </is>
      </c>
      <c r="B1343" s="10" t="inlineStr">
        <is>
          <t>素朴版／単調補間</t>
        </is>
      </c>
      <c r="C1343" s="10" t="inlineStr">
        <is>
          <t>2024-08</t>
        </is>
      </c>
      <c r="D1343" s="10" t="n">
        <v>16</v>
      </c>
      <c r="E1343" s="12" t="n">
        <v>6396.5</v>
      </c>
      <c r="F1343" s="12" t="n">
        <v>3094</v>
      </c>
      <c r="G1343" s="12" t="n">
        <v>3302.5</v>
      </c>
      <c r="H1343" s="13" t="n">
        <v>0.9401</v>
      </c>
      <c r="I1343" s="13" t="n">
        <v>0.9522</v>
      </c>
    </row>
    <row r="1344">
      <c r="A1344" s="10" t="inlineStr">
        <is>
          <t>PJ-2023-I</t>
        </is>
      </c>
      <c r="B1344" s="10" t="inlineStr">
        <is>
          <t>素朴版／単調補間</t>
        </is>
      </c>
      <c r="C1344" s="10" t="inlineStr">
        <is>
          <t>2024-09</t>
        </is>
      </c>
      <c r="D1344" s="10" t="n">
        <v>17</v>
      </c>
      <c r="E1344" s="12" t="n">
        <v>4383.9</v>
      </c>
      <c r="F1344" s="12" t="n">
        <v>3246</v>
      </c>
      <c r="G1344" s="12" t="n">
        <v>1137.9</v>
      </c>
      <c r="H1344" s="13" t="n">
        <v>0.9787</v>
      </c>
      <c r="I1344" s="13" t="n">
        <v>0.9808</v>
      </c>
    </row>
    <row r="1345">
      <c r="A1345" s="10" t="inlineStr">
        <is>
          <t>PJ-2023-I</t>
        </is>
      </c>
      <c r="B1345" s="10" t="inlineStr">
        <is>
          <t>素朴版／単調補間</t>
        </is>
      </c>
      <c r="C1345" s="10" t="inlineStr">
        <is>
          <t>2024-10</t>
        </is>
      </c>
      <c r="D1345" s="10" t="n">
        <v>18</v>
      </c>
      <c r="E1345" s="12" t="n">
        <v>2416.8</v>
      </c>
      <c r="F1345" s="12" t="n">
        <v>2184.9</v>
      </c>
      <c r="G1345" s="12" t="n">
        <v>231.9</v>
      </c>
      <c r="H1345" s="13" t="n">
        <v>1</v>
      </c>
      <c r="I1345" s="13" t="n">
        <v>1</v>
      </c>
    </row>
    <row r="1346">
      <c r="A1346" s="10" t="inlineStr">
        <is>
          <t>PJ-2023-I</t>
        </is>
      </c>
      <c r="B1346" s="10" t="inlineStr">
        <is>
          <t>位置合わせ(MS学習値)／単調補間</t>
        </is>
      </c>
      <c r="C1346" s="10" t="inlineStr">
        <is>
          <t>2023-05</t>
        </is>
      </c>
      <c r="D1346" s="10" t="n">
        <v>1</v>
      </c>
      <c r="E1346" s="12" t="n">
        <v>2827.7</v>
      </c>
      <c r="F1346" s="12" t="n">
        <v>1057.9</v>
      </c>
      <c r="G1346" s="12" t="n">
        <v>1769.8</v>
      </c>
      <c r="H1346" s="13" t="n">
        <v>0.0249</v>
      </c>
      <c r="I1346" s="13" t="n">
        <v>0.009299999999999999</v>
      </c>
    </row>
    <row r="1347">
      <c r="A1347" s="10" t="inlineStr">
        <is>
          <t>PJ-2023-I</t>
        </is>
      </c>
      <c r="B1347" s="10" t="inlineStr">
        <is>
          <t>位置合わせ(MS学習値)／単調補間</t>
        </is>
      </c>
      <c r="C1347" s="10" t="inlineStr">
        <is>
          <t>2023-06</t>
        </is>
      </c>
      <c r="D1347" s="10" t="n">
        <v>2</v>
      </c>
      <c r="E1347" s="12" t="n">
        <v>3518.3</v>
      </c>
      <c r="F1347" s="12" t="n">
        <v>2017.9</v>
      </c>
      <c r="G1347" s="12" t="n">
        <v>1500.4</v>
      </c>
      <c r="H1347" s="13" t="n">
        <v>0.0559</v>
      </c>
      <c r="I1347" s="13" t="n">
        <v>0.0271</v>
      </c>
    </row>
    <row r="1348">
      <c r="A1348" s="10" t="inlineStr">
        <is>
          <t>PJ-2023-I</t>
        </is>
      </c>
      <c r="B1348" s="10" t="inlineStr">
        <is>
          <t>位置合わせ(MS学習値)／単調補間</t>
        </is>
      </c>
      <c r="C1348" s="10" t="inlineStr">
        <is>
          <t>2023-07</t>
        </is>
      </c>
      <c r="D1348" s="10" t="n">
        <v>3</v>
      </c>
      <c r="E1348" s="12" t="n">
        <v>4176.3</v>
      </c>
      <c r="F1348" s="12" t="n">
        <v>2934.1</v>
      </c>
      <c r="G1348" s="12" t="n">
        <v>1242.2</v>
      </c>
      <c r="H1348" s="13" t="n">
        <v>0.0927</v>
      </c>
      <c r="I1348" s="13" t="n">
        <v>0.0529</v>
      </c>
    </row>
    <row r="1349">
      <c r="A1349" s="10" t="inlineStr">
        <is>
          <t>PJ-2023-I</t>
        </is>
      </c>
      <c r="B1349" s="10" t="inlineStr">
        <is>
          <t>位置合わせ(MS学習値)／単調補間</t>
        </is>
      </c>
      <c r="C1349" s="10" t="inlineStr">
        <is>
          <t>2023-08</t>
        </is>
      </c>
      <c r="D1349" s="10" t="n">
        <v>4</v>
      </c>
      <c r="E1349" s="12" t="n">
        <v>4425.2</v>
      </c>
      <c r="F1349" s="12" t="n">
        <v>3879.4</v>
      </c>
      <c r="G1349" s="12" t="n">
        <v>545.8</v>
      </c>
      <c r="H1349" s="13" t="n">
        <v>0.1316</v>
      </c>
      <c r="I1349" s="13" t="n">
        <v>0.0871</v>
      </c>
    </row>
    <row r="1350">
      <c r="A1350" s="10" t="inlineStr">
        <is>
          <t>PJ-2023-I</t>
        </is>
      </c>
      <c r="B1350" s="10" t="inlineStr">
        <is>
          <t>位置合わせ(MS学習値)／単調補間</t>
        </is>
      </c>
      <c r="C1350" s="10" t="inlineStr">
        <is>
          <t>2023-09</t>
        </is>
      </c>
      <c r="D1350" s="10" t="n">
        <v>5</v>
      </c>
      <c r="E1350" s="12" t="n">
        <v>4873.9</v>
      </c>
      <c r="F1350" s="12" t="n">
        <v>4638.5</v>
      </c>
      <c r="G1350" s="12" t="n">
        <v>235.4</v>
      </c>
      <c r="H1350" s="13" t="n">
        <v>0.1746</v>
      </c>
      <c r="I1350" s="13" t="n">
        <v>0.1279</v>
      </c>
    </row>
    <row r="1351">
      <c r="A1351" s="10" t="inlineStr">
        <is>
          <t>PJ-2023-I</t>
        </is>
      </c>
      <c r="B1351" s="10" t="inlineStr">
        <is>
          <t>位置合わせ(MS学習値)／単調補間</t>
        </is>
      </c>
      <c r="C1351" s="10" t="inlineStr">
        <is>
          <t>2023-10</t>
        </is>
      </c>
      <c r="D1351" s="10" t="n">
        <v>6</v>
      </c>
      <c r="E1351" s="12" t="n">
        <v>6031</v>
      </c>
      <c r="F1351" s="12" t="n">
        <v>5612.3</v>
      </c>
      <c r="G1351" s="12" t="n">
        <v>418.7</v>
      </c>
      <c r="H1351" s="13" t="n">
        <v>0.2277</v>
      </c>
      <c r="I1351" s="13" t="n">
        <v>0.1774</v>
      </c>
    </row>
    <row r="1352">
      <c r="A1352" s="10" t="inlineStr">
        <is>
          <t>PJ-2023-I</t>
        </is>
      </c>
      <c r="B1352" s="10" t="inlineStr">
        <is>
          <t>位置合わせ(MS学習値)／単調補間</t>
        </is>
      </c>
      <c r="C1352" s="10" t="inlineStr">
        <is>
          <t>2023-11</t>
        </is>
      </c>
      <c r="D1352" s="10" t="n">
        <v>7</v>
      </c>
      <c r="E1352" s="12" t="n">
        <v>6861.4</v>
      </c>
      <c r="F1352" s="12" t="n">
        <v>6590</v>
      </c>
      <c r="G1352" s="12" t="n">
        <v>271.4</v>
      </c>
      <c r="H1352" s="13" t="n">
        <v>0.2881</v>
      </c>
      <c r="I1352" s="13" t="n">
        <v>0.2354</v>
      </c>
    </row>
    <row r="1353">
      <c r="A1353" s="10" t="inlineStr">
        <is>
          <t>PJ-2023-I</t>
        </is>
      </c>
      <c r="B1353" s="10" t="inlineStr">
        <is>
          <t>位置合わせ(MS学習値)／単調補間</t>
        </is>
      </c>
      <c r="C1353" s="10" t="inlineStr">
        <is>
          <t>2023-12</t>
        </is>
      </c>
      <c r="D1353" s="10" t="n">
        <v>8</v>
      </c>
      <c r="E1353" s="12" t="n">
        <v>7876.9</v>
      </c>
      <c r="F1353" s="12" t="n">
        <v>8421.299999999999</v>
      </c>
      <c r="G1353" s="12" t="n">
        <v>-544.4</v>
      </c>
      <c r="H1353" s="13" t="n">
        <v>0.3575</v>
      </c>
      <c r="I1353" s="13" t="n">
        <v>0.3096</v>
      </c>
    </row>
    <row r="1354">
      <c r="A1354" s="10" t="inlineStr">
        <is>
          <t>PJ-2023-I</t>
        </is>
      </c>
      <c r="B1354" s="10" t="inlineStr">
        <is>
          <t>位置合わせ(MS学習値)／単調補間</t>
        </is>
      </c>
      <c r="C1354" s="10" t="inlineStr">
        <is>
          <t>2024-01</t>
        </is>
      </c>
      <c r="D1354" s="10" t="n">
        <v>9</v>
      </c>
      <c r="E1354" s="12" t="n">
        <v>8890.6</v>
      </c>
      <c r="F1354" s="12" t="n">
        <v>11235.7</v>
      </c>
      <c r="G1354" s="12" t="n">
        <v>-2345.1</v>
      </c>
      <c r="H1354" s="13" t="n">
        <v>0.4358</v>
      </c>
      <c r="I1354" s="13" t="n">
        <v>0.4085</v>
      </c>
    </row>
    <row r="1355">
      <c r="A1355" s="10" t="inlineStr">
        <is>
          <t>PJ-2023-I</t>
        </is>
      </c>
      <c r="B1355" s="10" t="inlineStr">
        <is>
          <t>位置合わせ(MS学習値)／単調補間</t>
        </is>
      </c>
      <c r="C1355" s="10" t="inlineStr">
        <is>
          <t>2024-02</t>
        </is>
      </c>
      <c r="D1355" s="10" t="n">
        <v>10</v>
      </c>
      <c r="E1355" s="12" t="n">
        <v>8394.200000000001</v>
      </c>
      <c r="F1355" s="12" t="n">
        <v>13660.8</v>
      </c>
      <c r="G1355" s="12" t="n">
        <v>-5266.6</v>
      </c>
      <c r="H1355" s="13" t="n">
        <v>0.5097</v>
      </c>
      <c r="I1355" s="13" t="n">
        <v>0.5288</v>
      </c>
    </row>
    <row r="1356">
      <c r="A1356" s="10" t="inlineStr">
        <is>
          <t>PJ-2023-I</t>
        </is>
      </c>
      <c r="B1356" s="10" t="inlineStr">
        <is>
          <t>位置合わせ(MS学習値)／単調補間</t>
        </is>
      </c>
      <c r="C1356" s="10" t="inlineStr">
        <is>
          <t>2024-03</t>
        </is>
      </c>
      <c r="D1356" s="10" t="n">
        <v>11</v>
      </c>
      <c r="E1356" s="12" t="n">
        <v>8840.700000000001</v>
      </c>
      <c r="F1356" s="12" t="n">
        <v>13455.6</v>
      </c>
      <c r="G1356" s="12" t="n">
        <v>-4614.9</v>
      </c>
      <c r="H1356" s="13" t="n">
        <v>0.5876</v>
      </c>
      <c r="I1356" s="13" t="n">
        <v>0.6473</v>
      </c>
    </row>
    <row r="1357">
      <c r="A1357" s="10" t="inlineStr">
        <is>
          <t>PJ-2023-I</t>
        </is>
      </c>
      <c r="B1357" s="10" t="inlineStr">
        <is>
          <t>位置合わせ(MS学習値)／単調補間</t>
        </is>
      </c>
      <c r="C1357" s="10" t="inlineStr">
        <is>
          <t>2024-04</t>
        </is>
      </c>
      <c r="D1357" s="10" t="n">
        <v>12</v>
      </c>
      <c r="E1357" s="12" t="n">
        <v>8530</v>
      </c>
      <c r="F1357" s="12" t="n">
        <v>15249</v>
      </c>
      <c r="G1357" s="12" t="n">
        <v>-6719</v>
      </c>
      <c r="H1357" s="13" t="n">
        <v>0.6627</v>
      </c>
      <c r="I1357" s="13" t="n">
        <v>0.7816</v>
      </c>
    </row>
    <row r="1358">
      <c r="A1358" s="10" t="inlineStr">
        <is>
          <t>PJ-2023-I</t>
        </is>
      </c>
      <c r="B1358" s="10" t="inlineStr">
        <is>
          <t>位置合わせ(MS学習値)／単調補間</t>
        </is>
      </c>
      <c r="C1358" s="10" t="inlineStr">
        <is>
          <t>2024-05</t>
        </is>
      </c>
      <c r="D1358" s="10" t="n">
        <v>13</v>
      </c>
      <c r="E1358" s="12" t="n">
        <v>9048.6</v>
      </c>
      <c r="F1358" s="12" t="n">
        <v>6881.4</v>
      </c>
      <c r="G1358" s="12" t="n">
        <v>2167.2</v>
      </c>
      <c r="H1358" s="13" t="n">
        <v>0.7423999999999999</v>
      </c>
      <c r="I1358" s="13" t="n">
        <v>0.8421999999999999</v>
      </c>
    </row>
    <row r="1359">
      <c r="A1359" s="10" t="inlineStr">
        <is>
          <t>PJ-2023-I</t>
        </is>
      </c>
      <c r="B1359" s="10" t="inlineStr">
        <is>
          <t>位置合わせ(MS学習値)／単調補間</t>
        </is>
      </c>
      <c r="C1359" s="10" t="inlineStr">
        <is>
          <t>2024-06</t>
        </is>
      </c>
      <c r="D1359" s="10" t="n">
        <v>14</v>
      </c>
      <c r="E1359" s="12" t="n">
        <v>8617.200000000001</v>
      </c>
      <c r="F1359" s="12" t="n">
        <v>5543.4</v>
      </c>
      <c r="G1359" s="12" t="n">
        <v>3073.8</v>
      </c>
      <c r="H1359" s="13" t="n">
        <v>0.8183</v>
      </c>
      <c r="I1359" s="13" t="n">
        <v>0.8911</v>
      </c>
    </row>
    <row r="1360">
      <c r="A1360" s="10" t="inlineStr">
        <is>
          <t>PJ-2023-I</t>
        </is>
      </c>
      <c r="B1360" s="10" t="inlineStr">
        <is>
          <t>位置合わせ(MS学習値)／単調補間</t>
        </is>
      </c>
      <c r="C1360" s="10" t="inlineStr">
        <is>
          <t>2024-07</t>
        </is>
      </c>
      <c r="D1360" s="10" t="n">
        <v>15</v>
      </c>
      <c r="E1360" s="12" t="n">
        <v>7663</v>
      </c>
      <c r="F1360" s="12" t="n">
        <v>3845</v>
      </c>
      <c r="G1360" s="12" t="n">
        <v>3818</v>
      </c>
      <c r="H1360" s="13" t="n">
        <v>0.8858</v>
      </c>
      <c r="I1360" s="13" t="n">
        <v>0.9249000000000001</v>
      </c>
    </row>
    <row r="1361">
      <c r="A1361" s="10" t="inlineStr">
        <is>
          <t>PJ-2023-I</t>
        </is>
      </c>
      <c r="B1361" s="10" t="inlineStr">
        <is>
          <t>位置合わせ(MS学習値)／単調補間</t>
        </is>
      </c>
      <c r="C1361" s="10" t="inlineStr">
        <is>
          <t>2024-08</t>
        </is>
      </c>
      <c r="D1361" s="10" t="n">
        <v>16</v>
      </c>
      <c r="E1361" s="12" t="n">
        <v>6078.8</v>
      </c>
      <c r="F1361" s="12" t="n">
        <v>3094</v>
      </c>
      <c r="G1361" s="12" t="n">
        <v>2984.8</v>
      </c>
      <c r="H1361" s="13" t="n">
        <v>0.9393</v>
      </c>
      <c r="I1361" s="13" t="n">
        <v>0.9522</v>
      </c>
    </row>
    <row r="1362">
      <c r="A1362" s="10" t="inlineStr">
        <is>
          <t>PJ-2023-I</t>
        </is>
      </c>
      <c r="B1362" s="10" t="inlineStr">
        <is>
          <t>位置合わせ(MS学習値)／単調補間</t>
        </is>
      </c>
      <c r="C1362" s="10" t="inlineStr">
        <is>
          <t>2024-09</t>
        </is>
      </c>
      <c r="D1362" s="10" t="n">
        <v>17</v>
      </c>
      <c r="E1362" s="12" t="n">
        <v>4525.2</v>
      </c>
      <c r="F1362" s="12" t="n">
        <v>3246</v>
      </c>
      <c r="G1362" s="12" t="n">
        <v>1279.2</v>
      </c>
      <c r="H1362" s="13" t="n">
        <v>0.9791</v>
      </c>
      <c r="I1362" s="13" t="n">
        <v>0.9808</v>
      </c>
    </row>
    <row r="1363">
      <c r="A1363" s="10" t="inlineStr">
        <is>
          <t>PJ-2023-I</t>
        </is>
      </c>
      <c r="B1363" s="10" t="inlineStr">
        <is>
          <t>位置合わせ(MS学習値)／単調補間</t>
        </is>
      </c>
      <c r="C1363" s="10" t="inlineStr">
        <is>
          <t>2024-10</t>
        </is>
      </c>
      <c r="D1363" s="10" t="n">
        <v>18</v>
      </c>
      <c r="E1363" s="12" t="n">
        <v>2368.2</v>
      </c>
      <c r="F1363" s="12" t="n">
        <v>2184.9</v>
      </c>
      <c r="G1363" s="12" t="n">
        <v>183.3</v>
      </c>
      <c r="H1363" s="13" t="n">
        <v>1</v>
      </c>
      <c r="I1363" s="13" t="n">
        <v>1</v>
      </c>
    </row>
    <row r="1364">
      <c r="A1364" s="10" t="inlineStr">
        <is>
          <t>PJ-2023-I</t>
        </is>
      </c>
      <c r="B1364" s="10" t="inlineStr">
        <is>
          <t>位置合わせ(MS指定)／単調補間</t>
        </is>
      </c>
      <c r="C1364" s="10" t="inlineStr">
        <is>
          <t>2023-05</t>
        </is>
      </c>
      <c r="D1364" s="10" t="n">
        <v>1</v>
      </c>
      <c r="E1364" s="12" t="n">
        <v>3002.8</v>
      </c>
      <c r="F1364" s="12" t="n">
        <v>1057.9</v>
      </c>
      <c r="G1364" s="12" t="n">
        <v>1944.9</v>
      </c>
      <c r="H1364" s="13" t="n">
        <v>0.0264</v>
      </c>
      <c r="I1364" s="13" t="n">
        <v>0.009299999999999999</v>
      </c>
    </row>
    <row r="1365">
      <c r="A1365" s="10" t="inlineStr">
        <is>
          <t>PJ-2023-I</t>
        </is>
      </c>
      <c r="B1365" s="10" t="inlineStr">
        <is>
          <t>位置合わせ(MS指定)／単調補間</t>
        </is>
      </c>
      <c r="C1365" s="10" t="inlineStr">
        <is>
          <t>2023-06</t>
        </is>
      </c>
      <c r="D1365" s="10" t="n">
        <v>2</v>
      </c>
      <c r="E1365" s="12" t="n">
        <v>3771.1</v>
      </c>
      <c r="F1365" s="12" t="n">
        <v>2017.9</v>
      </c>
      <c r="G1365" s="12" t="n">
        <v>1753.2</v>
      </c>
      <c r="H1365" s="13" t="n">
        <v>0.0597</v>
      </c>
      <c r="I1365" s="13" t="n">
        <v>0.0271</v>
      </c>
    </row>
    <row r="1366">
      <c r="A1366" s="10" t="inlineStr">
        <is>
          <t>PJ-2023-I</t>
        </is>
      </c>
      <c r="B1366" s="10" t="inlineStr">
        <is>
          <t>位置合わせ(MS指定)／単調補間</t>
        </is>
      </c>
      <c r="C1366" s="10" t="inlineStr">
        <is>
          <t>2023-07</t>
        </is>
      </c>
      <c r="D1366" s="10" t="n">
        <v>3</v>
      </c>
      <c r="E1366" s="12" t="n">
        <v>4441.8</v>
      </c>
      <c r="F1366" s="12" t="n">
        <v>2934.1</v>
      </c>
      <c r="G1366" s="12" t="n">
        <v>1507.7</v>
      </c>
      <c r="H1366" s="13" t="n">
        <v>0.0988</v>
      </c>
      <c r="I1366" s="13" t="n">
        <v>0.0529</v>
      </c>
    </row>
    <row r="1367">
      <c r="A1367" s="10" t="inlineStr">
        <is>
          <t>PJ-2023-I</t>
        </is>
      </c>
      <c r="B1367" s="10" t="inlineStr">
        <is>
          <t>位置合わせ(MS指定)／単調補間</t>
        </is>
      </c>
      <c r="C1367" s="10" t="inlineStr">
        <is>
          <t>2023-08</t>
        </is>
      </c>
      <c r="D1367" s="10" t="n">
        <v>4</v>
      </c>
      <c r="E1367" s="12" t="n">
        <v>4761.1</v>
      </c>
      <c r="F1367" s="12" t="n">
        <v>3879.4</v>
      </c>
      <c r="G1367" s="12" t="n">
        <v>881.7</v>
      </c>
      <c r="H1367" s="13" t="n">
        <v>0.1407</v>
      </c>
      <c r="I1367" s="13" t="n">
        <v>0.0871</v>
      </c>
    </row>
    <row r="1368">
      <c r="A1368" s="10" t="inlineStr">
        <is>
          <t>PJ-2023-I</t>
        </is>
      </c>
      <c r="B1368" s="10" t="inlineStr">
        <is>
          <t>位置合わせ(MS指定)／単調補間</t>
        </is>
      </c>
      <c r="C1368" s="10" t="inlineStr">
        <is>
          <t>2023-09</t>
        </is>
      </c>
      <c r="D1368" s="10" t="n">
        <v>5</v>
      </c>
      <c r="E1368" s="12" t="n">
        <v>5332.2</v>
      </c>
      <c r="F1368" s="12" t="n">
        <v>4638.5</v>
      </c>
      <c r="G1368" s="12" t="n">
        <v>693.7</v>
      </c>
      <c r="H1368" s="13" t="n">
        <v>0.1877</v>
      </c>
      <c r="I1368" s="13" t="n">
        <v>0.1279</v>
      </c>
    </row>
    <row r="1369">
      <c r="A1369" s="10" t="inlineStr">
        <is>
          <t>PJ-2023-I</t>
        </is>
      </c>
      <c r="B1369" s="10" t="inlineStr">
        <is>
          <t>位置合わせ(MS指定)／単調補間</t>
        </is>
      </c>
      <c r="C1369" s="10" t="inlineStr">
        <is>
          <t>2023-10</t>
        </is>
      </c>
      <c r="D1369" s="10" t="n">
        <v>6</v>
      </c>
      <c r="E1369" s="12" t="n">
        <v>6802.9</v>
      </c>
      <c r="F1369" s="12" t="n">
        <v>5612.3</v>
      </c>
      <c r="G1369" s="12" t="n">
        <v>1190.6</v>
      </c>
      <c r="H1369" s="13" t="n">
        <v>0.2476</v>
      </c>
      <c r="I1369" s="13" t="n">
        <v>0.1774</v>
      </c>
    </row>
    <row r="1370">
      <c r="A1370" s="10" t="inlineStr">
        <is>
          <t>PJ-2023-I</t>
        </is>
      </c>
      <c r="B1370" s="10" t="inlineStr">
        <is>
          <t>位置合わせ(MS指定)／単調補間</t>
        </is>
      </c>
      <c r="C1370" s="10" t="inlineStr">
        <is>
          <t>2023-11</t>
        </is>
      </c>
      <c r="D1370" s="10" t="n">
        <v>7</v>
      </c>
      <c r="E1370" s="12" t="n">
        <v>7486.1</v>
      </c>
      <c r="F1370" s="12" t="n">
        <v>6590</v>
      </c>
      <c r="G1370" s="12" t="n">
        <v>896.1</v>
      </c>
      <c r="H1370" s="13" t="n">
        <v>0.3135</v>
      </c>
      <c r="I1370" s="13" t="n">
        <v>0.2354</v>
      </c>
    </row>
    <row r="1371">
      <c r="A1371" s="10" t="inlineStr">
        <is>
          <t>PJ-2023-I</t>
        </is>
      </c>
      <c r="B1371" s="10" t="inlineStr">
        <is>
          <t>位置合わせ(MS指定)／単調補間</t>
        </is>
      </c>
      <c r="C1371" s="10" t="inlineStr">
        <is>
          <t>2023-12</t>
        </is>
      </c>
      <c r="D1371" s="10" t="n">
        <v>8</v>
      </c>
      <c r="E1371" s="12" t="n">
        <v>8732.299999999999</v>
      </c>
      <c r="F1371" s="12" t="n">
        <v>8421.299999999999</v>
      </c>
      <c r="G1371" s="12" t="n">
        <v>311</v>
      </c>
      <c r="H1371" s="13" t="n">
        <v>0.3904</v>
      </c>
      <c r="I1371" s="13" t="n">
        <v>0.3096</v>
      </c>
    </row>
    <row r="1372">
      <c r="A1372" s="10" t="inlineStr">
        <is>
          <t>PJ-2023-I</t>
        </is>
      </c>
      <c r="B1372" s="10" t="inlineStr">
        <is>
          <t>位置合わせ(MS指定)／単調補間</t>
        </is>
      </c>
      <c r="C1372" s="10" t="inlineStr">
        <is>
          <t>2024-01</t>
        </is>
      </c>
      <c r="D1372" s="10" t="n">
        <v>9</v>
      </c>
      <c r="E1372" s="12" t="n">
        <v>9800</v>
      </c>
      <c r="F1372" s="12" t="n">
        <v>11235.7</v>
      </c>
      <c r="G1372" s="12" t="n">
        <v>-1435.7</v>
      </c>
      <c r="H1372" s="13" t="n">
        <v>0.4767</v>
      </c>
      <c r="I1372" s="13" t="n">
        <v>0.4085</v>
      </c>
    </row>
    <row r="1373">
      <c r="A1373" s="10" t="inlineStr">
        <is>
          <t>PJ-2023-I</t>
        </is>
      </c>
      <c r="B1373" s="10" t="inlineStr">
        <is>
          <t>位置合わせ(MS指定)／単調補間</t>
        </is>
      </c>
      <c r="C1373" s="10" t="inlineStr">
        <is>
          <t>2024-02</t>
        </is>
      </c>
      <c r="D1373" s="10" t="n">
        <v>10</v>
      </c>
      <c r="E1373" s="12" t="n">
        <v>9117.4</v>
      </c>
      <c r="F1373" s="12" t="n">
        <v>13660.8</v>
      </c>
      <c r="G1373" s="12" t="n">
        <v>-4543.4</v>
      </c>
      <c r="H1373" s="13" t="n">
        <v>0.5570000000000001</v>
      </c>
      <c r="I1373" s="13" t="n">
        <v>0.5288</v>
      </c>
    </row>
    <row r="1374">
      <c r="A1374" s="10" t="inlineStr">
        <is>
          <t>PJ-2023-I</t>
        </is>
      </c>
      <c r="B1374" s="10" t="inlineStr">
        <is>
          <t>位置合わせ(MS指定)／単調補間</t>
        </is>
      </c>
      <c r="C1374" s="10" t="inlineStr">
        <is>
          <t>2024-03</t>
        </is>
      </c>
      <c r="D1374" s="10" t="n">
        <v>11</v>
      </c>
      <c r="E1374" s="12" t="n">
        <v>9731.5</v>
      </c>
      <c r="F1374" s="12" t="n">
        <v>13455.6</v>
      </c>
      <c r="G1374" s="12" t="n">
        <v>-3724.1</v>
      </c>
      <c r="H1374" s="13" t="n">
        <v>0.6427</v>
      </c>
      <c r="I1374" s="13" t="n">
        <v>0.6473</v>
      </c>
    </row>
    <row r="1375">
      <c r="A1375" s="10" t="inlineStr">
        <is>
          <t>PJ-2023-I</t>
        </is>
      </c>
      <c r="B1375" s="10" t="inlineStr">
        <is>
          <t>位置合わせ(MS指定)／単調補間</t>
        </is>
      </c>
      <c r="C1375" s="10" t="inlineStr">
        <is>
          <t>2024-04</t>
        </is>
      </c>
      <c r="D1375" s="10" t="n">
        <v>12</v>
      </c>
      <c r="E1375" s="12" t="n">
        <v>9558.1</v>
      </c>
      <c r="F1375" s="12" t="n">
        <v>15249</v>
      </c>
      <c r="G1375" s="12" t="n">
        <v>-5690.9</v>
      </c>
      <c r="H1375" s="13" t="n">
        <v>0.7269</v>
      </c>
      <c r="I1375" s="13" t="n">
        <v>0.7816</v>
      </c>
    </row>
    <row r="1376">
      <c r="A1376" s="10" t="inlineStr">
        <is>
          <t>PJ-2023-I</t>
        </is>
      </c>
      <c r="B1376" s="10" t="inlineStr">
        <is>
          <t>位置合わせ(MS指定)／単調補間</t>
        </is>
      </c>
      <c r="C1376" s="10" t="inlineStr">
        <is>
          <t>2024-05</t>
        </is>
      </c>
      <c r="D1376" s="10" t="n">
        <v>13</v>
      </c>
      <c r="E1376" s="12" t="n">
        <v>8600.200000000001</v>
      </c>
      <c r="F1376" s="12" t="n">
        <v>6881.4</v>
      </c>
      <c r="G1376" s="12" t="n">
        <v>1718.8</v>
      </c>
      <c r="H1376" s="13" t="n">
        <v>0.8026</v>
      </c>
      <c r="I1376" s="13" t="n">
        <v>0.8421999999999999</v>
      </c>
    </row>
    <row r="1377">
      <c r="A1377" s="10" t="inlineStr">
        <is>
          <t>PJ-2023-I</t>
        </is>
      </c>
      <c r="B1377" s="10" t="inlineStr">
        <is>
          <t>位置合わせ(MS指定)／単調補間</t>
        </is>
      </c>
      <c r="C1377" s="10" t="inlineStr">
        <is>
          <t>2024-06</t>
        </is>
      </c>
      <c r="D1377" s="10" t="n">
        <v>14</v>
      </c>
      <c r="E1377" s="12" t="n">
        <v>5819.9</v>
      </c>
      <c r="F1377" s="12" t="n">
        <v>5543.4</v>
      </c>
      <c r="G1377" s="12" t="n">
        <v>276.5</v>
      </c>
      <c r="H1377" s="13" t="n">
        <v>0.8539</v>
      </c>
      <c r="I1377" s="13" t="n">
        <v>0.8911</v>
      </c>
    </row>
    <row r="1378">
      <c r="A1378" s="10" t="inlineStr">
        <is>
          <t>PJ-2023-I</t>
        </is>
      </c>
      <c r="B1378" s="10" t="inlineStr">
        <is>
          <t>位置合わせ(MS指定)／単調補間</t>
        </is>
      </c>
      <c r="C1378" s="10" t="inlineStr">
        <is>
          <t>2024-07</t>
        </is>
      </c>
      <c r="D1378" s="10" t="n">
        <v>15</v>
      </c>
      <c r="E1378" s="12" t="n">
        <v>5542.8</v>
      </c>
      <c r="F1378" s="12" t="n">
        <v>3845</v>
      </c>
      <c r="G1378" s="12" t="n">
        <v>1697.8</v>
      </c>
      <c r="H1378" s="13" t="n">
        <v>0.9026999999999999</v>
      </c>
      <c r="I1378" s="13" t="n">
        <v>0.9249000000000001</v>
      </c>
    </row>
    <row r="1379">
      <c r="A1379" s="10" t="inlineStr">
        <is>
          <t>PJ-2023-I</t>
        </is>
      </c>
      <c r="B1379" s="10" t="inlineStr">
        <is>
          <t>位置合わせ(MS指定)／単調補間</t>
        </is>
      </c>
      <c r="C1379" s="10" t="inlineStr">
        <is>
          <t>2024-08</t>
        </is>
      </c>
      <c r="D1379" s="10" t="n">
        <v>16</v>
      </c>
      <c r="E1379" s="12" t="n">
        <v>4434.5</v>
      </c>
      <c r="F1379" s="12" t="n">
        <v>3094</v>
      </c>
      <c r="G1379" s="12" t="n">
        <v>1340.5</v>
      </c>
      <c r="H1379" s="13" t="n">
        <v>0.9418</v>
      </c>
      <c r="I1379" s="13" t="n">
        <v>0.9522</v>
      </c>
    </row>
    <row r="1380">
      <c r="A1380" s="10" t="inlineStr">
        <is>
          <t>PJ-2023-I</t>
        </is>
      </c>
      <c r="B1380" s="10" t="inlineStr">
        <is>
          <t>位置合わせ(MS指定)／単調補間</t>
        </is>
      </c>
      <c r="C1380" s="10" t="inlineStr">
        <is>
          <t>2024-09</t>
        </is>
      </c>
      <c r="D1380" s="10" t="n">
        <v>17</v>
      </c>
      <c r="E1380" s="12" t="n">
        <v>4128.5</v>
      </c>
      <c r="F1380" s="12" t="n">
        <v>3246</v>
      </c>
      <c r="G1380" s="12" t="n">
        <v>882.5</v>
      </c>
      <c r="H1380" s="13" t="n">
        <v>0.9781</v>
      </c>
      <c r="I1380" s="13" t="n">
        <v>0.9808</v>
      </c>
    </row>
    <row r="1381">
      <c r="A1381" s="10" t="inlineStr">
        <is>
          <t>PJ-2023-I</t>
        </is>
      </c>
      <c r="B1381" s="10" t="inlineStr">
        <is>
          <t>位置合わせ(MS指定)／単調補間</t>
        </is>
      </c>
      <c r="C1381" s="10" t="inlineStr">
        <is>
          <t>2024-10</t>
        </is>
      </c>
      <c r="D1381" s="10" t="n">
        <v>18</v>
      </c>
      <c r="E1381" s="12" t="n">
        <v>2484.1</v>
      </c>
      <c r="F1381" s="12" t="n">
        <v>2184.9</v>
      </c>
      <c r="G1381" s="12" t="n">
        <v>299.2</v>
      </c>
      <c r="H1381" s="13" t="n">
        <v>1</v>
      </c>
      <c r="I1381" s="13" t="n">
        <v>1</v>
      </c>
    </row>
    <row r="1382">
      <c r="A1382" s="10" t="inlineStr">
        <is>
          <t>PJ-2024-J</t>
        </is>
      </c>
      <c r="B1382" s="10" t="inlineStr">
        <is>
          <t>素朴版／月内均等</t>
        </is>
      </c>
      <c r="C1382" s="10" t="inlineStr">
        <is>
          <t>2024-01</t>
        </is>
      </c>
      <c r="D1382" s="10" t="n">
        <v>1</v>
      </c>
      <c r="E1382" s="12" t="n">
        <v>5031.5</v>
      </c>
      <c r="F1382" s="12" t="n">
        <v>348</v>
      </c>
      <c r="G1382" s="12" t="n">
        <v>4683.5</v>
      </c>
      <c r="H1382" s="13" t="n">
        <v>0.0145</v>
      </c>
      <c r="I1382" s="13" t="n">
        <v>0.001</v>
      </c>
    </row>
    <row r="1383">
      <c r="A1383" s="10" t="inlineStr">
        <is>
          <t>PJ-2024-J</t>
        </is>
      </c>
      <c r="B1383" s="10" t="inlineStr">
        <is>
          <t>素朴版／月内均等</t>
        </is>
      </c>
      <c r="C1383" s="10" t="inlineStr">
        <is>
          <t>2024-02</t>
        </is>
      </c>
      <c r="D1383" s="10" t="n">
        <v>2</v>
      </c>
      <c r="E1383" s="12" t="n">
        <v>5710.3</v>
      </c>
      <c r="F1383" s="12" t="n">
        <v>930.5</v>
      </c>
      <c r="G1383" s="12" t="n">
        <v>4779.8</v>
      </c>
      <c r="H1383" s="13" t="n">
        <v>0.031</v>
      </c>
      <c r="I1383" s="13" t="n">
        <v>0.0037</v>
      </c>
    </row>
    <row r="1384">
      <c r="A1384" s="10" t="inlineStr">
        <is>
          <t>PJ-2024-J</t>
        </is>
      </c>
      <c r="B1384" s="10" t="inlineStr">
        <is>
          <t>素朴版／月内均等</t>
        </is>
      </c>
      <c r="C1384" s="10" t="inlineStr">
        <is>
          <t>2024-03</t>
        </is>
      </c>
      <c r="D1384" s="10" t="n">
        <v>3</v>
      </c>
      <c r="E1384" s="12" t="n">
        <v>7043.5</v>
      </c>
      <c r="F1384" s="12" t="n">
        <v>1612.9</v>
      </c>
      <c r="G1384" s="12" t="n">
        <v>5430.6</v>
      </c>
      <c r="H1384" s="13" t="n">
        <v>0.0514</v>
      </c>
      <c r="I1384" s="13" t="n">
        <v>0.008399999999999999</v>
      </c>
    </row>
    <row r="1385">
      <c r="A1385" s="10" t="inlineStr">
        <is>
          <t>PJ-2024-J</t>
        </is>
      </c>
      <c r="B1385" s="10" t="inlineStr">
        <is>
          <t>素朴版／月内均等</t>
        </is>
      </c>
      <c r="C1385" s="10" t="inlineStr">
        <is>
          <t>2024-04</t>
        </is>
      </c>
      <c r="D1385" s="10" t="n">
        <v>4</v>
      </c>
      <c r="E1385" s="12" t="n">
        <v>7333.8</v>
      </c>
      <c r="F1385" s="12" t="n">
        <v>2251.7</v>
      </c>
      <c r="G1385" s="12" t="n">
        <v>5082.1</v>
      </c>
      <c r="H1385" s="13" t="n">
        <v>0.0726</v>
      </c>
      <c r="I1385" s="13" t="n">
        <v>0.0149</v>
      </c>
    </row>
    <row r="1386">
      <c r="A1386" s="10" t="inlineStr">
        <is>
          <t>PJ-2024-J</t>
        </is>
      </c>
      <c r="B1386" s="10" t="inlineStr">
        <is>
          <t>素朴版／月内均等</t>
        </is>
      </c>
      <c r="C1386" s="10" t="inlineStr">
        <is>
          <t>2024-05</t>
        </is>
      </c>
      <c r="D1386" s="10" t="n">
        <v>5</v>
      </c>
      <c r="E1386" s="12" t="n">
        <v>8286.299999999999</v>
      </c>
      <c r="F1386" s="12" t="n">
        <v>2953</v>
      </c>
      <c r="G1386" s="12" t="n">
        <v>5333.3</v>
      </c>
      <c r="H1386" s="13" t="n">
        <v>0.0965</v>
      </c>
      <c r="I1386" s="13" t="n">
        <v>0.0234</v>
      </c>
    </row>
    <row r="1387">
      <c r="A1387" s="10" t="inlineStr">
        <is>
          <t>PJ-2024-J</t>
        </is>
      </c>
      <c r="B1387" s="10" t="inlineStr">
        <is>
          <t>素朴版／月内均等</t>
        </is>
      </c>
      <c r="C1387" s="10" t="inlineStr">
        <is>
          <t>2024-06</t>
        </is>
      </c>
      <c r="D1387" s="10" t="n">
        <v>6</v>
      </c>
      <c r="E1387" s="12" t="n">
        <v>8230.4</v>
      </c>
      <c r="F1387" s="12" t="n">
        <v>3308.8</v>
      </c>
      <c r="G1387" s="12" t="n">
        <v>4921.6</v>
      </c>
      <c r="H1387" s="13" t="n">
        <v>0.1203</v>
      </c>
      <c r="I1387" s="13" t="n">
        <v>0.033</v>
      </c>
    </row>
    <row r="1388">
      <c r="A1388" s="10" t="inlineStr">
        <is>
          <t>PJ-2024-J</t>
        </is>
      </c>
      <c r="B1388" s="10" t="inlineStr">
        <is>
          <t>素朴版／月内均等</t>
        </is>
      </c>
      <c r="C1388" s="10" t="inlineStr">
        <is>
          <t>2024-07</t>
        </is>
      </c>
      <c r="D1388" s="10" t="n">
        <v>7</v>
      </c>
      <c r="E1388" s="12" t="n">
        <v>9063.299999999999</v>
      </c>
      <c r="F1388" s="12" t="n">
        <v>4157.3</v>
      </c>
      <c r="G1388" s="12" t="n">
        <v>4906</v>
      </c>
      <c r="H1388" s="13" t="n">
        <v>0.1465</v>
      </c>
      <c r="I1388" s="13" t="n">
        <v>0.045</v>
      </c>
    </row>
    <row r="1389">
      <c r="A1389" s="10" t="inlineStr">
        <is>
          <t>PJ-2024-J</t>
        </is>
      </c>
      <c r="B1389" s="10" t="inlineStr">
        <is>
          <t>素朴版／月内均等</t>
        </is>
      </c>
      <c r="C1389" s="10" t="inlineStr">
        <is>
          <t>2024-08</t>
        </is>
      </c>
      <c r="D1389" s="10" t="n">
        <v>8</v>
      </c>
      <c r="E1389" s="12" t="n">
        <v>9927.200000000001</v>
      </c>
      <c r="F1389" s="12" t="n">
        <v>5704.7</v>
      </c>
      <c r="G1389" s="12" t="n">
        <v>4222.5</v>
      </c>
      <c r="H1389" s="13" t="n">
        <v>0.1752</v>
      </c>
      <c r="I1389" s="13" t="n">
        <v>0.0615</v>
      </c>
    </row>
    <row r="1390">
      <c r="A1390" s="10" t="inlineStr">
        <is>
          <t>PJ-2024-J</t>
        </is>
      </c>
      <c r="B1390" s="10" t="inlineStr">
        <is>
          <t>素朴版／月内均等</t>
        </is>
      </c>
      <c r="C1390" s="10" t="inlineStr">
        <is>
          <t>2024-09</t>
        </is>
      </c>
      <c r="D1390" s="10" t="n">
        <v>9</v>
      </c>
      <c r="E1390" s="12" t="n">
        <v>11317.3</v>
      </c>
      <c r="F1390" s="12" t="n">
        <v>6443.3</v>
      </c>
      <c r="G1390" s="12" t="n">
        <v>4874</v>
      </c>
      <c r="H1390" s="13" t="n">
        <v>0.2079</v>
      </c>
      <c r="I1390" s="13" t="n">
        <v>0.0801</v>
      </c>
    </row>
    <row r="1391">
      <c r="A1391" s="10" t="inlineStr">
        <is>
          <t>PJ-2024-J</t>
        </is>
      </c>
      <c r="B1391" s="10" t="inlineStr">
        <is>
          <t>素朴版／月内均等</t>
        </is>
      </c>
      <c r="C1391" s="10" t="inlineStr">
        <is>
          <t>2024-10</t>
        </is>
      </c>
      <c r="D1391" s="10" t="n">
        <v>10</v>
      </c>
      <c r="E1391" s="12" t="n">
        <v>12868</v>
      </c>
      <c r="F1391" s="12" t="n">
        <v>7892.9</v>
      </c>
      <c r="G1391" s="12" t="n">
        <v>4975.1</v>
      </c>
      <c r="H1391" s="13" t="n">
        <v>0.2451</v>
      </c>
      <c r="I1391" s="13" t="n">
        <v>0.1029</v>
      </c>
    </row>
    <row r="1392">
      <c r="A1392" s="10" t="inlineStr">
        <is>
          <t>PJ-2024-J</t>
        </is>
      </c>
      <c r="B1392" s="10" t="inlineStr">
        <is>
          <t>素朴版／月内均等</t>
        </is>
      </c>
      <c r="C1392" s="10" t="inlineStr">
        <is>
          <t>2024-11</t>
        </is>
      </c>
      <c r="D1392" s="10" t="n">
        <v>11</v>
      </c>
      <c r="E1392" s="12" t="n">
        <v>13600.9</v>
      </c>
      <c r="F1392" s="12" t="n">
        <v>9044.6</v>
      </c>
      <c r="G1392" s="12" t="n">
        <v>4556.3</v>
      </c>
      <c r="H1392" s="13" t="n">
        <v>0.2844</v>
      </c>
      <c r="I1392" s="13" t="n">
        <v>0.129</v>
      </c>
    </row>
    <row r="1393">
      <c r="A1393" s="10" t="inlineStr">
        <is>
          <t>PJ-2024-J</t>
        </is>
      </c>
      <c r="B1393" s="10" t="inlineStr">
        <is>
          <t>素朴版／月内均等</t>
        </is>
      </c>
      <c r="C1393" s="10" t="inlineStr">
        <is>
          <t>2024-12</t>
        </is>
      </c>
      <c r="D1393" s="10" t="n">
        <v>12</v>
      </c>
      <c r="E1393" s="12" t="n">
        <v>15198.9</v>
      </c>
      <c r="F1393" s="12" t="n">
        <v>9905.1</v>
      </c>
      <c r="G1393" s="12" t="n">
        <v>5293.8</v>
      </c>
      <c r="H1393" s="13" t="n">
        <v>0.3283</v>
      </c>
      <c r="I1393" s="13" t="n">
        <v>0.1577</v>
      </c>
    </row>
    <row r="1394">
      <c r="A1394" s="10" t="inlineStr">
        <is>
          <t>PJ-2024-J</t>
        </is>
      </c>
      <c r="B1394" s="10" t="inlineStr">
        <is>
          <t>素朴版／月内均等</t>
        </is>
      </c>
      <c r="C1394" s="10" t="inlineStr">
        <is>
          <t>2025-01</t>
        </is>
      </c>
      <c r="D1394" s="10" t="n">
        <v>13</v>
      </c>
      <c r="E1394" s="12" t="n">
        <v>15355.1</v>
      </c>
      <c r="F1394" s="12" t="n">
        <v>10668.8</v>
      </c>
      <c r="G1394" s="12" t="n">
        <v>4686.3</v>
      </c>
      <c r="H1394" s="13" t="n">
        <v>0.3727</v>
      </c>
      <c r="I1394" s="13" t="n">
        <v>0.1885</v>
      </c>
    </row>
    <row r="1395">
      <c r="A1395" s="10" t="inlineStr">
        <is>
          <t>PJ-2024-J</t>
        </is>
      </c>
      <c r="B1395" s="10" t="inlineStr">
        <is>
          <t>素朴版／月内均等</t>
        </is>
      </c>
      <c r="C1395" s="10" t="inlineStr">
        <is>
          <t>2025-02</t>
        </is>
      </c>
      <c r="D1395" s="10" t="n">
        <v>14</v>
      </c>
      <c r="E1395" s="12" t="n">
        <v>12950.5</v>
      </c>
      <c r="F1395" s="12" t="n">
        <v>10918.3</v>
      </c>
      <c r="G1395" s="12" t="n">
        <v>2032.2</v>
      </c>
      <c r="H1395" s="13" t="n">
        <v>0.4101</v>
      </c>
      <c r="I1395" s="13" t="n">
        <v>0.22</v>
      </c>
    </row>
    <row r="1396">
      <c r="A1396" s="10" t="inlineStr">
        <is>
          <t>PJ-2024-J</t>
        </is>
      </c>
      <c r="B1396" s="10" t="inlineStr">
        <is>
          <t>素朴版／月内均等</t>
        </is>
      </c>
      <c r="C1396" s="10" t="inlineStr">
        <is>
          <t>2025-03</t>
        </is>
      </c>
      <c r="D1396" s="10" t="n">
        <v>15</v>
      </c>
      <c r="E1396" s="12" t="n">
        <v>13769.8</v>
      </c>
      <c r="F1396" s="12" t="n">
        <v>13702.5</v>
      </c>
      <c r="G1396" s="12" t="n">
        <v>67.3</v>
      </c>
      <c r="H1396" s="13" t="n">
        <v>0.4499</v>
      </c>
      <c r="I1396" s="13" t="n">
        <v>0.2596</v>
      </c>
    </row>
    <row r="1397">
      <c r="A1397" s="10" t="inlineStr">
        <is>
          <t>PJ-2024-J</t>
        </is>
      </c>
      <c r="B1397" s="10" t="inlineStr">
        <is>
          <t>素朴版／月内均等</t>
        </is>
      </c>
      <c r="C1397" s="10" t="inlineStr">
        <is>
          <t>2025-04</t>
        </is>
      </c>
      <c r="D1397" s="10" t="n">
        <v>16</v>
      </c>
      <c r="E1397" s="12" t="n">
        <v>14872.4</v>
      </c>
      <c r="F1397" s="12" t="n">
        <v>18909.3</v>
      </c>
      <c r="G1397" s="12" t="n">
        <v>-4036.9</v>
      </c>
      <c r="H1397" s="13" t="n">
        <v>0.4929</v>
      </c>
      <c r="I1397" s="13" t="n">
        <v>0.3143</v>
      </c>
    </row>
    <row r="1398">
      <c r="A1398" s="10" t="inlineStr">
        <is>
          <t>PJ-2024-J</t>
        </is>
      </c>
      <c r="B1398" s="10" t="inlineStr">
        <is>
          <t>素朴版／月内均等</t>
        </is>
      </c>
      <c r="C1398" s="10" t="inlineStr">
        <is>
          <t>2025-05</t>
        </is>
      </c>
      <c r="D1398" s="10" t="n">
        <v>17</v>
      </c>
      <c r="E1398" s="12" t="n">
        <v>15069.1</v>
      </c>
      <c r="F1398" s="12" t="n">
        <v>26126.9</v>
      </c>
      <c r="G1398" s="12" t="n">
        <v>-11057.8</v>
      </c>
      <c r="H1398" s="13" t="n">
        <v>0.5365</v>
      </c>
      <c r="I1398" s="13" t="n">
        <v>0.3898</v>
      </c>
    </row>
    <row r="1399">
      <c r="A1399" s="10" t="inlineStr">
        <is>
          <t>PJ-2024-J</t>
        </is>
      </c>
      <c r="B1399" s="10" t="inlineStr">
        <is>
          <t>素朴版／月内均等</t>
        </is>
      </c>
      <c r="C1399" s="10" t="inlineStr">
        <is>
          <t>2025-06</t>
        </is>
      </c>
      <c r="D1399" s="10" t="n">
        <v>18</v>
      </c>
      <c r="E1399" s="12" t="n">
        <v>15110</v>
      </c>
      <c r="F1399" s="12" t="n">
        <v>31246.9</v>
      </c>
      <c r="G1399" s="12" t="n">
        <v>-16136.9</v>
      </c>
      <c r="H1399" s="13" t="n">
        <v>0.5800999999999999</v>
      </c>
      <c r="I1399" s="13" t="n">
        <v>0.4801</v>
      </c>
    </row>
    <row r="1400">
      <c r="A1400" s="10" t="inlineStr">
        <is>
          <t>PJ-2024-J</t>
        </is>
      </c>
      <c r="B1400" s="10" t="inlineStr">
        <is>
          <t>素朴版／月内均等</t>
        </is>
      </c>
      <c r="C1400" s="10" t="inlineStr">
        <is>
          <t>2025-07</t>
        </is>
      </c>
      <c r="D1400" s="10" t="n">
        <v>19</v>
      </c>
      <c r="E1400" s="12" t="n">
        <v>16681.1</v>
      </c>
      <c r="F1400" s="12" t="n">
        <v>28601.2</v>
      </c>
      <c r="G1400" s="12" t="n">
        <v>-11920.1</v>
      </c>
      <c r="H1400" s="13" t="n">
        <v>0.6284</v>
      </c>
      <c r="I1400" s="13" t="n">
        <v>0.5628</v>
      </c>
    </row>
    <row r="1401">
      <c r="A1401" s="10" t="inlineStr">
        <is>
          <t>PJ-2024-J</t>
        </is>
      </c>
      <c r="B1401" s="10" t="inlineStr">
        <is>
          <t>素朴版／月内均等</t>
        </is>
      </c>
      <c r="C1401" s="10" t="inlineStr">
        <is>
          <t>2025-08</t>
        </is>
      </c>
      <c r="D1401" s="10" t="n">
        <v>20</v>
      </c>
      <c r="E1401" s="12" t="n">
        <v>16671.9</v>
      </c>
      <c r="F1401" s="12" t="n">
        <v>25939.3</v>
      </c>
      <c r="G1401" s="12" t="n">
        <v>-9267.4</v>
      </c>
      <c r="H1401" s="13" t="n">
        <v>0.6765</v>
      </c>
      <c r="I1401" s="13" t="n">
        <v>0.6377</v>
      </c>
    </row>
    <row r="1402">
      <c r="A1402" s="10" t="inlineStr">
        <is>
          <t>PJ-2024-J</t>
        </is>
      </c>
      <c r="B1402" s="10" t="inlineStr">
        <is>
          <t>素朴版／月内均等</t>
        </is>
      </c>
      <c r="C1402" s="10" t="inlineStr">
        <is>
          <t>2025-09</t>
        </is>
      </c>
      <c r="D1402" s="10" t="n">
        <v>21</v>
      </c>
      <c r="E1402" s="12" t="n">
        <v>14995.1</v>
      </c>
      <c r="F1402" s="12" t="n">
        <v>20944.7</v>
      </c>
      <c r="G1402" s="12" t="n">
        <v>-5949.6</v>
      </c>
      <c r="H1402" s="13" t="n">
        <v>0.7199</v>
      </c>
      <c r="I1402" s="13" t="n">
        <v>0.6983</v>
      </c>
    </row>
    <row r="1403">
      <c r="A1403" s="10" t="inlineStr">
        <is>
          <t>PJ-2024-J</t>
        </is>
      </c>
      <c r="B1403" s="10" t="inlineStr">
        <is>
          <t>素朴版／月内均等</t>
        </is>
      </c>
      <c r="C1403" s="10" t="inlineStr">
        <is>
          <t>2025-10</t>
        </is>
      </c>
      <c r="D1403" s="10" t="n">
        <v>22</v>
      </c>
      <c r="E1403" s="12" t="n">
        <v>15350.6</v>
      </c>
      <c r="F1403" s="12" t="n">
        <v>14367.8</v>
      </c>
      <c r="G1403" s="12" t="n">
        <v>982.8</v>
      </c>
      <c r="H1403" s="13" t="n">
        <v>0.7642</v>
      </c>
      <c r="I1403" s="13" t="n">
        <v>0.7398</v>
      </c>
    </row>
    <row r="1404">
      <c r="A1404" s="10" t="inlineStr">
        <is>
          <t>PJ-2024-J</t>
        </is>
      </c>
      <c r="B1404" s="10" t="inlineStr">
        <is>
          <t>素朴版／月内均等</t>
        </is>
      </c>
      <c r="C1404" s="10" t="inlineStr">
        <is>
          <t>2025-11</t>
        </is>
      </c>
      <c r="D1404" s="10" t="n">
        <v>23</v>
      </c>
      <c r="E1404" s="12" t="n">
        <v>14255.1</v>
      </c>
      <c r="F1404" s="12" t="n">
        <v>16461.6</v>
      </c>
      <c r="G1404" s="12" t="n">
        <v>-2206.5</v>
      </c>
      <c r="H1404" s="13" t="n">
        <v>0.8054</v>
      </c>
      <c r="I1404" s="13" t="n">
        <v>0.7874</v>
      </c>
    </row>
    <row r="1405">
      <c r="A1405" s="10" t="inlineStr">
        <is>
          <t>PJ-2024-J</t>
        </is>
      </c>
      <c r="B1405" s="10" t="inlineStr">
        <is>
          <t>素朴版／月内均等</t>
        </is>
      </c>
      <c r="C1405" s="10" t="inlineStr">
        <is>
          <t>2025-12</t>
        </is>
      </c>
      <c r="D1405" s="10" t="n">
        <v>24</v>
      </c>
      <c r="E1405" s="12" t="n">
        <v>15124.2</v>
      </c>
      <c r="F1405" s="12" t="n">
        <v>17876.1</v>
      </c>
      <c r="G1405" s="12" t="n">
        <v>-2751.9</v>
      </c>
      <c r="H1405" s="13" t="n">
        <v>0.8491</v>
      </c>
      <c r="I1405" s="13" t="n">
        <v>0.839</v>
      </c>
    </row>
    <row r="1406">
      <c r="A1406" s="10" t="inlineStr">
        <is>
          <t>PJ-2024-J</t>
        </is>
      </c>
      <c r="B1406" s="10" t="inlineStr">
        <is>
          <t>素朴版／月内均等</t>
        </is>
      </c>
      <c r="C1406" s="10" t="inlineStr">
        <is>
          <t>2026-01</t>
        </is>
      </c>
      <c r="D1406" s="10" t="n">
        <v>25</v>
      </c>
      <c r="E1406" s="12" t="n">
        <v>14059</v>
      </c>
      <c r="F1406" s="12" t="n">
        <v>14931.3</v>
      </c>
      <c r="G1406" s="12" t="n">
        <v>-872.3</v>
      </c>
      <c r="H1406" s="13" t="n">
        <v>0.8898</v>
      </c>
      <c r="I1406" s="13" t="n">
        <v>0.8822</v>
      </c>
    </row>
    <row r="1407">
      <c r="A1407" s="10" t="inlineStr">
        <is>
          <t>PJ-2024-J</t>
        </is>
      </c>
      <c r="B1407" s="10" t="inlineStr">
        <is>
          <t>素朴版／月内均等</t>
        </is>
      </c>
      <c r="C1407" s="10" t="inlineStr">
        <is>
          <t>2026-02</t>
        </is>
      </c>
      <c r="D1407" s="10" t="n">
        <v>26</v>
      </c>
      <c r="E1407" s="12" t="n">
        <v>10912.7</v>
      </c>
      <c r="F1407" s="12" t="n">
        <v>10014.8</v>
      </c>
      <c r="G1407" s="12" t="n">
        <v>897.9</v>
      </c>
      <c r="H1407" s="13" t="n">
        <v>0.9213</v>
      </c>
      <c r="I1407" s="13" t="n">
        <v>0.9111</v>
      </c>
    </row>
    <row r="1408">
      <c r="A1408" s="10" t="inlineStr">
        <is>
          <t>PJ-2024-J</t>
        </is>
      </c>
      <c r="B1408" s="10" t="inlineStr">
        <is>
          <t>素朴版／月内均等</t>
        </is>
      </c>
      <c r="C1408" s="10" t="inlineStr">
        <is>
          <t>2026-03</t>
        </is>
      </c>
      <c r="D1408" s="10" t="n">
        <v>27</v>
      </c>
      <c r="E1408" s="12" t="n">
        <v>9709.700000000001</v>
      </c>
      <c r="F1408" s="12" t="n">
        <v>9594.1</v>
      </c>
      <c r="G1408" s="12" t="n">
        <v>115.6</v>
      </c>
      <c r="H1408" s="13" t="n">
        <v>0.9494</v>
      </c>
      <c r="I1408" s="13" t="n">
        <v>0.9389</v>
      </c>
    </row>
    <row r="1409">
      <c r="A1409" s="10" t="inlineStr">
        <is>
          <t>PJ-2024-J</t>
        </is>
      </c>
      <c r="B1409" s="10" t="inlineStr">
        <is>
          <t>素朴版／月内均等</t>
        </is>
      </c>
      <c r="C1409" s="10" t="inlineStr">
        <is>
          <t>2026-04</t>
        </is>
      </c>
      <c r="D1409" s="10" t="n">
        <v>28</v>
      </c>
      <c r="E1409" s="12" t="n">
        <v>8009.9</v>
      </c>
      <c r="F1409" s="12" t="n">
        <v>7976.6</v>
      </c>
      <c r="G1409" s="12" t="n">
        <v>33.3</v>
      </c>
      <c r="H1409" s="13" t="n">
        <v>0.9725</v>
      </c>
      <c r="I1409" s="13" t="n">
        <v>0.9619</v>
      </c>
    </row>
    <row r="1410">
      <c r="A1410" s="10" t="inlineStr">
        <is>
          <t>PJ-2024-J</t>
        </is>
      </c>
      <c r="B1410" s="10" t="inlineStr">
        <is>
          <t>素朴版／月内均等</t>
        </is>
      </c>
      <c r="C1410" s="10" t="inlineStr">
        <is>
          <t>2026-05</t>
        </is>
      </c>
      <c r="D1410" s="10" t="n">
        <v>29</v>
      </c>
      <c r="E1410" s="12" t="n">
        <v>5800.7</v>
      </c>
      <c r="F1410" s="12" t="n">
        <v>10449.5</v>
      </c>
      <c r="G1410" s="12" t="n">
        <v>-4648.8</v>
      </c>
      <c r="H1410" s="13" t="n">
        <v>0.9893</v>
      </c>
      <c r="I1410" s="13" t="n">
        <v>0.9921</v>
      </c>
    </row>
    <row r="1411">
      <c r="A1411" s="10" t="inlineStr">
        <is>
          <t>PJ-2024-J</t>
        </is>
      </c>
      <c r="B1411" s="10" t="inlineStr">
        <is>
          <t>素朴版／月内均等</t>
        </is>
      </c>
      <c r="C1411" s="10" t="inlineStr">
        <is>
          <t>2026-06</t>
        </is>
      </c>
      <c r="D1411" s="10" t="n">
        <v>30</v>
      </c>
      <c r="E1411" s="12" t="n">
        <v>3706.7</v>
      </c>
      <c r="F1411" s="12" t="n">
        <v>2732.1</v>
      </c>
      <c r="G1411" s="12" t="n">
        <v>974.6</v>
      </c>
      <c r="H1411" s="13" t="n">
        <v>1</v>
      </c>
      <c r="I1411" s="13" t="n">
        <v>1</v>
      </c>
    </row>
    <row r="1412">
      <c r="A1412" s="10" t="inlineStr">
        <is>
          <t>PJ-2024-J</t>
        </is>
      </c>
      <c r="B1412" s="10" t="inlineStr">
        <is>
          <t>位置合わせ(MS学習値)／月内均等</t>
        </is>
      </c>
      <c r="C1412" s="10" t="inlineStr">
        <is>
          <t>2024-01</t>
        </is>
      </c>
      <c r="D1412" s="10" t="n">
        <v>1</v>
      </c>
      <c r="E1412" s="12" t="n">
        <v>5041.8</v>
      </c>
      <c r="F1412" s="12" t="n">
        <v>348</v>
      </c>
      <c r="G1412" s="12" t="n">
        <v>4693.8</v>
      </c>
      <c r="H1412" s="13" t="n">
        <v>0.0146</v>
      </c>
      <c r="I1412" s="13" t="n">
        <v>0.001</v>
      </c>
    </row>
    <row r="1413">
      <c r="A1413" s="10" t="inlineStr">
        <is>
          <t>PJ-2024-J</t>
        </is>
      </c>
      <c r="B1413" s="10" t="inlineStr">
        <is>
          <t>位置合わせ(MS学習値)／月内均等</t>
        </is>
      </c>
      <c r="C1413" s="10" t="inlineStr">
        <is>
          <t>2024-02</t>
        </is>
      </c>
      <c r="D1413" s="10" t="n">
        <v>2</v>
      </c>
      <c r="E1413" s="12" t="n">
        <v>5616.6</v>
      </c>
      <c r="F1413" s="12" t="n">
        <v>930.5</v>
      </c>
      <c r="G1413" s="12" t="n">
        <v>4686.1</v>
      </c>
      <c r="H1413" s="13" t="n">
        <v>0.0308</v>
      </c>
      <c r="I1413" s="13" t="n">
        <v>0.0037</v>
      </c>
    </row>
    <row r="1414">
      <c r="A1414" s="10" t="inlineStr">
        <is>
          <t>PJ-2024-J</t>
        </is>
      </c>
      <c r="B1414" s="10" t="inlineStr">
        <is>
          <t>位置合わせ(MS学習値)／月内均等</t>
        </is>
      </c>
      <c r="C1414" s="10" t="inlineStr">
        <is>
          <t>2024-03</t>
        </is>
      </c>
      <c r="D1414" s="10" t="n">
        <v>3</v>
      </c>
      <c r="E1414" s="12" t="n">
        <v>7008.9</v>
      </c>
      <c r="F1414" s="12" t="n">
        <v>1612.9</v>
      </c>
      <c r="G1414" s="12" t="n">
        <v>5396</v>
      </c>
      <c r="H1414" s="13" t="n">
        <v>0.0511</v>
      </c>
      <c r="I1414" s="13" t="n">
        <v>0.008399999999999999</v>
      </c>
    </row>
    <row r="1415">
      <c r="A1415" s="10" t="inlineStr">
        <is>
          <t>PJ-2024-J</t>
        </is>
      </c>
      <c r="B1415" s="10" t="inlineStr">
        <is>
          <t>位置合わせ(MS学習値)／月内均等</t>
        </is>
      </c>
      <c r="C1415" s="10" t="inlineStr">
        <is>
          <t>2024-04</t>
        </is>
      </c>
      <c r="D1415" s="10" t="n">
        <v>4</v>
      </c>
      <c r="E1415" s="12" t="n">
        <v>7248.5</v>
      </c>
      <c r="F1415" s="12" t="n">
        <v>2251.7</v>
      </c>
      <c r="G1415" s="12" t="n">
        <v>4996.8</v>
      </c>
      <c r="H1415" s="13" t="n">
        <v>0.07199999999999999</v>
      </c>
      <c r="I1415" s="13" t="n">
        <v>0.0149</v>
      </c>
    </row>
    <row r="1416">
      <c r="A1416" s="10" t="inlineStr">
        <is>
          <t>PJ-2024-J</t>
        </is>
      </c>
      <c r="B1416" s="10" t="inlineStr">
        <is>
          <t>位置合わせ(MS学習値)／月内均等</t>
        </is>
      </c>
      <c r="C1416" s="10" t="inlineStr">
        <is>
          <t>2024-05</t>
        </is>
      </c>
      <c r="D1416" s="10" t="n">
        <v>5</v>
      </c>
      <c r="E1416" s="12" t="n">
        <v>8101.1</v>
      </c>
      <c r="F1416" s="12" t="n">
        <v>2953</v>
      </c>
      <c r="G1416" s="12" t="n">
        <v>5148.1</v>
      </c>
      <c r="H1416" s="13" t="n">
        <v>0.0954</v>
      </c>
      <c r="I1416" s="13" t="n">
        <v>0.0234</v>
      </c>
    </row>
    <row r="1417">
      <c r="A1417" s="10" t="inlineStr">
        <is>
          <t>PJ-2024-J</t>
        </is>
      </c>
      <c r="B1417" s="10" t="inlineStr">
        <is>
          <t>位置合わせ(MS学習値)／月内均等</t>
        </is>
      </c>
      <c r="C1417" s="10" t="inlineStr">
        <is>
          <t>2024-06</t>
        </is>
      </c>
      <c r="D1417" s="10" t="n">
        <v>6</v>
      </c>
      <c r="E1417" s="12" t="n">
        <v>8181.8</v>
      </c>
      <c r="F1417" s="12" t="n">
        <v>3308.8</v>
      </c>
      <c r="G1417" s="12" t="n">
        <v>4873</v>
      </c>
      <c r="H1417" s="13" t="n">
        <v>0.1191</v>
      </c>
      <c r="I1417" s="13" t="n">
        <v>0.033</v>
      </c>
    </row>
    <row r="1418">
      <c r="A1418" s="10" t="inlineStr">
        <is>
          <t>PJ-2024-J</t>
        </is>
      </c>
      <c r="B1418" s="10" t="inlineStr">
        <is>
          <t>位置合わせ(MS学習値)／月内均等</t>
        </is>
      </c>
      <c r="C1418" s="10" t="inlineStr">
        <is>
          <t>2024-07</t>
        </is>
      </c>
      <c r="D1418" s="10" t="n">
        <v>7</v>
      </c>
      <c r="E1418" s="12" t="n">
        <v>8786.700000000001</v>
      </c>
      <c r="F1418" s="12" t="n">
        <v>4157.3</v>
      </c>
      <c r="G1418" s="12" t="n">
        <v>4629.4</v>
      </c>
      <c r="H1418" s="13" t="n">
        <v>0.1445</v>
      </c>
      <c r="I1418" s="13" t="n">
        <v>0.045</v>
      </c>
    </row>
    <row r="1419">
      <c r="A1419" s="10" t="inlineStr">
        <is>
          <t>PJ-2024-J</t>
        </is>
      </c>
      <c r="B1419" s="10" t="inlineStr">
        <is>
          <t>位置合わせ(MS学習値)／月内均等</t>
        </is>
      </c>
      <c r="C1419" s="10" t="inlineStr">
        <is>
          <t>2024-08</t>
        </is>
      </c>
      <c r="D1419" s="10" t="n">
        <v>8</v>
      </c>
      <c r="E1419" s="12" t="n">
        <v>9746.1</v>
      </c>
      <c r="F1419" s="12" t="n">
        <v>5704.7</v>
      </c>
      <c r="G1419" s="12" t="n">
        <v>4041.4</v>
      </c>
      <c r="H1419" s="13" t="n">
        <v>0.1726</v>
      </c>
      <c r="I1419" s="13" t="n">
        <v>0.0615</v>
      </c>
    </row>
    <row r="1420">
      <c r="A1420" s="10" t="inlineStr">
        <is>
          <t>PJ-2024-J</t>
        </is>
      </c>
      <c r="B1420" s="10" t="inlineStr">
        <is>
          <t>位置合わせ(MS学習値)／月内均等</t>
        </is>
      </c>
      <c r="C1420" s="10" t="inlineStr">
        <is>
          <t>2024-09</t>
        </is>
      </c>
      <c r="D1420" s="10" t="n">
        <v>9</v>
      </c>
      <c r="E1420" s="12" t="n">
        <v>10083.6</v>
      </c>
      <c r="F1420" s="12" t="n">
        <v>6443.3</v>
      </c>
      <c r="G1420" s="12" t="n">
        <v>3640.3</v>
      </c>
      <c r="H1420" s="13" t="n">
        <v>0.2018</v>
      </c>
      <c r="I1420" s="13" t="n">
        <v>0.0801</v>
      </c>
    </row>
    <row r="1421">
      <c r="A1421" s="10" t="inlineStr">
        <is>
          <t>PJ-2024-J</t>
        </is>
      </c>
      <c r="B1421" s="10" t="inlineStr">
        <is>
          <t>位置合わせ(MS学習値)／月内均等</t>
        </is>
      </c>
      <c r="C1421" s="10" t="inlineStr">
        <is>
          <t>2024-10</t>
        </is>
      </c>
      <c r="D1421" s="10" t="n">
        <v>10</v>
      </c>
      <c r="E1421" s="12" t="n">
        <v>12059.5</v>
      </c>
      <c r="F1421" s="12" t="n">
        <v>7892.9</v>
      </c>
      <c r="G1421" s="12" t="n">
        <v>4166.6</v>
      </c>
      <c r="H1421" s="13" t="n">
        <v>0.2366</v>
      </c>
      <c r="I1421" s="13" t="n">
        <v>0.1029</v>
      </c>
    </row>
    <row r="1422">
      <c r="A1422" s="10" t="inlineStr">
        <is>
          <t>PJ-2024-J</t>
        </is>
      </c>
      <c r="B1422" s="10" t="inlineStr">
        <is>
          <t>位置合わせ(MS学習値)／月内均等</t>
        </is>
      </c>
      <c r="C1422" s="10" t="inlineStr">
        <is>
          <t>2024-11</t>
        </is>
      </c>
      <c r="D1422" s="10" t="n">
        <v>11</v>
      </c>
      <c r="E1422" s="12" t="n">
        <v>12736.2</v>
      </c>
      <c r="F1422" s="12" t="n">
        <v>9044.6</v>
      </c>
      <c r="G1422" s="12" t="n">
        <v>3691.6</v>
      </c>
      <c r="H1422" s="13" t="n">
        <v>0.2734</v>
      </c>
      <c r="I1422" s="13" t="n">
        <v>0.129</v>
      </c>
    </row>
    <row r="1423">
      <c r="A1423" s="10" t="inlineStr">
        <is>
          <t>PJ-2024-J</t>
        </is>
      </c>
      <c r="B1423" s="10" t="inlineStr">
        <is>
          <t>位置合わせ(MS学習値)／月内均等</t>
        </is>
      </c>
      <c r="C1423" s="10" t="inlineStr">
        <is>
          <t>2024-12</t>
        </is>
      </c>
      <c r="D1423" s="10" t="n">
        <v>12</v>
      </c>
      <c r="E1423" s="12" t="n">
        <v>13914.4</v>
      </c>
      <c r="F1423" s="12" t="n">
        <v>9905.1</v>
      </c>
      <c r="G1423" s="12" t="n">
        <v>4009.3</v>
      </c>
      <c r="H1423" s="13" t="n">
        <v>0.3136</v>
      </c>
      <c r="I1423" s="13" t="n">
        <v>0.1577</v>
      </c>
    </row>
    <row r="1424">
      <c r="A1424" s="10" t="inlineStr">
        <is>
          <t>PJ-2024-J</t>
        </is>
      </c>
      <c r="B1424" s="10" t="inlineStr">
        <is>
          <t>位置合わせ(MS学習値)／月内均等</t>
        </is>
      </c>
      <c r="C1424" s="10" t="inlineStr">
        <is>
          <t>2025-01</t>
        </is>
      </c>
      <c r="D1424" s="10" t="n">
        <v>13</v>
      </c>
      <c r="E1424" s="12" t="n">
        <v>15089.8</v>
      </c>
      <c r="F1424" s="12" t="n">
        <v>10668.8</v>
      </c>
      <c r="G1424" s="12" t="n">
        <v>4421</v>
      </c>
      <c r="H1424" s="13" t="n">
        <v>0.3573</v>
      </c>
      <c r="I1424" s="13" t="n">
        <v>0.1885</v>
      </c>
    </row>
    <row r="1425">
      <c r="A1425" s="10" t="inlineStr">
        <is>
          <t>PJ-2024-J</t>
        </is>
      </c>
      <c r="B1425" s="10" t="inlineStr">
        <is>
          <t>位置合わせ(MS学習値)／月内均等</t>
        </is>
      </c>
      <c r="C1425" s="10" t="inlineStr">
        <is>
          <t>2025-02</t>
        </is>
      </c>
      <c r="D1425" s="10" t="n">
        <v>14</v>
      </c>
      <c r="E1425" s="12" t="n">
        <v>14193.1</v>
      </c>
      <c r="F1425" s="12" t="n">
        <v>10918.3</v>
      </c>
      <c r="G1425" s="12" t="n">
        <v>3274.8</v>
      </c>
      <c r="H1425" s="13" t="n">
        <v>0.3983</v>
      </c>
      <c r="I1425" s="13" t="n">
        <v>0.22</v>
      </c>
    </row>
    <row r="1426">
      <c r="A1426" s="10" t="inlineStr">
        <is>
          <t>PJ-2024-J</t>
        </is>
      </c>
      <c r="B1426" s="10" t="inlineStr">
        <is>
          <t>位置合わせ(MS学習値)／月内均等</t>
        </is>
      </c>
      <c r="C1426" s="10" t="inlineStr">
        <is>
          <t>2025-03</t>
        </is>
      </c>
      <c r="D1426" s="10" t="n">
        <v>15</v>
      </c>
      <c r="E1426" s="12" t="n">
        <v>17362.3</v>
      </c>
      <c r="F1426" s="12" t="n">
        <v>13702.5</v>
      </c>
      <c r="G1426" s="12" t="n">
        <v>3659.8</v>
      </c>
      <c r="H1426" s="13" t="n">
        <v>0.4485</v>
      </c>
      <c r="I1426" s="13" t="n">
        <v>0.2596</v>
      </c>
    </row>
    <row r="1427">
      <c r="A1427" s="10" t="inlineStr">
        <is>
          <t>PJ-2024-J</t>
        </is>
      </c>
      <c r="B1427" s="10" t="inlineStr">
        <is>
          <t>位置合わせ(MS学習値)／月内均等</t>
        </is>
      </c>
      <c r="C1427" s="10" t="inlineStr">
        <is>
          <t>2025-04</t>
        </is>
      </c>
      <c r="D1427" s="10" t="n">
        <v>16</v>
      </c>
      <c r="E1427" s="12" t="n">
        <v>15958.1</v>
      </c>
      <c r="F1427" s="12" t="n">
        <v>18909.3</v>
      </c>
      <c r="G1427" s="12" t="n">
        <v>-2951.2</v>
      </c>
      <c r="H1427" s="13" t="n">
        <v>0.4946</v>
      </c>
      <c r="I1427" s="13" t="n">
        <v>0.3143</v>
      </c>
    </row>
    <row r="1428">
      <c r="A1428" s="10" t="inlineStr">
        <is>
          <t>PJ-2024-J</t>
        </is>
      </c>
      <c r="B1428" s="10" t="inlineStr">
        <is>
          <t>位置合わせ(MS学習値)／月内均等</t>
        </is>
      </c>
      <c r="C1428" s="10" t="inlineStr">
        <is>
          <t>2025-05</t>
        </is>
      </c>
      <c r="D1428" s="10" t="n">
        <v>17</v>
      </c>
      <c r="E1428" s="12" t="n">
        <v>16521</v>
      </c>
      <c r="F1428" s="12" t="n">
        <v>26126.9</v>
      </c>
      <c r="G1428" s="12" t="n">
        <v>-9605.9</v>
      </c>
      <c r="H1428" s="13" t="n">
        <v>0.5423</v>
      </c>
      <c r="I1428" s="13" t="n">
        <v>0.3898</v>
      </c>
    </row>
    <row r="1429">
      <c r="A1429" s="10" t="inlineStr">
        <is>
          <t>PJ-2024-J</t>
        </is>
      </c>
      <c r="B1429" s="10" t="inlineStr">
        <is>
          <t>位置合わせ(MS学習値)／月内均等</t>
        </is>
      </c>
      <c r="C1429" s="10" t="inlineStr">
        <is>
          <t>2025-06</t>
        </is>
      </c>
      <c r="D1429" s="10" t="n">
        <v>18</v>
      </c>
      <c r="E1429" s="12" t="n">
        <v>15446.5</v>
      </c>
      <c r="F1429" s="12" t="n">
        <v>31246.9</v>
      </c>
      <c r="G1429" s="12" t="n">
        <v>-15800.4</v>
      </c>
      <c r="H1429" s="13" t="n">
        <v>0.587</v>
      </c>
      <c r="I1429" s="13" t="n">
        <v>0.4801</v>
      </c>
    </row>
    <row r="1430">
      <c r="A1430" s="10" t="inlineStr">
        <is>
          <t>PJ-2024-J</t>
        </is>
      </c>
      <c r="B1430" s="10" t="inlineStr">
        <is>
          <t>位置合わせ(MS学習値)／月内均等</t>
        </is>
      </c>
      <c r="C1430" s="10" t="inlineStr">
        <is>
          <t>2025-07</t>
        </is>
      </c>
      <c r="D1430" s="10" t="n">
        <v>19</v>
      </c>
      <c r="E1430" s="12" t="n">
        <v>15760.3</v>
      </c>
      <c r="F1430" s="12" t="n">
        <v>28601.2</v>
      </c>
      <c r="G1430" s="12" t="n">
        <v>-12840.9</v>
      </c>
      <c r="H1430" s="13" t="n">
        <v>0.6325</v>
      </c>
      <c r="I1430" s="13" t="n">
        <v>0.5628</v>
      </c>
    </row>
    <row r="1431">
      <c r="A1431" s="10" t="inlineStr">
        <is>
          <t>PJ-2024-J</t>
        </is>
      </c>
      <c r="B1431" s="10" t="inlineStr">
        <is>
          <t>位置合わせ(MS学習値)／月内均等</t>
        </is>
      </c>
      <c r="C1431" s="10" t="inlineStr">
        <is>
          <t>2025-08</t>
        </is>
      </c>
      <c r="D1431" s="10" t="n">
        <v>20</v>
      </c>
      <c r="E1431" s="12" t="n">
        <v>16238.9</v>
      </c>
      <c r="F1431" s="12" t="n">
        <v>25939.3</v>
      </c>
      <c r="G1431" s="12" t="n">
        <v>-9700.4</v>
      </c>
      <c r="H1431" s="13" t="n">
        <v>0.6794</v>
      </c>
      <c r="I1431" s="13" t="n">
        <v>0.6377</v>
      </c>
    </row>
    <row r="1432">
      <c r="A1432" s="10" t="inlineStr">
        <is>
          <t>PJ-2024-J</t>
        </is>
      </c>
      <c r="B1432" s="10" t="inlineStr">
        <is>
          <t>位置合わせ(MS学習値)／月内均等</t>
        </is>
      </c>
      <c r="C1432" s="10" t="inlineStr">
        <is>
          <t>2025-09</t>
        </is>
      </c>
      <c r="D1432" s="10" t="n">
        <v>21</v>
      </c>
      <c r="E1432" s="12" t="n">
        <v>16529.3</v>
      </c>
      <c r="F1432" s="12" t="n">
        <v>20944.7</v>
      </c>
      <c r="G1432" s="12" t="n">
        <v>-4415.4</v>
      </c>
      <c r="H1432" s="13" t="n">
        <v>0.7272</v>
      </c>
      <c r="I1432" s="13" t="n">
        <v>0.6983</v>
      </c>
    </row>
    <row r="1433">
      <c r="A1433" s="10" t="inlineStr">
        <is>
          <t>PJ-2024-J</t>
        </is>
      </c>
      <c r="B1433" s="10" t="inlineStr">
        <is>
          <t>位置合わせ(MS学習値)／月内均等</t>
        </is>
      </c>
      <c r="C1433" s="10" t="inlineStr">
        <is>
          <t>2025-10</t>
        </is>
      </c>
      <c r="D1433" s="10" t="n">
        <v>22</v>
      </c>
      <c r="E1433" s="12" t="n">
        <v>16504.5</v>
      </c>
      <c r="F1433" s="12" t="n">
        <v>14367.8</v>
      </c>
      <c r="G1433" s="12" t="n">
        <v>2136.7</v>
      </c>
      <c r="H1433" s="13" t="n">
        <v>0.7749</v>
      </c>
      <c r="I1433" s="13" t="n">
        <v>0.7398</v>
      </c>
    </row>
    <row r="1434">
      <c r="A1434" s="10" t="inlineStr">
        <is>
          <t>PJ-2024-J</t>
        </is>
      </c>
      <c r="B1434" s="10" t="inlineStr">
        <is>
          <t>位置合わせ(MS学習値)／月内均等</t>
        </is>
      </c>
      <c r="C1434" s="10" t="inlineStr">
        <is>
          <t>2025-11</t>
        </is>
      </c>
      <c r="D1434" s="10" t="n">
        <v>23</v>
      </c>
      <c r="E1434" s="12" t="n">
        <v>15248.3</v>
      </c>
      <c r="F1434" s="12" t="n">
        <v>16461.6</v>
      </c>
      <c r="G1434" s="12" t="n">
        <v>-1213.3</v>
      </c>
      <c r="H1434" s="13" t="n">
        <v>0.819</v>
      </c>
      <c r="I1434" s="13" t="n">
        <v>0.7874</v>
      </c>
    </row>
    <row r="1435">
      <c r="A1435" s="10" t="inlineStr">
        <is>
          <t>PJ-2024-J</t>
        </is>
      </c>
      <c r="B1435" s="10" t="inlineStr">
        <is>
          <t>位置合わせ(MS学習値)／月内均等</t>
        </is>
      </c>
      <c r="C1435" s="10" t="inlineStr">
        <is>
          <t>2025-12</t>
        </is>
      </c>
      <c r="D1435" s="10" t="n">
        <v>24</v>
      </c>
      <c r="E1435" s="12" t="n">
        <v>13583.6</v>
      </c>
      <c r="F1435" s="12" t="n">
        <v>17876.1</v>
      </c>
      <c r="G1435" s="12" t="n">
        <v>-4292.5</v>
      </c>
      <c r="H1435" s="13" t="n">
        <v>0.8582</v>
      </c>
      <c r="I1435" s="13" t="n">
        <v>0.839</v>
      </c>
    </row>
    <row r="1436">
      <c r="A1436" s="10" t="inlineStr">
        <is>
          <t>PJ-2024-J</t>
        </is>
      </c>
      <c r="B1436" s="10" t="inlineStr">
        <is>
          <t>位置合わせ(MS学習値)／月内均等</t>
        </is>
      </c>
      <c r="C1436" s="10" t="inlineStr">
        <is>
          <t>2026-01</t>
        </is>
      </c>
      <c r="D1436" s="10" t="n">
        <v>25</v>
      </c>
      <c r="E1436" s="12" t="n">
        <v>12034.1</v>
      </c>
      <c r="F1436" s="12" t="n">
        <v>14931.3</v>
      </c>
      <c r="G1436" s="12" t="n">
        <v>-2897.2</v>
      </c>
      <c r="H1436" s="13" t="n">
        <v>0.893</v>
      </c>
      <c r="I1436" s="13" t="n">
        <v>0.8822</v>
      </c>
    </row>
    <row r="1437">
      <c r="A1437" s="10" t="inlineStr">
        <is>
          <t>PJ-2024-J</t>
        </is>
      </c>
      <c r="B1437" s="10" t="inlineStr">
        <is>
          <t>位置合わせ(MS学習値)／月内均等</t>
        </is>
      </c>
      <c r="C1437" s="10" t="inlineStr">
        <is>
          <t>2026-02</t>
        </is>
      </c>
      <c r="D1437" s="10" t="n">
        <v>26</v>
      </c>
      <c r="E1437" s="12" t="n">
        <v>10029.5</v>
      </c>
      <c r="F1437" s="12" t="n">
        <v>10014.8</v>
      </c>
      <c r="G1437" s="12" t="n">
        <v>14.7</v>
      </c>
      <c r="H1437" s="13" t="n">
        <v>0.922</v>
      </c>
      <c r="I1437" s="13" t="n">
        <v>0.9111</v>
      </c>
    </row>
    <row r="1438">
      <c r="A1438" s="10" t="inlineStr">
        <is>
          <t>PJ-2024-J</t>
        </is>
      </c>
      <c r="B1438" s="10" t="inlineStr">
        <is>
          <t>位置合わせ(MS学習値)／月内均等</t>
        </is>
      </c>
      <c r="C1438" s="10" t="inlineStr">
        <is>
          <t>2026-03</t>
        </is>
      </c>
      <c r="D1438" s="10" t="n">
        <v>27</v>
      </c>
      <c r="E1438" s="12" t="n">
        <v>9296.5</v>
      </c>
      <c r="F1438" s="12" t="n">
        <v>9594.1</v>
      </c>
      <c r="G1438" s="12" t="n">
        <v>-297.6</v>
      </c>
      <c r="H1438" s="13" t="n">
        <v>0.9489</v>
      </c>
      <c r="I1438" s="13" t="n">
        <v>0.9389</v>
      </c>
    </row>
    <row r="1439">
      <c r="A1439" s="10" t="inlineStr">
        <is>
          <t>PJ-2024-J</t>
        </is>
      </c>
      <c r="B1439" s="10" t="inlineStr">
        <is>
          <t>位置合わせ(MS学習値)／月内均等</t>
        </is>
      </c>
      <c r="C1439" s="10" t="inlineStr">
        <is>
          <t>2026-04</t>
        </is>
      </c>
      <c r="D1439" s="10" t="n">
        <v>28</v>
      </c>
      <c r="E1439" s="12" t="n">
        <v>8227</v>
      </c>
      <c r="F1439" s="12" t="n">
        <v>7976.6</v>
      </c>
      <c r="G1439" s="12" t="n">
        <v>250.4</v>
      </c>
      <c r="H1439" s="13" t="n">
        <v>0.9726</v>
      </c>
      <c r="I1439" s="13" t="n">
        <v>0.9619</v>
      </c>
    </row>
    <row r="1440">
      <c r="A1440" s="10" t="inlineStr">
        <is>
          <t>PJ-2024-J</t>
        </is>
      </c>
      <c r="B1440" s="10" t="inlineStr">
        <is>
          <t>位置合わせ(MS学習値)／月内均等</t>
        </is>
      </c>
      <c r="C1440" s="10" t="inlineStr">
        <is>
          <t>2026-05</t>
        </is>
      </c>
      <c r="D1440" s="10" t="n">
        <v>29</v>
      </c>
      <c r="E1440" s="12" t="n">
        <v>5769.7</v>
      </c>
      <c r="F1440" s="12" t="n">
        <v>10449.5</v>
      </c>
      <c r="G1440" s="12" t="n">
        <v>-4679.8</v>
      </c>
      <c r="H1440" s="13" t="n">
        <v>0.9893</v>
      </c>
      <c r="I1440" s="13" t="n">
        <v>0.9921</v>
      </c>
    </row>
    <row r="1441">
      <c r="A1441" s="10" t="inlineStr">
        <is>
          <t>PJ-2024-J</t>
        </is>
      </c>
      <c r="B1441" s="10" t="inlineStr">
        <is>
          <t>位置合わせ(MS学習値)／月内均等</t>
        </is>
      </c>
      <c r="C1441" s="10" t="inlineStr">
        <is>
          <t>2026-06</t>
        </is>
      </c>
      <c r="D1441" s="10" t="n">
        <v>30</v>
      </c>
      <c r="E1441" s="12" t="n">
        <v>3697</v>
      </c>
      <c r="F1441" s="12" t="n">
        <v>2732.1</v>
      </c>
      <c r="G1441" s="12" t="n">
        <v>964.9</v>
      </c>
      <c r="H1441" s="13" t="n">
        <v>1</v>
      </c>
      <c r="I1441" s="13" t="n">
        <v>1</v>
      </c>
    </row>
    <row r="1442">
      <c r="A1442" s="10" t="inlineStr">
        <is>
          <t>PJ-2024-J</t>
        </is>
      </c>
      <c r="B1442" s="10" t="inlineStr">
        <is>
          <t>位置合わせ(MS指定)／月内均等</t>
        </is>
      </c>
      <c r="C1442" s="10" t="inlineStr">
        <is>
          <t>2024-01</t>
        </is>
      </c>
      <c r="D1442" s="10" t="n">
        <v>1</v>
      </c>
      <c r="E1442" s="12" t="n">
        <v>4841.2</v>
      </c>
      <c r="F1442" s="12" t="n">
        <v>348</v>
      </c>
      <c r="G1442" s="12" t="n">
        <v>4493.2</v>
      </c>
      <c r="H1442" s="13" t="n">
        <v>0.014</v>
      </c>
      <c r="I1442" s="13" t="n">
        <v>0.001</v>
      </c>
    </row>
    <row r="1443">
      <c r="A1443" s="10" t="inlineStr">
        <is>
          <t>PJ-2024-J</t>
        </is>
      </c>
      <c r="B1443" s="10" t="inlineStr">
        <is>
          <t>位置合わせ(MS指定)／月内均等</t>
        </is>
      </c>
      <c r="C1443" s="10" t="inlineStr">
        <is>
          <t>2024-02</t>
        </is>
      </c>
      <c r="D1443" s="10" t="n">
        <v>2</v>
      </c>
      <c r="E1443" s="12" t="n">
        <v>5303.9</v>
      </c>
      <c r="F1443" s="12" t="n">
        <v>930.5</v>
      </c>
      <c r="G1443" s="12" t="n">
        <v>4373.4</v>
      </c>
      <c r="H1443" s="13" t="n">
        <v>0.0293</v>
      </c>
      <c r="I1443" s="13" t="n">
        <v>0.0037</v>
      </c>
    </row>
    <row r="1444">
      <c r="A1444" s="10" t="inlineStr">
        <is>
          <t>PJ-2024-J</t>
        </is>
      </c>
      <c r="B1444" s="10" t="inlineStr">
        <is>
          <t>位置合わせ(MS指定)／月内均等</t>
        </is>
      </c>
      <c r="C1444" s="10" t="inlineStr">
        <is>
          <t>2024-03</t>
        </is>
      </c>
      <c r="D1444" s="10" t="n">
        <v>3</v>
      </c>
      <c r="E1444" s="12" t="n">
        <v>6646</v>
      </c>
      <c r="F1444" s="12" t="n">
        <v>1612.9</v>
      </c>
      <c r="G1444" s="12" t="n">
        <v>5033.1</v>
      </c>
      <c r="H1444" s="13" t="n">
        <v>0.0485</v>
      </c>
      <c r="I1444" s="13" t="n">
        <v>0.008399999999999999</v>
      </c>
    </row>
    <row r="1445">
      <c r="A1445" s="10" t="inlineStr">
        <is>
          <t>PJ-2024-J</t>
        </is>
      </c>
      <c r="B1445" s="10" t="inlineStr">
        <is>
          <t>位置合わせ(MS指定)／月内均等</t>
        </is>
      </c>
      <c r="C1445" s="10" t="inlineStr">
        <is>
          <t>2024-04</t>
        </is>
      </c>
      <c r="D1445" s="10" t="n">
        <v>4</v>
      </c>
      <c r="E1445" s="12" t="n">
        <v>6879.8</v>
      </c>
      <c r="F1445" s="12" t="n">
        <v>2251.7</v>
      </c>
      <c r="G1445" s="12" t="n">
        <v>4628.1</v>
      </c>
      <c r="H1445" s="13" t="n">
        <v>0.0684</v>
      </c>
      <c r="I1445" s="13" t="n">
        <v>0.0149</v>
      </c>
    </row>
    <row r="1446">
      <c r="A1446" s="10" t="inlineStr">
        <is>
          <t>PJ-2024-J</t>
        </is>
      </c>
      <c r="B1446" s="10" t="inlineStr">
        <is>
          <t>位置合わせ(MS指定)／月内均等</t>
        </is>
      </c>
      <c r="C1446" s="10" t="inlineStr">
        <is>
          <t>2024-05</t>
        </is>
      </c>
      <c r="D1446" s="10" t="n">
        <v>5</v>
      </c>
      <c r="E1446" s="12" t="n">
        <v>7768.8</v>
      </c>
      <c r="F1446" s="12" t="n">
        <v>2953</v>
      </c>
      <c r="G1446" s="12" t="n">
        <v>4815.8</v>
      </c>
      <c r="H1446" s="13" t="n">
        <v>0.09089999999999999</v>
      </c>
      <c r="I1446" s="13" t="n">
        <v>0.0234</v>
      </c>
    </row>
    <row r="1447">
      <c r="A1447" s="10" t="inlineStr">
        <is>
          <t>PJ-2024-J</t>
        </is>
      </c>
      <c r="B1447" s="10" t="inlineStr">
        <is>
          <t>位置合わせ(MS指定)／月内均等</t>
        </is>
      </c>
      <c r="C1447" s="10" t="inlineStr">
        <is>
          <t>2024-06</t>
        </is>
      </c>
      <c r="D1447" s="10" t="n">
        <v>6</v>
      </c>
      <c r="E1447" s="12" t="n">
        <v>7657.7</v>
      </c>
      <c r="F1447" s="12" t="n">
        <v>3308.8</v>
      </c>
      <c r="G1447" s="12" t="n">
        <v>4348.9</v>
      </c>
      <c r="H1447" s="13" t="n">
        <v>0.113</v>
      </c>
      <c r="I1447" s="13" t="n">
        <v>0.033</v>
      </c>
    </row>
    <row r="1448">
      <c r="A1448" s="10" t="inlineStr">
        <is>
          <t>PJ-2024-J</t>
        </is>
      </c>
      <c r="B1448" s="10" t="inlineStr">
        <is>
          <t>位置合わせ(MS指定)／月内均等</t>
        </is>
      </c>
      <c r="C1448" s="10" t="inlineStr">
        <is>
          <t>2024-07</t>
        </is>
      </c>
      <c r="D1448" s="10" t="n">
        <v>7</v>
      </c>
      <c r="E1448" s="12" t="n">
        <v>8355.799999999999</v>
      </c>
      <c r="F1448" s="12" t="n">
        <v>4157.3</v>
      </c>
      <c r="G1448" s="12" t="n">
        <v>4198.5</v>
      </c>
      <c r="H1448" s="13" t="n">
        <v>0.1371</v>
      </c>
      <c r="I1448" s="13" t="n">
        <v>0.045</v>
      </c>
    </row>
    <row r="1449">
      <c r="A1449" s="10" t="inlineStr">
        <is>
          <t>PJ-2024-J</t>
        </is>
      </c>
      <c r="B1449" s="10" t="inlineStr">
        <is>
          <t>位置合わせ(MS指定)／月内均等</t>
        </is>
      </c>
      <c r="C1449" s="10" t="inlineStr">
        <is>
          <t>2024-08</t>
        </is>
      </c>
      <c r="D1449" s="10" t="n">
        <v>8</v>
      </c>
      <c r="E1449" s="12" t="n">
        <v>9052.299999999999</v>
      </c>
      <c r="F1449" s="12" t="n">
        <v>5704.7</v>
      </c>
      <c r="G1449" s="12" t="n">
        <v>3347.6</v>
      </c>
      <c r="H1449" s="13" t="n">
        <v>0.1633</v>
      </c>
      <c r="I1449" s="13" t="n">
        <v>0.0615</v>
      </c>
    </row>
    <row r="1450">
      <c r="A1450" s="10" t="inlineStr">
        <is>
          <t>PJ-2024-J</t>
        </is>
      </c>
      <c r="B1450" s="10" t="inlineStr">
        <is>
          <t>位置合わせ(MS指定)／月内均等</t>
        </is>
      </c>
      <c r="C1450" s="10" t="inlineStr">
        <is>
          <t>2024-09</t>
        </is>
      </c>
      <c r="D1450" s="10" t="n">
        <v>9</v>
      </c>
      <c r="E1450" s="12" t="n">
        <v>9336.200000000001</v>
      </c>
      <c r="F1450" s="12" t="n">
        <v>6443.3</v>
      </c>
      <c r="G1450" s="12" t="n">
        <v>2892.9</v>
      </c>
      <c r="H1450" s="13" t="n">
        <v>0.1903</v>
      </c>
      <c r="I1450" s="13" t="n">
        <v>0.0801</v>
      </c>
    </row>
    <row r="1451">
      <c r="A1451" s="10" t="inlineStr">
        <is>
          <t>PJ-2024-J</t>
        </is>
      </c>
      <c r="B1451" s="10" t="inlineStr">
        <is>
          <t>位置合わせ(MS指定)／月内均等</t>
        </is>
      </c>
      <c r="C1451" s="10" t="inlineStr">
        <is>
          <t>2024-10</t>
        </is>
      </c>
      <c r="D1451" s="10" t="n">
        <v>10</v>
      </c>
      <c r="E1451" s="12" t="n">
        <v>10939.4</v>
      </c>
      <c r="F1451" s="12" t="n">
        <v>7892.9</v>
      </c>
      <c r="G1451" s="12" t="n">
        <v>3046.5</v>
      </c>
      <c r="H1451" s="13" t="n">
        <v>0.2219</v>
      </c>
      <c r="I1451" s="13" t="n">
        <v>0.1029</v>
      </c>
    </row>
    <row r="1452">
      <c r="A1452" s="10" t="inlineStr">
        <is>
          <t>PJ-2024-J</t>
        </is>
      </c>
      <c r="B1452" s="10" t="inlineStr">
        <is>
          <t>位置合わせ(MS指定)／月内均等</t>
        </is>
      </c>
      <c r="C1452" s="10" t="inlineStr">
        <is>
          <t>2024-11</t>
        </is>
      </c>
      <c r="D1452" s="10" t="n">
        <v>11</v>
      </c>
      <c r="E1452" s="12" t="n">
        <v>11869.2</v>
      </c>
      <c r="F1452" s="12" t="n">
        <v>9044.6</v>
      </c>
      <c r="G1452" s="12" t="n">
        <v>2824.6</v>
      </c>
      <c r="H1452" s="13" t="n">
        <v>0.2562</v>
      </c>
      <c r="I1452" s="13" t="n">
        <v>0.129</v>
      </c>
    </row>
    <row r="1453">
      <c r="A1453" s="10" t="inlineStr">
        <is>
          <t>PJ-2024-J</t>
        </is>
      </c>
      <c r="B1453" s="10" t="inlineStr">
        <is>
          <t>位置合わせ(MS指定)／月内均等</t>
        </is>
      </c>
      <c r="C1453" s="10" t="inlineStr">
        <is>
          <t>2024-12</t>
        </is>
      </c>
      <c r="D1453" s="10" t="n">
        <v>12</v>
      </c>
      <c r="E1453" s="12" t="n">
        <v>13043.7</v>
      </c>
      <c r="F1453" s="12" t="n">
        <v>9905.1</v>
      </c>
      <c r="G1453" s="12" t="n">
        <v>3138.6</v>
      </c>
      <c r="H1453" s="13" t="n">
        <v>0.2939</v>
      </c>
      <c r="I1453" s="13" t="n">
        <v>0.1577</v>
      </c>
    </row>
    <row r="1454">
      <c r="A1454" s="10" t="inlineStr">
        <is>
          <t>PJ-2024-J</t>
        </is>
      </c>
      <c r="B1454" s="10" t="inlineStr">
        <is>
          <t>位置合わせ(MS指定)／月内均等</t>
        </is>
      </c>
      <c r="C1454" s="10" t="inlineStr">
        <is>
          <t>2025-01</t>
        </is>
      </c>
      <c r="D1454" s="10" t="n">
        <v>13</v>
      </c>
      <c r="E1454" s="12" t="n">
        <v>13934.1</v>
      </c>
      <c r="F1454" s="12" t="n">
        <v>10668.8</v>
      </c>
      <c r="G1454" s="12" t="n">
        <v>3265.3</v>
      </c>
      <c r="H1454" s="13" t="n">
        <v>0.3342</v>
      </c>
      <c r="I1454" s="13" t="n">
        <v>0.1885</v>
      </c>
    </row>
    <row r="1455">
      <c r="A1455" s="10" t="inlineStr">
        <is>
          <t>PJ-2024-J</t>
        </is>
      </c>
      <c r="B1455" s="10" t="inlineStr">
        <is>
          <t>位置合わせ(MS指定)／月内均等</t>
        </is>
      </c>
      <c r="C1455" s="10" t="inlineStr">
        <is>
          <t>2025-02</t>
        </is>
      </c>
      <c r="D1455" s="10" t="n">
        <v>14</v>
      </c>
      <c r="E1455" s="12" t="n">
        <v>13285</v>
      </c>
      <c r="F1455" s="12" t="n">
        <v>10918.3</v>
      </c>
      <c r="G1455" s="12" t="n">
        <v>2366.7</v>
      </c>
      <c r="H1455" s="13" t="n">
        <v>0.3726</v>
      </c>
      <c r="I1455" s="13" t="n">
        <v>0.22</v>
      </c>
    </row>
    <row r="1456">
      <c r="A1456" s="10" t="inlineStr">
        <is>
          <t>PJ-2024-J</t>
        </is>
      </c>
      <c r="B1456" s="10" t="inlineStr">
        <is>
          <t>位置合わせ(MS指定)／月内均等</t>
        </is>
      </c>
      <c r="C1456" s="10" t="inlineStr">
        <is>
          <t>2025-03</t>
        </is>
      </c>
      <c r="D1456" s="10" t="n">
        <v>15</v>
      </c>
      <c r="E1456" s="12" t="n">
        <v>15995.7</v>
      </c>
      <c r="F1456" s="12" t="n">
        <v>13702.5</v>
      </c>
      <c r="G1456" s="12" t="n">
        <v>2293.2</v>
      </c>
      <c r="H1456" s="13" t="n">
        <v>0.4188</v>
      </c>
      <c r="I1456" s="13" t="n">
        <v>0.2596</v>
      </c>
    </row>
    <row r="1457">
      <c r="A1457" s="10" t="inlineStr">
        <is>
          <t>PJ-2024-J</t>
        </is>
      </c>
      <c r="B1457" s="10" t="inlineStr">
        <is>
          <t>位置合わせ(MS指定)／月内均等</t>
        </is>
      </c>
      <c r="C1457" s="10" t="inlineStr">
        <is>
          <t>2025-04</t>
        </is>
      </c>
      <c r="D1457" s="10" t="n">
        <v>16</v>
      </c>
      <c r="E1457" s="12" t="n">
        <v>20115.8</v>
      </c>
      <c r="F1457" s="12" t="n">
        <v>18909.3</v>
      </c>
      <c r="G1457" s="12" t="n">
        <v>1206.5</v>
      </c>
      <c r="H1457" s="13" t="n">
        <v>0.4769</v>
      </c>
      <c r="I1457" s="13" t="n">
        <v>0.3143</v>
      </c>
    </row>
    <row r="1458">
      <c r="A1458" s="10" t="inlineStr">
        <is>
          <t>PJ-2024-J</t>
        </is>
      </c>
      <c r="B1458" s="10" t="inlineStr">
        <is>
          <t>位置合わせ(MS指定)／月内均等</t>
        </is>
      </c>
      <c r="C1458" s="10" t="inlineStr">
        <is>
          <t>2025-05</t>
        </is>
      </c>
      <c r="D1458" s="10" t="n">
        <v>17</v>
      </c>
      <c r="E1458" s="12" t="n">
        <v>24431.6</v>
      </c>
      <c r="F1458" s="12" t="n">
        <v>26126.9</v>
      </c>
      <c r="G1458" s="12" t="n">
        <v>-1695.3</v>
      </c>
      <c r="H1458" s="13" t="n">
        <v>0.5475</v>
      </c>
      <c r="I1458" s="13" t="n">
        <v>0.3898</v>
      </c>
    </row>
    <row r="1459">
      <c r="A1459" s="10" t="inlineStr">
        <is>
          <t>PJ-2024-J</t>
        </is>
      </c>
      <c r="B1459" s="10" t="inlineStr">
        <is>
          <t>位置合わせ(MS指定)／月内均等</t>
        </is>
      </c>
      <c r="C1459" s="10" t="inlineStr">
        <is>
          <t>2025-06</t>
        </is>
      </c>
      <c r="D1459" s="10" t="n">
        <v>18</v>
      </c>
      <c r="E1459" s="12" t="n">
        <v>22843.1</v>
      </c>
      <c r="F1459" s="12" t="n">
        <v>31246.9</v>
      </c>
      <c r="G1459" s="12" t="n">
        <v>-8403.799999999999</v>
      </c>
      <c r="H1459" s="13" t="n">
        <v>0.6136</v>
      </c>
      <c r="I1459" s="13" t="n">
        <v>0.4801</v>
      </c>
    </row>
    <row r="1460">
      <c r="A1460" s="10" t="inlineStr">
        <is>
          <t>PJ-2024-J</t>
        </is>
      </c>
      <c r="B1460" s="10" t="inlineStr">
        <is>
          <t>位置合わせ(MS指定)／月内均等</t>
        </is>
      </c>
      <c r="C1460" s="10" t="inlineStr">
        <is>
          <t>2025-07</t>
        </is>
      </c>
      <c r="D1460" s="10" t="n">
        <v>19</v>
      </c>
      <c r="E1460" s="12" t="n">
        <v>23775</v>
      </c>
      <c r="F1460" s="12" t="n">
        <v>28601.2</v>
      </c>
      <c r="G1460" s="12" t="n">
        <v>-4826.2</v>
      </c>
      <c r="H1460" s="13" t="n">
        <v>0.6823</v>
      </c>
      <c r="I1460" s="13" t="n">
        <v>0.5628</v>
      </c>
    </row>
    <row r="1461">
      <c r="A1461" s="10" t="inlineStr">
        <is>
          <t>PJ-2024-J</t>
        </is>
      </c>
      <c r="B1461" s="10" t="inlineStr">
        <is>
          <t>位置合わせ(MS指定)／月内均等</t>
        </is>
      </c>
      <c r="C1461" s="10" t="inlineStr">
        <is>
          <t>2025-08</t>
        </is>
      </c>
      <c r="D1461" s="10" t="n">
        <v>20</v>
      </c>
      <c r="E1461" s="12" t="n">
        <v>25034.6</v>
      </c>
      <c r="F1461" s="12" t="n">
        <v>25939.3</v>
      </c>
      <c r="G1461" s="12" t="n">
        <v>-904.7</v>
      </c>
      <c r="H1461" s="13" t="n">
        <v>0.7546</v>
      </c>
      <c r="I1461" s="13" t="n">
        <v>0.6377</v>
      </c>
    </row>
    <row r="1462">
      <c r="A1462" s="10" t="inlineStr">
        <is>
          <t>PJ-2024-J</t>
        </is>
      </c>
      <c r="B1462" s="10" t="inlineStr">
        <is>
          <t>位置合わせ(MS指定)／月内均等</t>
        </is>
      </c>
      <c r="C1462" s="10" t="inlineStr">
        <is>
          <t>2025-09</t>
        </is>
      </c>
      <c r="D1462" s="10" t="n">
        <v>21</v>
      </c>
      <c r="E1462" s="12" t="n">
        <v>17234.7</v>
      </c>
      <c r="F1462" s="12" t="n">
        <v>20944.7</v>
      </c>
      <c r="G1462" s="12" t="n">
        <v>-3710</v>
      </c>
      <c r="H1462" s="13" t="n">
        <v>0.8044</v>
      </c>
      <c r="I1462" s="13" t="n">
        <v>0.6983</v>
      </c>
    </row>
    <row r="1463">
      <c r="A1463" s="10" t="inlineStr">
        <is>
          <t>PJ-2024-J</t>
        </is>
      </c>
      <c r="B1463" s="10" t="inlineStr">
        <is>
          <t>位置合わせ(MS指定)／月内均等</t>
        </is>
      </c>
      <c r="C1463" s="10" t="inlineStr">
        <is>
          <t>2025-10</t>
        </is>
      </c>
      <c r="D1463" s="10" t="n">
        <v>22</v>
      </c>
      <c r="E1463" s="12" t="n">
        <v>10429.4</v>
      </c>
      <c r="F1463" s="12" t="n">
        <v>14367.8</v>
      </c>
      <c r="G1463" s="12" t="n">
        <v>-3938.4</v>
      </c>
      <c r="H1463" s="13" t="n">
        <v>0.8346</v>
      </c>
      <c r="I1463" s="13" t="n">
        <v>0.7398</v>
      </c>
    </row>
    <row r="1464">
      <c r="A1464" s="10" t="inlineStr">
        <is>
          <t>PJ-2024-J</t>
        </is>
      </c>
      <c r="B1464" s="10" t="inlineStr">
        <is>
          <t>位置合わせ(MS指定)／月内均等</t>
        </is>
      </c>
      <c r="C1464" s="10" t="inlineStr">
        <is>
          <t>2025-11</t>
        </is>
      </c>
      <c r="D1464" s="10" t="n">
        <v>23</v>
      </c>
      <c r="E1464" s="12" t="n">
        <v>9279.799999999999</v>
      </c>
      <c r="F1464" s="12" t="n">
        <v>16461.6</v>
      </c>
      <c r="G1464" s="12" t="n">
        <v>-7181.8</v>
      </c>
      <c r="H1464" s="13" t="n">
        <v>0.8614000000000001</v>
      </c>
      <c r="I1464" s="13" t="n">
        <v>0.7874</v>
      </c>
    </row>
    <row r="1465">
      <c r="A1465" s="10" t="inlineStr">
        <is>
          <t>PJ-2024-J</t>
        </is>
      </c>
      <c r="B1465" s="10" t="inlineStr">
        <is>
          <t>位置合わせ(MS指定)／月内均等</t>
        </is>
      </c>
      <c r="C1465" s="10" t="inlineStr">
        <is>
          <t>2025-12</t>
        </is>
      </c>
      <c r="D1465" s="10" t="n">
        <v>24</v>
      </c>
      <c r="E1465" s="12" t="n">
        <v>8906</v>
      </c>
      <c r="F1465" s="12" t="n">
        <v>17876.1</v>
      </c>
      <c r="G1465" s="12" t="n">
        <v>-8970.1</v>
      </c>
      <c r="H1465" s="13" t="n">
        <v>0.8871</v>
      </c>
      <c r="I1465" s="13" t="n">
        <v>0.839</v>
      </c>
    </row>
    <row r="1466">
      <c r="A1466" s="10" t="inlineStr">
        <is>
          <t>PJ-2024-J</t>
        </is>
      </c>
      <c r="B1466" s="10" t="inlineStr">
        <is>
          <t>位置合わせ(MS指定)／月内均等</t>
        </is>
      </c>
      <c r="C1466" s="10" t="inlineStr">
        <is>
          <t>2026-01</t>
        </is>
      </c>
      <c r="D1466" s="10" t="n">
        <v>25</v>
      </c>
      <c r="E1466" s="12" t="n">
        <v>8106.6</v>
      </c>
      <c r="F1466" s="12" t="n">
        <v>14931.3</v>
      </c>
      <c r="G1466" s="12" t="n">
        <v>-6824.7</v>
      </c>
      <c r="H1466" s="13" t="n">
        <v>0.9106</v>
      </c>
      <c r="I1466" s="13" t="n">
        <v>0.8822</v>
      </c>
    </row>
    <row r="1467">
      <c r="A1467" s="10" t="inlineStr">
        <is>
          <t>PJ-2024-J</t>
        </is>
      </c>
      <c r="B1467" s="10" t="inlineStr">
        <is>
          <t>位置合わせ(MS指定)／月内均等</t>
        </is>
      </c>
      <c r="C1467" s="10" t="inlineStr">
        <is>
          <t>2026-02</t>
        </is>
      </c>
      <c r="D1467" s="10" t="n">
        <v>26</v>
      </c>
      <c r="E1467" s="12" t="n">
        <v>6885</v>
      </c>
      <c r="F1467" s="12" t="n">
        <v>10014.8</v>
      </c>
      <c r="G1467" s="12" t="n">
        <v>-3129.8</v>
      </c>
      <c r="H1467" s="13" t="n">
        <v>0.9305</v>
      </c>
      <c r="I1467" s="13" t="n">
        <v>0.9111</v>
      </c>
    </row>
    <row r="1468">
      <c r="A1468" s="10" t="inlineStr">
        <is>
          <t>PJ-2024-J</t>
        </is>
      </c>
      <c r="B1468" s="10" t="inlineStr">
        <is>
          <t>位置合わせ(MS指定)／月内均等</t>
        </is>
      </c>
      <c r="C1468" s="10" t="inlineStr">
        <is>
          <t>2026-03</t>
        </is>
      </c>
      <c r="D1468" s="10" t="n">
        <v>27</v>
      </c>
      <c r="E1468" s="12" t="n">
        <v>6560.2</v>
      </c>
      <c r="F1468" s="12" t="n">
        <v>9594.1</v>
      </c>
      <c r="G1468" s="12" t="n">
        <v>-3033.9</v>
      </c>
      <c r="H1468" s="13" t="n">
        <v>0.9494</v>
      </c>
      <c r="I1468" s="13" t="n">
        <v>0.9389</v>
      </c>
    </row>
    <row r="1469">
      <c r="A1469" s="10" t="inlineStr">
        <is>
          <t>PJ-2024-J</t>
        </is>
      </c>
      <c r="B1469" s="10" t="inlineStr">
        <is>
          <t>位置合わせ(MS指定)／月内均等</t>
        </is>
      </c>
      <c r="C1469" s="10" t="inlineStr">
        <is>
          <t>2026-04</t>
        </is>
      </c>
      <c r="D1469" s="10" t="n">
        <v>28</v>
      </c>
      <c r="E1469" s="12" t="n">
        <v>7381.9</v>
      </c>
      <c r="F1469" s="12" t="n">
        <v>7976.6</v>
      </c>
      <c r="G1469" s="12" t="n">
        <v>-594.7</v>
      </c>
      <c r="H1469" s="13" t="n">
        <v>0.9707</v>
      </c>
      <c r="I1469" s="13" t="n">
        <v>0.9619</v>
      </c>
    </row>
    <row r="1470">
      <c r="A1470" s="10" t="inlineStr">
        <is>
          <t>PJ-2024-J</t>
        </is>
      </c>
      <c r="B1470" s="10" t="inlineStr">
        <is>
          <t>位置合わせ(MS指定)／月内均等</t>
        </is>
      </c>
      <c r="C1470" s="10" t="inlineStr">
        <is>
          <t>2026-05</t>
        </is>
      </c>
      <c r="D1470" s="10" t="n">
        <v>29</v>
      </c>
      <c r="E1470" s="12" t="n">
        <v>6260.4</v>
      </c>
      <c r="F1470" s="12" t="n">
        <v>10449.5</v>
      </c>
      <c r="G1470" s="12" t="n">
        <v>-4189.1</v>
      </c>
      <c r="H1470" s="13" t="n">
        <v>0.9888</v>
      </c>
      <c r="I1470" s="13" t="n">
        <v>0.9921</v>
      </c>
    </row>
    <row r="1471">
      <c r="A1471" s="10" t="inlineStr">
        <is>
          <t>PJ-2024-J</t>
        </is>
      </c>
      <c r="B1471" s="10" t="inlineStr">
        <is>
          <t>位置合わせ(MS指定)／月内均等</t>
        </is>
      </c>
      <c r="C1471" s="10" t="inlineStr">
        <is>
          <t>2026-06</t>
        </is>
      </c>
      <c r="D1471" s="10" t="n">
        <v>30</v>
      </c>
      <c r="E1471" s="12" t="n">
        <v>3861.8</v>
      </c>
      <c r="F1471" s="12" t="n">
        <v>2732.1</v>
      </c>
      <c r="G1471" s="12" t="n">
        <v>1129.7</v>
      </c>
      <c r="H1471" s="13" t="n">
        <v>1</v>
      </c>
      <c r="I1471" s="13" t="n">
        <v>1</v>
      </c>
    </row>
    <row r="1472">
      <c r="A1472" s="10" t="inlineStr">
        <is>
          <t>PJ-2024-J</t>
        </is>
      </c>
      <c r="B1472" s="10" t="inlineStr">
        <is>
          <t>素朴版／単調補間</t>
        </is>
      </c>
      <c r="C1472" s="10" t="inlineStr">
        <is>
          <t>2024-01</t>
        </is>
      </c>
      <c r="D1472" s="10" t="n">
        <v>1</v>
      </c>
      <c r="E1472" s="12" t="n">
        <v>4899.1</v>
      </c>
      <c r="F1472" s="12" t="n">
        <v>348</v>
      </c>
      <c r="G1472" s="12" t="n">
        <v>4551.1</v>
      </c>
      <c r="H1472" s="13" t="n">
        <v>0.0142</v>
      </c>
      <c r="I1472" s="13" t="n">
        <v>0.001</v>
      </c>
    </row>
    <row r="1473">
      <c r="A1473" s="10" t="inlineStr">
        <is>
          <t>PJ-2024-J</t>
        </is>
      </c>
      <c r="B1473" s="10" t="inlineStr">
        <is>
          <t>素朴版／単調補間</t>
        </is>
      </c>
      <c r="C1473" s="10" t="inlineStr">
        <is>
          <t>2024-02</t>
        </is>
      </c>
      <c r="D1473" s="10" t="n">
        <v>2</v>
      </c>
      <c r="E1473" s="12" t="n">
        <v>5690.2</v>
      </c>
      <c r="F1473" s="12" t="n">
        <v>930.5</v>
      </c>
      <c r="G1473" s="12" t="n">
        <v>4759.7</v>
      </c>
      <c r="H1473" s="13" t="n">
        <v>0.0306</v>
      </c>
      <c r="I1473" s="13" t="n">
        <v>0.0037</v>
      </c>
    </row>
    <row r="1474">
      <c r="A1474" s="10" t="inlineStr">
        <is>
          <t>PJ-2024-J</t>
        </is>
      </c>
      <c r="B1474" s="10" t="inlineStr">
        <is>
          <t>素朴版／単調補間</t>
        </is>
      </c>
      <c r="C1474" s="10" t="inlineStr">
        <is>
          <t>2024-03</t>
        </is>
      </c>
      <c r="D1474" s="10" t="n">
        <v>3</v>
      </c>
      <c r="E1474" s="12" t="n">
        <v>7032.6</v>
      </c>
      <c r="F1474" s="12" t="n">
        <v>1612.9</v>
      </c>
      <c r="G1474" s="12" t="n">
        <v>5419.7</v>
      </c>
      <c r="H1474" s="13" t="n">
        <v>0.0509</v>
      </c>
      <c r="I1474" s="13" t="n">
        <v>0.008399999999999999</v>
      </c>
    </row>
    <row r="1475">
      <c r="A1475" s="10" t="inlineStr">
        <is>
          <t>PJ-2024-J</t>
        </is>
      </c>
      <c r="B1475" s="10" t="inlineStr">
        <is>
          <t>素朴版／単調補間</t>
        </is>
      </c>
      <c r="C1475" s="10" t="inlineStr">
        <is>
          <t>2024-04</t>
        </is>
      </c>
      <c r="D1475" s="10" t="n">
        <v>4</v>
      </c>
      <c r="E1475" s="12" t="n">
        <v>7345</v>
      </c>
      <c r="F1475" s="12" t="n">
        <v>2251.7</v>
      </c>
      <c r="G1475" s="12" t="n">
        <v>5093.3</v>
      </c>
      <c r="H1475" s="13" t="n">
        <v>0.0722</v>
      </c>
      <c r="I1475" s="13" t="n">
        <v>0.0149</v>
      </c>
    </row>
    <row r="1476">
      <c r="A1476" s="10" t="inlineStr">
        <is>
          <t>PJ-2024-J</t>
        </is>
      </c>
      <c r="B1476" s="10" t="inlineStr">
        <is>
          <t>素朴版／単調補間</t>
        </is>
      </c>
      <c r="C1476" s="10" t="inlineStr">
        <is>
          <t>2024-05</t>
        </is>
      </c>
      <c r="D1476" s="10" t="n">
        <v>5</v>
      </c>
      <c r="E1476" s="12" t="n">
        <v>8322.799999999999</v>
      </c>
      <c r="F1476" s="12" t="n">
        <v>2953</v>
      </c>
      <c r="G1476" s="12" t="n">
        <v>5369.8</v>
      </c>
      <c r="H1476" s="13" t="n">
        <v>0.09619999999999999</v>
      </c>
      <c r="I1476" s="13" t="n">
        <v>0.0234</v>
      </c>
    </row>
    <row r="1477">
      <c r="A1477" s="10" t="inlineStr">
        <is>
          <t>PJ-2024-J</t>
        </is>
      </c>
      <c r="B1477" s="10" t="inlineStr">
        <is>
          <t>素朴版／単調補間</t>
        </is>
      </c>
      <c r="C1477" s="10" t="inlineStr">
        <is>
          <t>2024-06</t>
        </is>
      </c>
      <c r="D1477" s="10" t="n">
        <v>6</v>
      </c>
      <c r="E1477" s="12" t="n">
        <v>8226.6</v>
      </c>
      <c r="F1477" s="12" t="n">
        <v>3308.8</v>
      </c>
      <c r="G1477" s="12" t="n">
        <v>4917.8</v>
      </c>
      <c r="H1477" s="13" t="n">
        <v>0.12</v>
      </c>
      <c r="I1477" s="13" t="n">
        <v>0.033</v>
      </c>
    </row>
    <row r="1478">
      <c r="A1478" s="10" t="inlineStr">
        <is>
          <t>PJ-2024-J</t>
        </is>
      </c>
      <c r="B1478" s="10" t="inlineStr">
        <is>
          <t>素朴版／単調補間</t>
        </is>
      </c>
      <c r="C1478" s="10" t="inlineStr">
        <is>
          <t>2024-07</t>
        </is>
      </c>
      <c r="D1478" s="10" t="n">
        <v>7</v>
      </c>
      <c r="E1478" s="12" t="n">
        <v>9000.200000000001</v>
      </c>
      <c r="F1478" s="12" t="n">
        <v>4157.3</v>
      </c>
      <c r="G1478" s="12" t="n">
        <v>4842.9</v>
      </c>
      <c r="H1478" s="13" t="n">
        <v>0.146</v>
      </c>
      <c r="I1478" s="13" t="n">
        <v>0.045</v>
      </c>
    </row>
    <row r="1479">
      <c r="A1479" s="10" t="inlineStr">
        <is>
          <t>PJ-2024-J</t>
        </is>
      </c>
      <c r="B1479" s="10" t="inlineStr">
        <is>
          <t>素朴版／単調補間</t>
        </is>
      </c>
      <c r="C1479" s="10" t="inlineStr">
        <is>
          <t>2024-08</t>
        </is>
      </c>
      <c r="D1479" s="10" t="n">
        <v>8</v>
      </c>
      <c r="E1479" s="12" t="n">
        <v>9913.200000000001</v>
      </c>
      <c r="F1479" s="12" t="n">
        <v>5704.7</v>
      </c>
      <c r="G1479" s="12" t="n">
        <v>4208.5</v>
      </c>
      <c r="H1479" s="13" t="n">
        <v>0.1746</v>
      </c>
      <c r="I1479" s="13" t="n">
        <v>0.0615</v>
      </c>
    </row>
    <row r="1480">
      <c r="A1480" s="10" t="inlineStr">
        <is>
          <t>PJ-2024-J</t>
        </is>
      </c>
      <c r="B1480" s="10" t="inlineStr">
        <is>
          <t>素朴版／単調補間</t>
        </is>
      </c>
      <c r="C1480" s="10" t="inlineStr">
        <is>
          <t>2024-09</t>
        </is>
      </c>
      <c r="D1480" s="10" t="n">
        <v>9</v>
      </c>
      <c r="E1480" s="12" t="n">
        <v>11304.8</v>
      </c>
      <c r="F1480" s="12" t="n">
        <v>6443.3</v>
      </c>
      <c r="G1480" s="12" t="n">
        <v>4861.5</v>
      </c>
      <c r="H1480" s="13" t="n">
        <v>0.2073</v>
      </c>
      <c r="I1480" s="13" t="n">
        <v>0.0801</v>
      </c>
    </row>
    <row r="1481">
      <c r="A1481" s="10" t="inlineStr">
        <is>
          <t>PJ-2024-J</t>
        </is>
      </c>
      <c r="B1481" s="10" t="inlineStr">
        <is>
          <t>素朴版／単調補間</t>
        </is>
      </c>
      <c r="C1481" s="10" t="inlineStr">
        <is>
          <t>2024-10</t>
        </is>
      </c>
      <c r="D1481" s="10" t="n">
        <v>10</v>
      </c>
      <c r="E1481" s="12" t="n">
        <v>12963.8</v>
      </c>
      <c r="F1481" s="12" t="n">
        <v>7892.9</v>
      </c>
      <c r="G1481" s="12" t="n">
        <v>5070.9</v>
      </c>
      <c r="H1481" s="13" t="n">
        <v>0.2448</v>
      </c>
      <c r="I1481" s="13" t="n">
        <v>0.1029</v>
      </c>
    </row>
    <row r="1482">
      <c r="A1482" s="10" t="inlineStr">
        <is>
          <t>PJ-2024-J</t>
        </is>
      </c>
      <c r="B1482" s="10" t="inlineStr">
        <is>
          <t>素朴版／単調補間</t>
        </is>
      </c>
      <c r="C1482" s="10" t="inlineStr">
        <is>
          <t>2024-11</t>
        </is>
      </c>
      <c r="D1482" s="10" t="n">
        <v>11</v>
      </c>
      <c r="E1482" s="12" t="n">
        <v>13499.6</v>
      </c>
      <c r="F1482" s="12" t="n">
        <v>9044.6</v>
      </c>
      <c r="G1482" s="12" t="n">
        <v>4455</v>
      </c>
      <c r="H1482" s="13" t="n">
        <v>0.2838</v>
      </c>
      <c r="I1482" s="13" t="n">
        <v>0.129</v>
      </c>
    </row>
    <row r="1483">
      <c r="A1483" s="10" t="inlineStr">
        <is>
          <t>PJ-2024-J</t>
        </is>
      </c>
      <c r="B1483" s="10" t="inlineStr">
        <is>
          <t>素朴版／単調補間</t>
        </is>
      </c>
      <c r="C1483" s="10" t="inlineStr">
        <is>
          <t>2024-12</t>
        </is>
      </c>
      <c r="D1483" s="10" t="n">
        <v>12</v>
      </c>
      <c r="E1483" s="12" t="n">
        <v>15387.3</v>
      </c>
      <c r="F1483" s="12" t="n">
        <v>9905.1</v>
      </c>
      <c r="G1483" s="12" t="n">
        <v>5482.2</v>
      </c>
      <c r="H1483" s="13" t="n">
        <v>0.3283</v>
      </c>
      <c r="I1483" s="13" t="n">
        <v>0.1577</v>
      </c>
    </row>
    <row r="1484">
      <c r="A1484" s="10" t="inlineStr">
        <is>
          <t>PJ-2024-J</t>
        </is>
      </c>
      <c r="B1484" s="10" t="inlineStr">
        <is>
          <t>素朴版／単調補間</t>
        </is>
      </c>
      <c r="C1484" s="10" t="inlineStr">
        <is>
          <t>2025-01</t>
        </is>
      </c>
      <c r="D1484" s="10" t="n">
        <v>13</v>
      </c>
      <c r="E1484" s="12" t="n">
        <v>15484.8</v>
      </c>
      <c r="F1484" s="12" t="n">
        <v>10668.8</v>
      </c>
      <c r="G1484" s="12" t="n">
        <v>4816</v>
      </c>
      <c r="H1484" s="13" t="n">
        <v>0.373</v>
      </c>
      <c r="I1484" s="13" t="n">
        <v>0.1885</v>
      </c>
    </row>
    <row r="1485">
      <c r="A1485" s="10" t="inlineStr">
        <is>
          <t>PJ-2024-J</t>
        </is>
      </c>
      <c r="B1485" s="10" t="inlineStr">
        <is>
          <t>素朴版／単調補間</t>
        </is>
      </c>
      <c r="C1485" s="10" t="inlineStr">
        <is>
          <t>2025-02</t>
        </is>
      </c>
      <c r="D1485" s="10" t="n">
        <v>14</v>
      </c>
      <c r="E1485" s="12" t="n">
        <v>12803</v>
      </c>
      <c r="F1485" s="12" t="n">
        <v>10918.3</v>
      </c>
      <c r="G1485" s="12" t="n">
        <v>1884.7</v>
      </c>
      <c r="H1485" s="13" t="n">
        <v>0.41</v>
      </c>
      <c r="I1485" s="13" t="n">
        <v>0.22</v>
      </c>
    </row>
    <row r="1486">
      <c r="A1486" s="10" t="inlineStr">
        <is>
          <t>PJ-2024-J</t>
        </is>
      </c>
      <c r="B1486" s="10" t="inlineStr">
        <is>
          <t>素朴版／単調補間</t>
        </is>
      </c>
      <c r="C1486" s="10" t="inlineStr">
        <is>
          <t>2025-03</t>
        </is>
      </c>
      <c r="D1486" s="10" t="n">
        <v>15</v>
      </c>
      <c r="E1486" s="12" t="n">
        <v>13803.8</v>
      </c>
      <c r="F1486" s="12" t="n">
        <v>13702.5</v>
      </c>
      <c r="G1486" s="12" t="n">
        <v>101.3</v>
      </c>
      <c r="H1486" s="13" t="n">
        <v>0.4499</v>
      </c>
      <c r="I1486" s="13" t="n">
        <v>0.2596</v>
      </c>
    </row>
    <row r="1487">
      <c r="A1487" s="10" t="inlineStr">
        <is>
          <t>PJ-2024-J</t>
        </is>
      </c>
      <c r="B1487" s="10" t="inlineStr">
        <is>
          <t>素朴版／単調補間</t>
        </is>
      </c>
      <c r="C1487" s="10" t="inlineStr">
        <is>
          <t>2025-04</t>
        </is>
      </c>
      <c r="D1487" s="10" t="n">
        <v>16</v>
      </c>
      <c r="E1487" s="12" t="n">
        <v>14796.2</v>
      </c>
      <c r="F1487" s="12" t="n">
        <v>18909.3</v>
      </c>
      <c r="G1487" s="12" t="n">
        <v>-4113.1</v>
      </c>
      <c r="H1487" s="13" t="n">
        <v>0.4927</v>
      </c>
      <c r="I1487" s="13" t="n">
        <v>0.3143</v>
      </c>
    </row>
    <row r="1488">
      <c r="A1488" s="10" t="inlineStr">
        <is>
          <t>PJ-2024-J</t>
        </is>
      </c>
      <c r="B1488" s="10" t="inlineStr">
        <is>
          <t>素朴版／単調補間</t>
        </is>
      </c>
      <c r="C1488" s="10" t="inlineStr">
        <is>
          <t>2025-05</t>
        </is>
      </c>
      <c r="D1488" s="10" t="n">
        <v>17</v>
      </c>
      <c r="E1488" s="12" t="n">
        <v>15080.4</v>
      </c>
      <c r="F1488" s="12" t="n">
        <v>26126.9</v>
      </c>
      <c r="G1488" s="12" t="n">
        <v>-11046.5</v>
      </c>
      <c r="H1488" s="13" t="n">
        <v>0.5363</v>
      </c>
      <c r="I1488" s="13" t="n">
        <v>0.3898</v>
      </c>
    </row>
    <row r="1489">
      <c r="A1489" s="10" t="inlineStr">
        <is>
          <t>PJ-2024-J</t>
        </is>
      </c>
      <c r="B1489" s="10" t="inlineStr">
        <is>
          <t>素朴版／単調補間</t>
        </is>
      </c>
      <c r="C1489" s="10" t="inlineStr">
        <is>
          <t>2025-06</t>
        </is>
      </c>
      <c r="D1489" s="10" t="n">
        <v>18</v>
      </c>
      <c r="E1489" s="12" t="n">
        <v>14722.3</v>
      </c>
      <c r="F1489" s="12" t="n">
        <v>31246.9</v>
      </c>
      <c r="G1489" s="12" t="n">
        <v>-16524.6</v>
      </c>
      <c r="H1489" s="13" t="n">
        <v>0.5788</v>
      </c>
      <c r="I1489" s="13" t="n">
        <v>0.4801</v>
      </c>
    </row>
    <row r="1490">
      <c r="A1490" s="10" t="inlineStr">
        <is>
          <t>PJ-2024-J</t>
        </is>
      </c>
      <c r="B1490" s="10" t="inlineStr">
        <is>
          <t>素朴版／単調補間</t>
        </is>
      </c>
      <c r="C1490" s="10" t="inlineStr">
        <is>
          <t>2025-07</t>
        </is>
      </c>
      <c r="D1490" s="10" t="n">
        <v>19</v>
      </c>
      <c r="E1490" s="12" t="n">
        <v>17078.7</v>
      </c>
      <c r="F1490" s="12" t="n">
        <v>28601.2</v>
      </c>
      <c r="G1490" s="12" t="n">
        <v>-11522.5</v>
      </c>
      <c r="H1490" s="13" t="n">
        <v>0.6282</v>
      </c>
      <c r="I1490" s="13" t="n">
        <v>0.5628</v>
      </c>
    </row>
    <row r="1491">
      <c r="A1491" s="10" t="inlineStr">
        <is>
          <t>PJ-2024-J</t>
        </is>
      </c>
      <c r="B1491" s="10" t="inlineStr">
        <is>
          <t>素朴版／単調補間</t>
        </is>
      </c>
      <c r="C1491" s="10" t="inlineStr">
        <is>
          <t>2025-08</t>
        </is>
      </c>
      <c r="D1491" s="10" t="n">
        <v>20</v>
      </c>
      <c r="E1491" s="12" t="n">
        <v>16717.4</v>
      </c>
      <c r="F1491" s="12" t="n">
        <v>25939.3</v>
      </c>
      <c r="G1491" s="12" t="n">
        <v>-9221.9</v>
      </c>
      <c r="H1491" s="13" t="n">
        <v>0.6765</v>
      </c>
      <c r="I1491" s="13" t="n">
        <v>0.6377</v>
      </c>
    </row>
    <row r="1492">
      <c r="A1492" s="10" t="inlineStr">
        <is>
          <t>PJ-2024-J</t>
        </is>
      </c>
      <c r="B1492" s="10" t="inlineStr">
        <is>
          <t>素朴版／単調補間</t>
        </is>
      </c>
      <c r="C1492" s="10" t="inlineStr">
        <is>
          <t>2025-09</t>
        </is>
      </c>
      <c r="D1492" s="10" t="n">
        <v>21</v>
      </c>
      <c r="E1492" s="12" t="n">
        <v>15263.4</v>
      </c>
      <c r="F1492" s="12" t="n">
        <v>20944.7</v>
      </c>
      <c r="G1492" s="12" t="n">
        <v>-5681.3</v>
      </c>
      <c r="H1492" s="13" t="n">
        <v>0.7206</v>
      </c>
      <c r="I1492" s="13" t="n">
        <v>0.6983</v>
      </c>
    </row>
    <row r="1493">
      <c r="A1493" s="10" t="inlineStr">
        <is>
          <t>PJ-2024-J</t>
        </is>
      </c>
      <c r="B1493" s="10" t="inlineStr">
        <is>
          <t>素朴版／単調補間</t>
        </is>
      </c>
      <c r="C1493" s="10" t="inlineStr">
        <is>
          <t>2025-10</t>
        </is>
      </c>
      <c r="D1493" s="10" t="n">
        <v>22</v>
      </c>
      <c r="E1493" s="12" t="n">
        <v>15169.9</v>
      </c>
      <c r="F1493" s="12" t="n">
        <v>14367.8</v>
      </c>
      <c r="G1493" s="12" t="n">
        <v>802.1</v>
      </c>
      <c r="H1493" s="13" t="n">
        <v>0.7644</v>
      </c>
      <c r="I1493" s="13" t="n">
        <v>0.7398</v>
      </c>
    </row>
    <row r="1494">
      <c r="A1494" s="10" t="inlineStr">
        <is>
          <t>PJ-2024-J</t>
        </is>
      </c>
      <c r="B1494" s="10" t="inlineStr">
        <is>
          <t>素朴版／単調補間</t>
        </is>
      </c>
      <c r="C1494" s="10" t="inlineStr">
        <is>
          <t>2025-11</t>
        </is>
      </c>
      <c r="D1494" s="10" t="n">
        <v>23</v>
      </c>
      <c r="E1494" s="12" t="n">
        <v>14356.7</v>
      </c>
      <c r="F1494" s="12" t="n">
        <v>16461.6</v>
      </c>
      <c r="G1494" s="12" t="n">
        <v>-2104.9</v>
      </c>
      <c r="H1494" s="13" t="n">
        <v>0.8058999999999999</v>
      </c>
      <c r="I1494" s="13" t="n">
        <v>0.7874</v>
      </c>
    </row>
    <row r="1495">
      <c r="A1495" s="10" t="inlineStr">
        <is>
          <t>PJ-2024-J</t>
        </is>
      </c>
      <c r="B1495" s="10" t="inlineStr">
        <is>
          <t>素朴版／単調補間</t>
        </is>
      </c>
      <c r="C1495" s="10" t="inlineStr">
        <is>
          <t>2025-12</t>
        </is>
      </c>
      <c r="D1495" s="10" t="n">
        <v>24</v>
      </c>
      <c r="E1495" s="12" t="n">
        <v>15062.4</v>
      </c>
      <c r="F1495" s="12" t="n">
        <v>17876.1</v>
      </c>
      <c r="G1495" s="12" t="n">
        <v>-2813.7</v>
      </c>
      <c r="H1495" s="13" t="n">
        <v>0.8495</v>
      </c>
      <c r="I1495" s="13" t="n">
        <v>0.839</v>
      </c>
    </row>
    <row r="1496">
      <c r="A1496" s="10" t="inlineStr">
        <is>
          <t>PJ-2024-J</t>
        </is>
      </c>
      <c r="B1496" s="10" t="inlineStr">
        <is>
          <t>素朴版／単調補間</t>
        </is>
      </c>
      <c r="C1496" s="10" t="inlineStr">
        <is>
          <t>2026-01</t>
        </is>
      </c>
      <c r="D1496" s="10" t="n">
        <v>25</v>
      </c>
      <c r="E1496" s="12" t="n">
        <v>14435.1</v>
      </c>
      <c r="F1496" s="12" t="n">
        <v>14931.3</v>
      </c>
      <c r="G1496" s="12" t="n">
        <v>-496.2</v>
      </c>
      <c r="H1496" s="13" t="n">
        <v>0.8912</v>
      </c>
      <c r="I1496" s="13" t="n">
        <v>0.8822</v>
      </c>
    </row>
    <row r="1497">
      <c r="A1497" s="10" t="inlineStr">
        <is>
          <t>PJ-2024-J</t>
        </is>
      </c>
      <c r="B1497" s="10" t="inlineStr">
        <is>
          <t>素朴版／単調補間</t>
        </is>
      </c>
      <c r="C1497" s="10" t="inlineStr">
        <is>
          <t>2026-02</t>
        </is>
      </c>
      <c r="D1497" s="10" t="n">
        <v>26</v>
      </c>
      <c r="E1497" s="12" t="n">
        <v>10856.4</v>
      </c>
      <c r="F1497" s="12" t="n">
        <v>10014.8</v>
      </c>
      <c r="G1497" s="12" t="n">
        <v>841.6</v>
      </c>
      <c r="H1497" s="13" t="n">
        <v>0.9225</v>
      </c>
      <c r="I1497" s="13" t="n">
        <v>0.9111</v>
      </c>
    </row>
    <row r="1498">
      <c r="A1498" s="10" t="inlineStr">
        <is>
          <t>PJ-2024-J</t>
        </is>
      </c>
      <c r="B1498" s="10" t="inlineStr">
        <is>
          <t>素朴版／単調補間</t>
        </is>
      </c>
      <c r="C1498" s="10" t="inlineStr">
        <is>
          <t>2026-03</t>
        </is>
      </c>
      <c r="D1498" s="10" t="n">
        <v>27</v>
      </c>
      <c r="E1498" s="12" t="n">
        <v>9736.6</v>
      </c>
      <c r="F1498" s="12" t="n">
        <v>9594.1</v>
      </c>
      <c r="G1498" s="12" t="n">
        <v>142.5</v>
      </c>
      <c r="H1498" s="13" t="n">
        <v>0.9507</v>
      </c>
      <c r="I1498" s="13" t="n">
        <v>0.9389</v>
      </c>
    </row>
    <row r="1499">
      <c r="A1499" s="10" t="inlineStr">
        <is>
          <t>PJ-2024-J</t>
        </is>
      </c>
      <c r="B1499" s="10" t="inlineStr">
        <is>
          <t>素朴版／単調補間</t>
        </is>
      </c>
      <c r="C1499" s="10" t="inlineStr">
        <is>
          <t>2026-04</t>
        </is>
      </c>
      <c r="D1499" s="10" t="n">
        <v>28</v>
      </c>
      <c r="E1499" s="12" t="n">
        <v>7930.9</v>
      </c>
      <c r="F1499" s="12" t="n">
        <v>7976.6</v>
      </c>
      <c r="G1499" s="12" t="n">
        <v>-45.7</v>
      </c>
      <c r="H1499" s="13" t="n">
        <v>0.9736</v>
      </c>
      <c r="I1499" s="13" t="n">
        <v>0.9619</v>
      </c>
    </row>
    <row r="1500">
      <c r="A1500" s="10" t="inlineStr">
        <is>
          <t>PJ-2024-J</t>
        </is>
      </c>
      <c r="B1500" s="10" t="inlineStr">
        <is>
          <t>素朴版／単調補間</t>
        </is>
      </c>
      <c r="C1500" s="10" t="inlineStr">
        <is>
          <t>2026-05</t>
        </is>
      </c>
      <c r="D1500" s="10" t="n">
        <v>29</v>
      </c>
      <c r="E1500" s="12" t="n">
        <v>5764.4</v>
      </c>
      <c r="F1500" s="12" t="n">
        <v>10449.5</v>
      </c>
      <c r="G1500" s="12" t="n">
        <v>-4685.1</v>
      </c>
      <c r="H1500" s="13" t="n">
        <v>0.9903</v>
      </c>
      <c r="I1500" s="13" t="n">
        <v>0.9921</v>
      </c>
    </row>
    <row r="1501">
      <c r="A1501" s="10" t="inlineStr">
        <is>
          <t>PJ-2024-J</t>
        </is>
      </c>
      <c r="B1501" s="10" t="inlineStr">
        <is>
          <t>素朴版／単調補間</t>
        </is>
      </c>
      <c r="C1501" s="10" t="inlineStr">
        <is>
          <t>2026-06</t>
        </is>
      </c>
      <c r="D1501" s="10" t="n">
        <v>30</v>
      </c>
      <c r="E1501" s="12" t="n">
        <v>3367.1</v>
      </c>
      <c r="F1501" s="12" t="n">
        <v>2732.1</v>
      </c>
      <c r="G1501" s="12" t="n">
        <v>635</v>
      </c>
      <c r="H1501" s="13" t="n">
        <v>1</v>
      </c>
      <c r="I1501" s="13" t="n">
        <v>1</v>
      </c>
    </row>
    <row r="1502">
      <c r="A1502" s="10" t="inlineStr">
        <is>
          <t>PJ-2024-J</t>
        </is>
      </c>
      <c r="B1502" s="10" t="inlineStr">
        <is>
          <t>位置合わせ(MS学習値)／単調補間</t>
        </is>
      </c>
      <c r="C1502" s="10" t="inlineStr">
        <is>
          <t>2024-01</t>
        </is>
      </c>
      <c r="D1502" s="10" t="n">
        <v>1</v>
      </c>
      <c r="E1502" s="12" t="n">
        <v>4907.3</v>
      </c>
      <c r="F1502" s="12" t="n">
        <v>348</v>
      </c>
      <c r="G1502" s="12" t="n">
        <v>4559.3</v>
      </c>
      <c r="H1502" s="13" t="n">
        <v>0.0142</v>
      </c>
      <c r="I1502" s="13" t="n">
        <v>0.001</v>
      </c>
    </row>
    <row r="1503">
      <c r="A1503" s="10" t="inlineStr">
        <is>
          <t>PJ-2024-J</t>
        </is>
      </c>
      <c r="B1503" s="10" t="inlineStr">
        <is>
          <t>位置合わせ(MS学習値)／単調補間</t>
        </is>
      </c>
      <c r="C1503" s="10" t="inlineStr">
        <is>
          <t>2024-02</t>
        </is>
      </c>
      <c r="D1503" s="10" t="n">
        <v>2</v>
      </c>
      <c r="E1503" s="12" t="n">
        <v>5605.1</v>
      </c>
      <c r="F1503" s="12" t="n">
        <v>930.5</v>
      </c>
      <c r="G1503" s="12" t="n">
        <v>4674.6</v>
      </c>
      <c r="H1503" s="13" t="n">
        <v>0.0304</v>
      </c>
      <c r="I1503" s="13" t="n">
        <v>0.0037</v>
      </c>
    </row>
    <row r="1504">
      <c r="A1504" s="10" t="inlineStr">
        <is>
          <t>PJ-2024-J</t>
        </is>
      </c>
      <c r="B1504" s="10" t="inlineStr">
        <is>
          <t>位置合わせ(MS学習値)／単調補間</t>
        </is>
      </c>
      <c r="C1504" s="10" t="inlineStr">
        <is>
          <t>2024-03</t>
        </is>
      </c>
      <c r="D1504" s="10" t="n">
        <v>3</v>
      </c>
      <c r="E1504" s="12" t="n">
        <v>7007.3</v>
      </c>
      <c r="F1504" s="12" t="n">
        <v>1612.9</v>
      </c>
      <c r="G1504" s="12" t="n">
        <v>5394.4</v>
      </c>
      <c r="H1504" s="13" t="n">
        <v>0.0506</v>
      </c>
      <c r="I1504" s="13" t="n">
        <v>0.008399999999999999</v>
      </c>
    </row>
    <row r="1505">
      <c r="A1505" s="10" t="inlineStr">
        <is>
          <t>PJ-2024-J</t>
        </is>
      </c>
      <c r="B1505" s="10" t="inlineStr">
        <is>
          <t>位置合わせ(MS学習値)／単調補間</t>
        </is>
      </c>
      <c r="C1505" s="10" t="inlineStr">
        <is>
          <t>2024-04</t>
        </is>
      </c>
      <c r="D1505" s="10" t="n">
        <v>4</v>
      </c>
      <c r="E1505" s="12" t="n">
        <v>7202.2</v>
      </c>
      <c r="F1505" s="12" t="n">
        <v>2251.7</v>
      </c>
      <c r="G1505" s="12" t="n">
        <v>4950.5</v>
      </c>
      <c r="H1505" s="13" t="n">
        <v>0.07140000000000001</v>
      </c>
      <c r="I1505" s="13" t="n">
        <v>0.0149</v>
      </c>
    </row>
    <row r="1506">
      <c r="A1506" s="10" t="inlineStr">
        <is>
          <t>PJ-2024-J</t>
        </is>
      </c>
      <c r="B1506" s="10" t="inlineStr">
        <is>
          <t>位置合わせ(MS学習値)／単調補間</t>
        </is>
      </c>
      <c r="C1506" s="10" t="inlineStr">
        <is>
          <t>2024-05</t>
        </is>
      </c>
      <c r="D1506" s="10" t="n">
        <v>5</v>
      </c>
      <c r="E1506" s="12" t="n">
        <v>8236.4</v>
      </c>
      <c r="F1506" s="12" t="n">
        <v>2953</v>
      </c>
      <c r="G1506" s="12" t="n">
        <v>5283.4</v>
      </c>
      <c r="H1506" s="13" t="n">
        <v>0.0953</v>
      </c>
      <c r="I1506" s="13" t="n">
        <v>0.0234</v>
      </c>
    </row>
    <row r="1507">
      <c r="A1507" s="10" t="inlineStr">
        <is>
          <t>PJ-2024-J</t>
        </is>
      </c>
      <c r="B1507" s="10" t="inlineStr">
        <is>
          <t>位置合わせ(MS学習値)／単調補間</t>
        </is>
      </c>
      <c r="C1507" s="10" t="inlineStr">
        <is>
          <t>2024-06</t>
        </is>
      </c>
      <c r="D1507" s="10" t="n">
        <v>6</v>
      </c>
      <c r="E1507" s="12" t="n">
        <v>8054.2</v>
      </c>
      <c r="F1507" s="12" t="n">
        <v>3308.8</v>
      </c>
      <c r="G1507" s="12" t="n">
        <v>4745.4</v>
      </c>
      <c r="H1507" s="13" t="n">
        <v>0.1185</v>
      </c>
      <c r="I1507" s="13" t="n">
        <v>0.033</v>
      </c>
    </row>
    <row r="1508">
      <c r="A1508" s="10" t="inlineStr">
        <is>
          <t>PJ-2024-J</t>
        </is>
      </c>
      <c r="B1508" s="10" t="inlineStr">
        <is>
          <t>位置合わせ(MS学習値)／単調補間</t>
        </is>
      </c>
      <c r="C1508" s="10" t="inlineStr">
        <is>
          <t>2024-07</t>
        </is>
      </c>
      <c r="D1508" s="10" t="n">
        <v>7</v>
      </c>
      <c r="E1508" s="12" t="n">
        <v>8893.200000000001</v>
      </c>
      <c r="F1508" s="12" t="n">
        <v>4157.3</v>
      </c>
      <c r="G1508" s="12" t="n">
        <v>4735.9</v>
      </c>
      <c r="H1508" s="13" t="n">
        <v>0.1442</v>
      </c>
      <c r="I1508" s="13" t="n">
        <v>0.045</v>
      </c>
    </row>
    <row r="1509">
      <c r="A1509" s="10" t="inlineStr">
        <is>
          <t>PJ-2024-J</t>
        </is>
      </c>
      <c r="B1509" s="10" t="inlineStr">
        <is>
          <t>位置合わせ(MS学習値)／単調補間</t>
        </is>
      </c>
      <c r="C1509" s="10" t="inlineStr">
        <is>
          <t>2024-08</t>
        </is>
      </c>
      <c r="D1509" s="10" t="n">
        <v>8</v>
      </c>
      <c r="E1509" s="12" t="n">
        <v>9597.799999999999</v>
      </c>
      <c r="F1509" s="12" t="n">
        <v>5704.7</v>
      </c>
      <c r="G1509" s="12" t="n">
        <v>3893.1</v>
      </c>
      <c r="H1509" s="13" t="n">
        <v>0.172</v>
      </c>
      <c r="I1509" s="13" t="n">
        <v>0.0615</v>
      </c>
    </row>
    <row r="1510">
      <c r="A1510" s="10" t="inlineStr">
        <is>
          <t>PJ-2024-J</t>
        </is>
      </c>
      <c r="B1510" s="10" t="inlineStr">
        <is>
          <t>位置合わせ(MS学習値)／単調補間</t>
        </is>
      </c>
      <c r="C1510" s="10" t="inlineStr">
        <is>
          <t>2024-09</t>
        </is>
      </c>
      <c r="D1510" s="10" t="n">
        <v>9</v>
      </c>
      <c r="E1510" s="12" t="n">
        <v>10131.7</v>
      </c>
      <c r="F1510" s="12" t="n">
        <v>6443.3</v>
      </c>
      <c r="G1510" s="12" t="n">
        <v>3688.4</v>
      </c>
      <c r="H1510" s="13" t="n">
        <v>0.2012</v>
      </c>
      <c r="I1510" s="13" t="n">
        <v>0.0801</v>
      </c>
    </row>
    <row r="1511">
      <c r="A1511" s="10" t="inlineStr">
        <is>
          <t>PJ-2024-J</t>
        </is>
      </c>
      <c r="B1511" s="10" t="inlineStr">
        <is>
          <t>位置合わせ(MS学習値)／単調補間</t>
        </is>
      </c>
      <c r="C1511" s="10" t="inlineStr">
        <is>
          <t>2024-10</t>
        </is>
      </c>
      <c r="D1511" s="10" t="n">
        <v>10</v>
      </c>
      <c r="E1511" s="12" t="n">
        <v>12037.5</v>
      </c>
      <c r="F1511" s="12" t="n">
        <v>7892.9</v>
      </c>
      <c r="G1511" s="12" t="n">
        <v>4144.6</v>
      </c>
      <c r="H1511" s="13" t="n">
        <v>0.236</v>
      </c>
      <c r="I1511" s="13" t="n">
        <v>0.1029</v>
      </c>
    </row>
    <row r="1512">
      <c r="A1512" s="10" t="inlineStr">
        <is>
          <t>PJ-2024-J</t>
        </is>
      </c>
      <c r="B1512" s="10" t="inlineStr">
        <is>
          <t>位置合わせ(MS学習値)／単調補間</t>
        </is>
      </c>
      <c r="C1512" s="10" t="inlineStr">
        <is>
          <t>2024-11</t>
        </is>
      </c>
      <c r="D1512" s="10" t="n">
        <v>11</v>
      </c>
      <c r="E1512" s="12" t="n">
        <v>12767</v>
      </c>
      <c r="F1512" s="12" t="n">
        <v>9044.6</v>
      </c>
      <c r="G1512" s="12" t="n">
        <v>3722.4</v>
      </c>
      <c r="H1512" s="13" t="n">
        <v>0.2729</v>
      </c>
      <c r="I1512" s="13" t="n">
        <v>0.129</v>
      </c>
    </row>
    <row r="1513">
      <c r="A1513" s="10" t="inlineStr">
        <is>
          <t>PJ-2024-J</t>
        </is>
      </c>
      <c r="B1513" s="10" t="inlineStr">
        <is>
          <t>位置合わせ(MS学習値)／単調補間</t>
        </is>
      </c>
      <c r="C1513" s="10" t="inlineStr">
        <is>
          <t>2024-12</t>
        </is>
      </c>
      <c r="D1513" s="10" t="n">
        <v>12</v>
      </c>
      <c r="E1513" s="12" t="n">
        <v>14012.2</v>
      </c>
      <c r="F1513" s="12" t="n">
        <v>9905.1</v>
      </c>
      <c r="G1513" s="12" t="n">
        <v>4107.1</v>
      </c>
      <c r="H1513" s="13" t="n">
        <v>0.3134</v>
      </c>
      <c r="I1513" s="13" t="n">
        <v>0.1577</v>
      </c>
    </row>
    <row r="1514">
      <c r="A1514" s="10" t="inlineStr">
        <is>
          <t>PJ-2024-J</t>
        </is>
      </c>
      <c r="B1514" s="10" t="inlineStr">
        <is>
          <t>位置合わせ(MS学習値)／単調補間</t>
        </is>
      </c>
      <c r="C1514" s="10" t="inlineStr">
        <is>
          <t>2025-01</t>
        </is>
      </c>
      <c r="D1514" s="10" t="n">
        <v>13</v>
      </c>
      <c r="E1514" s="12" t="n">
        <v>14865.3</v>
      </c>
      <c r="F1514" s="12" t="n">
        <v>10668.8</v>
      </c>
      <c r="G1514" s="12" t="n">
        <v>4196.5</v>
      </c>
      <c r="H1514" s="13" t="n">
        <v>0.3564</v>
      </c>
      <c r="I1514" s="13" t="n">
        <v>0.1885</v>
      </c>
    </row>
    <row r="1515">
      <c r="A1515" s="10" t="inlineStr">
        <is>
          <t>PJ-2024-J</t>
        </is>
      </c>
      <c r="B1515" s="10" t="inlineStr">
        <is>
          <t>位置合わせ(MS学習値)／単調補間</t>
        </is>
      </c>
      <c r="C1515" s="10" t="inlineStr">
        <is>
          <t>2025-02</t>
        </is>
      </c>
      <c r="D1515" s="10" t="n">
        <v>14</v>
      </c>
      <c r="E1515" s="12" t="n">
        <v>14473.6</v>
      </c>
      <c r="F1515" s="12" t="n">
        <v>10918.3</v>
      </c>
      <c r="G1515" s="12" t="n">
        <v>3555.3</v>
      </c>
      <c r="H1515" s="13" t="n">
        <v>0.3982</v>
      </c>
      <c r="I1515" s="13" t="n">
        <v>0.22</v>
      </c>
    </row>
    <row r="1516">
      <c r="A1516" s="10" t="inlineStr">
        <is>
          <t>PJ-2024-J</t>
        </is>
      </c>
      <c r="B1516" s="10" t="inlineStr">
        <is>
          <t>位置合わせ(MS学習値)／単調補間</t>
        </is>
      </c>
      <c r="C1516" s="10" t="inlineStr">
        <is>
          <t>2025-03</t>
        </is>
      </c>
      <c r="D1516" s="10" t="n">
        <v>15</v>
      </c>
      <c r="E1516" s="12" t="n">
        <v>16953.6</v>
      </c>
      <c r="F1516" s="12" t="n">
        <v>13702.5</v>
      </c>
      <c r="G1516" s="12" t="n">
        <v>3251.1</v>
      </c>
      <c r="H1516" s="13" t="n">
        <v>0.4472</v>
      </c>
      <c r="I1516" s="13" t="n">
        <v>0.2596</v>
      </c>
    </row>
    <row r="1517">
      <c r="A1517" s="10" t="inlineStr">
        <is>
          <t>PJ-2024-J</t>
        </is>
      </c>
      <c r="B1517" s="10" t="inlineStr">
        <is>
          <t>位置合わせ(MS学習値)／単調補間</t>
        </is>
      </c>
      <c r="C1517" s="10" t="inlineStr">
        <is>
          <t>2025-04</t>
        </is>
      </c>
      <c r="D1517" s="10" t="n">
        <v>16</v>
      </c>
      <c r="E1517" s="12" t="n">
        <v>16226.6</v>
      </c>
      <c r="F1517" s="12" t="n">
        <v>18909.3</v>
      </c>
      <c r="G1517" s="12" t="n">
        <v>-2682.7</v>
      </c>
      <c r="H1517" s="13" t="n">
        <v>0.4941</v>
      </c>
      <c r="I1517" s="13" t="n">
        <v>0.3143</v>
      </c>
    </row>
    <row r="1518">
      <c r="A1518" s="10" t="inlineStr">
        <is>
          <t>PJ-2024-J</t>
        </is>
      </c>
      <c r="B1518" s="10" t="inlineStr">
        <is>
          <t>位置合わせ(MS学習値)／単調補間</t>
        </is>
      </c>
      <c r="C1518" s="10" t="inlineStr">
        <is>
          <t>2025-05</t>
        </is>
      </c>
      <c r="D1518" s="10" t="n">
        <v>17</v>
      </c>
      <c r="E1518" s="12" t="n">
        <v>16560.5</v>
      </c>
      <c r="F1518" s="12" t="n">
        <v>26126.9</v>
      </c>
      <c r="G1518" s="12" t="n">
        <v>-9566.4</v>
      </c>
      <c r="H1518" s="13" t="n">
        <v>0.542</v>
      </c>
      <c r="I1518" s="13" t="n">
        <v>0.3898</v>
      </c>
    </row>
    <row r="1519">
      <c r="A1519" s="10" t="inlineStr">
        <is>
          <t>PJ-2024-J</t>
        </is>
      </c>
      <c r="B1519" s="10" t="inlineStr">
        <is>
          <t>位置合わせ(MS学習値)／単調補間</t>
        </is>
      </c>
      <c r="C1519" s="10" t="inlineStr">
        <is>
          <t>2025-06</t>
        </is>
      </c>
      <c r="D1519" s="10" t="n">
        <v>18</v>
      </c>
      <c r="E1519" s="12" t="n">
        <v>15471.7</v>
      </c>
      <c r="F1519" s="12" t="n">
        <v>31246.9</v>
      </c>
      <c r="G1519" s="12" t="n">
        <v>-15775.2</v>
      </c>
      <c r="H1519" s="13" t="n">
        <v>0.5867</v>
      </c>
      <c r="I1519" s="13" t="n">
        <v>0.4801</v>
      </c>
    </row>
    <row r="1520">
      <c r="A1520" s="10" t="inlineStr">
        <is>
          <t>PJ-2024-J</t>
        </is>
      </c>
      <c r="B1520" s="10" t="inlineStr">
        <is>
          <t>位置合わせ(MS学習値)／単調補間</t>
        </is>
      </c>
      <c r="C1520" s="10" t="inlineStr">
        <is>
          <t>2025-07</t>
        </is>
      </c>
      <c r="D1520" s="10" t="n">
        <v>19</v>
      </c>
      <c r="E1520" s="12" t="n">
        <v>15923.1</v>
      </c>
      <c r="F1520" s="12" t="n">
        <v>28601.2</v>
      </c>
      <c r="G1520" s="12" t="n">
        <v>-12678.1</v>
      </c>
      <c r="H1520" s="13" t="n">
        <v>0.6327</v>
      </c>
      <c r="I1520" s="13" t="n">
        <v>0.5628</v>
      </c>
    </row>
    <row r="1521">
      <c r="A1521" s="10" t="inlineStr">
        <is>
          <t>PJ-2024-J</t>
        </is>
      </c>
      <c r="B1521" s="10" t="inlineStr">
        <is>
          <t>位置合わせ(MS学習値)／単調補間</t>
        </is>
      </c>
      <c r="C1521" s="10" t="inlineStr">
        <is>
          <t>2025-08</t>
        </is>
      </c>
      <c r="D1521" s="10" t="n">
        <v>20</v>
      </c>
      <c r="E1521" s="12" t="n">
        <v>16314.9</v>
      </c>
      <c r="F1521" s="12" t="n">
        <v>25939.3</v>
      </c>
      <c r="G1521" s="12" t="n">
        <v>-9624.4</v>
      </c>
      <c r="H1521" s="13" t="n">
        <v>0.6798999999999999</v>
      </c>
      <c r="I1521" s="13" t="n">
        <v>0.6377</v>
      </c>
    </row>
    <row r="1522">
      <c r="A1522" s="10" t="inlineStr">
        <is>
          <t>PJ-2024-J</t>
        </is>
      </c>
      <c r="B1522" s="10" t="inlineStr">
        <is>
          <t>位置合わせ(MS学習値)／単調補間</t>
        </is>
      </c>
      <c r="C1522" s="10" t="inlineStr">
        <is>
          <t>2025-09</t>
        </is>
      </c>
      <c r="D1522" s="10" t="n">
        <v>21</v>
      </c>
      <c r="E1522" s="12" t="n">
        <v>16572.3</v>
      </c>
      <c r="F1522" s="12" t="n">
        <v>20944.7</v>
      </c>
      <c r="G1522" s="12" t="n">
        <v>-4372.4</v>
      </c>
      <c r="H1522" s="13" t="n">
        <v>0.7278</v>
      </c>
      <c r="I1522" s="13" t="n">
        <v>0.6983</v>
      </c>
    </row>
    <row r="1523">
      <c r="A1523" s="10" t="inlineStr">
        <is>
          <t>PJ-2024-J</t>
        </is>
      </c>
      <c r="B1523" s="10" t="inlineStr">
        <is>
          <t>位置合わせ(MS学習値)／単調補間</t>
        </is>
      </c>
      <c r="C1523" s="10" t="inlineStr">
        <is>
          <t>2025-10</t>
        </is>
      </c>
      <c r="D1523" s="10" t="n">
        <v>22</v>
      </c>
      <c r="E1523" s="12" t="n">
        <v>16671.4</v>
      </c>
      <c r="F1523" s="12" t="n">
        <v>14367.8</v>
      </c>
      <c r="G1523" s="12" t="n">
        <v>2303.6</v>
      </c>
      <c r="H1523" s="13" t="n">
        <v>0.7759</v>
      </c>
      <c r="I1523" s="13" t="n">
        <v>0.7398</v>
      </c>
    </row>
    <row r="1524">
      <c r="A1524" s="10" t="inlineStr">
        <is>
          <t>PJ-2024-J</t>
        </is>
      </c>
      <c r="B1524" s="10" t="inlineStr">
        <is>
          <t>位置合わせ(MS学習値)／単調補間</t>
        </is>
      </c>
      <c r="C1524" s="10" t="inlineStr">
        <is>
          <t>2025-11</t>
        </is>
      </c>
      <c r="D1524" s="10" t="n">
        <v>23</v>
      </c>
      <c r="E1524" s="12" t="n">
        <v>15239</v>
      </c>
      <c r="F1524" s="12" t="n">
        <v>16461.6</v>
      </c>
      <c r="G1524" s="12" t="n">
        <v>-1222.6</v>
      </c>
      <c r="H1524" s="13" t="n">
        <v>0.82</v>
      </c>
      <c r="I1524" s="13" t="n">
        <v>0.7874</v>
      </c>
    </row>
    <row r="1525">
      <c r="A1525" s="10" t="inlineStr">
        <is>
          <t>PJ-2024-J</t>
        </is>
      </c>
      <c r="B1525" s="10" t="inlineStr">
        <is>
          <t>位置合わせ(MS学習値)／単調補間</t>
        </is>
      </c>
      <c r="C1525" s="10" t="inlineStr">
        <is>
          <t>2025-12</t>
        </is>
      </c>
      <c r="D1525" s="10" t="n">
        <v>24</v>
      </c>
      <c r="E1525" s="12" t="n">
        <v>13575.2</v>
      </c>
      <c r="F1525" s="12" t="n">
        <v>17876.1</v>
      </c>
      <c r="G1525" s="12" t="n">
        <v>-4300.9</v>
      </c>
      <c r="H1525" s="13" t="n">
        <v>0.8592</v>
      </c>
      <c r="I1525" s="13" t="n">
        <v>0.839</v>
      </c>
    </row>
    <row r="1526">
      <c r="A1526" s="10" t="inlineStr">
        <is>
          <t>PJ-2024-J</t>
        </is>
      </c>
      <c r="B1526" s="10" t="inlineStr">
        <is>
          <t>位置合わせ(MS学習値)／単調補間</t>
        </is>
      </c>
      <c r="C1526" s="10" t="inlineStr">
        <is>
          <t>2026-01</t>
        </is>
      </c>
      <c r="D1526" s="10" t="n">
        <v>25</v>
      </c>
      <c r="E1526" s="12" t="n">
        <v>12326.1</v>
      </c>
      <c r="F1526" s="12" t="n">
        <v>14931.3</v>
      </c>
      <c r="G1526" s="12" t="n">
        <v>-2605.2</v>
      </c>
      <c r="H1526" s="13" t="n">
        <v>0.8948</v>
      </c>
      <c r="I1526" s="13" t="n">
        <v>0.8822</v>
      </c>
    </row>
    <row r="1527">
      <c r="A1527" s="10" t="inlineStr">
        <is>
          <t>PJ-2024-J</t>
        </is>
      </c>
      <c r="B1527" s="10" t="inlineStr">
        <is>
          <t>位置合わせ(MS学習値)／単調補間</t>
        </is>
      </c>
      <c r="C1527" s="10" t="inlineStr">
        <is>
          <t>2026-02</t>
        </is>
      </c>
      <c r="D1527" s="10" t="n">
        <v>26</v>
      </c>
      <c r="E1527" s="12" t="n">
        <v>9657.1</v>
      </c>
      <c r="F1527" s="12" t="n">
        <v>10014.8</v>
      </c>
      <c r="G1527" s="12" t="n">
        <v>-357.7</v>
      </c>
      <c r="H1527" s="13" t="n">
        <v>0.9227</v>
      </c>
      <c r="I1527" s="13" t="n">
        <v>0.9111</v>
      </c>
    </row>
    <row r="1528">
      <c r="A1528" s="10" t="inlineStr">
        <is>
          <t>PJ-2024-J</t>
        </is>
      </c>
      <c r="B1528" s="10" t="inlineStr">
        <is>
          <t>位置合わせ(MS学習値)／単調補間</t>
        </is>
      </c>
      <c r="C1528" s="10" t="inlineStr">
        <is>
          <t>2026-03</t>
        </is>
      </c>
      <c r="D1528" s="10" t="n">
        <v>27</v>
      </c>
      <c r="E1528" s="12" t="n">
        <v>9470.1</v>
      </c>
      <c r="F1528" s="12" t="n">
        <v>9594.1</v>
      </c>
      <c r="G1528" s="12" t="n">
        <v>-124</v>
      </c>
      <c r="H1528" s="13" t="n">
        <v>0.9500999999999999</v>
      </c>
      <c r="I1528" s="13" t="n">
        <v>0.9389</v>
      </c>
    </row>
    <row r="1529">
      <c r="A1529" s="10" t="inlineStr">
        <is>
          <t>PJ-2024-J</t>
        </is>
      </c>
      <c r="B1529" s="10" t="inlineStr">
        <is>
          <t>位置合わせ(MS学習値)／単調補間</t>
        </is>
      </c>
      <c r="C1529" s="10" t="inlineStr">
        <is>
          <t>2026-04</t>
        </is>
      </c>
      <c r="D1529" s="10" t="n">
        <v>28</v>
      </c>
      <c r="E1529" s="12" t="n">
        <v>8235</v>
      </c>
      <c r="F1529" s="12" t="n">
        <v>7976.6</v>
      </c>
      <c r="G1529" s="12" t="n">
        <v>258.4</v>
      </c>
      <c r="H1529" s="13" t="n">
        <v>0.9739</v>
      </c>
      <c r="I1529" s="13" t="n">
        <v>0.9619</v>
      </c>
    </row>
    <row r="1530">
      <c r="A1530" s="10" t="inlineStr">
        <is>
          <t>PJ-2024-J</t>
        </is>
      </c>
      <c r="B1530" s="10" t="inlineStr">
        <is>
          <t>位置合わせ(MS学習値)／単調補間</t>
        </is>
      </c>
      <c r="C1530" s="10" t="inlineStr">
        <is>
          <t>2026-05</t>
        </is>
      </c>
      <c r="D1530" s="10" t="n">
        <v>29</v>
      </c>
      <c r="E1530" s="12" t="n">
        <v>5681.3</v>
      </c>
      <c r="F1530" s="12" t="n">
        <v>10449.5</v>
      </c>
      <c r="G1530" s="12" t="n">
        <v>-4768.2</v>
      </c>
      <c r="H1530" s="13" t="n">
        <v>0.9903</v>
      </c>
      <c r="I1530" s="13" t="n">
        <v>0.9921</v>
      </c>
    </row>
    <row r="1531">
      <c r="A1531" s="10" t="inlineStr">
        <is>
          <t>PJ-2024-J</t>
        </is>
      </c>
      <c r="B1531" s="10" t="inlineStr">
        <is>
          <t>位置合わせ(MS学習値)／単調補間</t>
        </is>
      </c>
      <c r="C1531" s="10" t="inlineStr">
        <is>
          <t>2026-06</t>
        </is>
      </c>
      <c r="D1531" s="10" t="n">
        <v>30</v>
      </c>
      <c r="E1531" s="12" t="n">
        <v>3346</v>
      </c>
      <c r="F1531" s="12" t="n">
        <v>2732.1</v>
      </c>
      <c r="G1531" s="12" t="n">
        <v>613.9</v>
      </c>
      <c r="H1531" s="13" t="n">
        <v>1</v>
      </c>
      <c r="I1531" s="13" t="n">
        <v>1</v>
      </c>
    </row>
    <row r="1532">
      <c r="A1532" s="10" t="inlineStr">
        <is>
          <t>PJ-2024-J</t>
        </is>
      </c>
      <c r="B1532" s="10" t="inlineStr">
        <is>
          <t>位置合わせ(MS指定)／単調補間</t>
        </is>
      </c>
      <c r="C1532" s="10" t="inlineStr">
        <is>
          <t>2024-01</t>
        </is>
      </c>
      <c r="D1532" s="10" t="n">
        <v>1</v>
      </c>
      <c r="E1532" s="12" t="n">
        <v>4707.3</v>
      </c>
      <c r="F1532" s="12" t="n">
        <v>348</v>
      </c>
      <c r="G1532" s="12" t="n">
        <v>4359.3</v>
      </c>
      <c r="H1532" s="13" t="n">
        <v>0.0136</v>
      </c>
      <c r="I1532" s="13" t="n">
        <v>0.001</v>
      </c>
    </row>
    <row r="1533">
      <c r="A1533" s="10" t="inlineStr">
        <is>
          <t>PJ-2024-J</t>
        </is>
      </c>
      <c r="B1533" s="10" t="inlineStr">
        <is>
          <t>位置合わせ(MS指定)／単調補間</t>
        </is>
      </c>
      <c r="C1533" s="10" t="inlineStr">
        <is>
          <t>2024-02</t>
        </is>
      </c>
      <c r="D1533" s="10" t="n">
        <v>2</v>
      </c>
      <c r="E1533" s="12" t="n">
        <v>5327.7</v>
      </c>
      <c r="F1533" s="12" t="n">
        <v>930.5</v>
      </c>
      <c r="G1533" s="12" t="n">
        <v>4397.2</v>
      </c>
      <c r="H1533" s="13" t="n">
        <v>0.029</v>
      </c>
      <c r="I1533" s="13" t="n">
        <v>0.0037</v>
      </c>
    </row>
    <row r="1534">
      <c r="A1534" s="10" t="inlineStr">
        <is>
          <t>PJ-2024-J</t>
        </is>
      </c>
      <c r="B1534" s="10" t="inlineStr">
        <is>
          <t>位置合わせ(MS指定)／単調補間</t>
        </is>
      </c>
      <c r="C1534" s="10" t="inlineStr">
        <is>
          <t>2024-03</t>
        </is>
      </c>
      <c r="D1534" s="10" t="n">
        <v>3</v>
      </c>
      <c r="E1534" s="12" t="n">
        <v>6581.5</v>
      </c>
      <c r="F1534" s="12" t="n">
        <v>1612.9</v>
      </c>
      <c r="G1534" s="12" t="n">
        <v>4968.6</v>
      </c>
      <c r="H1534" s="13" t="n">
        <v>0.048</v>
      </c>
      <c r="I1534" s="13" t="n">
        <v>0.008399999999999999</v>
      </c>
    </row>
    <row r="1535">
      <c r="A1535" s="10" t="inlineStr">
        <is>
          <t>PJ-2024-J</t>
        </is>
      </c>
      <c r="B1535" s="10" t="inlineStr">
        <is>
          <t>位置合わせ(MS指定)／単調補間</t>
        </is>
      </c>
      <c r="C1535" s="10" t="inlineStr">
        <is>
          <t>2024-04</t>
        </is>
      </c>
      <c r="D1535" s="10" t="n">
        <v>4</v>
      </c>
      <c r="E1535" s="12" t="n">
        <v>6896</v>
      </c>
      <c r="F1535" s="12" t="n">
        <v>2251.7</v>
      </c>
      <c r="G1535" s="12" t="n">
        <v>4644.3</v>
      </c>
      <c r="H1535" s="13" t="n">
        <v>0.068</v>
      </c>
      <c r="I1535" s="13" t="n">
        <v>0.0149</v>
      </c>
    </row>
    <row r="1536">
      <c r="A1536" s="10" t="inlineStr">
        <is>
          <t>PJ-2024-J</t>
        </is>
      </c>
      <c r="B1536" s="10" t="inlineStr">
        <is>
          <t>位置合わせ(MS指定)／単調補間</t>
        </is>
      </c>
      <c r="C1536" s="10" t="inlineStr">
        <is>
          <t>2024-05</t>
        </is>
      </c>
      <c r="D1536" s="10" t="n">
        <v>5</v>
      </c>
      <c r="E1536" s="12" t="n">
        <v>7822.6</v>
      </c>
      <c r="F1536" s="12" t="n">
        <v>2953</v>
      </c>
      <c r="G1536" s="12" t="n">
        <v>4869.6</v>
      </c>
      <c r="H1536" s="13" t="n">
        <v>0.0906</v>
      </c>
      <c r="I1536" s="13" t="n">
        <v>0.0234</v>
      </c>
    </row>
    <row r="1537">
      <c r="A1537" s="10" t="inlineStr">
        <is>
          <t>PJ-2024-J</t>
        </is>
      </c>
      <c r="B1537" s="10" t="inlineStr">
        <is>
          <t>位置合わせ(MS指定)／単調補間</t>
        </is>
      </c>
      <c r="C1537" s="10" t="inlineStr">
        <is>
          <t>2024-06</t>
        </is>
      </c>
      <c r="D1537" s="10" t="n">
        <v>6</v>
      </c>
      <c r="E1537" s="12" t="n">
        <v>7607.5</v>
      </c>
      <c r="F1537" s="12" t="n">
        <v>3308.8</v>
      </c>
      <c r="G1537" s="12" t="n">
        <v>4298.7</v>
      </c>
      <c r="H1537" s="13" t="n">
        <v>0.1125</v>
      </c>
      <c r="I1537" s="13" t="n">
        <v>0.033</v>
      </c>
    </row>
    <row r="1538">
      <c r="A1538" s="10" t="inlineStr">
        <is>
          <t>PJ-2024-J</t>
        </is>
      </c>
      <c r="B1538" s="10" t="inlineStr">
        <is>
          <t>位置合わせ(MS指定)／単調補間</t>
        </is>
      </c>
      <c r="C1538" s="10" t="inlineStr">
        <is>
          <t>2024-07</t>
        </is>
      </c>
      <c r="D1538" s="10" t="n">
        <v>7</v>
      </c>
      <c r="E1538" s="12" t="n">
        <v>8430.200000000001</v>
      </c>
      <c r="F1538" s="12" t="n">
        <v>4157.3</v>
      </c>
      <c r="G1538" s="12" t="n">
        <v>4272.9</v>
      </c>
      <c r="H1538" s="13" t="n">
        <v>0.1369</v>
      </c>
      <c r="I1538" s="13" t="n">
        <v>0.045</v>
      </c>
    </row>
    <row r="1539">
      <c r="A1539" s="10" t="inlineStr">
        <is>
          <t>PJ-2024-J</t>
        </is>
      </c>
      <c r="B1539" s="10" t="inlineStr">
        <is>
          <t>位置合わせ(MS指定)／単調補間</t>
        </is>
      </c>
      <c r="C1539" s="10" t="inlineStr">
        <is>
          <t>2024-08</t>
        </is>
      </c>
      <c r="D1539" s="10" t="n">
        <v>8</v>
      </c>
      <c r="E1539" s="12" t="n">
        <v>8933.4</v>
      </c>
      <c r="F1539" s="12" t="n">
        <v>5704.7</v>
      </c>
      <c r="G1539" s="12" t="n">
        <v>3228.7</v>
      </c>
      <c r="H1539" s="13" t="n">
        <v>0.1627</v>
      </c>
      <c r="I1539" s="13" t="n">
        <v>0.0615</v>
      </c>
    </row>
    <row r="1540">
      <c r="A1540" s="10" t="inlineStr">
        <is>
          <t>PJ-2024-J</t>
        </is>
      </c>
      <c r="B1540" s="10" t="inlineStr">
        <is>
          <t>位置合わせ(MS指定)／単調補間</t>
        </is>
      </c>
      <c r="C1540" s="10" t="inlineStr">
        <is>
          <t>2024-09</t>
        </is>
      </c>
      <c r="D1540" s="10" t="n">
        <v>9</v>
      </c>
      <c r="E1540" s="12" t="n">
        <v>9455.200000000001</v>
      </c>
      <c r="F1540" s="12" t="n">
        <v>6443.3</v>
      </c>
      <c r="G1540" s="12" t="n">
        <v>3011.9</v>
      </c>
      <c r="H1540" s="13" t="n">
        <v>0.1901</v>
      </c>
      <c r="I1540" s="13" t="n">
        <v>0.0801</v>
      </c>
    </row>
    <row r="1541">
      <c r="A1541" s="10" t="inlineStr">
        <is>
          <t>PJ-2024-J</t>
        </is>
      </c>
      <c r="B1541" s="10" t="inlineStr">
        <is>
          <t>位置合わせ(MS指定)／単調補間</t>
        </is>
      </c>
      <c r="C1541" s="10" t="inlineStr">
        <is>
          <t>2024-10</t>
        </is>
      </c>
      <c r="D1541" s="10" t="n">
        <v>10</v>
      </c>
      <c r="E1541" s="12" t="n">
        <v>10789.5</v>
      </c>
      <c r="F1541" s="12" t="n">
        <v>7892.9</v>
      </c>
      <c r="G1541" s="12" t="n">
        <v>2896.6</v>
      </c>
      <c r="H1541" s="13" t="n">
        <v>0.2212</v>
      </c>
      <c r="I1541" s="13" t="n">
        <v>0.1029</v>
      </c>
    </row>
    <row r="1542">
      <c r="A1542" s="10" t="inlineStr">
        <is>
          <t>PJ-2024-J</t>
        </is>
      </c>
      <c r="B1542" s="10" t="inlineStr">
        <is>
          <t>位置合わせ(MS指定)／単調補間</t>
        </is>
      </c>
      <c r="C1542" s="10" t="inlineStr">
        <is>
          <t>2024-11</t>
        </is>
      </c>
      <c r="D1542" s="10" t="n">
        <v>11</v>
      </c>
      <c r="E1542" s="12" t="n">
        <v>12051.6</v>
      </c>
      <c r="F1542" s="12" t="n">
        <v>9044.6</v>
      </c>
      <c r="G1542" s="12" t="n">
        <v>3007</v>
      </c>
      <c r="H1542" s="13" t="n">
        <v>0.2561</v>
      </c>
      <c r="I1542" s="13" t="n">
        <v>0.129</v>
      </c>
    </row>
    <row r="1543">
      <c r="A1543" s="10" t="inlineStr">
        <is>
          <t>PJ-2024-J</t>
        </is>
      </c>
      <c r="B1543" s="10" t="inlineStr">
        <is>
          <t>位置合わせ(MS指定)／単調補間</t>
        </is>
      </c>
      <c r="C1543" s="10" t="inlineStr">
        <is>
          <t>2024-12</t>
        </is>
      </c>
      <c r="D1543" s="10" t="n">
        <v>12</v>
      </c>
      <c r="E1543" s="12" t="n">
        <v>12904.3</v>
      </c>
      <c r="F1543" s="12" t="n">
        <v>9905.1</v>
      </c>
      <c r="G1543" s="12" t="n">
        <v>2999.2</v>
      </c>
      <c r="H1543" s="13" t="n">
        <v>0.2934</v>
      </c>
      <c r="I1543" s="13" t="n">
        <v>0.1577</v>
      </c>
    </row>
    <row r="1544">
      <c r="A1544" s="10" t="inlineStr">
        <is>
          <t>PJ-2024-J</t>
        </is>
      </c>
      <c r="B1544" s="10" t="inlineStr">
        <is>
          <t>位置合わせ(MS指定)／単調補間</t>
        </is>
      </c>
      <c r="C1544" s="10" t="inlineStr">
        <is>
          <t>2025-01</t>
        </is>
      </c>
      <c r="D1544" s="10" t="n">
        <v>13</v>
      </c>
      <c r="E1544" s="12" t="n">
        <v>13984.7</v>
      </c>
      <c r="F1544" s="12" t="n">
        <v>10668.8</v>
      </c>
      <c r="G1544" s="12" t="n">
        <v>3315.9</v>
      </c>
      <c r="H1544" s="13" t="n">
        <v>0.3338</v>
      </c>
      <c r="I1544" s="13" t="n">
        <v>0.1885</v>
      </c>
    </row>
    <row r="1545">
      <c r="A1545" s="10" t="inlineStr">
        <is>
          <t>PJ-2024-J</t>
        </is>
      </c>
      <c r="B1545" s="10" t="inlineStr">
        <is>
          <t>位置合わせ(MS指定)／単調補間</t>
        </is>
      </c>
      <c r="C1545" s="10" t="inlineStr">
        <is>
          <t>2025-02</t>
        </is>
      </c>
      <c r="D1545" s="10" t="n">
        <v>14</v>
      </c>
      <c r="E1545" s="12" t="n">
        <v>13149.4</v>
      </c>
      <c r="F1545" s="12" t="n">
        <v>10918.3</v>
      </c>
      <c r="G1545" s="12" t="n">
        <v>2231.1</v>
      </c>
      <c r="H1545" s="13" t="n">
        <v>0.3718</v>
      </c>
      <c r="I1545" s="13" t="n">
        <v>0.22</v>
      </c>
    </row>
    <row r="1546">
      <c r="A1546" s="10" t="inlineStr">
        <is>
          <t>PJ-2024-J</t>
        </is>
      </c>
      <c r="B1546" s="10" t="inlineStr">
        <is>
          <t>位置合わせ(MS指定)／単調補間</t>
        </is>
      </c>
      <c r="C1546" s="10" t="inlineStr">
        <is>
          <t>2025-03</t>
        </is>
      </c>
      <c r="D1546" s="10" t="n">
        <v>15</v>
      </c>
      <c r="E1546" s="12" t="n">
        <v>15856</v>
      </c>
      <c r="F1546" s="12" t="n">
        <v>13702.5</v>
      </c>
      <c r="G1546" s="12" t="n">
        <v>2153.5</v>
      </c>
      <c r="H1546" s="13" t="n">
        <v>0.4176</v>
      </c>
      <c r="I1546" s="13" t="n">
        <v>0.2596</v>
      </c>
    </row>
    <row r="1547">
      <c r="A1547" s="10" t="inlineStr">
        <is>
          <t>PJ-2024-J</t>
        </is>
      </c>
      <c r="B1547" s="10" t="inlineStr">
        <is>
          <t>位置合わせ(MS指定)／単調補間</t>
        </is>
      </c>
      <c r="C1547" s="10" t="inlineStr">
        <is>
          <t>2025-04</t>
        </is>
      </c>
      <c r="D1547" s="10" t="n">
        <v>16</v>
      </c>
      <c r="E1547" s="12" t="n">
        <v>20254.7</v>
      </c>
      <c r="F1547" s="12" t="n">
        <v>18909.3</v>
      </c>
      <c r="G1547" s="12" t="n">
        <v>1345.4</v>
      </c>
      <c r="H1547" s="13" t="n">
        <v>0.4761</v>
      </c>
      <c r="I1547" s="13" t="n">
        <v>0.3143</v>
      </c>
    </row>
    <row r="1548">
      <c r="A1548" s="10" t="inlineStr">
        <is>
          <t>PJ-2024-J</t>
        </is>
      </c>
      <c r="B1548" s="10" t="inlineStr">
        <is>
          <t>位置合わせ(MS指定)／単調補間</t>
        </is>
      </c>
      <c r="C1548" s="10" t="inlineStr">
        <is>
          <t>2025-05</t>
        </is>
      </c>
      <c r="D1548" s="10" t="n">
        <v>17</v>
      </c>
      <c r="E1548" s="12" t="n">
        <v>24574.7</v>
      </c>
      <c r="F1548" s="12" t="n">
        <v>26126.9</v>
      </c>
      <c r="G1548" s="12" t="n">
        <v>-1552.2</v>
      </c>
      <c r="H1548" s="13" t="n">
        <v>0.5472</v>
      </c>
      <c r="I1548" s="13" t="n">
        <v>0.3898</v>
      </c>
    </row>
    <row r="1549">
      <c r="A1549" s="10" t="inlineStr">
        <is>
          <t>PJ-2024-J</t>
        </is>
      </c>
      <c r="B1549" s="10" t="inlineStr">
        <is>
          <t>位置合わせ(MS指定)／単調補間</t>
        </is>
      </c>
      <c r="C1549" s="10" t="inlineStr">
        <is>
          <t>2025-06</t>
        </is>
      </c>
      <c r="D1549" s="10" t="n">
        <v>18</v>
      </c>
      <c r="E1549" s="12" t="n">
        <v>22945.8</v>
      </c>
      <c r="F1549" s="12" t="n">
        <v>31246.9</v>
      </c>
      <c r="G1549" s="12" t="n">
        <v>-8301.1</v>
      </c>
      <c r="H1549" s="13" t="n">
        <v>0.6135</v>
      </c>
      <c r="I1549" s="13" t="n">
        <v>0.4801</v>
      </c>
    </row>
    <row r="1550">
      <c r="A1550" s="10" t="inlineStr">
        <is>
          <t>PJ-2024-J</t>
        </is>
      </c>
      <c r="B1550" s="10" t="inlineStr">
        <is>
          <t>位置合わせ(MS指定)／単調補間</t>
        </is>
      </c>
      <c r="C1550" s="10" t="inlineStr">
        <is>
          <t>2025-07</t>
        </is>
      </c>
      <c r="D1550" s="10" t="n">
        <v>19</v>
      </c>
      <c r="E1550" s="12" t="n">
        <v>23962</v>
      </c>
      <c r="F1550" s="12" t="n">
        <v>28601.2</v>
      </c>
      <c r="G1550" s="12" t="n">
        <v>-4639.2</v>
      </c>
      <c r="H1550" s="13" t="n">
        <v>0.6827</v>
      </c>
      <c r="I1550" s="13" t="n">
        <v>0.5628</v>
      </c>
    </row>
    <row r="1551">
      <c r="A1551" s="10" t="inlineStr">
        <is>
          <t>PJ-2024-J</t>
        </is>
      </c>
      <c r="B1551" s="10" t="inlineStr">
        <is>
          <t>位置合わせ(MS指定)／単調補間</t>
        </is>
      </c>
      <c r="C1551" s="10" t="inlineStr">
        <is>
          <t>2025-08</t>
        </is>
      </c>
      <c r="D1551" s="10" t="n">
        <v>20</v>
      </c>
      <c r="E1551" s="12" t="n">
        <v>25063</v>
      </c>
      <c r="F1551" s="12" t="n">
        <v>25939.3</v>
      </c>
      <c r="G1551" s="12" t="n">
        <v>-876.3</v>
      </c>
      <c r="H1551" s="13" t="n">
        <v>0.7552</v>
      </c>
      <c r="I1551" s="13" t="n">
        <v>0.6377</v>
      </c>
    </row>
    <row r="1552">
      <c r="A1552" s="10" t="inlineStr">
        <is>
          <t>PJ-2024-J</t>
        </is>
      </c>
      <c r="B1552" s="10" t="inlineStr">
        <is>
          <t>位置合わせ(MS指定)／単調補間</t>
        </is>
      </c>
      <c r="C1552" s="10" t="inlineStr">
        <is>
          <t>2025-09</t>
        </is>
      </c>
      <c r="D1552" s="10" t="n">
        <v>21</v>
      </c>
      <c r="E1552" s="12" t="n">
        <v>17410.6</v>
      </c>
      <c r="F1552" s="12" t="n">
        <v>20944.7</v>
      </c>
      <c r="G1552" s="12" t="n">
        <v>-3534.1</v>
      </c>
      <c r="H1552" s="13" t="n">
        <v>0.8055</v>
      </c>
      <c r="I1552" s="13" t="n">
        <v>0.6983</v>
      </c>
    </row>
    <row r="1553">
      <c r="A1553" s="10" t="inlineStr">
        <is>
          <t>PJ-2024-J</t>
        </is>
      </c>
      <c r="B1553" s="10" t="inlineStr">
        <is>
          <t>位置合わせ(MS指定)／単調補間</t>
        </is>
      </c>
      <c r="C1553" s="10" t="inlineStr">
        <is>
          <t>2025-10</t>
        </is>
      </c>
      <c r="D1553" s="10" t="n">
        <v>22</v>
      </c>
      <c r="E1553" s="12" t="n">
        <v>10345.5</v>
      </c>
      <c r="F1553" s="12" t="n">
        <v>14367.8</v>
      </c>
      <c r="G1553" s="12" t="n">
        <v>-4022.3</v>
      </c>
      <c r="H1553" s="13" t="n">
        <v>0.8354</v>
      </c>
      <c r="I1553" s="13" t="n">
        <v>0.7398</v>
      </c>
    </row>
    <row r="1554">
      <c r="A1554" s="10" t="inlineStr">
        <is>
          <t>PJ-2024-J</t>
        </is>
      </c>
      <c r="B1554" s="10" t="inlineStr">
        <is>
          <t>位置合わせ(MS指定)／単調補間</t>
        </is>
      </c>
      <c r="C1554" s="10" t="inlineStr">
        <is>
          <t>2025-11</t>
        </is>
      </c>
      <c r="D1554" s="10" t="n">
        <v>23</v>
      </c>
      <c r="E1554" s="12" t="n">
        <v>9387.700000000001</v>
      </c>
      <c r="F1554" s="12" t="n">
        <v>16461.6</v>
      </c>
      <c r="G1554" s="12" t="n">
        <v>-7073.9</v>
      </c>
      <c r="H1554" s="13" t="n">
        <v>0.8625</v>
      </c>
      <c r="I1554" s="13" t="n">
        <v>0.7874</v>
      </c>
    </row>
    <row r="1555">
      <c r="A1555" s="10" t="inlineStr">
        <is>
          <t>PJ-2024-J</t>
        </is>
      </c>
      <c r="B1555" s="10" t="inlineStr">
        <is>
          <t>位置合わせ(MS指定)／単調補間</t>
        </is>
      </c>
      <c r="C1555" s="10" t="inlineStr">
        <is>
          <t>2025-12</t>
        </is>
      </c>
      <c r="D1555" s="10" t="n">
        <v>24</v>
      </c>
      <c r="E1555" s="12" t="n">
        <v>9063.6</v>
      </c>
      <c r="F1555" s="12" t="n">
        <v>17876.1</v>
      </c>
      <c r="G1555" s="12" t="n">
        <v>-8812.5</v>
      </c>
      <c r="H1555" s="13" t="n">
        <v>0.8887</v>
      </c>
      <c r="I1555" s="13" t="n">
        <v>0.839</v>
      </c>
    </row>
    <row r="1556">
      <c r="A1556" s="10" t="inlineStr">
        <is>
          <t>PJ-2024-J</t>
        </is>
      </c>
      <c r="B1556" s="10" t="inlineStr">
        <is>
          <t>位置合わせ(MS指定)／単調補間</t>
        </is>
      </c>
      <c r="C1556" s="10" t="inlineStr">
        <is>
          <t>2026-01</t>
        </is>
      </c>
      <c r="D1556" s="10" t="n">
        <v>25</v>
      </c>
      <c r="E1556" s="12" t="n">
        <v>8101.5</v>
      </c>
      <c r="F1556" s="12" t="n">
        <v>14931.3</v>
      </c>
      <c r="G1556" s="12" t="n">
        <v>-6829.8</v>
      </c>
      <c r="H1556" s="13" t="n">
        <v>0.9121</v>
      </c>
      <c r="I1556" s="13" t="n">
        <v>0.8822</v>
      </c>
    </row>
    <row r="1557">
      <c r="A1557" s="10" t="inlineStr">
        <is>
          <t>PJ-2024-J</t>
        </is>
      </c>
      <c r="B1557" s="10" t="inlineStr">
        <is>
          <t>位置合わせ(MS指定)／単調補間</t>
        </is>
      </c>
      <c r="C1557" s="10" t="inlineStr">
        <is>
          <t>2026-02</t>
        </is>
      </c>
      <c r="D1557" s="10" t="n">
        <v>26</v>
      </c>
      <c r="E1557" s="12" t="n">
        <v>6538.2</v>
      </c>
      <c r="F1557" s="12" t="n">
        <v>10014.8</v>
      </c>
      <c r="G1557" s="12" t="n">
        <v>-3476.6</v>
      </c>
      <c r="H1557" s="13" t="n">
        <v>0.931</v>
      </c>
      <c r="I1557" s="13" t="n">
        <v>0.9111</v>
      </c>
    </row>
    <row r="1558">
      <c r="A1558" s="10" t="inlineStr">
        <is>
          <t>PJ-2024-J</t>
        </is>
      </c>
      <c r="B1558" s="10" t="inlineStr">
        <is>
          <t>位置合わせ(MS指定)／単調補間</t>
        </is>
      </c>
      <c r="C1558" s="10" t="inlineStr">
        <is>
          <t>2026-03</t>
        </is>
      </c>
      <c r="D1558" s="10" t="n">
        <v>27</v>
      </c>
      <c r="E1558" s="12" t="n">
        <v>6812.4</v>
      </c>
      <c r="F1558" s="12" t="n">
        <v>9594.1</v>
      </c>
      <c r="G1558" s="12" t="n">
        <v>-2781.7</v>
      </c>
      <c r="H1558" s="13" t="n">
        <v>0.9507</v>
      </c>
      <c r="I1558" s="13" t="n">
        <v>0.9389</v>
      </c>
    </row>
    <row r="1559">
      <c r="A1559" s="10" t="inlineStr">
        <is>
          <t>PJ-2024-J</t>
        </is>
      </c>
      <c r="B1559" s="10" t="inlineStr">
        <is>
          <t>位置合わせ(MS指定)／単調補間</t>
        </is>
      </c>
      <c r="C1559" s="10" t="inlineStr">
        <is>
          <t>2026-04</t>
        </is>
      </c>
      <c r="D1559" s="10" t="n">
        <v>28</v>
      </c>
      <c r="E1559" s="12" t="n">
        <v>7468.3</v>
      </c>
      <c r="F1559" s="12" t="n">
        <v>7976.6</v>
      </c>
      <c r="G1559" s="12" t="n">
        <v>-508.3</v>
      </c>
      <c r="H1559" s="13" t="n">
        <v>0.9723000000000001</v>
      </c>
      <c r="I1559" s="13" t="n">
        <v>0.9619</v>
      </c>
    </row>
    <row r="1560">
      <c r="A1560" s="10" t="inlineStr">
        <is>
          <t>PJ-2024-J</t>
        </is>
      </c>
      <c r="B1560" s="10" t="inlineStr">
        <is>
          <t>位置合わせ(MS指定)／単調補間</t>
        </is>
      </c>
      <c r="C1560" s="10" t="inlineStr">
        <is>
          <t>2026-05</t>
        </is>
      </c>
      <c r="D1560" s="10" t="n">
        <v>29</v>
      </c>
      <c r="E1560" s="12" t="n">
        <v>6071.1</v>
      </c>
      <c r="F1560" s="12" t="n">
        <v>10449.5</v>
      </c>
      <c r="G1560" s="12" t="n">
        <v>-4378.4</v>
      </c>
      <c r="H1560" s="13" t="n">
        <v>0.9898</v>
      </c>
      <c r="I1560" s="13" t="n">
        <v>0.9921</v>
      </c>
    </row>
    <row r="1561">
      <c r="A1561" s="10" t="inlineStr">
        <is>
          <t>PJ-2024-J</t>
        </is>
      </c>
      <c r="B1561" s="10" t="inlineStr">
        <is>
          <t>位置合わせ(MS指定)／単調補間</t>
        </is>
      </c>
      <c r="C1561" s="10" t="inlineStr">
        <is>
          <t>2026-06</t>
        </is>
      </c>
      <c r="D1561" s="10" t="n">
        <v>30</v>
      </c>
      <c r="E1561" s="12" t="n">
        <v>3518.6</v>
      </c>
      <c r="F1561" s="12" t="n">
        <v>2732.1</v>
      </c>
      <c r="G1561" s="12" t="n">
        <v>786.5</v>
      </c>
      <c r="H1561" s="13" t="n">
        <v>1</v>
      </c>
      <c r="I1561" s="13" t="n">
        <v>1</v>
      </c>
    </row>
  </sheetData>
  <printOptions horizontalCentered="0"/>
  <pageMargins left="0.75" right="0.75" top="1" bottom="1" header="0.5" footer="0.5"/>
  <pageSetup orientation="landscape" fitToHeight="0" fitToWidth="1"/>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K93"/>
  <sheetViews>
    <sheetView workbookViewId="0">
      <selection activeCell="A1" sqref="A1"/>
    </sheetView>
  </sheetViews>
  <sheetFormatPr baseColWidth="8" defaultRowHeight="15"/>
  <cols>
    <col width="26" customWidth="1" min="1" max="1"/>
    <col width="12" customWidth="1" min="2" max="2"/>
    <col width="8" customWidth="1" min="3" max="3"/>
    <col width="11" customWidth="1" min="4" max="4"/>
    <col width="11" customWidth="1" min="5" max="5"/>
    <col width="15" customWidth="1" min="6" max="6"/>
    <col width="15" customWidth="1" min="7" max="7"/>
    <col width="15" customWidth="1" min="8" max="8"/>
    <col width="15" customWidth="1" min="9" max="9"/>
    <col width="15" customWidth="1" min="10" max="10"/>
    <col width="11" customWidth="1" min="11" max="11"/>
  </cols>
  <sheetData>
    <row r="1">
      <c r="A1" s="1" t="inlineStr">
        <is>
          <t>実行条件</t>
        </is>
      </c>
    </row>
    <row r="2">
      <c r="A2" s="5" t="inlineStr">
        <is>
          <t>パラメータを変えて何度も回す段階では、「この結果はどの設定で出したか」を追えないと結果の比較ができなくなる。</t>
        </is>
      </c>
    </row>
    <row r="4">
      <c r="A4" s="6" t="inlineStr">
        <is>
          <t>■ パラメータ</t>
        </is>
      </c>
    </row>
    <row r="5">
      <c r="A5" s="8" t="inlineStr">
        <is>
          <t>項目</t>
        </is>
      </c>
      <c r="B5" s="8" t="inlineStr">
        <is>
          <t>値</t>
        </is>
      </c>
    </row>
    <row r="6">
      <c r="A6" s="10" t="inlineStr">
        <is>
          <t>実行日時</t>
        </is>
      </c>
      <c r="B6" s="10" t="inlineStr">
        <is>
          <t>2026-09-04 23:00:51</t>
        </is>
      </c>
    </row>
    <row r="7">
      <c r="A7" s="10" t="inlineStr">
        <is>
          <t>マスタ</t>
        </is>
      </c>
      <c r="B7" s="10" t="inlineStr">
        <is>
          <t>/home/user/Man-hour-forecasting/data/master.xlsx</t>
        </is>
      </c>
    </row>
    <row r="8">
      <c r="A8" s="10" t="inlineStr">
        <is>
          <t>実績データ</t>
        </is>
      </c>
      <c r="B8" s="10" t="inlineStr">
        <is>
          <t>/home/user/Man-hour-forecasting/data/actuals.csv</t>
        </is>
      </c>
    </row>
    <row r="9">
      <c r="A9" s="10" t="inlineStr">
        <is>
          <t>集約軸</t>
        </is>
      </c>
      <c r="B9" s="10" t="inlineStr">
        <is>
          <t>行程グループ</t>
        </is>
      </c>
    </row>
    <row r="10">
      <c r="A10" s="10" t="inlineStr">
        <is>
          <t>位置合わせ</t>
        </is>
      </c>
      <c r="B10" s="10" t="inlineStr">
        <is>
          <t>ON</t>
        </is>
      </c>
    </row>
    <row r="11">
      <c r="A11" s="10" t="inlineStr">
        <is>
          <t>背骨マイルストーン</t>
        </is>
      </c>
      <c r="B11" s="10" t="inlineStr">
        <is>
          <t>α版, β版, マスターアップ</t>
        </is>
      </c>
    </row>
    <row r="12">
      <c r="A12" s="10" t="inlineStr">
        <is>
          <t>背骨最小カバー率</t>
        </is>
      </c>
      <c r="B12" s="10" t="n">
        <v>0.6</v>
      </c>
    </row>
    <row r="13">
      <c r="A13" s="10" t="inlineStr">
        <is>
          <t>マイルストーン精度</t>
        </is>
      </c>
      <c r="B13" s="10" t="inlineStr">
        <is>
          <t>月</t>
        </is>
      </c>
    </row>
    <row r="14">
      <c r="A14" s="10" t="inlineStr">
        <is>
          <t>位置合わせ強度</t>
        </is>
      </c>
      <c r="B14" s="10" t="n">
        <v>1</v>
      </c>
    </row>
    <row r="15">
      <c r="A15" s="10" t="inlineStr">
        <is>
          <t>伸縮率上限</t>
        </is>
      </c>
      <c r="B15" s="10" t="inlineStr">
        <is>
          <t>無制限</t>
        </is>
      </c>
    </row>
    <row r="16">
      <c r="A16" s="10" t="inlineStr">
        <is>
          <t>区間弾力性</t>
        </is>
      </c>
      <c r="B16" s="10" t="n">
        <v>0</v>
      </c>
    </row>
    <row r="17">
      <c r="A17" s="10" t="inlineStr">
        <is>
          <t>カーブ復元</t>
        </is>
      </c>
      <c r="B17" s="10" t="inlineStr">
        <is>
          <t>月内均等</t>
        </is>
      </c>
    </row>
    <row r="18">
      <c r="A18" s="10" t="inlineStr">
        <is>
          <t>カーブ解像度</t>
        </is>
      </c>
      <c r="B18" s="10" t="n">
        <v>100</v>
      </c>
    </row>
    <row r="19">
      <c r="A19" s="10" t="inlineStr">
        <is>
          <t>人月換算係数</t>
        </is>
      </c>
      <c r="B19" s="10" t="n">
        <v>160</v>
      </c>
    </row>
    <row r="20">
      <c r="A20" s="10" t="inlineStr">
        <is>
          <t>見積もりを使う</t>
        </is>
      </c>
      <c r="B20" s="10" t="inlineStr">
        <is>
          <t>ON</t>
        </is>
      </c>
    </row>
    <row r="21">
      <c r="A21" s="10" t="inlineStr">
        <is>
          <t>除外する行程グループ</t>
        </is>
      </c>
      <c r="B21" s="10" t="inlineStr">
        <is>
          <t>(なし)</t>
        </is>
      </c>
    </row>
    <row r="22">
      <c r="A22" s="10" t="inlineStr">
        <is>
          <t>立ち上がり上限</t>
        </is>
      </c>
      <c r="B22" s="10" t="inlineStr">
        <is>
          <t>使用しない</t>
        </is>
      </c>
    </row>
    <row r="23">
      <c r="A23" s="10" t="inlineStr">
        <is>
          <t>立ち上がり上限の適用範囲</t>
        </is>
      </c>
      <c r="B23" s="10" t="inlineStr">
        <is>
          <t>段階予測のみ</t>
        </is>
      </c>
    </row>
    <row r="24">
      <c r="A24" s="10" t="inlineStr">
        <is>
          <t>段階予測の動作</t>
        </is>
      </c>
      <c r="B24" s="10" t="inlineStr">
        <is>
          <t>自動</t>
        </is>
      </c>
    </row>
    <row r="25">
      <c r="A25" s="10" t="inlineStr">
        <is>
          <t>段階予測の残工数</t>
        </is>
      </c>
      <c r="B25" s="10" t="inlineStr">
        <is>
          <t>固定</t>
        </is>
      </c>
    </row>
    <row r="26">
      <c r="A26" s="10" t="inlineStr">
        <is>
          <t>段階予測のマイルストーン</t>
        </is>
      </c>
      <c r="B26" s="10" t="inlineStr">
        <is>
          <t>すべて</t>
        </is>
      </c>
    </row>
    <row r="27">
      <c r="A27" s="10" t="inlineStr">
        <is>
          <t>検証</t>
        </is>
      </c>
      <c r="B27" s="10" t="inlineStr">
        <is>
          <t>ON</t>
        </is>
      </c>
    </row>
    <row r="28">
      <c r="A28" s="10" t="inlineStr">
        <is>
          <t>カーブ復元の比較</t>
        </is>
      </c>
      <c r="B28" s="10" t="inlineStr">
        <is>
          <t>ON</t>
        </is>
      </c>
    </row>
    <row r="29">
      <c r="A29" s="10" t="inlineStr">
        <is>
          <t>出力先フォルダ</t>
        </is>
      </c>
      <c r="B29" s="10" t="inlineStr">
        <is>
          <t>/home/user/Man-hour-forecasting/output</t>
        </is>
      </c>
    </row>
    <row r="30">
      <c r="A30" s="10" t="inlineStr">
        <is>
          <t>実装範囲</t>
        </is>
      </c>
      <c r="B30" s="10" t="inlineStr">
        <is>
          <t>実装順序 1〜2(素朴版 + マイルストーン位置合わせ) + 見積もりによる総量指定</t>
        </is>
      </c>
    </row>
    <row r="31">
      <c r="A31" s="10" t="inlineStr">
        <is>
          <t>未使用パラメータ</t>
        </is>
      </c>
      <c r="B31" s="10" t="inlineStr">
        <is>
          <t>k=3.0, タグ重み係数=0.5 (実装順序 3・4 で使用予定)</t>
        </is>
      </c>
    </row>
    <row r="32">
      <c r="A32" s="10" t="inlineStr">
        <is>
          <t>予測対象</t>
        </is>
      </c>
      <c r="B32" s="10" t="inlineStr">
        <is>
          <t>PJ-2026-K  蒼穹のレガリア II</t>
        </is>
      </c>
    </row>
    <row r="33">
      <c r="A33" s="10" t="inlineStr">
        <is>
          <t>学習案件数</t>
        </is>
      </c>
      <c r="B33" s="10" t="n">
        <v>10</v>
      </c>
    </row>
    <row r="34">
      <c r="A34" s="10" t="inlineStr">
        <is>
          <t>総量の根拠</t>
        </is>
      </c>
      <c r="B34" s="10" t="inlineStr">
        <is>
          <t>契約人月 + 学習比率</t>
        </is>
      </c>
    </row>
    <row r="35">
      <c r="A35" s="10" t="inlineStr">
        <is>
          <t>予測した行程グループ</t>
        </is>
      </c>
      <c r="B35" s="10" t="inlineStr">
        <is>
          <t>企画・プリプロ, ゲームデザイン・シナリオ, プログラム, アート, サウンド, QA・デバッグ, PM・運営</t>
        </is>
      </c>
    </row>
    <row r="36">
      <c r="A36" s="10" t="inlineStr">
        <is>
          <t>除外した行程グループ</t>
        </is>
      </c>
      <c r="B36" s="10" t="inlineStr">
        <is>
          <t>(なし)</t>
        </is>
      </c>
    </row>
    <row r="37">
      <c r="A37" s="10" t="inlineStr">
        <is>
          <t>段階予測</t>
        </is>
      </c>
      <c r="B37" s="10" t="inlineStr">
        <is>
          <t>(出力なし)</t>
        </is>
      </c>
    </row>
    <row r="39">
      <c r="A39" s="6" t="inlineStr">
        <is>
          <t>■ 人月換算</t>
        </is>
      </c>
    </row>
    <row r="40">
      <c r="A40" s="2" t="inlineStr">
        <is>
          <t>換算係数</t>
        </is>
      </c>
      <c r="B40" s="4" t="n">
        <v>160</v>
      </c>
      <c r="C40" s="2" t="inlineStr">
        <is>
          <t>時間 / 人月</t>
        </is>
      </c>
    </row>
    <row r="41">
      <c r="A41" s="5" t="inlineStr">
        <is>
          <t>人月の定義は組織によって揺れる。この係数を明記しないまま数字が独り歩きすると議論が噛み合わなくなる(設計書 4-3)。</t>
        </is>
      </c>
    </row>
    <row r="43">
      <c r="A43" s="6" t="inlineStr">
        <is>
          <t>■ 学習に使用した案件と重み</t>
        </is>
      </c>
    </row>
    <row r="44">
      <c r="A44" s="5" t="inlineStr">
        <is>
          <t>第1版(素朴版+位置合わせ)では全案件の重みを 1.0 で固定している。種別・タグによる重み付けは実装順序 3・4 で導入する。</t>
        </is>
      </c>
    </row>
    <row r="45">
      <c r="A45" s="8" t="inlineStr">
        <is>
          <t>案件ID</t>
        </is>
      </c>
      <c r="B45" s="8" t="inlineStr">
        <is>
          <t>名称</t>
        </is>
      </c>
      <c r="C45" s="8" t="inlineStr">
        <is>
          <t>種別</t>
        </is>
      </c>
      <c r="D45" s="8" t="inlineStr">
        <is>
          <t>重み</t>
        </is>
      </c>
      <c r="E45" s="8" t="inlineStr">
        <is>
          <t>契約人月</t>
        </is>
      </c>
      <c r="F45" s="8" t="inlineStr">
        <is>
          <t>実績人月</t>
        </is>
      </c>
      <c r="G45" s="8" t="inlineStr">
        <is>
          <t>乖離率(%)</t>
        </is>
      </c>
      <c r="H45" s="8" t="inlineStr">
        <is>
          <t>期間(月)</t>
        </is>
      </c>
      <c r="I45" s="8" t="inlineStr">
        <is>
          <t>マイルストーン数</t>
        </is>
      </c>
    </row>
    <row r="46">
      <c r="A46" s="10" t="inlineStr">
        <is>
          <t>PJ-2019-A</t>
        </is>
      </c>
      <c r="B46" s="10" t="inlineStr">
        <is>
          <t>蒼穹のレガリア</t>
        </is>
      </c>
      <c r="C46" s="10" t="inlineStr">
        <is>
          <t>新規タイトル開発</t>
        </is>
      </c>
      <c r="D46" s="23" t="n">
        <v>1</v>
      </c>
      <c r="E46" s="12" t="n">
        <v>2400</v>
      </c>
      <c r="F46" s="12" t="n">
        <v>2372.3</v>
      </c>
      <c r="G46" s="10" t="n">
        <v>-1.2</v>
      </c>
      <c r="H46" s="10" t="n">
        <v>36</v>
      </c>
      <c r="I46" s="10" t="n">
        <v>4</v>
      </c>
    </row>
    <row r="47">
      <c r="A47" s="10" t="inlineStr">
        <is>
          <t>PJ-2020-B</t>
        </is>
      </c>
      <c r="B47" s="10" t="inlineStr">
        <is>
          <t>ブレイブフロンティア外伝(後半集中)</t>
        </is>
      </c>
      <c r="C47" s="10" t="inlineStr">
        <is>
          <t>大型アップデート</t>
        </is>
      </c>
      <c r="D47" s="23" t="n">
        <v>1</v>
      </c>
      <c r="E47" s="12" t="n">
        <v>620</v>
      </c>
      <c r="F47" s="12" t="n">
        <v>625.1</v>
      </c>
      <c r="G47" s="10" t="n">
        <v>0.8</v>
      </c>
      <c r="H47" s="10" t="n">
        <v>14</v>
      </c>
      <c r="I47" s="10" t="n">
        <v>3</v>
      </c>
    </row>
    <row r="48">
      <c r="A48" s="10" t="inlineStr">
        <is>
          <t>PJ-2020-C</t>
        </is>
      </c>
      <c r="B48" s="10" t="inlineStr">
        <is>
          <t>クロノスギア(二山)</t>
        </is>
      </c>
      <c r="C48" s="10" t="inlineStr">
        <is>
          <t>新規タイトル開発</t>
        </is>
      </c>
      <c r="D48" s="23" t="n">
        <v>1</v>
      </c>
      <c r="E48" s="12" t="n">
        <v>1800</v>
      </c>
      <c r="F48" s="12" t="n">
        <v>1806.5</v>
      </c>
      <c r="G48" s="10" t="n">
        <v>0.4</v>
      </c>
      <c r="H48" s="10" t="n">
        <v>30</v>
      </c>
      <c r="I48" s="10" t="n">
        <v>4</v>
      </c>
    </row>
    <row r="49">
      <c r="A49" s="10" t="inlineStr">
        <is>
          <t>PJ-2021-D</t>
        </is>
      </c>
      <c r="B49" s="10" t="inlineStr">
        <is>
          <t>蒼穹のレガリア HD Edition(前倒し)</t>
        </is>
      </c>
      <c r="C49" s="10" t="inlineStr">
        <is>
          <t>移植・リマスター</t>
        </is>
      </c>
      <c r="D49" s="23" t="n">
        <v>1</v>
      </c>
      <c r="E49" s="12" t="n">
        <v>520</v>
      </c>
      <c r="F49" s="12" t="n">
        <v>518.2</v>
      </c>
      <c r="G49" s="10" t="n">
        <v>-0.3</v>
      </c>
      <c r="H49" s="10" t="n">
        <v>15</v>
      </c>
      <c r="I49" s="10" t="n">
        <v>3</v>
      </c>
    </row>
    <row r="50">
      <c r="A50" s="10" t="inlineStr">
        <is>
          <t>PJ-2021-E</t>
        </is>
      </c>
      <c r="B50" s="10" t="inlineStr">
        <is>
          <t>シャドウヴェイル</t>
        </is>
      </c>
      <c r="C50" s="10" t="inlineStr">
        <is>
          <t>新規タイトル開発</t>
        </is>
      </c>
      <c r="D50" s="23" t="n">
        <v>1</v>
      </c>
      <c r="E50" s="12" t="n">
        <v>2950</v>
      </c>
      <c r="F50" s="12" t="n">
        <v>3013.4</v>
      </c>
      <c r="G50" s="10" t="n">
        <v>2.2</v>
      </c>
      <c r="H50" s="10" t="n">
        <v>36</v>
      </c>
      <c r="I50" s="10" t="n">
        <v>4</v>
      </c>
    </row>
    <row r="51">
      <c r="A51" s="10" t="inlineStr">
        <is>
          <t>PJ-2022-F</t>
        </is>
      </c>
      <c r="B51" s="10" t="inlineStr">
        <is>
          <t>ネオンハーツ Season2</t>
        </is>
      </c>
      <c r="C51" s="10" t="inlineStr">
        <is>
          <t>大型アップデート</t>
        </is>
      </c>
      <c r="D51" s="23" t="n">
        <v>1</v>
      </c>
      <c r="E51" s="12" t="n">
        <v>880</v>
      </c>
      <c r="F51" s="12" t="n">
        <v>881.8</v>
      </c>
      <c r="G51" s="10" t="n">
        <v>0.2</v>
      </c>
      <c r="H51" s="10" t="n">
        <v>18</v>
      </c>
      <c r="I51" s="10" t="n">
        <v>3</v>
      </c>
    </row>
    <row r="52">
      <c r="A52" s="10" t="inlineStr">
        <is>
          <t>PJ-2022-G</t>
        </is>
      </c>
      <c r="B52" s="10" t="inlineStr">
        <is>
          <t>ギルドマスターズ(前倒し)</t>
        </is>
      </c>
      <c r="C52" s="10" t="inlineStr">
        <is>
          <t>新規タイトル開発</t>
        </is>
      </c>
      <c r="D52" s="23" t="n">
        <v>1</v>
      </c>
      <c r="E52" s="12" t="n">
        <v>1450</v>
      </c>
      <c r="F52" s="12" t="n">
        <v>1461</v>
      </c>
      <c r="G52" s="10" t="n">
        <v>0.8</v>
      </c>
      <c r="H52" s="10" t="n">
        <v>24</v>
      </c>
      <c r="I52" s="10" t="n">
        <v>4</v>
      </c>
    </row>
    <row r="53">
      <c r="A53" s="10" t="inlineStr">
        <is>
          <t>PJ-2023-H</t>
        </is>
      </c>
      <c r="B53" s="10" t="inlineStr">
        <is>
          <t>クロノスギア:蒼き遺産</t>
        </is>
      </c>
      <c r="C53" s="10" t="inlineStr">
        <is>
          <t>大型アップデート</t>
        </is>
      </c>
      <c r="D53" s="23" t="n">
        <v>1</v>
      </c>
      <c r="E53" s="12" t="n">
        <v>1100</v>
      </c>
      <c r="F53" s="12" t="n">
        <v>1104.9</v>
      </c>
      <c r="G53" s="10" t="n">
        <v>0.4</v>
      </c>
      <c r="H53" s="10" t="n">
        <v>20</v>
      </c>
      <c r="I53" s="10" t="n">
        <v>3</v>
      </c>
    </row>
    <row r="54">
      <c r="A54" s="10" t="inlineStr">
        <is>
          <t>PJ-2023-I</t>
        </is>
      </c>
      <c r="B54" s="10" t="inlineStr">
        <is>
          <t>ブレイブフロンティア Remaster</t>
        </is>
      </c>
      <c r="C54" s="10" t="inlineStr">
        <is>
          <t>移植・リマスター</t>
        </is>
      </c>
      <c r="D54" s="23" t="n">
        <v>1</v>
      </c>
      <c r="E54" s="12" t="n">
        <v>700</v>
      </c>
      <c r="F54" s="12" t="n">
        <v>709.7</v>
      </c>
      <c r="G54" s="10" t="n">
        <v>1.4</v>
      </c>
      <c r="H54" s="10" t="n">
        <v>18</v>
      </c>
      <c r="I54" s="10" t="n">
        <v>3</v>
      </c>
    </row>
    <row r="55">
      <c r="A55" s="10" t="inlineStr">
        <is>
          <t>PJ-2024-J</t>
        </is>
      </c>
      <c r="B55" s="10" t="inlineStr">
        <is>
          <t>オーヴァーロード・サーガ(後半集中)</t>
        </is>
      </c>
      <c r="C55" s="10" t="inlineStr">
        <is>
          <t>新規タイトル開発</t>
        </is>
      </c>
      <c r="D55" s="23" t="n">
        <v>1</v>
      </c>
      <c r="E55" s="12" t="n">
        <v>2200</v>
      </c>
      <c r="F55" s="12" t="n">
        <v>2162.6</v>
      </c>
      <c r="G55" s="10" t="n">
        <v>-1.7</v>
      </c>
      <c r="H55" s="10" t="n">
        <v>30</v>
      </c>
      <c r="I55" s="10" t="n">
        <v>4</v>
      </c>
    </row>
    <row r="57">
      <c r="A57" s="6" t="inlineStr">
        <is>
          <t>■ 案件別 × 行程グループ 実績工数(人月)</t>
        </is>
      </c>
    </row>
    <row r="58">
      <c r="A58" s="5" t="inlineStr">
        <is>
          <t>予測と同じ集計(phase_map に載る行程・契約期間内)での実績合計。0 はその案件がその業務を行っていないことを示す。最下行は全案件の合計で、その構成比が学習値そのものではない点に注意(学習は案件ごとの構成比を平均するため、規模の大きい案件に引っ張られない)。</t>
        </is>
      </c>
    </row>
    <row r="60">
      <c r="A60" s="8" t="inlineStr">
        <is>
          <t>案件ID</t>
        </is>
      </c>
      <c r="B60" s="8" t="inlineStr">
        <is>
          <t>名称</t>
        </is>
      </c>
      <c r="C60" s="8" t="inlineStr">
        <is>
          <t>期間(月)</t>
        </is>
      </c>
      <c r="D60" s="8" t="inlineStr">
        <is>
          <t>企画・プリプロ</t>
        </is>
      </c>
      <c r="E60" s="8" t="inlineStr">
        <is>
          <t>ゲームデザイン・シナリオ</t>
        </is>
      </c>
      <c r="F60" s="8" t="inlineStr">
        <is>
          <t>プログラム</t>
        </is>
      </c>
      <c r="G60" s="8" t="inlineStr">
        <is>
          <t>アート</t>
        </is>
      </c>
      <c r="H60" s="8" t="inlineStr">
        <is>
          <t>サウンド</t>
        </is>
      </c>
      <c r="I60" s="8" t="inlineStr">
        <is>
          <t>QA・デバッグ</t>
        </is>
      </c>
      <c r="J60" s="8" t="inlineStr">
        <is>
          <t>PM・運営</t>
        </is>
      </c>
      <c r="K60" s="8" t="inlineStr">
        <is>
          <t>合計</t>
        </is>
      </c>
    </row>
    <row r="61">
      <c r="A61" s="10" t="inlineStr">
        <is>
          <t>PJ-2019-A</t>
        </is>
      </c>
      <c r="B61" s="10" t="inlineStr">
        <is>
          <t>蒼穹のレガリア</t>
        </is>
      </c>
      <c r="C61" s="10" t="n">
        <v>36</v>
      </c>
      <c r="D61" s="19" t="n">
        <v>185</v>
      </c>
      <c r="E61" s="19" t="n">
        <v>297.4</v>
      </c>
      <c r="F61" s="19" t="n">
        <v>589.6</v>
      </c>
      <c r="G61" s="19" t="n">
        <v>772.4</v>
      </c>
      <c r="H61" s="19" t="n">
        <v>119.1</v>
      </c>
      <c r="I61" s="19" t="n">
        <v>272.4</v>
      </c>
      <c r="J61" s="19" t="n">
        <v>136.4</v>
      </c>
      <c r="K61" s="19" t="n">
        <v>2372.3</v>
      </c>
    </row>
    <row r="62">
      <c r="A62" s="10" t="inlineStr">
        <is>
          <t>PJ-2020-B</t>
        </is>
      </c>
      <c r="B62" s="10" t="inlineStr">
        <is>
          <t>ブレイブフロンティア外伝(後半集中)</t>
        </is>
      </c>
      <c r="C62" s="10" t="n">
        <v>14</v>
      </c>
      <c r="D62" s="19" t="n">
        <v>40.2</v>
      </c>
      <c r="E62" s="19" t="n">
        <v>85.5</v>
      </c>
      <c r="F62" s="19" t="n">
        <v>145.7</v>
      </c>
      <c r="G62" s="19" t="n">
        <v>202.1</v>
      </c>
      <c r="H62" s="19" t="n">
        <v>25.6</v>
      </c>
      <c r="I62" s="19" t="n">
        <v>87.59999999999999</v>
      </c>
      <c r="J62" s="19" t="n">
        <v>38.5</v>
      </c>
      <c r="K62" s="19" t="n">
        <v>625.1</v>
      </c>
    </row>
    <row r="63">
      <c r="A63" s="10" t="inlineStr">
        <is>
          <t>PJ-2020-C</t>
        </is>
      </c>
      <c r="B63" s="10" t="inlineStr">
        <is>
          <t>クロノスギア(二山)</t>
        </is>
      </c>
      <c r="C63" s="10" t="n">
        <v>30</v>
      </c>
      <c r="D63" s="19" t="n">
        <v>141.4</v>
      </c>
      <c r="E63" s="19" t="n">
        <v>217.4</v>
      </c>
      <c r="F63" s="19" t="n">
        <v>502.4</v>
      </c>
      <c r="G63" s="19" t="n">
        <v>524.6</v>
      </c>
      <c r="H63" s="19" t="n">
        <v>87.40000000000001</v>
      </c>
      <c r="I63" s="19" t="n">
        <v>225.2</v>
      </c>
      <c r="J63" s="19" t="n">
        <v>108.2</v>
      </c>
      <c r="K63" s="19" t="n">
        <v>1806.5</v>
      </c>
    </row>
    <row r="64">
      <c r="A64" s="10" t="inlineStr">
        <is>
          <t>PJ-2021-D</t>
        </is>
      </c>
      <c r="B64" s="10" t="inlineStr">
        <is>
          <t>蒼穹のレガリア HD Edition(前倒し)</t>
        </is>
      </c>
      <c r="C64" s="10" t="n">
        <v>15</v>
      </c>
      <c r="D64" s="19" t="n">
        <v>19.6</v>
      </c>
      <c r="E64" s="19" t="n">
        <v>24.2</v>
      </c>
      <c r="F64" s="19" t="n">
        <v>211.1</v>
      </c>
      <c r="G64" s="19" t="n">
        <v>127.2</v>
      </c>
      <c r="H64" s="19" t="n">
        <v>14</v>
      </c>
      <c r="I64" s="19" t="n">
        <v>93.2</v>
      </c>
      <c r="J64" s="19" t="n">
        <v>28.8</v>
      </c>
      <c r="K64" s="19" t="n">
        <v>518.2</v>
      </c>
    </row>
    <row r="65">
      <c r="A65" s="10" t="inlineStr">
        <is>
          <t>PJ-2021-E</t>
        </is>
      </c>
      <c r="B65" s="10" t="inlineStr">
        <is>
          <t>シャドウヴェイル</t>
        </is>
      </c>
      <c r="C65" s="10" t="n">
        <v>36</v>
      </c>
      <c r="D65" s="19" t="n">
        <v>251</v>
      </c>
      <c r="E65" s="19" t="n">
        <v>373</v>
      </c>
      <c r="F65" s="19" t="n">
        <v>795.5</v>
      </c>
      <c r="G65" s="19" t="n">
        <v>930.9</v>
      </c>
      <c r="H65" s="19" t="n">
        <v>147.4</v>
      </c>
      <c r="I65" s="19" t="n">
        <v>346.7</v>
      </c>
      <c r="J65" s="19" t="n">
        <v>168.9</v>
      </c>
      <c r="K65" s="19" t="n">
        <v>3013.4</v>
      </c>
    </row>
    <row r="66">
      <c r="A66" s="10" t="inlineStr">
        <is>
          <t>PJ-2022-F</t>
        </is>
      </c>
      <c r="B66" s="10" t="inlineStr">
        <is>
          <t>ネオンハーツ Season2</t>
        </is>
      </c>
      <c r="C66" s="10" t="n">
        <v>18</v>
      </c>
      <c r="D66" s="19" t="n">
        <v>51.8</v>
      </c>
      <c r="E66" s="19" t="n">
        <v>129.1</v>
      </c>
      <c r="F66" s="19" t="n">
        <v>204.3</v>
      </c>
      <c r="G66" s="19" t="n">
        <v>286.5</v>
      </c>
      <c r="H66" s="19" t="n">
        <v>37.3</v>
      </c>
      <c r="I66" s="19" t="n">
        <v>124.6</v>
      </c>
      <c r="J66" s="19" t="n">
        <v>48.2</v>
      </c>
      <c r="K66" s="19" t="n">
        <v>881.8</v>
      </c>
    </row>
    <row r="67">
      <c r="A67" s="10" t="inlineStr">
        <is>
          <t>PJ-2022-G</t>
        </is>
      </c>
      <c r="B67" s="10" t="inlineStr">
        <is>
          <t>ギルドマスターズ(前倒し)</t>
        </is>
      </c>
      <c r="C67" s="10" t="n">
        <v>24</v>
      </c>
      <c r="D67" s="19" t="n">
        <v>123.2</v>
      </c>
      <c r="E67" s="19" t="n">
        <v>170</v>
      </c>
      <c r="F67" s="19" t="n">
        <v>392.3</v>
      </c>
      <c r="G67" s="19" t="n">
        <v>446</v>
      </c>
      <c r="H67" s="19" t="n">
        <v>71.7</v>
      </c>
      <c r="I67" s="19" t="n">
        <v>171.6</v>
      </c>
      <c r="J67" s="19" t="n">
        <v>86.40000000000001</v>
      </c>
      <c r="K67" s="19" t="n">
        <v>1461</v>
      </c>
    </row>
    <row r="68">
      <c r="A68" s="10" t="inlineStr">
        <is>
          <t>PJ-2023-H</t>
        </is>
      </c>
      <c r="B68" s="10" t="inlineStr">
        <is>
          <t>クロノスギア:蒼き遺産</t>
        </is>
      </c>
      <c r="C68" s="10" t="n">
        <v>20</v>
      </c>
      <c r="D68" s="19" t="n">
        <v>61.4</v>
      </c>
      <c r="E68" s="19" t="n">
        <v>155.3</v>
      </c>
      <c r="F68" s="19" t="n">
        <v>260.3</v>
      </c>
      <c r="G68" s="19" t="n">
        <v>371</v>
      </c>
      <c r="H68" s="19" t="n">
        <v>40.6</v>
      </c>
      <c r="I68" s="19" t="n">
        <v>150.1</v>
      </c>
      <c r="J68" s="19" t="n">
        <v>66.3</v>
      </c>
      <c r="K68" s="19" t="n">
        <v>1104.9</v>
      </c>
    </row>
    <row r="69">
      <c r="A69" s="10" t="inlineStr">
        <is>
          <t>PJ-2023-I</t>
        </is>
      </c>
      <c r="B69" s="10" t="inlineStr">
        <is>
          <t>ブレイブフロンティア Remaster</t>
        </is>
      </c>
      <c r="C69" s="10" t="n">
        <v>18</v>
      </c>
      <c r="D69" s="19" t="n">
        <v>29.2</v>
      </c>
      <c r="E69" s="19" t="n">
        <v>34.4</v>
      </c>
      <c r="F69" s="19" t="n">
        <v>308.5</v>
      </c>
      <c r="G69" s="19" t="n">
        <v>171.1</v>
      </c>
      <c r="H69" s="19" t="n">
        <v>20.9</v>
      </c>
      <c r="I69" s="19" t="n">
        <v>106.1</v>
      </c>
      <c r="J69" s="19" t="n">
        <v>39.5</v>
      </c>
      <c r="K69" s="19" t="n">
        <v>709.7</v>
      </c>
    </row>
    <row r="70">
      <c r="A70" s="10" t="inlineStr">
        <is>
          <t>PJ-2024-J</t>
        </is>
      </c>
      <c r="B70" s="10" t="inlineStr">
        <is>
          <t>オーヴァーロード・サーガ(後半集中)</t>
        </is>
      </c>
      <c r="C70" s="10" t="n">
        <v>30</v>
      </c>
      <c r="D70" s="19" t="n">
        <v>153.8</v>
      </c>
      <c r="E70" s="19" t="n">
        <v>254</v>
      </c>
      <c r="F70" s="19" t="n">
        <v>600.1</v>
      </c>
      <c r="G70" s="19" t="n">
        <v>658.4</v>
      </c>
      <c r="H70" s="19" t="n">
        <v>122.6</v>
      </c>
      <c r="I70" s="19" t="n">
        <v>234.8</v>
      </c>
      <c r="J70" s="19" t="n">
        <v>138.9</v>
      </c>
      <c r="K70" s="19" t="n">
        <v>2162.6</v>
      </c>
    </row>
    <row r="71">
      <c r="A71" s="10" t="inlineStr">
        <is>
          <t>合計</t>
        </is>
      </c>
      <c r="B71" s="10" t="inlineStr"/>
      <c r="C71" s="10" t="n"/>
      <c r="D71" s="19" t="n">
        <v>1056.6</v>
      </c>
      <c r="E71" s="19" t="n">
        <v>1740.3</v>
      </c>
      <c r="F71" s="19" t="n">
        <v>4009.8</v>
      </c>
      <c r="G71" s="19" t="n">
        <v>4490.2</v>
      </c>
      <c r="H71" s="19" t="n">
        <v>686.6</v>
      </c>
      <c r="I71" s="19" t="n">
        <v>1812.3</v>
      </c>
      <c r="J71" s="19" t="n">
        <v>860.1</v>
      </c>
      <c r="K71" s="19" t="n">
        <v>14655.5</v>
      </c>
    </row>
    <row r="72">
      <c r="A72" s="10" t="inlineStr">
        <is>
          <t>構成比</t>
        </is>
      </c>
      <c r="B72" s="10" t="inlineStr">
        <is>
          <t>(全案件の単純合計)</t>
        </is>
      </c>
      <c r="C72" s="10" t="n"/>
      <c r="D72" s="17" t="n">
        <v>0.0721</v>
      </c>
      <c r="E72" s="17" t="n">
        <v>0.1187</v>
      </c>
      <c r="F72" s="17" t="n">
        <v>0.2736</v>
      </c>
      <c r="G72" s="17" t="n">
        <v>0.3064</v>
      </c>
      <c r="H72" s="17" t="n">
        <v>0.0468</v>
      </c>
      <c r="I72" s="17" t="n">
        <v>0.1237</v>
      </c>
      <c r="J72" s="17" t="n">
        <v>0.0587</v>
      </c>
      <c r="K72" s="17" t="n">
        <v>1</v>
      </c>
    </row>
    <row r="74">
      <c r="A74" s="6" t="inlineStr">
        <is>
          <t>■ マイルストーン位置分布(学習値)</t>
        </is>
      </c>
    </row>
    <row r="75">
      <c r="A75" s="8" t="inlineStr">
        <is>
          <t>マイルストーン名</t>
        </is>
      </c>
      <c r="B75" s="8" t="inlineStr">
        <is>
          <t>平均位置</t>
        </is>
      </c>
      <c r="C75" s="8" t="inlineStr">
        <is>
          <t>標準偏差</t>
        </is>
      </c>
      <c r="D75" s="8" t="inlineStr">
        <is>
          <t>件数</t>
        </is>
      </c>
      <c r="E75" s="8" t="inlineStr">
        <is>
          <t>背骨</t>
        </is>
      </c>
    </row>
    <row r="76">
      <c r="A76" s="10" t="inlineStr">
        <is>
          <t>プロトタイプ</t>
        </is>
      </c>
      <c r="B76" s="21" t="n">
        <v>0.2277301327110109</v>
      </c>
      <c r="C76" s="21" t="n">
        <v>0.03189012393515308</v>
      </c>
      <c r="D76" s="10" t="n">
        <v>5</v>
      </c>
      <c r="E76" s="10" t="inlineStr"/>
    </row>
    <row r="77">
      <c r="A77" s="10" t="inlineStr">
        <is>
          <t>α版</t>
        </is>
      </c>
      <c r="B77" s="21" t="n">
        <v>0.4968946897102826</v>
      </c>
      <c r="C77" s="21" t="n">
        <v>0.05787603873596738</v>
      </c>
      <c r="D77" s="10" t="n">
        <v>10</v>
      </c>
      <c r="E77" s="10" t="inlineStr">
        <is>
          <t>○</t>
        </is>
      </c>
    </row>
    <row r="78">
      <c r="A78" s="10" t="inlineStr">
        <is>
          <t>β版</t>
        </is>
      </c>
      <c r="B78" s="21" t="n">
        <v>0.7378800534841294</v>
      </c>
      <c r="C78" s="21" t="n">
        <v>0.05000354072467814</v>
      </c>
      <c r="D78" s="10" t="n">
        <v>10</v>
      </c>
      <c r="E78" s="10" t="inlineStr">
        <is>
          <t>○</t>
        </is>
      </c>
    </row>
    <row r="79">
      <c r="A79" s="10" t="inlineStr">
        <is>
          <t>マスターアップ</t>
        </is>
      </c>
      <c r="B79" s="21" t="n">
        <v>0.9135394862767734</v>
      </c>
      <c r="C79" s="21" t="n">
        <v>0.01808788952320223</v>
      </c>
      <c r="D79" s="10" t="n">
        <v>10</v>
      </c>
      <c r="E79" s="10" t="inlineStr">
        <is>
          <t>○</t>
        </is>
      </c>
    </row>
    <row r="81">
      <c r="A81" s="6" t="inlineStr">
        <is>
          <t>■ 行程グループ別 工数比率(学習値)</t>
        </is>
      </c>
    </row>
    <row r="82">
      <c r="A82" s="5" t="inlineStr">
        <is>
          <t>件数 = そのグループの形状カーブの学習に参加した案件数。そのグループの業務が無い案件は形の平均に参加しないため、件数が少ないカーブは参考値として扱うこと。比率のほうは業務が無い案件も0として平均に含めている。</t>
        </is>
      </c>
    </row>
    <row r="83">
      <c r="A83" s="8" t="inlineStr">
        <is>
          <t>行程グループ</t>
        </is>
      </c>
      <c r="B83" s="8" t="inlineStr">
        <is>
          <t>比率</t>
        </is>
      </c>
      <c r="C83" s="8" t="inlineStr">
        <is>
          <t>件数</t>
        </is>
      </c>
    </row>
    <row r="84">
      <c r="A84" s="10" t="inlineStr">
        <is>
          <t>企画・プリプロ</t>
        </is>
      </c>
      <c r="B84" s="13" t="n">
        <v>0.06524885174932314</v>
      </c>
      <c r="C84" s="11" t="n">
        <v>10</v>
      </c>
    </row>
    <row r="85">
      <c r="A85" s="10" t="inlineStr">
        <is>
          <t>ゲームデザイン・シナリオ</t>
        </is>
      </c>
      <c r="B85" s="13" t="n">
        <v>0.1122043113713705</v>
      </c>
      <c r="C85" s="11" t="n">
        <v>10</v>
      </c>
    </row>
    <row r="86">
      <c r="A86" s="10" t="inlineStr">
        <is>
          <t>プログラム</t>
        </is>
      </c>
      <c r="B86" s="13" t="n">
        <v>0.2879091969215787</v>
      </c>
      <c r="C86" s="11" t="n">
        <v>10</v>
      </c>
    </row>
    <row r="87">
      <c r="A87" s="10" t="inlineStr">
        <is>
          <t>アート</t>
        </is>
      </c>
      <c r="B87" s="13" t="n">
        <v>0.3005002389104883</v>
      </c>
      <c r="C87" s="11" t="n">
        <v>10</v>
      </c>
    </row>
    <row r="88">
      <c r="A88" s="10" t="inlineStr">
        <is>
          <t>サウンド</t>
        </is>
      </c>
      <c r="B88" s="13" t="n">
        <v>0.04298558319794448</v>
      </c>
      <c r="C88" s="11" t="n">
        <v>10</v>
      </c>
    </row>
    <row r="89">
      <c r="A89" s="10" t="inlineStr">
        <is>
          <t>QA・デバッグ</t>
        </is>
      </c>
      <c r="B89" s="13" t="n">
        <v>0.1327188838365589</v>
      </c>
      <c r="C89" s="11" t="n">
        <v>10</v>
      </c>
    </row>
    <row r="90">
      <c r="A90" s="10" t="inlineStr">
        <is>
          <t>PM・運営</t>
        </is>
      </c>
      <c r="B90" s="13" t="n">
        <v>0.05843293401273604</v>
      </c>
      <c r="C90" s="11" t="n">
        <v>10</v>
      </c>
    </row>
    <row r="92">
      <c r="A92" s="6" t="inlineStr">
        <is>
          <t>■ 警告</t>
        </is>
      </c>
    </row>
    <row r="93">
      <c r="A93" s="24" t="inlineStr">
        <is>
          <t>⚠ マイルストーン「プロトタイプ」はカバー率 5/10 が閾値 60% 未満のため位置合わせには使っていない。</t>
        </is>
      </c>
    </row>
  </sheetData>
  <printOptions horizontalCentered="0"/>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2026-09-04T23:00:51Z</dcterms:created>
  <dcterms:modified xsi:type="dcterms:W3CDTF">2026-09-04T23:00:52Z</dcterms:modified>
</cp:coreProperties>
</file>