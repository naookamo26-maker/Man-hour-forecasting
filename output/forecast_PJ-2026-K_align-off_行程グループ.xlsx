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カーブ" sheetId="2" state="visible" r:id="rId2"/>
    <sheet name="条件"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6" fontId="2" fillId="0" borderId="1" pivotButton="0" quotePrefix="0" xfId="0"/>
    <xf numFmtId="2" fontId="2"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蒼穹のレガリア II 月次工数(時間・行程グループ積み上げ)</a:t>
            </a:r>
          </a:p>
        </rich>
      </tx>
    </title>
    <plotArea>
      <barChart>
        <barDir val="col"/>
        <grouping val="stacked"/>
        <ser>
          <idx val="0"/>
          <order val="0"/>
          <tx>
            <strRef>
              <f>'予測'!C11</f>
            </strRef>
          </tx>
          <spPr>
            <a:ln>
              <a:prstDash val="solid"/>
            </a:ln>
          </spPr>
          <cat>
            <numRef>
              <f>'予測'!$A$12:$A$37</f>
            </numRef>
          </cat>
          <val>
            <numRef>
              <f>'予測'!$C$12:$C$37</f>
            </numRef>
          </val>
        </ser>
        <ser>
          <idx val="1"/>
          <order val="1"/>
          <tx>
            <strRef>
              <f>'予測'!D11</f>
            </strRef>
          </tx>
          <spPr>
            <a:ln>
              <a:prstDash val="solid"/>
            </a:ln>
          </spPr>
          <cat>
            <numRef>
              <f>'予測'!$A$12:$A$37</f>
            </numRef>
          </cat>
          <val>
            <numRef>
              <f>'予測'!$D$12:$D$37</f>
            </numRef>
          </val>
        </ser>
        <ser>
          <idx val="2"/>
          <order val="2"/>
          <tx>
            <strRef>
              <f>'予測'!E11</f>
            </strRef>
          </tx>
          <spPr>
            <a:ln>
              <a:prstDash val="solid"/>
            </a:ln>
          </spPr>
          <cat>
            <numRef>
              <f>'予測'!$A$12:$A$37</f>
            </numRef>
          </cat>
          <val>
            <numRef>
              <f>'予測'!$E$12:$E$37</f>
            </numRef>
          </val>
        </ser>
        <ser>
          <idx val="3"/>
          <order val="3"/>
          <tx>
            <strRef>
              <f>'予測'!F11</f>
            </strRef>
          </tx>
          <spPr>
            <a:ln>
              <a:prstDash val="solid"/>
            </a:ln>
          </spPr>
          <cat>
            <numRef>
              <f>'予測'!$A$12:$A$37</f>
            </numRef>
          </cat>
          <val>
            <numRef>
              <f>'予測'!$F$12:$F$37</f>
            </numRef>
          </val>
        </ser>
        <ser>
          <idx val="4"/>
          <order val="4"/>
          <tx>
            <strRef>
              <f>'予測'!G11</f>
            </strRef>
          </tx>
          <spPr>
            <a:ln>
              <a:prstDash val="solid"/>
            </a:ln>
          </spPr>
          <cat>
            <numRef>
              <f>'予測'!$A$12:$A$37</f>
            </numRef>
          </cat>
          <val>
            <numRef>
              <f>'予測'!$G$12:$G$37</f>
            </numRef>
          </val>
        </ser>
        <ser>
          <idx val="5"/>
          <order val="5"/>
          <tx>
            <strRef>
              <f>'予測'!H11</f>
            </strRef>
          </tx>
          <spPr>
            <a:ln>
              <a:prstDash val="solid"/>
            </a:ln>
          </spPr>
          <cat>
            <numRef>
              <f>'予測'!$A$12:$A$37</f>
            </numRef>
          </cat>
          <val>
            <numRef>
              <f>'予測'!$H$12:$H$37</f>
            </numRef>
          </val>
        </ser>
        <ser>
          <idx val="6"/>
          <order val="6"/>
          <tx>
            <strRef>
              <f>'予測'!I11</f>
            </strRef>
          </tx>
          <spPr>
            <a:ln>
              <a:prstDash val="solid"/>
            </a:ln>
          </spPr>
          <cat>
            <numRef>
              <f>'予測'!$A$12:$A$37</f>
            </numRef>
          </cat>
          <val>
            <numRef>
              <f>'予測'!$I$12:$I$37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'予測'!$A$12:$A$37</f>
            </numRef>
          </cat>
          <val>
            <numRef>
              <f>'予測'!$K$12:$K$37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10</row>
      <rowOff>0</rowOff>
    </from>
    <ext cx="9432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31</row>
      <rowOff>0</rowOff>
    </from>
    <ext cx="75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K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15" customWidth="1" min="5" max="5"/>
    <col width="15" customWidth="1" min="6" max="6"/>
    <col width="15" customWidth="1" min="7" max="7"/>
    <col width="15" customWidth="1" min="8" max="8"/>
    <col width="15" customWidth="1" min="9" max="9"/>
  </cols>
  <sheetData>
    <row r="1">
      <c r="A1" s="1" t="inlineStr">
        <is>
          <t>工数予測  蒼穹のレガリア II  (PJ-2026-K)</t>
        </is>
      </c>
    </row>
    <row r="2">
      <c r="A2" s="2" t="inlineStr">
        <is>
          <t>生成日時</t>
        </is>
      </c>
      <c r="B2" s="2" t="inlineStr">
        <is>
          <t>2026-09-03 11:03</t>
        </is>
      </c>
    </row>
    <row r="3">
      <c r="A3" s="2" t="inlineStr">
        <is>
          <t>種別</t>
        </is>
      </c>
      <c r="B3" s="2" t="inlineStr">
        <is>
          <t>新規タイトル開発</t>
        </is>
      </c>
    </row>
    <row r="4">
      <c r="A4" s="2" t="inlineStr">
        <is>
          <t>タグ</t>
        </is>
      </c>
      <c r="B4" s="2" t="inlineStr">
        <is>
          <t>コンソール;既存IP;オンライン要素</t>
        </is>
      </c>
    </row>
    <row r="5">
      <c r="A5" s="2" t="inlineStr">
        <is>
          <t>期間</t>
        </is>
      </c>
      <c r="B5" s="2" t="inlineStr">
        <is>
          <t>2026-07 〜 2028-08  (26ヶ月)</t>
        </is>
      </c>
    </row>
    <row r="6">
      <c r="A6" s="2" t="inlineStr">
        <is>
          <t>契約人月</t>
        </is>
      </c>
      <c r="B6" s="3" t="n">
        <v>1900</v>
      </c>
    </row>
    <row r="7">
      <c r="A7" s="2" t="inlineStr">
        <is>
          <t>人月換算係数</t>
        </is>
      </c>
      <c r="B7" s="4" t="n">
        <v>160</v>
      </c>
      <c r="C7" s="5" t="inlineStr">
        <is>
          <t>← 人月表示はこのセルを参照。定義が違う場合はここを書き換える</t>
        </is>
      </c>
    </row>
    <row r="8">
      <c r="A8" s="2" t="inlineStr">
        <is>
          <t>総工数(時間)</t>
        </is>
      </c>
      <c r="B8" s="3" t="n">
        <v>304000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2026-07</t>
        </is>
      </c>
      <c r="B12" s="11" t="n">
        <v>1</v>
      </c>
      <c r="C12" s="12" t="n">
        <v>2953.2</v>
      </c>
      <c r="D12" s="12" t="n">
        <v>886.1</v>
      </c>
      <c r="E12" s="12" t="n">
        <v>394.5</v>
      </c>
      <c r="F12" s="12" t="n">
        <v>168.9</v>
      </c>
      <c r="G12" s="12" t="n">
        <v>0.6</v>
      </c>
      <c r="H12" s="12" t="n">
        <v>0</v>
      </c>
      <c r="I12" s="12" t="n">
        <v>325.5</v>
      </c>
      <c r="J12" s="12">
        <f>SUM(C12:I12)</f>
        <v/>
      </c>
      <c r="K12" s="13">
        <f>SUM($J$12:J12)/$J$38</f>
        <v/>
      </c>
    </row>
    <row r="13">
      <c r="A13" s="10" t="inlineStr">
        <is>
          <t>2026-08</t>
        </is>
      </c>
      <c r="B13" s="11" t="n">
        <v>2</v>
      </c>
      <c r="C13" s="12" t="n">
        <v>2779.2</v>
      </c>
      <c r="D13" s="12" t="n">
        <v>1367.3</v>
      </c>
      <c r="E13" s="12" t="n">
        <v>854.5</v>
      </c>
      <c r="F13" s="12" t="n">
        <v>498.9</v>
      </c>
      <c r="G13" s="12" t="n">
        <v>9.1</v>
      </c>
      <c r="H13" s="12" t="n">
        <v>0</v>
      </c>
      <c r="I13" s="12" t="n">
        <v>468.6</v>
      </c>
      <c r="J13" s="12">
        <f>SUM(C13:I13)</f>
        <v/>
      </c>
      <c r="K13" s="13">
        <f>SUM($J$12:J13)/$J$38</f>
        <v/>
      </c>
    </row>
    <row r="14">
      <c r="A14" s="10" t="inlineStr">
        <is>
          <t>2026-09</t>
        </is>
      </c>
      <c r="B14" s="11" t="n">
        <v>3</v>
      </c>
      <c r="C14" s="12" t="n">
        <v>2368.7</v>
      </c>
      <c r="D14" s="12" t="n">
        <v>1556</v>
      </c>
      <c r="E14" s="12" t="n">
        <v>1218.3</v>
      </c>
      <c r="F14" s="12" t="n">
        <v>870.5</v>
      </c>
      <c r="G14" s="12" t="n">
        <v>24.7</v>
      </c>
      <c r="H14" s="12" t="n">
        <v>1.5</v>
      </c>
      <c r="I14" s="12" t="n">
        <v>539.6</v>
      </c>
      <c r="J14" s="12">
        <f>SUM(C14:I14)</f>
        <v/>
      </c>
      <c r="K14" s="13">
        <f>SUM($J$12:J14)/$J$38</f>
        <v/>
      </c>
    </row>
    <row r="15">
      <c r="A15" s="10" t="inlineStr">
        <is>
          <t>2026-10</t>
        </is>
      </c>
      <c r="B15" s="11" t="n">
        <v>4</v>
      </c>
      <c r="C15" s="12" t="n">
        <v>2125.4</v>
      </c>
      <c r="D15" s="12" t="n">
        <v>1784.7</v>
      </c>
      <c r="E15" s="12" t="n">
        <v>1695.8</v>
      </c>
      <c r="F15" s="12" t="n">
        <v>1309.2</v>
      </c>
      <c r="G15" s="12" t="n">
        <v>48.8</v>
      </c>
      <c r="H15" s="12" t="n">
        <v>8</v>
      </c>
      <c r="I15" s="12" t="n">
        <v>616.4</v>
      </c>
      <c r="J15" s="12">
        <f>SUM(C15:I15)</f>
        <v/>
      </c>
      <c r="K15" s="13">
        <f>SUM($J$12:J15)/$J$38</f>
        <v/>
      </c>
    </row>
    <row r="16">
      <c r="A16" s="10" t="inlineStr">
        <is>
          <t>2026-11</t>
        </is>
      </c>
      <c r="B16" s="11" t="n">
        <v>5</v>
      </c>
      <c r="C16" s="12" t="n">
        <v>1711.9</v>
      </c>
      <c r="D16" s="12" t="n">
        <v>1761.5</v>
      </c>
      <c r="E16" s="12" t="n">
        <v>2008.3</v>
      </c>
      <c r="F16" s="12" t="n">
        <v>1597.7</v>
      </c>
      <c r="G16" s="12" t="n">
        <v>78.59999999999999</v>
      </c>
      <c r="H16" s="12" t="n">
        <v>17.2</v>
      </c>
      <c r="I16" s="12" t="n">
        <v>632.6</v>
      </c>
      <c r="J16" s="12">
        <f>SUM(C16:I16)</f>
        <v/>
      </c>
      <c r="K16" s="13">
        <f>SUM($J$12:J16)/$J$38</f>
        <v/>
      </c>
    </row>
    <row r="17">
      <c r="A17" s="10" t="inlineStr">
        <is>
          <t>2026-12</t>
        </is>
      </c>
      <c r="B17" s="11" t="n">
        <v>6</v>
      </c>
      <c r="C17" s="12" t="n">
        <v>1489.4</v>
      </c>
      <c r="D17" s="12" t="n">
        <v>1819.3</v>
      </c>
      <c r="E17" s="12" t="n">
        <v>2369</v>
      </c>
      <c r="F17" s="12" t="n">
        <v>2048.2</v>
      </c>
      <c r="G17" s="12" t="n">
        <v>123.9</v>
      </c>
      <c r="H17" s="12" t="n">
        <v>38.1</v>
      </c>
      <c r="I17" s="12" t="n">
        <v>654</v>
      </c>
      <c r="J17" s="12">
        <f>SUM(C17:I17)</f>
        <v/>
      </c>
      <c r="K17" s="13">
        <f>SUM($J$12:J17)/$J$38</f>
        <v/>
      </c>
    </row>
    <row r="18">
      <c r="A18" s="10" t="inlineStr">
        <is>
          <t>2027-01</t>
        </is>
      </c>
      <c r="B18" s="11" t="n">
        <v>7</v>
      </c>
      <c r="C18" s="12" t="n">
        <v>1325.3</v>
      </c>
      <c r="D18" s="12" t="n">
        <v>1981</v>
      </c>
      <c r="E18" s="12" t="n">
        <v>2855.8</v>
      </c>
      <c r="F18" s="12" t="n">
        <v>2537.3</v>
      </c>
      <c r="G18" s="12" t="n">
        <v>177.5</v>
      </c>
      <c r="H18" s="12" t="n">
        <v>66.5</v>
      </c>
      <c r="I18" s="12" t="n">
        <v>726.7</v>
      </c>
      <c r="J18" s="12">
        <f>SUM(C18:I18)</f>
        <v/>
      </c>
      <c r="K18" s="13">
        <f>SUM($J$12:J18)/$J$38</f>
        <v/>
      </c>
    </row>
    <row r="19">
      <c r="A19" s="10" t="inlineStr">
        <is>
          <t>2027-02</t>
        </is>
      </c>
      <c r="B19" s="11" t="n">
        <v>8</v>
      </c>
      <c r="C19" s="12" t="n">
        <v>1100.2</v>
      </c>
      <c r="D19" s="12" t="n">
        <v>1992.5</v>
      </c>
      <c r="E19" s="12" t="n">
        <v>3235.3</v>
      </c>
      <c r="F19" s="12" t="n">
        <v>3035.4</v>
      </c>
      <c r="G19" s="12" t="n">
        <v>221.2</v>
      </c>
      <c r="H19" s="12" t="n">
        <v>107.8</v>
      </c>
      <c r="I19" s="12" t="n">
        <v>742.5</v>
      </c>
      <c r="J19" s="12">
        <f>SUM(C19:I19)</f>
        <v/>
      </c>
      <c r="K19" s="13">
        <f>SUM($J$12:J19)/$J$38</f>
        <v/>
      </c>
    </row>
    <row r="20">
      <c r="A20" s="10" t="inlineStr">
        <is>
          <t>2027-03</t>
        </is>
      </c>
      <c r="B20" s="11" t="n">
        <v>9</v>
      </c>
      <c r="C20" s="12" t="n">
        <v>1037.6</v>
      </c>
      <c r="D20" s="12" t="n">
        <v>2277.6</v>
      </c>
      <c r="E20" s="12" t="n">
        <v>4209.8</v>
      </c>
      <c r="F20" s="12" t="n">
        <v>3882.2</v>
      </c>
      <c r="G20" s="12" t="n">
        <v>315.2</v>
      </c>
      <c r="H20" s="12" t="n">
        <v>176.7</v>
      </c>
      <c r="I20" s="12" t="n">
        <v>892.7</v>
      </c>
      <c r="J20" s="12">
        <f>SUM(C20:I20)</f>
        <v/>
      </c>
      <c r="K20" s="13">
        <f>SUM($J$12:J20)/$J$38</f>
        <v/>
      </c>
    </row>
    <row r="21">
      <c r="A21" s="10" t="inlineStr">
        <is>
          <t>2027-04</t>
        </is>
      </c>
      <c r="B21" s="11" t="n">
        <v>10</v>
      </c>
      <c r="C21" s="12" t="n">
        <v>746.3</v>
      </c>
      <c r="D21" s="12" t="n">
        <v>2379.4</v>
      </c>
      <c r="E21" s="12" t="n">
        <v>4715.7</v>
      </c>
      <c r="F21" s="12" t="n">
        <v>4203.2</v>
      </c>
      <c r="G21" s="12" t="n">
        <v>400.8</v>
      </c>
      <c r="H21" s="12" t="n">
        <v>257.1</v>
      </c>
      <c r="I21" s="12" t="n">
        <v>882</v>
      </c>
      <c r="J21" s="12">
        <f>SUM(C21:I21)</f>
        <v/>
      </c>
      <c r="K21" s="13">
        <f>SUM($J$12:J21)/$J$38</f>
        <v/>
      </c>
    </row>
    <row r="22">
      <c r="A22" s="10" t="inlineStr">
        <is>
          <t>2027-05</t>
        </is>
      </c>
      <c r="B22" s="11" t="n">
        <v>11</v>
      </c>
      <c r="C22" s="12" t="n">
        <v>583.9</v>
      </c>
      <c r="D22" s="12" t="n">
        <v>2495.7</v>
      </c>
      <c r="E22" s="12" t="n">
        <v>5790.1</v>
      </c>
      <c r="F22" s="12" t="n">
        <v>4744.7</v>
      </c>
      <c r="G22" s="12" t="n">
        <v>508.9</v>
      </c>
      <c r="H22" s="12" t="n">
        <v>396.3</v>
      </c>
      <c r="I22" s="12" t="n">
        <v>900.5</v>
      </c>
      <c r="J22" s="12">
        <f>SUM(C22:I22)</f>
        <v/>
      </c>
      <c r="K22" s="13">
        <f>SUM($J$12:J22)/$J$38</f>
        <v/>
      </c>
    </row>
    <row r="23">
      <c r="A23" s="10" t="inlineStr">
        <is>
          <t>2027-06</t>
        </is>
      </c>
      <c r="B23" s="11" t="n">
        <v>12</v>
      </c>
      <c r="C23" s="12" t="n">
        <v>417.2</v>
      </c>
      <c r="D23" s="12" t="n">
        <v>2081.1</v>
      </c>
      <c r="E23" s="12" t="n">
        <v>5314.3</v>
      </c>
      <c r="F23" s="12" t="n">
        <v>4243.5</v>
      </c>
      <c r="G23" s="12" t="n">
        <v>501.4</v>
      </c>
      <c r="H23" s="12" t="n">
        <v>458.4</v>
      </c>
      <c r="I23" s="12" t="n">
        <v>796.8</v>
      </c>
      <c r="J23" s="12">
        <f>SUM(C23:I23)</f>
        <v/>
      </c>
      <c r="K23" s="13">
        <f>SUM($J$12:J23)/$J$38</f>
        <v/>
      </c>
    </row>
    <row r="24">
      <c r="A24" s="10" t="inlineStr">
        <is>
          <t>2027-07</t>
        </is>
      </c>
      <c r="B24" s="11" t="n">
        <v>13</v>
      </c>
      <c r="C24" s="12" t="n">
        <v>343.7</v>
      </c>
      <c r="D24" s="12" t="n">
        <v>2042.3</v>
      </c>
      <c r="E24" s="12" t="n">
        <v>5260.6</v>
      </c>
      <c r="F24" s="12" t="n">
        <v>4431.1</v>
      </c>
      <c r="G24" s="12" t="n">
        <v>532.2</v>
      </c>
      <c r="H24" s="12" t="n">
        <v>528.5</v>
      </c>
      <c r="I24" s="12" t="n">
        <v>790.2</v>
      </c>
      <c r="J24" s="12">
        <f>SUM(C24:I24)</f>
        <v/>
      </c>
      <c r="K24" s="13">
        <f>SUM($J$12:J24)/$J$38</f>
        <v/>
      </c>
    </row>
    <row r="25">
      <c r="A25" s="10" t="inlineStr">
        <is>
          <t>2027-08</t>
        </is>
      </c>
      <c r="B25" s="11" t="n">
        <v>14</v>
      </c>
      <c r="C25" s="12" t="n">
        <v>271.4</v>
      </c>
      <c r="D25" s="12" t="n">
        <v>2016</v>
      </c>
      <c r="E25" s="12" t="n">
        <v>5950.4</v>
      </c>
      <c r="F25" s="12" t="n">
        <v>5438</v>
      </c>
      <c r="G25" s="12" t="n">
        <v>718.8</v>
      </c>
      <c r="H25" s="12" t="n">
        <v>783</v>
      </c>
      <c r="I25" s="12" t="n">
        <v>884.5</v>
      </c>
      <c r="J25" s="12">
        <f>SUM(C25:I25)</f>
        <v/>
      </c>
      <c r="K25" s="13">
        <f>SUM($J$12:J25)/$J$38</f>
        <v/>
      </c>
    </row>
    <row r="26">
      <c r="A26" s="10" t="inlineStr">
        <is>
          <t>2027-09</t>
        </is>
      </c>
      <c r="B26" s="11" t="n">
        <v>15</v>
      </c>
      <c r="C26" s="12" t="n">
        <v>213</v>
      </c>
      <c r="D26" s="12" t="n">
        <v>1708.9</v>
      </c>
      <c r="E26" s="12" t="n">
        <v>5542.2</v>
      </c>
      <c r="F26" s="12" t="n">
        <v>5581.1</v>
      </c>
      <c r="G26" s="12" t="n">
        <v>790.5</v>
      </c>
      <c r="H26" s="12" t="n">
        <v>1072.9</v>
      </c>
      <c r="I26" s="12" t="n">
        <v>890.4</v>
      </c>
      <c r="J26" s="12">
        <f>SUM(C26:I26)</f>
        <v/>
      </c>
      <c r="K26" s="13">
        <f>SUM($J$12:J26)/$J$38</f>
        <v/>
      </c>
    </row>
    <row r="27">
      <c r="A27" s="10" t="inlineStr">
        <is>
          <t>2027-10</t>
        </is>
      </c>
      <c r="B27" s="11" t="n">
        <v>16</v>
      </c>
      <c r="C27" s="12" t="n">
        <v>172</v>
      </c>
      <c r="D27" s="12" t="n">
        <v>1691.6</v>
      </c>
      <c r="E27" s="12" t="n">
        <v>5877.4</v>
      </c>
      <c r="F27" s="12" t="n">
        <v>6500.6</v>
      </c>
      <c r="G27" s="12" t="n">
        <v>968.8</v>
      </c>
      <c r="H27" s="12" t="n">
        <v>1590.4</v>
      </c>
      <c r="I27" s="12" t="n">
        <v>1007.5</v>
      </c>
      <c r="J27" s="12">
        <f>SUM(C27:I27)</f>
        <v/>
      </c>
      <c r="K27" s="13">
        <f>SUM($J$12:J27)/$J$38</f>
        <v/>
      </c>
    </row>
    <row r="28">
      <c r="A28" s="10" t="inlineStr">
        <is>
          <t>2027-11</t>
        </is>
      </c>
      <c r="B28" s="11" t="n">
        <v>17</v>
      </c>
      <c r="C28" s="12" t="n">
        <v>113.8</v>
      </c>
      <c r="D28" s="12" t="n">
        <v>1270.3</v>
      </c>
      <c r="E28" s="12" t="n">
        <v>5184.5</v>
      </c>
      <c r="F28" s="12" t="n">
        <v>6390.5</v>
      </c>
      <c r="G28" s="12" t="n">
        <v>1048.5</v>
      </c>
      <c r="H28" s="12" t="n">
        <v>2399</v>
      </c>
      <c r="I28" s="12" t="n">
        <v>930.9</v>
      </c>
      <c r="J28" s="12">
        <f>SUM(C28:I28)</f>
        <v/>
      </c>
      <c r="K28" s="13">
        <f>SUM($J$12:J28)/$J$38</f>
        <v/>
      </c>
    </row>
    <row r="29">
      <c r="A29" s="10" t="inlineStr">
        <is>
          <t>2027-12</t>
        </is>
      </c>
      <c r="B29" s="11" t="n">
        <v>18</v>
      </c>
      <c r="C29" s="12" t="n">
        <v>49.5</v>
      </c>
      <c r="D29" s="12" t="n">
        <v>1026.7</v>
      </c>
      <c r="E29" s="12" t="n">
        <v>4805.1</v>
      </c>
      <c r="F29" s="12" t="n">
        <v>6268.1</v>
      </c>
      <c r="G29" s="12" t="n">
        <v>1100.7</v>
      </c>
      <c r="H29" s="12" t="n">
        <v>2721.6</v>
      </c>
      <c r="I29" s="12" t="n">
        <v>867.7</v>
      </c>
      <c r="J29" s="12">
        <f>SUM(C29:I29)</f>
        <v/>
      </c>
      <c r="K29" s="13">
        <f>SUM($J$12:J29)/$J$38</f>
        <v/>
      </c>
    </row>
    <row r="30">
      <c r="A30" s="10" t="inlineStr">
        <is>
          <t>2028-01</t>
        </is>
      </c>
      <c r="B30" s="11" t="n">
        <v>19</v>
      </c>
      <c r="C30" s="12" t="n">
        <v>26.3</v>
      </c>
      <c r="D30" s="12" t="n">
        <v>718.3</v>
      </c>
      <c r="E30" s="12" t="n">
        <v>4297.9</v>
      </c>
      <c r="F30" s="12" t="n">
        <v>5762.1</v>
      </c>
      <c r="G30" s="12" t="n">
        <v>1017.7</v>
      </c>
      <c r="H30" s="12" t="n">
        <v>3054.8</v>
      </c>
      <c r="I30" s="12" t="n">
        <v>726.6</v>
      </c>
      <c r="J30" s="12">
        <f>SUM(C30:I30)</f>
        <v/>
      </c>
      <c r="K30" s="13">
        <f>SUM($J$12:J30)/$J$38</f>
        <v/>
      </c>
    </row>
    <row r="31">
      <c r="A31" s="10" t="inlineStr">
        <is>
          <t>2028-02</t>
        </is>
      </c>
      <c r="B31" s="11" t="n">
        <v>20</v>
      </c>
      <c r="C31" s="12" t="n">
        <v>5.3</v>
      </c>
      <c r="D31" s="12" t="n">
        <v>411.7</v>
      </c>
      <c r="E31" s="12" t="n">
        <v>3641.7</v>
      </c>
      <c r="F31" s="12" t="n">
        <v>5121.6</v>
      </c>
      <c r="G31" s="12" t="n">
        <v>932.7</v>
      </c>
      <c r="H31" s="12" t="n">
        <v>3442.3</v>
      </c>
      <c r="I31" s="12" t="n">
        <v>600.1</v>
      </c>
      <c r="J31" s="12">
        <f>SUM(C31:I31)</f>
        <v/>
      </c>
      <c r="K31" s="13">
        <f>SUM($J$12:J31)/$J$38</f>
        <v/>
      </c>
    </row>
    <row r="32">
      <c r="A32" s="10" t="inlineStr">
        <is>
          <t>2028-03</t>
        </is>
      </c>
      <c r="B32" s="11" t="n">
        <v>21</v>
      </c>
      <c r="C32" s="12" t="n">
        <v>2.4</v>
      </c>
      <c r="D32" s="12" t="n">
        <v>345.8</v>
      </c>
      <c r="E32" s="12" t="n">
        <v>3872.9</v>
      </c>
      <c r="F32" s="12" t="n">
        <v>5398.1</v>
      </c>
      <c r="G32" s="12" t="n">
        <v>1007.1</v>
      </c>
      <c r="H32" s="12" t="n">
        <v>4159.6</v>
      </c>
      <c r="I32" s="12" t="n">
        <v>635.4</v>
      </c>
      <c r="J32" s="12">
        <f>SUM(C32:I32)</f>
        <v/>
      </c>
      <c r="K32" s="13">
        <f>SUM($J$12:J32)/$J$38</f>
        <v/>
      </c>
    </row>
    <row r="33">
      <c r="A33" s="10" t="inlineStr">
        <is>
          <t>2028-04</t>
        </is>
      </c>
      <c r="B33" s="11" t="n">
        <v>22</v>
      </c>
      <c r="C33" s="12" t="n">
        <v>0</v>
      </c>
      <c r="D33" s="12" t="n">
        <v>221.8</v>
      </c>
      <c r="E33" s="12" t="n">
        <v>3262.7</v>
      </c>
      <c r="F33" s="12" t="n">
        <v>4366.2</v>
      </c>
      <c r="G33" s="12" t="n">
        <v>905.2</v>
      </c>
      <c r="H33" s="12" t="n">
        <v>4115.2</v>
      </c>
      <c r="I33" s="12" t="n">
        <v>585.4</v>
      </c>
      <c r="J33" s="12">
        <f>SUM(C33:I33)</f>
        <v/>
      </c>
      <c r="K33" s="13">
        <f>SUM($J$12:J33)/$J$38</f>
        <v/>
      </c>
    </row>
    <row r="34">
      <c r="A34" s="10" t="inlineStr">
        <is>
          <t>2028-05</t>
        </is>
      </c>
      <c r="B34" s="11" t="n">
        <v>23</v>
      </c>
      <c r="C34" s="12" t="n">
        <v>0</v>
      </c>
      <c r="D34" s="12" t="n">
        <v>146.1</v>
      </c>
      <c r="E34" s="12" t="n">
        <v>2299.3</v>
      </c>
      <c r="F34" s="12" t="n">
        <v>3219.5</v>
      </c>
      <c r="G34" s="12" t="n">
        <v>703.1</v>
      </c>
      <c r="H34" s="12" t="n">
        <v>4093.1</v>
      </c>
      <c r="I34" s="12" t="n">
        <v>574.4</v>
      </c>
      <c r="J34" s="12">
        <f>SUM(C34:I34)</f>
        <v/>
      </c>
      <c r="K34" s="13">
        <f>SUM($J$12:J34)/$J$38</f>
        <v/>
      </c>
    </row>
    <row r="35">
      <c r="A35" s="10" t="inlineStr">
        <is>
          <t>2028-06</t>
        </is>
      </c>
      <c r="B35" s="11" t="n">
        <v>24</v>
      </c>
      <c r="C35" s="12" t="n">
        <v>0</v>
      </c>
      <c r="D35" s="12" t="n">
        <v>80.59999999999999</v>
      </c>
      <c r="E35" s="12" t="n">
        <v>1462.2</v>
      </c>
      <c r="F35" s="12" t="n">
        <v>2011.8</v>
      </c>
      <c r="G35" s="12" t="n">
        <v>478.9</v>
      </c>
      <c r="H35" s="12" t="n">
        <v>4127.3</v>
      </c>
      <c r="I35" s="12" t="n">
        <v>448.1</v>
      </c>
      <c r="J35" s="12">
        <f>SUM(C35:I35)</f>
        <v/>
      </c>
      <c r="K35" s="13">
        <f>SUM($J$12:J35)/$J$38</f>
        <v/>
      </c>
    </row>
    <row r="36">
      <c r="A36" s="10" t="inlineStr">
        <is>
          <t>2028-07</t>
        </is>
      </c>
      <c r="B36" s="11" t="n">
        <v>25</v>
      </c>
      <c r="C36" s="12" t="n">
        <v>0</v>
      </c>
      <c r="D36" s="12" t="n">
        <v>40.8</v>
      </c>
      <c r="E36" s="12" t="n">
        <v>974.1</v>
      </c>
      <c r="F36" s="12" t="n">
        <v>1240.9</v>
      </c>
      <c r="G36" s="12" t="n">
        <v>320.4</v>
      </c>
      <c r="H36" s="12" t="n">
        <v>4018</v>
      </c>
      <c r="I36" s="12" t="n">
        <v>376.8</v>
      </c>
      <c r="J36" s="12">
        <f>SUM(C36:I36)</f>
        <v/>
      </c>
      <c r="K36" s="13">
        <f>SUM($J$12:J36)/$J$38</f>
        <v/>
      </c>
    </row>
    <row r="37">
      <c r="A37" s="10" t="inlineStr">
        <is>
          <t>2028-08</t>
        </is>
      </c>
      <c r="B37" s="11" t="n">
        <v>26</v>
      </c>
      <c r="C37" s="12" t="n">
        <v>0</v>
      </c>
      <c r="D37" s="12" t="n">
        <v>7.2</v>
      </c>
      <c r="E37" s="12" t="n">
        <v>432</v>
      </c>
      <c r="F37" s="12" t="n">
        <v>482.4</v>
      </c>
      <c r="G37" s="12" t="n">
        <v>132.4</v>
      </c>
      <c r="H37" s="12" t="n">
        <v>2713.3</v>
      </c>
      <c r="I37" s="12" t="n">
        <v>267.7</v>
      </c>
      <c r="J37" s="12">
        <f>SUM(C37:I37)</f>
        <v/>
      </c>
      <c r="K37" s="13">
        <f>SUM($J$12:J37)/$J$38</f>
        <v/>
      </c>
    </row>
    <row r="38">
      <c r="A38" s="14" t="inlineStr">
        <is>
          <t>合計</t>
        </is>
      </c>
      <c r="C38" s="15">
        <f>SUM(C12:C37)</f>
        <v/>
      </c>
      <c r="D38" s="15">
        <f>SUM(D12:D37)</f>
        <v/>
      </c>
      <c r="E38" s="15">
        <f>SUM(E12:E37)</f>
        <v/>
      </c>
      <c r="F38" s="15">
        <f>SUM(F12:F37)</f>
        <v/>
      </c>
      <c r="G38" s="15">
        <f>SUM(G12:G37)</f>
        <v/>
      </c>
      <c r="H38" s="15">
        <f>SUM(H12:H37)</f>
        <v/>
      </c>
      <c r="I38" s="15">
        <f>SUM(I12:I37)</f>
        <v/>
      </c>
      <c r="J38" s="15">
        <f>SUM(J12:J37)</f>
        <v/>
      </c>
    </row>
    <row r="39">
      <c r="A39" s="16" t="inlineStr">
        <is>
          <t>構成比</t>
        </is>
      </c>
      <c r="C39" s="17">
        <f>C38/$J$38</f>
        <v/>
      </c>
      <c r="D39" s="17">
        <f>D38/$J$38</f>
        <v/>
      </c>
      <c r="E39" s="17">
        <f>E38/$J$38</f>
        <v/>
      </c>
      <c r="F39" s="17">
        <f>F38/$J$38</f>
        <v/>
      </c>
      <c r="G39" s="17">
        <f>G38/$J$38</f>
        <v/>
      </c>
      <c r="H39" s="17">
        <f>H38/$J$38</f>
        <v/>
      </c>
      <c r="I39" s="17">
        <f>I38/$J$38</f>
        <v/>
      </c>
    </row>
    <row r="42">
      <c r="A42" s="6" t="inlineStr">
        <is>
          <t>■ 月 × 行程グループ 工数(人月)</t>
        </is>
      </c>
    </row>
    <row r="43">
      <c r="A43" s="5" t="inlineStr">
        <is>
          <t>上の時間表を換算係数(160時間/人月)で割った値。係数セルを書き換えると自動で追従する。</t>
        </is>
      </c>
    </row>
    <row r="44">
      <c r="A44" s="18" t="inlineStr">
        <is>
          <t>月</t>
        </is>
      </c>
      <c r="B44" s="8" t="inlineStr">
        <is>
          <t>企画・プリプロ</t>
        </is>
      </c>
      <c r="C44" s="8" t="inlineStr">
        <is>
          <t>ゲームデザイン・シナリオ</t>
        </is>
      </c>
      <c r="D44" s="8" t="inlineStr">
        <is>
          <t>プログラム</t>
        </is>
      </c>
      <c r="E44" s="8" t="inlineStr">
        <is>
          <t>アート</t>
        </is>
      </c>
      <c r="F44" s="8" t="inlineStr">
        <is>
          <t>サウンド</t>
        </is>
      </c>
      <c r="G44" s="8" t="inlineStr">
        <is>
          <t>QA・デバッグ</t>
        </is>
      </c>
      <c r="H44" s="8" t="inlineStr">
        <is>
          <t>PM・運営</t>
        </is>
      </c>
      <c r="I44" s="18" t="inlineStr">
        <is>
          <t>合計</t>
        </is>
      </c>
    </row>
    <row r="45">
      <c r="A45" s="10">
        <f>A12</f>
        <v/>
      </c>
      <c r="B45" s="19">
        <f>C12/$B$7</f>
        <v/>
      </c>
      <c r="C45" s="19">
        <f>D12/$B$7</f>
        <v/>
      </c>
      <c r="D45" s="19">
        <f>E12/$B$7</f>
        <v/>
      </c>
      <c r="E45" s="19">
        <f>F12/$B$7</f>
        <v/>
      </c>
      <c r="F45" s="19">
        <f>G12/$B$7</f>
        <v/>
      </c>
      <c r="G45" s="19">
        <f>H12/$B$7</f>
        <v/>
      </c>
      <c r="H45" s="19">
        <f>I12/$B$7</f>
        <v/>
      </c>
      <c r="I45" s="19">
        <f>SUM(B45:H45)</f>
        <v/>
      </c>
    </row>
    <row r="46">
      <c r="A46" s="10">
        <f>A13</f>
        <v/>
      </c>
      <c r="B46" s="19">
        <f>C13/$B$7</f>
        <v/>
      </c>
      <c r="C46" s="19">
        <f>D13/$B$7</f>
        <v/>
      </c>
      <c r="D46" s="19">
        <f>E13/$B$7</f>
        <v/>
      </c>
      <c r="E46" s="19">
        <f>F13/$B$7</f>
        <v/>
      </c>
      <c r="F46" s="19">
        <f>G13/$B$7</f>
        <v/>
      </c>
      <c r="G46" s="19">
        <f>H13/$B$7</f>
        <v/>
      </c>
      <c r="H46" s="19">
        <f>I13/$B$7</f>
        <v/>
      </c>
      <c r="I46" s="19">
        <f>SUM(B46:H46)</f>
        <v/>
      </c>
    </row>
    <row r="47">
      <c r="A47" s="10">
        <f>A14</f>
        <v/>
      </c>
      <c r="B47" s="19">
        <f>C14/$B$7</f>
        <v/>
      </c>
      <c r="C47" s="19">
        <f>D14/$B$7</f>
        <v/>
      </c>
      <c r="D47" s="19">
        <f>E14/$B$7</f>
        <v/>
      </c>
      <c r="E47" s="19">
        <f>F14/$B$7</f>
        <v/>
      </c>
      <c r="F47" s="19">
        <f>G14/$B$7</f>
        <v/>
      </c>
      <c r="G47" s="19">
        <f>H14/$B$7</f>
        <v/>
      </c>
      <c r="H47" s="19">
        <f>I14/$B$7</f>
        <v/>
      </c>
      <c r="I47" s="19">
        <f>SUM(B47:H47)</f>
        <v/>
      </c>
    </row>
    <row r="48">
      <c r="A48" s="10">
        <f>A15</f>
        <v/>
      </c>
      <c r="B48" s="19">
        <f>C15/$B$7</f>
        <v/>
      </c>
      <c r="C48" s="19">
        <f>D15/$B$7</f>
        <v/>
      </c>
      <c r="D48" s="19">
        <f>E15/$B$7</f>
        <v/>
      </c>
      <c r="E48" s="19">
        <f>F15/$B$7</f>
        <v/>
      </c>
      <c r="F48" s="19">
        <f>G15/$B$7</f>
        <v/>
      </c>
      <c r="G48" s="19">
        <f>H15/$B$7</f>
        <v/>
      </c>
      <c r="H48" s="19">
        <f>I15/$B$7</f>
        <v/>
      </c>
      <c r="I48" s="19">
        <f>SUM(B48:H48)</f>
        <v/>
      </c>
    </row>
    <row r="49">
      <c r="A49" s="10">
        <f>A16</f>
        <v/>
      </c>
      <c r="B49" s="19">
        <f>C16/$B$7</f>
        <v/>
      </c>
      <c r="C49" s="19">
        <f>D16/$B$7</f>
        <v/>
      </c>
      <c r="D49" s="19">
        <f>E16/$B$7</f>
        <v/>
      </c>
      <c r="E49" s="19">
        <f>F16/$B$7</f>
        <v/>
      </c>
      <c r="F49" s="19">
        <f>G16/$B$7</f>
        <v/>
      </c>
      <c r="G49" s="19">
        <f>H16/$B$7</f>
        <v/>
      </c>
      <c r="H49" s="19">
        <f>I16/$B$7</f>
        <v/>
      </c>
      <c r="I49" s="19">
        <f>SUM(B49:H49)</f>
        <v/>
      </c>
    </row>
    <row r="50">
      <c r="A50" s="10">
        <f>A17</f>
        <v/>
      </c>
      <c r="B50" s="19">
        <f>C17/$B$7</f>
        <v/>
      </c>
      <c r="C50" s="19">
        <f>D17/$B$7</f>
        <v/>
      </c>
      <c r="D50" s="19">
        <f>E17/$B$7</f>
        <v/>
      </c>
      <c r="E50" s="19">
        <f>F17/$B$7</f>
        <v/>
      </c>
      <c r="F50" s="19">
        <f>G17/$B$7</f>
        <v/>
      </c>
      <c r="G50" s="19">
        <f>H17/$B$7</f>
        <v/>
      </c>
      <c r="H50" s="19">
        <f>I17/$B$7</f>
        <v/>
      </c>
      <c r="I50" s="19">
        <f>SUM(B50:H50)</f>
        <v/>
      </c>
    </row>
    <row r="51">
      <c r="A51" s="10">
        <f>A18</f>
        <v/>
      </c>
      <c r="B51" s="19">
        <f>C18/$B$7</f>
        <v/>
      </c>
      <c r="C51" s="19">
        <f>D18/$B$7</f>
        <v/>
      </c>
      <c r="D51" s="19">
        <f>E18/$B$7</f>
        <v/>
      </c>
      <c r="E51" s="19">
        <f>F18/$B$7</f>
        <v/>
      </c>
      <c r="F51" s="19">
        <f>G18/$B$7</f>
        <v/>
      </c>
      <c r="G51" s="19">
        <f>H18/$B$7</f>
        <v/>
      </c>
      <c r="H51" s="19">
        <f>I18/$B$7</f>
        <v/>
      </c>
      <c r="I51" s="19">
        <f>SUM(B51:H51)</f>
        <v/>
      </c>
    </row>
    <row r="52">
      <c r="A52" s="10">
        <f>A19</f>
        <v/>
      </c>
      <c r="B52" s="19">
        <f>C19/$B$7</f>
        <v/>
      </c>
      <c r="C52" s="19">
        <f>D19/$B$7</f>
        <v/>
      </c>
      <c r="D52" s="19">
        <f>E19/$B$7</f>
        <v/>
      </c>
      <c r="E52" s="19">
        <f>F19/$B$7</f>
        <v/>
      </c>
      <c r="F52" s="19">
        <f>G19/$B$7</f>
        <v/>
      </c>
      <c r="G52" s="19">
        <f>H19/$B$7</f>
        <v/>
      </c>
      <c r="H52" s="19">
        <f>I19/$B$7</f>
        <v/>
      </c>
      <c r="I52" s="19">
        <f>SUM(B52:H52)</f>
        <v/>
      </c>
    </row>
    <row r="53">
      <c r="A53" s="10">
        <f>A20</f>
        <v/>
      </c>
      <c r="B53" s="19">
        <f>C20/$B$7</f>
        <v/>
      </c>
      <c r="C53" s="19">
        <f>D20/$B$7</f>
        <v/>
      </c>
      <c r="D53" s="19">
        <f>E20/$B$7</f>
        <v/>
      </c>
      <c r="E53" s="19">
        <f>F20/$B$7</f>
        <v/>
      </c>
      <c r="F53" s="19">
        <f>G20/$B$7</f>
        <v/>
      </c>
      <c r="G53" s="19">
        <f>H20/$B$7</f>
        <v/>
      </c>
      <c r="H53" s="19">
        <f>I20/$B$7</f>
        <v/>
      </c>
      <c r="I53" s="19">
        <f>SUM(B53:H53)</f>
        <v/>
      </c>
    </row>
    <row r="54">
      <c r="A54" s="10">
        <f>A21</f>
        <v/>
      </c>
      <c r="B54" s="19">
        <f>C21/$B$7</f>
        <v/>
      </c>
      <c r="C54" s="19">
        <f>D21/$B$7</f>
        <v/>
      </c>
      <c r="D54" s="19">
        <f>E21/$B$7</f>
        <v/>
      </c>
      <c r="E54" s="19">
        <f>F21/$B$7</f>
        <v/>
      </c>
      <c r="F54" s="19">
        <f>G21/$B$7</f>
        <v/>
      </c>
      <c r="G54" s="19">
        <f>H21/$B$7</f>
        <v/>
      </c>
      <c r="H54" s="19">
        <f>I21/$B$7</f>
        <v/>
      </c>
      <c r="I54" s="19">
        <f>SUM(B54:H54)</f>
        <v/>
      </c>
    </row>
    <row r="55">
      <c r="A55" s="10">
        <f>A22</f>
        <v/>
      </c>
      <c r="B55" s="19">
        <f>C22/$B$7</f>
        <v/>
      </c>
      <c r="C55" s="19">
        <f>D22/$B$7</f>
        <v/>
      </c>
      <c r="D55" s="19">
        <f>E22/$B$7</f>
        <v/>
      </c>
      <c r="E55" s="19">
        <f>F22/$B$7</f>
        <v/>
      </c>
      <c r="F55" s="19">
        <f>G22/$B$7</f>
        <v/>
      </c>
      <c r="G55" s="19">
        <f>H22/$B$7</f>
        <v/>
      </c>
      <c r="H55" s="19">
        <f>I22/$B$7</f>
        <v/>
      </c>
      <c r="I55" s="19">
        <f>SUM(B55:H55)</f>
        <v/>
      </c>
    </row>
    <row r="56">
      <c r="A56" s="10">
        <f>A23</f>
        <v/>
      </c>
      <c r="B56" s="19">
        <f>C23/$B$7</f>
        <v/>
      </c>
      <c r="C56" s="19">
        <f>D23/$B$7</f>
        <v/>
      </c>
      <c r="D56" s="19">
        <f>E23/$B$7</f>
        <v/>
      </c>
      <c r="E56" s="19">
        <f>F23/$B$7</f>
        <v/>
      </c>
      <c r="F56" s="19">
        <f>G23/$B$7</f>
        <v/>
      </c>
      <c r="G56" s="19">
        <f>H23/$B$7</f>
        <v/>
      </c>
      <c r="H56" s="19">
        <f>I23/$B$7</f>
        <v/>
      </c>
      <c r="I56" s="19">
        <f>SUM(B56:H56)</f>
        <v/>
      </c>
    </row>
    <row r="57">
      <c r="A57" s="10">
        <f>A24</f>
        <v/>
      </c>
      <c r="B57" s="19">
        <f>C24/$B$7</f>
        <v/>
      </c>
      <c r="C57" s="19">
        <f>D24/$B$7</f>
        <v/>
      </c>
      <c r="D57" s="19">
        <f>E24/$B$7</f>
        <v/>
      </c>
      <c r="E57" s="19">
        <f>F24/$B$7</f>
        <v/>
      </c>
      <c r="F57" s="19">
        <f>G24/$B$7</f>
        <v/>
      </c>
      <c r="G57" s="19">
        <f>H24/$B$7</f>
        <v/>
      </c>
      <c r="H57" s="19">
        <f>I24/$B$7</f>
        <v/>
      </c>
      <c r="I57" s="19">
        <f>SUM(B57:H57)</f>
        <v/>
      </c>
    </row>
    <row r="58">
      <c r="A58" s="10">
        <f>A25</f>
        <v/>
      </c>
      <c r="B58" s="19">
        <f>C25/$B$7</f>
        <v/>
      </c>
      <c r="C58" s="19">
        <f>D25/$B$7</f>
        <v/>
      </c>
      <c r="D58" s="19">
        <f>E25/$B$7</f>
        <v/>
      </c>
      <c r="E58" s="19">
        <f>F25/$B$7</f>
        <v/>
      </c>
      <c r="F58" s="19">
        <f>G25/$B$7</f>
        <v/>
      </c>
      <c r="G58" s="19">
        <f>H25/$B$7</f>
        <v/>
      </c>
      <c r="H58" s="19">
        <f>I25/$B$7</f>
        <v/>
      </c>
      <c r="I58" s="19">
        <f>SUM(B58:H58)</f>
        <v/>
      </c>
    </row>
    <row r="59">
      <c r="A59" s="10">
        <f>A26</f>
        <v/>
      </c>
      <c r="B59" s="19">
        <f>C26/$B$7</f>
        <v/>
      </c>
      <c r="C59" s="19">
        <f>D26/$B$7</f>
        <v/>
      </c>
      <c r="D59" s="19">
        <f>E26/$B$7</f>
        <v/>
      </c>
      <c r="E59" s="19">
        <f>F26/$B$7</f>
        <v/>
      </c>
      <c r="F59" s="19">
        <f>G26/$B$7</f>
        <v/>
      </c>
      <c r="G59" s="19">
        <f>H26/$B$7</f>
        <v/>
      </c>
      <c r="H59" s="19">
        <f>I26/$B$7</f>
        <v/>
      </c>
      <c r="I59" s="19">
        <f>SUM(B59:H59)</f>
        <v/>
      </c>
    </row>
    <row r="60">
      <c r="A60" s="10">
        <f>A27</f>
        <v/>
      </c>
      <c r="B60" s="19">
        <f>C27/$B$7</f>
        <v/>
      </c>
      <c r="C60" s="19">
        <f>D27/$B$7</f>
        <v/>
      </c>
      <c r="D60" s="19">
        <f>E27/$B$7</f>
        <v/>
      </c>
      <c r="E60" s="19">
        <f>F27/$B$7</f>
        <v/>
      </c>
      <c r="F60" s="19">
        <f>G27/$B$7</f>
        <v/>
      </c>
      <c r="G60" s="19">
        <f>H27/$B$7</f>
        <v/>
      </c>
      <c r="H60" s="19">
        <f>I27/$B$7</f>
        <v/>
      </c>
      <c r="I60" s="19">
        <f>SUM(B60:H60)</f>
        <v/>
      </c>
    </row>
    <row r="61">
      <c r="A61" s="10">
        <f>A28</f>
        <v/>
      </c>
      <c r="B61" s="19">
        <f>C28/$B$7</f>
        <v/>
      </c>
      <c r="C61" s="19">
        <f>D28/$B$7</f>
        <v/>
      </c>
      <c r="D61" s="19">
        <f>E28/$B$7</f>
        <v/>
      </c>
      <c r="E61" s="19">
        <f>F28/$B$7</f>
        <v/>
      </c>
      <c r="F61" s="19">
        <f>G28/$B$7</f>
        <v/>
      </c>
      <c r="G61" s="19">
        <f>H28/$B$7</f>
        <v/>
      </c>
      <c r="H61" s="19">
        <f>I28/$B$7</f>
        <v/>
      </c>
      <c r="I61" s="19">
        <f>SUM(B61:H61)</f>
        <v/>
      </c>
    </row>
    <row r="62">
      <c r="A62" s="10">
        <f>A29</f>
        <v/>
      </c>
      <c r="B62" s="19">
        <f>C29/$B$7</f>
        <v/>
      </c>
      <c r="C62" s="19">
        <f>D29/$B$7</f>
        <v/>
      </c>
      <c r="D62" s="19">
        <f>E29/$B$7</f>
        <v/>
      </c>
      <c r="E62" s="19">
        <f>F29/$B$7</f>
        <v/>
      </c>
      <c r="F62" s="19">
        <f>G29/$B$7</f>
        <v/>
      </c>
      <c r="G62" s="19">
        <f>H29/$B$7</f>
        <v/>
      </c>
      <c r="H62" s="19">
        <f>I29/$B$7</f>
        <v/>
      </c>
      <c r="I62" s="19">
        <f>SUM(B62:H62)</f>
        <v/>
      </c>
    </row>
    <row r="63">
      <c r="A63" s="10">
        <f>A30</f>
        <v/>
      </c>
      <c r="B63" s="19">
        <f>C30/$B$7</f>
        <v/>
      </c>
      <c r="C63" s="19">
        <f>D30/$B$7</f>
        <v/>
      </c>
      <c r="D63" s="19">
        <f>E30/$B$7</f>
        <v/>
      </c>
      <c r="E63" s="19">
        <f>F30/$B$7</f>
        <v/>
      </c>
      <c r="F63" s="19">
        <f>G30/$B$7</f>
        <v/>
      </c>
      <c r="G63" s="19">
        <f>H30/$B$7</f>
        <v/>
      </c>
      <c r="H63" s="19">
        <f>I30/$B$7</f>
        <v/>
      </c>
      <c r="I63" s="19">
        <f>SUM(B63:H63)</f>
        <v/>
      </c>
    </row>
    <row r="64">
      <c r="A64" s="10">
        <f>A31</f>
        <v/>
      </c>
      <c r="B64" s="19">
        <f>C31/$B$7</f>
        <v/>
      </c>
      <c r="C64" s="19">
        <f>D31/$B$7</f>
        <v/>
      </c>
      <c r="D64" s="19">
        <f>E31/$B$7</f>
        <v/>
      </c>
      <c r="E64" s="19">
        <f>F31/$B$7</f>
        <v/>
      </c>
      <c r="F64" s="19">
        <f>G31/$B$7</f>
        <v/>
      </c>
      <c r="G64" s="19">
        <f>H31/$B$7</f>
        <v/>
      </c>
      <c r="H64" s="19">
        <f>I31/$B$7</f>
        <v/>
      </c>
      <c r="I64" s="19">
        <f>SUM(B64:H64)</f>
        <v/>
      </c>
    </row>
    <row r="65">
      <c r="A65" s="10">
        <f>A32</f>
        <v/>
      </c>
      <c r="B65" s="19">
        <f>C32/$B$7</f>
        <v/>
      </c>
      <c r="C65" s="19">
        <f>D32/$B$7</f>
        <v/>
      </c>
      <c r="D65" s="19">
        <f>E32/$B$7</f>
        <v/>
      </c>
      <c r="E65" s="19">
        <f>F32/$B$7</f>
        <v/>
      </c>
      <c r="F65" s="19">
        <f>G32/$B$7</f>
        <v/>
      </c>
      <c r="G65" s="19">
        <f>H32/$B$7</f>
        <v/>
      </c>
      <c r="H65" s="19">
        <f>I32/$B$7</f>
        <v/>
      </c>
      <c r="I65" s="19">
        <f>SUM(B65:H65)</f>
        <v/>
      </c>
    </row>
    <row r="66">
      <c r="A66" s="10">
        <f>A33</f>
        <v/>
      </c>
      <c r="B66" s="19">
        <f>C33/$B$7</f>
        <v/>
      </c>
      <c r="C66" s="19">
        <f>D33/$B$7</f>
        <v/>
      </c>
      <c r="D66" s="19">
        <f>E33/$B$7</f>
        <v/>
      </c>
      <c r="E66" s="19">
        <f>F33/$B$7</f>
        <v/>
      </c>
      <c r="F66" s="19">
        <f>G33/$B$7</f>
        <v/>
      </c>
      <c r="G66" s="19">
        <f>H33/$B$7</f>
        <v/>
      </c>
      <c r="H66" s="19">
        <f>I33/$B$7</f>
        <v/>
      </c>
      <c r="I66" s="19">
        <f>SUM(B66:H66)</f>
        <v/>
      </c>
    </row>
    <row r="67">
      <c r="A67" s="10">
        <f>A34</f>
        <v/>
      </c>
      <c r="B67" s="19">
        <f>C34/$B$7</f>
        <v/>
      </c>
      <c r="C67" s="19">
        <f>D34/$B$7</f>
        <v/>
      </c>
      <c r="D67" s="19">
        <f>E34/$B$7</f>
        <v/>
      </c>
      <c r="E67" s="19">
        <f>F34/$B$7</f>
        <v/>
      </c>
      <c r="F67" s="19">
        <f>G34/$B$7</f>
        <v/>
      </c>
      <c r="G67" s="19">
        <f>H34/$B$7</f>
        <v/>
      </c>
      <c r="H67" s="19">
        <f>I34/$B$7</f>
        <v/>
      </c>
      <c r="I67" s="19">
        <f>SUM(B67:H67)</f>
        <v/>
      </c>
    </row>
    <row r="68">
      <c r="A68" s="10">
        <f>A35</f>
        <v/>
      </c>
      <c r="B68" s="19">
        <f>C35/$B$7</f>
        <v/>
      </c>
      <c r="C68" s="19">
        <f>D35/$B$7</f>
        <v/>
      </c>
      <c r="D68" s="19">
        <f>E35/$B$7</f>
        <v/>
      </c>
      <c r="E68" s="19">
        <f>F35/$B$7</f>
        <v/>
      </c>
      <c r="F68" s="19">
        <f>G35/$B$7</f>
        <v/>
      </c>
      <c r="G68" s="19">
        <f>H35/$B$7</f>
        <v/>
      </c>
      <c r="H68" s="19">
        <f>I35/$B$7</f>
        <v/>
      </c>
      <c r="I68" s="19">
        <f>SUM(B68:H68)</f>
        <v/>
      </c>
    </row>
    <row r="69">
      <c r="A69" s="10">
        <f>A36</f>
        <v/>
      </c>
      <c r="B69" s="19">
        <f>C36/$B$7</f>
        <v/>
      </c>
      <c r="C69" s="19">
        <f>D36/$B$7</f>
        <v/>
      </c>
      <c r="D69" s="19">
        <f>E36/$B$7</f>
        <v/>
      </c>
      <c r="E69" s="19">
        <f>F36/$B$7</f>
        <v/>
      </c>
      <c r="F69" s="19">
        <f>G36/$B$7</f>
        <v/>
      </c>
      <c r="G69" s="19">
        <f>H36/$B$7</f>
        <v/>
      </c>
      <c r="H69" s="19">
        <f>I36/$B$7</f>
        <v/>
      </c>
      <c r="I69" s="19">
        <f>SUM(B69:H69)</f>
        <v/>
      </c>
    </row>
    <row r="70">
      <c r="A70" s="10">
        <f>A37</f>
        <v/>
      </c>
      <c r="B70" s="19">
        <f>C37/$B$7</f>
        <v/>
      </c>
      <c r="C70" s="19">
        <f>D37/$B$7</f>
        <v/>
      </c>
      <c r="D70" s="19">
        <f>E37/$B$7</f>
        <v/>
      </c>
      <c r="E70" s="19">
        <f>F37/$B$7</f>
        <v/>
      </c>
      <c r="F70" s="19">
        <f>G37/$B$7</f>
        <v/>
      </c>
      <c r="G70" s="19">
        <f>H37/$B$7</f>
        <v/>
      </c>
      <c r="H70" s="19">
        <f>I37/$B$7</f>
        <v/>
      </c>
      <c r="I70" s="19">
        <f>SUM(B70:H70)</f>
        <v/>
      </c>
    </row>
    <row r="71">
      <c r="A71" s="14" t="inlineStr">
        <is>
          <t>合計</t>
        </is>
      </c>
      <c r="B71" s="20">
        <f>SUM(B45:B70)</f>
        <v/>
      </c>
      <c r="C71" s="20">
        <f>SUM(C45:C70)</f>
        <v/>
      </c>
      <c r="D71" s="20">
        <f>SUM(D45:D70)</f>
        <v/>
      </c>
      <c r="E71" s="20">
        <f>SUM(E45:E70)</f>
        <v/>
      </c>
      <c r="F71" s="20">
        <f>SUM(F45:F70)</f>
        <v/>
      </c>
      <c r="G71" s="20">
        <f>SUM(G45:G70)</f>
        <v/>
      </c>
      <c r="H71" s="20">
        <f>SUM(H45:H70)</f>
        <v/>
      </c>
      <c r="I71" s="20">
        <f>SUM(I45:I70)</f>
        <v/>
      </c>
    </row>
    <row r="73">
      <c r="A73" s="6" t="inlineStr">
        <is>
          <t>■ 実績(時間)と 予測との比較</t>
        </is>
      </c>
    </row>
    <row r="74">
      <c r="A74" s="5" t="inlineStr">
        <is>
          <t>この案件の実績はまだ1行もありません。着手後に実績が入ると、ここに 月 × 行程グループ の実績と予測との差分が並びます。</t>
        </is>
      </c>
    </row>
    <row r="76">
      <c r="A76" s="6" t="inlineStr">
        <is>
          <t>■ マイルストーン(予測)</t>
        </is>
      </c>
    </row>
    <row r="77">
      <c r="A77" s="8" t="inlineStr">
        <is>
          <t>マイルストーン名</t>
        </is>
      </c>
      <c r="B77" s="8" t="inlineStr">
        <is>
          <t>予測日付</t>
        </is>
      </c>
      <c r="C77" s="8" t="inlineStr">
        <is>
          <t>位置t</t>
        </is>
      </c>
      <c r="D77" s="8" t="inlineStr">
        <is>
          <t>根拠</t>
        </is>
      </c>
    </row>
    <row r="78">
      <c r="A78" s="10" t="inlineStr">
        <is>
          <t>プロトタイプ</t>
        </is>
      </c>
      <c r="B78" s="10" t="inlineStr">
        <is>
          <t>2026-12-28</t>
        </is>
      </c>
      <c r="C78" s="21" t="n">
        <v>0.228</v>
      </c>
      <c r="D78" s="10" t="inlineStr">
        <is>
          <t>学習(n=5)</t>
        </is>
      </c>
    </row>
    <row r="79">
      <c r="A79" s="10" t="inlineStr">
        <is>
          <t>α版</t>
        </is>
      </c>
      <c r="B79" s="10" t="inlineStr">
        <is>
          <t>2027-07-16</t>
        </is>
      </c>
      <c r="C79" s="21" t="n">
        <v>0.48</v>
      </c>
      <c r="D79" s="10" t="inlineStr">
        <is>
          <t>指定</t>
        </is>
      </c>
    </row>
    <row r="80">
      <c r="A80" s="10" t="inlineStr">
        <is>
          <t>β版</t>
        </is>
      </c>
      <c r="B80" s="10" t="inlineStr">
        <is>
          <t>2028-02-05</t>
        </is>
      </c>
      <c r="C80" s="21" t="n">
        <v>0.738</v>
      </c>
      <c r="D80" s="10" t="inlineStr">
        <is>
          <t>学習(n=10)</t>
        </is>
      </c>
    </row>
    <row r="81">
      <c r="A81" s="10" t="inlineStr">
        <is>
          <t>マスターアップ</t>
        </is>
      </c>
      <c r="B81" s="10" t="inlineStr">
        <is>
          <t>2028-06-23</t>
        </is>
      </c>
      <c r="C81" s="21" t="n">
        <v>0.914</v>
      </c>
      <c r="D81" s="10" t="inlineStr">
        <is>
          <t>学習(n=10)</t>
        </is>
      </c>
    </row>
    <row r="83">
      <c r="A83" s="5" t="inlineStr">
        <is>
          <t>・行程グループ間の総量は学習した工数比率で配分しています。</t>
        </is>
      </c>
    </row>
    <row r="84">
      <c r="A84" s="5" t="inlineStr">
        <is>
          <t>・位置合わせ OFF(素朴版)。学習カーブをそのまま期間に貼っています。</t>
        </is>
      </c>
    </row>
    <row r="85">
      <c r="A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L395"/>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(なし)   正準位置: -</t>
        </is>
      </c>
    </row>
    <row r="5">
      <c r="A5" s="6" t="inlineStr">
        <is>
          <t>■ 累積消化率 F(t):平均カーブ vs 各案件</t>
        </is>
      </c>
    </row>
    <row r="6">
      <c r="A6" s="7" t="inlineStr">
        <is>
          <t>t</t>
        </is>
      </c>
      <c r="B6" s="8" t="inlineStr">
        <is>
          <t>平均(位置合わせあり)</t>
        </is>
      </c>
      <c r="C6" s="8" t="inlineStr">
        <is>
          <t>PJ-2019-A</t>
        </is>
      </c>
      <c r="D6" s="8" t="inlineStr">
        <is>
          <t>PJ-2020-B</t>
        </is>
      </c>
      <c r="E6" s="8" t="inlineStr">
        <is>
          <t>PJ-2020-C</t>
        </is>
      </c>
      <c r="F6" s="8" t="inlineStr">
        <is>
          <t>PJ-2021-D</t>
        </is>
      </c>
      <c r="G6" s="8" t="inlineStr">
        <is>
          <t>PJ-2021-E</t>
        </is>
      </c>
      <c r="H6" s="8" t="inlineStr">
        <is>
          <t>PJ-2022-F</t>
        </is>
      </c>
      <c r="I6" s="8" t="inlineStr">
        <is>
          <t>PJ-2022-G</t>
        </is>
      </c>
      <c r="J6" s="8" t="inlineStr">
        <is>
          <t>PJ-2023-H</t>
        </is>
      </c>
      <c r="K6" s="8" t="inlineStr">
        <is>
          <t>PJ-2023-I</t>
        </is>
      </c>
      <c r="L6" s="8" t="inlineStr">
        <is>
          <t>PJ-2024-J</t>
        </is>
      </c>
    </row>
    <row r="7">
      <c r="A7" s="10" t="n">
        <v>0.005</v>
      </c>
      <c r="B7" s="21" t="n">
        <v>0.003834845109846539</v>
      </c>
      <c r="C7" s="21" t="n">
        <v>0.002942922155096011</v>
      </c>
      <c r="D7" s="21" t="n">
        <v>0.0004389515497742573</v>
      </c>
      <c r="E7" s="21" t="n">
        <v>0.01006548497600342</v>
      </c>
      <c r="F7" s="21" t="n">
        <v>0.005600323056907716</v>
      </c>
      <c r="G7" s="21" t="n">
        <v>0.00162458028739213</v>
      </c>
      <c r="H7" s="21" t="n">
        <v>0.002575395519444867</v>
      </c>
      <c r="I7" s="21" t="n">
        <v>0.01022638818941777</v>
      </c>
      <c r="J7" s="21" t="n">
        <v>0.00270705201857716</v>
      </c>
      <c r="K7" s="21" t="n">
        <v>0.001648996523499456</v>
      </c>
      <c r="L7" s="21" t="n">
        <v>0.0002958052671085864</v>
      </c>
    </row>
    <row r="8">
      <c r="A8" s="10" t="n">
        <v>0.015</v>
      </c>
      <c r="B8" s="21" t="n">
        <v>0.007669690219693079</v>
      </c>
      <c r="C8" s="21" t="n">
        <v>0.005885844310192022</v>
      </c>
      <c r="D8" s="21" t="n">
        <v>0.0008779030995485146</v>
      </c>
      <c r="E8" s="21" t="n">
        <v>0.02013096995200685</v>
      </c>
      <c r="F8" s="21" t="n">
        <v>0.01120064611381543</v>
      </c>
      <c r="G8" s="21" t="n">
        <v>0.00324916057478426</v>
      </c>
      <c r="H8" s="21" t="n">
        <v>0.005150791038889733</v>
      </c>
      <c r="I8" s="21" t="n">
        <v>0.02045277637883555</v>
      </c>
      <c r="J8" s="21" t="n">
        <v>0.005414104037154321</v>
      </c>
      <c r="K8" s="21" t="n">
        <v>0.003297993046998913</v>
      </c>
      <c r="L8" s="21" t="n">
        <v>0.0005916105342171728</v>
      </c>
    </row>
    <row r="9">
      <c r="A9" s="10" t="n">
        <v>0.025</v>
      </c>
      <c r="B9" s="21" t="n">
        <v>0.01157045267041883</v>
      </c>
      <c r="C9" s="21" t="n">
        <v>0.009385027226279031</v>
      </c>
      <c r="D9" s="21" t="n">
        <v>0.001316854649322772</v>
      </c>
      <c r="E9" s="21" t="n">
        <v>0.03019645492801027</v>
      </c>
      <c r="F9" s="21" t="n">
        <v>0.01680096917072315</v>
      </c>
      <c r="G9" s="21" t="n">
        <v>0.005053094338012954</v>
      </c>
      <c r="H9" s="21" t="n">
        <v>0.0077261865583346</v>
      </c>
      <c r="I9" s="21" t="n">
        <v>0.03067916456825332</v>
      </c>
      <c r="J9" s="21" t="n">
        <v>0.008121156055731481</v>
      </c>
      <c r="K9" s="21" t="n">
        <v>0.00494698957049837</v>
      </c>
      <c r="L9" s="21" t="n">
        <v>0.0008874158013257591</v>
      </c>
    </row>
    <row r="10">
      <c r="A10" s="10" t="n">
        <v>0.035</v>
      </c>
      <c r="B10" s="21" t="n">
        <v>0.01587835158814778</v>
      </c>
      <c r="C10" s="21" t="n">
        <v>0.01455299242533904</v>
      </c>
      <c r="D10" s="21" t="n">
        <v>0.001755806199097029</v>
      </c>
      <c r="E10" s="21" t="n">
        <v>0.04142720717338025</v>
      </c>
      <c r="F10" s="21" t="n">
        <v>0.02240129222763087</v>
      </c>
      <c r="G10" s="21" t="n">
        <v>0.007702551630185447</v>
      </c>
      <c r="H10" s="21" t="n">
        <v>0.01030158207777947</v>
      </c>
      <c r="I10" s="21" t="n">
        <v>0.04103929363620785</v>
      </c>
      <c r="J10" s="21" t="n">
        <v>0.01082820807430864</v>
      </c>
      <c r="K10" s="21" t="n">
        <v>0.006595986093997826</v>
      </c>
      <c r="L10" s="21" t="n">
        <v>0.001513931838960089</v>
      </c>
    </row>
    <row r="11">
      <c r="A11" s="10" t="n">
        <v>0.045</v>
      </c>
      <c r="B11" s="21" t="n">
        <v>0.020408295926247</v>
      </c>
      <c r="C11" s="21" t="n">
        <v>0.01972095762439904</v>
      </c>
      <c r="D11" s="21" t="n">
        <v>0.002194757748871286</v>
      </c>
      <c r="E11" s="21" t="n">
        <v>0.0534348042649946</v>
      </c>
      <c r="F11" s="21" t="n">
        <v>0.02800161528453858</v>
      </c>
      <c r="G11" s="21" t="n">
        <v>0.01035200892235794</v>
      </c>
      <c r="H11" s="21" t="n">
        <v>0.01287697759722433</v>
      </c>
      <c r="I11" s="21" t="n">
        <v>0.05215728768253738</v>
      </c>
      <c r="J11" s="21" t="n">
        <v>0.0135352600928858</v>
      </c>
      <c r="K11" s="21" t="n">
        <v>0.008244982617497282</v>
      </c>
      <c r="L11" s="21" t="n">
        <v>0.002360921723611582</v>
      </c>
    </row>
    <row r="12">
      <c r="A12" s="10" t="n">
        <v>0.055</v>
      </c>
      <c r="B12" s="21" t="n">
        <v>0.02540367154724484</v>
      </c>
      <c r="C12" s="21" t="n">
        <v>0.02553985963804951</v>
      </c>
      <c r="D12" s="21" t="n">
        <v>0.002633709298645544</v>
      </c>
      <c r="E12" s="21" t="n">
        <v>0.06544240135660895</v>
      </c>
      <c r="F12" s="21" t="n">
        <v>0.0336019383414463</v>
      </c>
      <c r="G12" s="21" t="n">
        <v>0.01344282555155852</v>
      </c>
      <c r="H12" s="21" t="n">
        <v>0.0166399758813397</v>
      </c>
      <c r="I12" s="21" t="n">
        <v>0.0632752817288669</v>
      </c>
      <c r="J12" s="21" t="n">
        <v>0.01807723353502739</v>
      </c>
      <c r="K12" s="21" t="n">
        <v>0.01045811704962237</v>
      </c>
      <c r="L12" s="21" t="n">
        <v>0.003207911608263074</v>
      </c>
    </row>
    <row r="13">
      <c r="A13" s="10" t="n">
        <v>0.065</v>
      </c>
      <c r="B13" s="21" t="n">
        <v>0.03077504878683044</v>
      </c>
      <c r="C13" s="21" t="n">
        <v>0.03223944087144</v>
      </c>
      <c r="D13" s="21" t="n">
        <v>0.003072660848419801</v>
      </c>
      <c r="E13" s="21" t="n">
        <v>0.07710342393320613</v>
      </c>
      <c r="F13" s="21" t="n">
        <v>0.03978781816634033</v>
      </c>
      <c r="G13" s="21" t="n">
        <v>0.01682788173877783</v>
      </c>
      <c r="H13" s="21" t="n">
        <v>0.02147747190491884</v>
      </c>
      <c r="I13" s="21" t="n">
        <v>0.07439327577519643</v>
      </c>
      <c r="J13" s="21" t="n">
        <v>0.0228230871353428</v>
      </c>
      <c r="K13" s="21" t="n">
        <v>0.01371893616919507</v>
      </c>
      <c r="L13" s="21" t="n">
        <v>0.004273348222625314</v>
      </c>
    </row>
    <row r="14">
      <c r="A14" s="10" t="n">
        <v>0.075</v>
      </c>
      <c r="B14" s="21" t="n">
        <v>0.03616118973314496</v>
      </c>
      <c r="C14" s="21" t="n">
        <v>0.0389390221048305</v>
      </c>
      <c r="D14" s="21" t="n">
        <v>0.004154823948761171</v>
      </c>
      <c r="E14" s="21" t="n">
        <v>0.08737814844973467</v>
      </c>
      <c r="F14" s="21" t="n">
        <v>0.04685203314321386</v>
      </c>
      <c r="G14" s="21" t="n">
        <v>0.02021293792599714</v>
      </c>
      <c r="H14" s="21" t="n">
        <v>0.02631496792849798</v>
      </c>
      <c r="I14" s="21" t="n">
        <v>0.08551126982152596</v>
      </c>
      <c r="J14" s="21" t="n">
        <v>0.02756894073565822</v>
      </c>
      <c r="K14" s="21" t="n">
        <v>0.01697975528876777</v>
      </c>
      <c r="L14" s="21" t="n">
        <v>0.005634330412478565</v>
      </c>
    </row>
    <row r="15">
      <c r="A15" s="10" t="n">
        <v>0.08500000000000001</v>
      </c>
      <c r="B15" s="21" t="n">
        <v>0.04169818273818272</v>
      </c>
      <c r="C15" s="21" t="n">
        <v>0.04625330841090601</v>
      </c>
      <c r="D15" s="21" t="n">
        <v>0.005512649142202731</v>
      </c>
      <c r="E15" s="21" t="n">
        <v>0.09765287296626321</v>
      </c>
      <c r="F15" s="21" t="n">
        <v>0.05391624812008738</v>
      </c>
      <c r="G15" s="21" t="n">
        <v>0.02412668140669196</v>
      </c>
      <c r="H15" s="21" t="n">
        <v>0.03115246395207712</v>
      </c>
      <c r="I15" s="21" t="n">
        <v>0.09643135082975844</v>
      </c>
      <c r="J15" s="21" t="n">
        <v>0.03231479433597363</v>
      </c>
      <c r="K15" s="21" t="n">
        <v>0.02024057440834047</v>
      </c>
      <c r="L15" s="21" t="n">
        <v>0.006995312602331816</v>
      </c>
    </row>
    <row r="16">
      <c r="A16" s="10" t="n">
        <v>0.095</v>
      </c>
      <c r="B16" s="21" t="n">
        <v>0.04733527691561376</v>
      </c>
      <c r="C16" s="21" t="n">
        <v>0.05383103974813223</v>
      </c>
      <c r="D16" s="21" t="n">
        <v>0.006870474335644292</v>
      </c>
      <c r="E16" s="21" t="n">
        <v>0.1079275974827918</v>
      </c>
      <c r="F16" s="21" t="n">
        <v>0.06098046309696091</v>
      </c>
      <c r="G16" s="21" t="n">
        <v>0.0281939147467829</v>
      </c>
      <c r="H16" s="21" t="n">
        <v>0.03598995997565627</v>
      </c>
      <c r="I16" s="21" t="n">
        <v>0.1073294415004246</v>
      </c>
      <c r="J16" s="21" t="n">
        <v>0.03766513452646594</v>
      </c>
      <c r="K16" s="21" t="n">
        <v>0.02350139352791317</v>
      </c>
      <c r="L16" s="21" t="n">
        <v>0.008356294792185068</v>
      </c>
    </row>
    <row r="17">
      <c r="A17" s="10" t="n">
        <v>0.105</v>
      </c>
      <c r="B17" s="21" t="n">
        <v>0.05305431148412552</v>
      </c>
      <c r="C17" s="21" t="n">
        <v>0.06140877108535846</v>
      </c>
      <c r="D17" s="21" t="n">
        <v>0.008228299529085851</v>
      </c>
      <c r="E17" s="21" t="n">
        <v>0.1168356119011604</v>
      </c>
      <c r="F17" s="21" t="n">
        <v>0.06804467807383444</v>
      </c>
      <c r="G17" s="21" t="n">
        <v>0.03226730089905189</v>
      </c>
      <c r="H17" s="21" t="n">
        <v>0.04082745599923541</v>
      </c>
      <c r="I17" s="21" t="n">
        <v>0.1182275321710907</v>
      </c>
      <c r="J17" s="21" t="n">
        <v>0.04442594342737099</v>
      </c>
      <c r="K17" s="21" t="n">
        <v>0.02676221264748586</v>
      </c>
      <c r="L17" s="21" t="n">
        <v>0.01034332650914968</v>
      </c>
    </row>
    <row r="18">
      <c r="A18" s="10" t="n">
        <v>0.115</v>
      </c>
      <c r="B18" s="21" t="n">
        <v>0.05914459281906509</v>
      </c>
      <c r="C18" s="21" t="n">
        <v>0.06978088982593503</v>
      </c>
      <c r="D18" s="21" t="n">
        <v>0.009586124722527411</v>
      </c>
      <c r="E18" s="21" t="n">
        <v>0.1256328119872459</v>
      </c>
      <c r="F18" s="21" t="n">
        <v>0.07510889305070796</v>
      </c>
      <c r="G18" s="21" t="n">
        <v>0.03658064672626515</v>
      </c>
      <c r="H18" s="21" t="n">
        <v>0.04710156051452215</v>
      </c>
      <c r="I18" s="21" t="n">
        <v>0.1291256228417569</v>
      </c>
      <c r="J18" s="21" t="n">
        <v>0.05118675232827604</v>
      </c>
      <c r="K18" s="21" t="n">
        <v>0.03120445736277027</v>
      </c>
      <c r="L18" s="21" t="n">
        <v>0.0123303582261143</v>
      </c>
    </row>
    <row r="19">
      <c r="A19" s="10" t="n">
        <v>0.125</v>
      </c>
      <c r="B19" s="21" t="n">
        <v>0.06538266092943444</v>
      </c>
      <c r="C19" s="21" t="n">
        <v>0.07829319457886755</v>
      </c>
      <c r="D19" s="21" t="n">
        <v>0.01094394991596897</v>
      </c>
      <c r="E19" s="21" t="n">
        <v>0.1344300120733313</v>
      </c>
      <c r="F19" s="21" t="n">
        <v>0.08217310802758149</v>
      </c>
      <c r="G19" s="21" t="n">
        <v>0.04089399255347842</v>
      </c>
      <c r="H19" s="21" t="n">
        <v>0.05362918417540435</v>
      </c>
      <c r="I19" s="21" t="n">
        <v>0.1407838455058323</v>
      </c>
      <c r="J19" s="21" t="n">
        <v>0.05794756122918109</v>
      </c>
      <c r="K19" s="21" t="n">
        <v>0.03577797158868931</v>
      </c>
      <c r="L19" s="21" t="n">
        <v>0.01431738994307892</v>
      </c>
    </row>
    <row r="20">
      <c r="A20" s="10" t="n">
        <v>0.135</v>
      </c>
      <c r="B20" s="21" t="n">
        <v>0.0716965817234818</v>
      </c>
      <c r="C20" s="21" t="n">
        <v>0.08683016312371827</v>
      </c>
      <c r="D20" s="21" t="n">
        <v>0.01230177510941053</v>
      </c>
      <c r="E20" s="21" t="n">
        <v>0.1428886491308794</v>
      </c>
      <c r="F20" s="21" t="n">
        <v>0.08980748147173614</v>
      </c>
      <c r="G20" s="21" t="n">
        <v>0.04534989308503964</v>
      </c>
      <c r="H20" s="21" t="n">
        <v>0.06015680783628656</v>
      </c>
      <c r="I20" s="21" t="n">
        <v>0.15263210116826</v>
      </c>
      <c r="J20" s="21" t="n">
        <v>0.06470837013008614</v>
      </c>
      <c r="K20" s="21" t="n">
        <v>0.04035148581460835</v>
      </c>
      <c r="L20" s="21" t="n">
        <v>0.01668364231893513</v>
      </c>
    </row>
    <row r="21">
      <c r="A21" s="10" t="n">
        <v>0.145</v>
      </c>
      <c r="B21" s="21" t="n">
        <v>0.07829544262622475</v>
      </c>
      <c r="C21" s="21" t="n">
        <v>0.09632901955337908</v>
      </c>
      <c r="D21" s="21" t="n">
        <v>0.01461814118686912</v>
      </c>
      <c r="E21" s="21" t="n">
        <v>0.151040967257846</v>
      </c>
      <c r="F21" s="21" t="n">
        <v>0.09782196056074489</v>
      </c>
      <c r="G21" s="21" t="n">
        <v>0.05037601243399269</v>
      </c>
      <c r="H21" s="21" t="n">
        <v>0.06668443149716877</v>
      </c>
      <c r="I21" s="21" t="n">
        <v>0.1644803568306877</v>
      </c>
      <c r="J21" s="21" t="n">
        <v>0.07175042495909828</v>
      </c>
      <c r="K21" s="21" t="n">
        <v>0.04492500004052739</v>
      </c>
      <c r="L21" s="21" t="n">
        <v>0.01919373701368127</v>
      </c>
    </row>
    <row r="22">
      <c r="A22" s="10" t="n">
        <v>0.155</v>
      </c>
      <c r="B22" s="21" t="n">
        <v>0.08501284271405853</v>
      </c>
      <c r="C22" s="21" t="n">
        <v>0.1058278759830399</v>
      </c>
      <c r="D22" s="21" t="n">
        <v>0.01710366153797776</v>
      </c>
      <c r="E22" s="21" t="n">
        <v>0.1591932853848126</v>
      </c>
      <c r="F22" s="21" t="n">
        <v>0.1058364396497536</v>
      </c>
      <c r="G22" s="21" t="n">
        <v>0.05540213178294574</v>
      </c>
      <c r="H22" s="21" t="n">
        <v>0.07321205515805097</v>
      </c>
      <c r="I22" s="21" t="n">
        <v>0.1763286124931154</v>
      </c>
      <c r="J22" s="21" t="n">
        <v>0.0799174635005388</v>
      </c>
      <c r="K22" s="21" t="n">
        <v>0.04949851426644643</v>
      </c>
      <c r="L22" s="21" t="n">
        <v>0.02170383170842741</v>
      </c>
    </row>
    <row r="23">
      <c r="A23" s="10" t="n">
        <v>0.165</v>
      </c>
      <c r="B23" s="21" t="n">
        <v>0.09174905832288205</v>
      </c>
      <c r="C23" s="21" t="n">
        <v>0.1145765652113437</v>
      </c>
      <c r="D23" s="21" t="n">
        <v>0.01958918188908641</v>
      </c>
      <c r="E23" s="21" t="n">
        <v>0.1672972832714912</v>
      </c>
      <c r="F23" s="21" t="n">
        <v>0.1138509187387624</v>
      </c>
      <c r="G23" s="21" t="n">
        <v>0.06051687481381347</v>
      </c>
      <c r="H23" s="21" t="n">
        <v>0.08023442914652369</v>
      </c>
      <c r="I23" s="21" t="n">
        <v>0.1879266432494766</v>
      </c>
      <c r="J23" s="21" t="n">
        <v>0.08808450204197932</v>
      </c>
      <c r="K23" s="21" t="n">
        <v>0.0544403989464878</v>
      </c>
      <c r="L23" s="21" t="n">
        <v>0.0243399170632299</v>
      </c>
    </row>
    <row r="24">
      <c r="A24" s="10" t="n">
        <v>0.175</v>
      </c>
      <c r="B24" s="21" t="n">
        <v>0.09851851808847618</v>
      </c>
      <c r="C24" s="21" t="n">
        <v>0.1215748643031479</v>
      </c>
      <c r="D24" s="21" t="n">
        <v>0.02207470224019506</v>
      </c>
      <c r="E24" s="21" t="n">
        <v>0.1752563204373059</v>
      </c>
      <c r="F24" s="21" t="n">
        <v>0.1218653978277711</v>
      </c>
      <c r="G24" s="21" t="n">
        <v>0.06573993567813247</v>
      </c>
      <c r="H24" s="21" t="n">
        <v>0.08808138701431392</v>
      </c>
      <c r="I24" s="21" t="n">
        <v>0.1993199445372379</v>
      </c>
      <c r="J24" s="21" t="n">
        <v>0.09625154058341984</v>
      </c>
      <c r="K24" s="21" t="n">
        <v>0.06048739498889615</v>
      </c>
      <c r="L24" s="21" t="n">
        <v>0.02723767532738022</v>
      </c>
    </row>
    <row r="25">
      <c r="A25" s="10" t="n">
        <v>0.185</v>
      </c>
      <c r="B25" s="21" t="n">
        <v>0.1052879778540703</v>
      </c>
      <c r="C25" s="21" t="n">
        <v>0.1285731633949521</v>
      </c>
      <c r="D25" s="21" t="n">
        <v>0.0245602225913037</v>
      </c>
      <c r="E25" s="21" t="n">
        <v>0.1832153576031206</v>
      </c>
      <c r="F25" s="21" t="n">
        <v>0.1298798769167799</v>
      </c>
      <c r="G25" s="21" t="n">
        <v>0.07096299654245147</v>
      </c>
      <c r="H25" s="21" t="n">
        <v>0.09592834488210415</v>
      </c>
      <c r="I25" s="21" t="n">
        <v>0.2107132458249993</v>
      </c>
      <c r="J25" s="21" t="n">
        <v>0.1044185791248604</v>
      </c>
      <c r="K25" s="21" t="n">
        <v>0.06653439103130449</v>
      </c>
      <c r="L25" s="21" t="n">
        <v>0.03013543359153054</v>
      </c>
    </row>
    <row r="26">
      <c r="A26" s="10" t="n">
        <v>0.195</v>
      </c>
      <c r="B26" s="21" t="n">
        <v>0.1121106288836893</v>
      </c>
      <c r="C26" s="21" t="n">
        <v>0.1357589952548283</v>
      </c>
      <c r="D26" s="21" t="n">
        <v>0.02704574294241235</v>
      </c>
      <c r="E26" s="21" t="n">
        <v>0.1911743947689354</v>
      </c>
      <c r="F26" s="21" t="n">
        <v>0.1378943560057887</v>
      </c>
      <c r="G26" s="21" t="n">
        <v>0.07620698136654573</v>
      </c>
      <c r="H26" s="21" t="n">
        <v>0.1037753027498944</v>
      </c>
      <c r="I26" s="21" t="n">
        <v>0.2221065471127607</v>
      </c>
      <c r="J26" s="21" t="n">
        <v>0.1128844462786487</v>
      </c>
      <c r="K26" s="21" t="n">
        <v>0.07258138707371282</v>
      </c>
      <c r="L26" s="21" t="n">
        <v>0.0330490920971339</v>
      </c>
    </row>
    <row r="27">
      <c r="A27" s="10" t="n">
        <v>0.205</v>
      </c>
      <c r="B27" s="21" t="n">
        <v>0.119178160001365</v>
      </c>
      <c r="C27" s="21" t="n">
        <v>0.1431740338312368</v>
      </c>
      <c r="D27" s="21" t="n">
        <v>0.029531263293521</v>
      </c>
      <c r="E27" s="21" t="n">
        <v>0.1988824307844002</v>
      </c>
      <c r="F27" s="21" t="n">
        <v>0.1468557274852499</v>
      </c>
      <c r="G27" s="21" t="n">
        <v>0.08146352056650513</v>
      </c>
      <c r="H27" s="21" t="n">
        <v>0.1116222606176846</v>
      </c>
      <c r="I27" s="21" t="n">
        <v>0.2340834762506314</v>
      </c>
      <c r="J27" s="21" t="n">
        <v>0.1221381343195357</v>
      </c>
      <c r="K27" s="21" t="n">
        <v>0.07862838311612116</v>
      </c>
      <c r="L27" s="21" t="n">
        <v>0.03658286001940553</v>
      </c>
    </row>
    <row r="28">
      <c r="A28" s="10" t="n">
        <v>0.215</v>
      </c>
      <c r="B28" s="21" t="n">
        <v>0.1263742286687309</v>
      </c>
      <c r="C28" s="21" t="n">
        <v>0.1505890724076453</v>
      </c>
      <c r="D28" s="21" t="n">
        <v>0.03251293778322743</v>
      </c>
      <c r="E28" s="21" t="n">
        <v>0.2065461724792151</v>
      </c>
      <c r="F28" s="21" t="n">
        <v>0.1558170989647111</v>
      </c>
      <c r="G28" s="21" t="n">
        <v>0.08672005976646453</v>
      </c>
      <c r="H28" s="21" t="n">
        <v>0.1194692184854748</v>
      </c>
      <c r="I28" s="21" t="n">
        <v>0.2468500195386502</v>
      </c>
      <c r="J28" s="21" t="n">
        <v>0.1313918223604227</v>
      </c>
      <c r="K28" s="21" t="n">
        <v>0.0846753791585295</v>
      </c>
      <c r="L28" s="21" t="n">
        <v>0.04011662794167715</v>
      </c>
    </row>
    <row r="29">
      <c r="A29" s="10" t="n">
        <v>0.225</v>
      </c>
      <c r="B29" s="21" t="n">
        <v>0.1338729957265137</v>
      </c>
      <c r="C29" s="21" t="n">
        <v>0.1579828603701453</v>
      </c>
      <c r="D29" s="21" t="n">
        <v>0.03590055656815024</v>
      </c>
      <c r="E29" s="21" t="n">
        <v>0.21420991417403</v>
      </c>
      <c r="F29" s="21" t="n">
        <v>0.1647784704441723</v>
      </c>
      <c r="G29" s="21" t="n">
        <v>0.09243248579696295</v>
      </c>
      <c r="H29" s="21" t="n">
        <v>0.1286299853672959</v>
      </c>
      <c r="I29" s="21" t="n">
        <v>0.259616562826669</v>
      </c>
      <c r="J29" s="21" t="n">
        <v>0.1406455104013098</v>
      </c>
      <c r="K29" s="21" t="n">
        <v>0.09157098340710548</v>
      </c>
      <c r="L29" s="21" t="n">
        <v>0.04365039586394878</v>
      </c>
    </row>
    <row r="30">
      <c r="A30" s="10" t="n">
        <v>0.235</v>
      </c>
      <c r="B30" s="21" t="n">
        <v>0.1415634659992561</v>
      </c>
      <c r="C30" s="21" t="n">
        <v>0.1653685877549558</v>
      </c>
      <c r="D30" s="21" t="n">
        <v>0.03928817535307304</v>
      </c>
      <c r="E30" s="21" t="n">
        <v>0.221741776939293</v>
      </c>
      <c r="F30" s="21" t="n">
        <v>0.1737398419236335</v>
      </c>
      <c r="G30" s="21" t="n">
        <v>0.09825888353509611</v>
      </c>
      <c r="H30" s="21" t="n">
        <v>0.1383538132551301</v>
      </c>
      <c r="I30" s="21" t="n">
        <v>0.2723831061146878</v>
      </c>
      <c r="J30" s="21" t="n">
        <v>0.1498991984421968</v>
      </c>
      <c r="K30" s="21" t="n">
        <v>0.09903232645979322</v>
      </c>
      <c r="L30" s="21" t="n">
        <v>0.04800623467401463</v>
      </c>
    </row>
    <row r="31">
      <c r="A31" s="10" t="n">
        <v>0.245</v>
      </c>
      <c r="B31" s="21" t="n">
        <v>0.149357459408069</v>
      </c>
      <c r="C31" s="21" t="n">
        <v>0.1727543151397663</v>
      </c>
      <c r="D31" s="21" t="n">
        <v>0.04267579413799584</v>
      </c>
      <c r="E31" s="21" t="n">
        <v>0.229112454346215</v>
      </c>
      <c r="F31" s="21" t="n">
        <v>0.1827012134030948</v>
      </c>
      <c r="G31" s="21" t="n">
        <v>0.1042086423582584</v>
      </c>
      <c r="H31" s="21" t="n">
        <v>0.1480776411429643</v>
      </c>
      <c r="I31" s="21" t="n">
        <v>0.2853967153778676</v>
      </c>
      <c r="J31" s="21" t="n">
        <v>0.1594688915527286</v>
      </c>
      <c r="K31" s="21" t="n">
        <v>0.106493669512481</v>
      </c>
      <c r="L31" s="21" t="n">
        <v>0.05285531601675702</v>
      </c>
    </row>
    <row r="32">
      <c r="A32" s="10" t="n">
        <v>0.255</v>
      </c>
      <c r="B32" s="21" t="n">
        <v>0.1577044005957339</v>
      </c>
      <c r="C32" s="21" t="n">
        <v>0.1806199383858596</v>
      </c>
      <c r="D32" s="21" t="n">
        <v>0.04606341292291864</v>
      </c>
      <c r="E32" s="21" t="n">
        <v>0.236483131753137</v>
      </c>
      <c r="F32" s="21" t="n">
        <v>0.191662584882556</v>
      </c>
      <c r="G32" s="21" t="n">
        <v>0.1125022617969741</v>
      </c>
      <c r="H32" s="21" t="n">
        <v>0.1578014690307985</v>
      </c>
      <c r="I32" s="21" t="n">
        <v>0.2995750642382355</v>
      </c>
      <c r="J32" s="21" t="n">
        <v>0.1705283228487286</v>
      </c>
      <c r="K32" s="21" t="n">
        <v>0.1139550125651687</v>
      </c>
      <c r="L32" s="21" t="n">
        <v>0.05770439735949941</v>
      </c>
    </row>
    <row r="33">
      <c r="A33" s="10" t="n">
        <v>0.265</v>
      </c>
      <c r="B33" s="21" t="n">
        <v>0.1661014444748964</v>
      </c>
      <c r="C33" s="21" t="n">
        <v>0.1885541181835647</v>
      </c>
      <c r="D33" s="21" t="n">
        <v>0.04945103170784144</v>
      </c>
      <c r="E33" s="21" t="n">
        <v>0.2439297181402581</v>
      </c>
      <c r="F33" s="21" t="n">
        <v>0.2008236987812491</v>
      </c>
      <c r="G33" s="21" t="n">
        <v>0.1207958812356898</v>
      </c>
      <c r="H33" s="21" t="n">
        <v>0.1675252969186327</v>
      </c>
      <c r="I33" s="21" t="n">
        <v>0.3137534130986033</v>
      </c>
      <c r="J33" s="21" t="n">
        <v>0.1815877541447286</v>
      </c>
      <c r="K33" s="21" t="n">
        <v>0.1214163556178564</v>
      </c>
      <c r="L33" s="21" t="n">
        <v>0.06273208098470677</v>
      </c>
    </row>
    <row r="34">
      <c r="A34" s="10" t="n">
        <v>0.275</v>
      </c>
      <c r="B34" s="21" t="n">
        <v>0.1748438086156886</v>
      </c>
      <c r="C34" s="21" t="n">
        <v>0.1964958694549511</v>
      </c>
      <c r="D34" s="21" t="n">
        <v>0.05283865049276425</v>
      </c>
      <c r="E34" s="21" t="n">
        <v>0.2515028194943778</v>
      </c>
      <c r="F34" s="21" t="n">
        <v>0.2109264555134645</v>
      </c>
      <c r="G34" s="21" t="n">
        <v>0.1308873707563814</v>
      </c>
      <c r="H34" s="21" t="n">
        <v>0.1772841467096656</v>
      </c>
      <c r="I34" s="21" t="n">
        <v>0.3279317619589712</v>
      </c>
      <c r="J34" s="21" t="n">
        <v>0.1926471854407285</v>
      </c>
      <c r="K34" s="21" t="n">
        <v>0.129038548984066</v>
      </c>
      <c r="L34" s="21" t="n">
        <v>0.06837495024951569</v>
      </c>
    </row>
    <row r="35">
      <c r="A35" s="10" t="n">
        <v>0.285</v>
      </c>
      <c r="B35" s="21" t="n">
        <v>0.1845865660698692</v>
      </c>
      <c r="C35" s="21" t="n">
        <v>0.2045814787262841</v>
      </c>
      <c r="D35" s="21" t="n">
        <v>0.05681258831417568</v>
      </c>
      <c r="E35" s="21" t="n">
        <v>0.2590759208484975</v>
      </c>
      <c r="F35" s="21" t="n">
        <v>0.2210292122456798</v>
      </c>
      <c r="G35" s="21" t="n">
        <v>0.1481703406049765</v>
      </c>
      <c r="H35" s="21" t="n">
        <v>0.1884088507254448</v>
      </c>
      <c r="I35" s="21" t="n">
        <v>0.342110110819339</v>
      </c>
      <c r="J35" s="21" t="n">
        <v>0.2037066167367285</v>
      </c>
      <c r="K35" s="21" t="n">
        <v>0.1377866945449281</v>
      </c>
      <c r="L35" s="21" t="n">
        <v>0.07401781951432461</v>
      </c>
    </row>
    <row r="36">
      <c r="A36" s="10" t="n">
        <v>0.295</v>
      </c>
      <c r="B36" s="21" t="n">
        <v>0.1947196073775931</v>
      </c>
      <c r="C36" s="21" t="n">
        <v>0.212667087997617</v>
      </c>
      <c r="D36" s="21" t="n">
        <v>0.06150313829129542</v>
      </c>
      <c r="E36" s="21" t="n">
        <v>0.2666490222026172</v>
      </c>
      <c r="F36" s="21" t="n">
        <v>0.2311319689778951</v>
      </c>
      <c r="G36" s="21" t="n">
        <v>0.1654533104535716</v>
      </c>
      <c r="H36" s="21" t="n">
        <v>0.1995335547412241</v>
      </c>
      <c r="I36" s="21" t="n">
        <v>0.3589022157376266</v>
      </c>
      <c r="J36" s="21" t="n">
        <v>0.2151535125422401</v>
      </c>
      <c r="K36" s="21" t="n">
        <v>0.1465348401057902</v>
      </c>
      <c r="L36" s="21" t="n">
        <v>0.07966068877913353</v>
      </c>
    </row>
    <row r="37">
      <c r="A37" s="10" t="n">
        <v>0.305</v>
      </c>
      <c r="B37" s="21" t="n">
        <v>0.205117234676625</v>
      </c>
      <c r="C37" s="21" t="n">
        <v>0.2209920528639175</v>
      </c>
      <c r="D37" s="21" t="n">
        <v>0.06619368826841515</v>
      </c>
      <c r="E37" s="21" t="n">
        <v>0.2738017922812546</v>
      </c>
      <c r="F37" s="21" t="n">
        <v>0.2412347257101104</v>
      </c>
      <c r="G37" s="21" t="n">
        <v>0.1829380763070333</v>
      </c>
      <c r="H37" s="21" t="n">
        <v>0.2106582587570034</v>
      </c>
      <c r="I37" s="21" t="n">
        <v>0.3759062468227725</v>
      </c>
      <c r="J37" s="21" t="n">
        <v>0.2279350083249588</v>
      </c>
      <c r="K37" s="21" t="n">
        <v>0.1552829856666522</v>
      </c>
      <c r="L37" s="21" t="n">
        <v>0.08628980710130528</v>
      </c>
    </row>
    <row r="38">
      <c r="A38" s="10" t="n">
        <v>0.315</v>
      </c>
      <c r="B38" s="21" t="n">
        <v>0.2155964660119721</v>
      </c>
      <c r="C38" s="21" t="n">
        <v>0.2296760511226693</v>
      </c>
      <c r="D38" s="21" t="n">
        <v>0.07088423824553489</v>
      </c>
      <c r="E38" s="21" t="n">
        <v>0.280954562359892</v>
      </c>
      <c r="F38" s="21" t="n">
        <v>0.2513374824423257</v>
      </c>
      <c r="G38" s="21" t="n">
        <v>0.2006458798500844</v>
      </c>
      <c r="H38" s="21" t="n">
        <v>0.2217829627727827</v>
      </c>
      <c r="I38" s="21" t="n">
        <v>0.3929102779079184</v>
      </c>
      <c r="J38" s="21" t="n">
        <v>0.2407165041076774</v>
      </c>
      <c r="K38" s="21" t="n">
        <v>0.1640311312275143</v>
      </c>
      <c r="L38" s="21" t="n">
        <v>0.09299889156326321</v>
      </c>
    </row>
    <row r="39">
      <c r="A39" s="10" t="n">
        <v>0.325</v>
      </c>
      <c r="B39" s="21" t="n">
        <v>0.2260756973473193</v>
      </c>
      <c r="C39" s="21" t="n">
        <v>0.2383600493814211</v>
      </c>
      <c r="D39" s="21" t="n">
        <v>0.07557478822265462</v>
      </c>
      <c r="E39" s="21" t="n">
        <v>0.2881073324385294</v>
      </c>
      <c r="F39" s="21" t="n">
        <v>0.261440239174541</v>
      </c>
      <c r="G39" s="21" t="n">
        <v>0.2183536833931355</v>
      </c>
      <c r="H39" s="21" t="n">
        <v>0.232907666788562</v>
      </c>
      <c r="I39" s="21" t="n">
        <v>0.4099143089930644</v>
      </c>
      <c r="J39" s="21" t="n">
        <v>0.2534979998903961</v>
      </c>
      <c r="K39" s="21" t="n">
        <v>0.1727792767883764</v>
      </c>
      <c r="L39" s="21" t="n">
        <v>0.09970797602522115</v>
      </c>
    </row>
    <row r="40">
      <c r="A40" s="10" t="n">
        <v>0.335</v>
      </c>
      <c r="B40" s="21" t="n">
        <v>0.2369970473195843</v>
      </c>
      <c r="C40" s="21" t="n">
        <v>0.247030445395767</v>
      </c>
      <c r="D40" s="21" t="n">
        <v>0.08026533819977436</v>
      </c>
      <c r="E40" s="21" t="n">
        <v>0.295182572886442</v>
      </c>
      <c r="F40" s="21" t="n">
        <v>0.2723371239529886</v>
      </c>
      <c r="G40" s="21" t="n">
        <v>0.2382735283246688</v>
      </c>
      <c r="H40" s="21" t="n">
        <v>0.24444907448182</v>
      </c>
      <c r="I40" s="21" t="n">
        <v>0.4265992534370923</v>
      </c>
      <c r="J40" s="21" t="n">
        <v>0.2662794956731147</v>
      </c>
      <c r="K40" s="21" t="n">
        <v>0.1824303707899899</v>
      </c>
      <c r="L40" s="21" t="n">
        <v>0.1070533256006066</v>
      </c>
    </row>
    <row r="41">
      <c r="A41" s="10" t="n">
        <v>0.345</v>
      </c>
      <c r="B41" s="21" t="n">
        <v>0.2483624364430214</v>
      </c>
      <c r="C41" s="21" t="n">
        <v>0.2556907875772912</v>
      </c>
      <c r="D41" s="21" t="n">
        <v>0.08495588817689409</v>
      </c>
      <c r="E41" s="21" t="n">
        <v>0.3022245863497582</v>
      </c>
      <c r="F41" s="21" t="n">
        <v>0.2845575554751568</v>
      </c>
      <c r="G41" s="21" t="n">
        <v>0.2595205980892915</v>
      </c>
      <c r="H41" s="21" t="n">
        <v>0.2563314215475607</v>
      </c>
      <c r="I41" s="21" t="n">
        <v>0.4432044262208408</v>
      </c>
      <c r="J41" s="21" t="n">
        <v>0.2793876161869845</v>
      </c>
      <c r="K41" s="21" t="n">
        <v>0.1930794604366444</v>
      </c>
      <c r="L41" s="21" t="n">
        <v>0.1149743436119503</v>
      </c>
    </row>
    <row r="42">
      <c r="A42" s="10" t="n">
        <v>0.355</v>
      </c>
      <c r="B42" s="21" t="n">
        <v>0.2599744768464686</v>
      </c>
      <c r="C42" s="21" t="n">
        <v>0.2643511297588154</v>
      </c>
      <c r="D42" s="21" t="n">
        <v>0.0898082056278187</v>
      </c>
      <c r="E42" s="21" t="n">
        <v>0.3092665998130745</v>
      </c>
      <c r="F42" s="21" t="n">
        <v>0.2967779869973249</v>
      </c>
      <c r="G42" s="21" t="n">
        <v>0.2807676678539141</v>
      </c>
      <c r="H42" s="21" t="n">
        <v>0.2682137686133013</v>
      </c>
      <c r="I42" s="21" t="n">
        <v>0.4598095990045893</v>
      </c>
      <c r="J42" s="21" t="n">
        <v>0.2947821098189128</v>
      </c>
      <c r="K42" s="21" t="n">
        <v>0.2037285500832988</v>
      </c>
      <c r="L42" s="21" t="n">
        <v>0.122895361623294</v>
      </c>
    </row>
    <row r="43">
      <c r="A43" s="10" t="n">
        <v>0.365</v>
      </c>
      <c r="B43" s="21" t="n">
        <v>0.2719029254971757</v>
      </c>
      <c r="C43" s="21" t="n">
        <v>0.273280505685031</v>
      </c>
      <c r="D43" s="21" t="n">
        <v>0.09557720543030422</v>
      </c>
      <c r="E43" s="21" t="n">
        <v>0.3165090423916765</v>
      </c>
      <c r="F43" s="21" t="n">
        <v>0.308998418519493</v>
      </c>
      <c r="G43" s="21" t="n">
        <v>0.3035833168386022</v>
      </c>
      <c r="H43" s="21" t="n">
        <v>0.280096115679042</v>
      </c>
      <c r="I43" s="21" t="n">
        <v>0.4764147717883378</v>
      </c>
      <c r="J43" s="21" t="n">
        <v>0.310176603450841</v>
      </c>
      <c r="K43" s="21" t="n">
        <v>0.2143776397299533</v>
      </c>
      <c r="L43" s="21" t="n">
        <v>0.1309285346884887</v>
      </c>
    </row>
    <row r="44">
      <c r="A44" s="10" t="n">
        <v>0.375</v>
      </c>
      <c r="B44" s="21" t="n">
        <v>0.2839396231547079</v>
      </c>
      <c r="C44" s="21" t="n">
        <v>0.2822669493752722</v>
      </c>
      <c r="D44" s="21" t="n">
        <v>0.1013462052327897</v>
      </c>
      <c r="E44" s="21" t="n">
        <v>0.3242191529059456</v>
      </c>
      <c r="F44" s="21" t="n">
        <v>0.3212188500416611</v>
      </c>
      <c r="G44" s="21" t="n">
        <v>0.3267911106283067</v>
      </c>
      <c r="H44" s="21" t="n">
        <v>0.2919784627447826</v>
      </c>
      <c r="I44" s="21" t="n">
        <v>0.4927688624096774</v>
      </c>
      <c r="J44" s="21" t="n">
        <v>0.3255710970827693</v>
      </c>
      <c r="K44" s="21" t="n">
        <v>0.2250267293766078</v>
      </c>
      <c r="L44" s="21" t="n">
        <v>0.1393480196058372</v>
      </c>
    </row>
    <row r="45">
      <c r="A45" s="10" t="n">
        <v>0.385</v>
      </c>
      <c r="B45" s="21" t="n">
        <v>0.2961054491245899</v>
      </c>
      <c r="C45" s="21" t="n">
        <v>0.2912533930655133</v>
      </c>
      <c r="D45" s="21" t="n">
        <v>0.1071152050352753</v>
      </c>
      <c r="E45" s="21" t="n">
        <v>0.3319292634202147</v>
      </c>
      <c r="F45" s="21" t="n">
        <v>0.3334392815638292</v>
      </c>
      <c r="G45" s="21" t="n">
        <v>0.3513857116026634</v>
      </c>
      <c r="H45" s="21" t="n">
        <v>0.3038608098105233</v>
      </c>
      <c r="I45" s="21" t="n">
        <v>0.5089175221708644</v>
      </c>
      <c r="J45" s="21" t="n">
        <v>0.3409655907146975</v>
      </c>
      <c r="K45" s="21" t="n">
        <v>0.2357377583012222</v>
      </c>
      <c r="L45" s="21" t="n">
        <v>0.1477675045231856</v>
      </c>
    </row>
    <row r="46">
      <c r="A46" s="10" t="n">
        <v>0.395</v>
      </c>
      <c r="B46" s="21" t="n">
        <v>0.309240526245148</v>
      </c>
      <c r="C46" s="21" t="n">
        <v>0.3012551966706309</v>
      </c>
      <c r="D46" s="21" t="n">
        <v>0.1128842048377608</v>
      </c>
      <c r="E46" s="21" t="n">
        <v>0.3396642464038211</v>
      </c>
      <c r="F46" s="21" t="n">
        <v>0.3456597130859974</v>
      </c>
      <c r="G46" s="21" t="n">
        <v>0.3801407341309763</v>
      </c>
      <c r="H46" s="21" t="n">
        <v>0.3185114582865447</v>
      </c>
      <c r="I46" s="21" t="n">
        <v>0.5250661819320513</v>
      </c>
      <c r="J46" s="21" t="n">
        <v>0.3563762491187721</v>
      </c>
      <c r="K46" s="21" t="n">
        <v>0.2488644190662718</v>
      </c>
      <c r="L46" s="21" t="n">
        <v>0.1561869894405341</v>
      </c>
    </row>
    <row r="47">
      <c r="A47" s="10" t="n">
        <v>0.405</v>
      </c>
      <c r="B47" s="21" t="n">
        <v>0.3227385896120277</v>
      </c>
      <c r="C47" s="21" t="n">
        <v>0.3112570002757484</v>
      </c>
      <c r="D47" s="21" t="n">
        <v>0.1186532046402463</v>
      </c>
      <c r="E47" s="21" t="n">
        <v>0.3483692556915861</v>
      </c>
      <c r="F47" s="21" t="n">
        <v>0.3588666476901903</v>
      </c>
      <c r="G47" s="21" t="n">
        <v>0.4088957566592892</v>
      </c>
      <c r="H47" s="21" t="n">
        <v>0.3335575783926062</v>
      </c>
      <c r="I47" s="21" t="n">
        <v>0.5412148416932383</v>
      </c>
      <c r="J47" s="21" t="n">
        <v>0.3724173336365519</v>
      </c>
      <c r="K47" s="21" t="n">
        <v>0.2619910798313214</v>
      </c>
      <c r="L47" s="21" t="n">
        <v>0.1651420285189599</v>
      </c>
    </row>
    <row r="48">
      <c r="A48" s="10" t="n">
        <v>0.415</v>
      </c>
      <c r="B48" s="21" t="n">
        <v>0.3356294464377013</v>
      </c>
      <c r="C48" s="21" t="n">
        <v>0.321413181167474</v>
      </c>
      <c r="D48" s="21" t="n">
        <v>0.1244222044427318</v>
      </c>
      <c r="E48" s="21" t="n">
        <v>0.3570742649793511</v>
      </c>
      <c r="F48" s="21" t="n">
        <v>0.3723599864149711</v>
      </c>
      <c r="G48" s="21" t="n">
        <v>0.4325325256916293</v>
      </c>
      <c r="H48" s="21" t="n">
        <v>0.3486036984986678</v>
      </c>
      <c r="I48" s="21" t="n">
        <v>0.5558821252062477</v>
      </c>
      <c r="J48" s="21" t="n">
        <v>0.3884584181543318</v>
      </c>
      <c r="K48" s="21" t="n">
        <v>0.275117740596371</v>
      </c>
      <c r="L48" s="21" t="n">
        <v>0.1742106699951901</v>
      </c>
    </row>
    <row r="49">
      <c r="A49" s="10" t="n">
        <v>0.425</v>
      </c>
      <c r="B49" s="21" t="n">
        <v>0.3476174367433889</v>
      </c>
      <c r="C49" s="21" t="n">
        <v>0.3319763567238936</v>
      </c>
      <c r="D49" s="21" t="n">
        <v>0.1302991895132845</v>
      </c>
      <c r="E49" s="21" t="n">
        <v>0.3657792742671162</v>
      </c>
      <c r="F49" s="21" t="n">
        <v>0.3858533251397519</v>
      </c>
      <c r="G49" s="21" t="n">
        <v>0.4484919144800102</v>
      </c>
      <c r="H49" s="21" t="n">
        <v>0.3636498186047293</v>
      </c>
      <c r="I49" s="21" t="n">
        <v>0.5685451937952521</v>
      </c>
      <c r="J49" s="21" t="n">
        <v>0.4044995026721117</v>
      </c>
      <c r="K49" s="21" t="n">
        <v>0.2882444013614205</v>
      </c>
      <c r="L49" s="21" t="n">
        <v>0.1832793114714202</v>
      </c>
    </row>
    <row r="50">
      <c r="A50" s="10" t="n">
        <v>0.435</v>
      </c>
      <c r="B50" s="21" t="n">
        <v>0.3597829379101894</v>
      </c>
      <c r="C50" s="21" t="n">
        <v>0.3425395322803133</v>
      </c>
      <c r="D50" s="21" t="n">
        <v>0.1375079928899984</v>
      </c>
      <c r="E50" s="21" t="n">
        <v>0.374441037319466</v>
      </c>
      <c r="F50" s="21" t="n">
        <v>0.3993466638645327</v>
      </c>
      <c r="G50" s="21" t="n">
        <v>0.4644513032683912</v>
      </c>
      <c r="H50" s="21" t="n">
        <v>0.3786959387107909</v>
      </c>
      <c r="I50" s="21" t="n">
        <v>0.5812082623842566</v>
      </c>
      <c r="J50" s="21" t="n">
        <v>0.4205405871898915</v>
      </c>
      <c r="K50" s="21" t="n">
        <v>0.3013710621264701</v>
      </c>
      <c r="L50" s="21" t="n">
        <v>0.192854964308828</v>
      </c>
    </row>
    <row r="51">
      <c r="A51" s="10" t="n">
        <v>0.445</v>
      </c>
      <c r="B51" s="21" t="n">
        <v>0.371936624208319</v>
      </c>
      <c r="C51" s="21" t="n">
        <v>0.3534771223544509</v>
      </c>
      <c r="D51" s="21" t="n">
        <v>0.1447167962667123</v>
      </c>
      <c r="E51" s="21" t="n">
        <v>0.3830768526305667</v>
      </c>
      <c r="F51" s="21" t="n">
        <v>0.4128400025893135</v>
      </c>
      <c r="G51" s="21" t="n">
        <v>0.4785456003595121</v>
      </c>
      <c r="H51" s="21" t="n">
        <v>0.3933305648032963</v>
      </c>
      <c r="I51" s="21" t="n">
        <v>0.5938713309732611</v>
      </c>
      <c r="J51" s="21" t="n">
        <v>0.4360915616895144</v>
      </c>
      <c r="K51" s="21" t="n">
        <v>0.3161428225520749</v>
      </c>
      <c r="L51" s="21" t="n">
        <v>0.2031165736937113</v>
      </c>
    </row>
    <row r="52">
      <c r="A52" s="10" t="n">
        <v>0.455</v>
      </c>
      <c r="B52" s="21" t="n">
        <v>0.3837807808859428</v>
      </c>
      <c r="C52" s="21" t="n">
        <v>0.3649212732466776</v>
      </c>
      <c r="D52" s="21" t="n">
        <v>0.1519255996434262</v>
      </c>
      <c r="E52" s="21" t="n">
        <v>0.3917126679416674</v>
      </c>
      <c r="F52" s="21" t="n">
        <v>0.4263333413140943</v>
      </c>
      <c r="G52" s="21" t="n">
        <v>0.4917418903371375</v>
      </c>
      <c r="H52" s="21" t="n">
        <v>0.4073479498754675</v>
      </c>
      <c r="I52" s="21" t="n">
        <v>0.606182190509553</v>
      </c>
      <c r="J52" s="21" t="n">
        <v>0.4472315460257241</v>
      </c>
      <c r="K52" s="21" t="n">
        <v>0.3336564157452717</v>
      </c>
      <c r="L52" s="21" t="n">
        <v>0.2133781830785947</v>
      </c>
    </row>
    <row r="53">
      <c r="A53" s="10" t="n">
        <v>0.465</v>
      </c>
      <c r="B53" s="21" t="n">
        <v>0.395531813851931</v>
      </c>
      <c r="C53" s="21" t="n">
        <v>0.3763654241389043</v>
      </c>
      <c r="D53" s="21" t="n">
        <v>0.1591344030201401</v>
      </c>
      <c r="E53" s="21" t="n">
        <v>0.4006111571193834</v>
      </c>
      <c r="F53" s="21" t="n">
        <v>0.4398266800388752</v>
      </c>
      <c r="G53" s="21" t="n">
        <v>0.5049381803147629</v>
      </c>
      <c r="H53" s="21" t="n">
        <v>0.4213653349476387</v>
      </c>
      <c r="I53" s="21" t="n">
        <v>0.6168326359402001</v>
      </c>
      <c r="J53" s="21" t="n">
        <v>0.4583715303619339</v>
      </c>
      <c r="K53" s="21" t="n">
        <v>0.3511700089384684</v>
      </c>
      <c r="L53" s="21" t="n">
        <v>0.2241247955161091</v>
      </c>
    </row>
    <row r="54">
      <c r="A54" s="10" t="n">
        <v>0.475</v>
      </c>
      <c r="B54" s="21" t="n">
        <v>0.4071832440300173</v>
      </c>
      <c r="C54" s="21" t="n">
        <v>0.3882221281669753</v>
      </c>
      <c r="D54" s="21" t="n">
        <v>0.166343206396854</v>
      </c>
      <c r="E54" s="21" t="n">
        <v>0.4104144118376632</v>
      </c>
      <c r="F54" s="21" t="n">
        <v>0.4511569749594351</v>
      </c>
      <c r="G54" s="21" t="n">
        <v>0.5168369500509278</v>
      </c>
      <c r="H54" s="21" t="n">
        <v>0.4353827200198099</v>
      </c>
      <c r="I54" s="21" t="n">
        <v>0.6274830813708472</v>
      </c>
      <c r="J54" s="21" t="n">
        <v>0.4695115146981437</v>
      </c>
      <c r="K54" s="21" t="n">
        <v>0.3686836021316651</v>
      </c>
      <c r="L54" s="21" t="n">
        <v>0.2357721279085097</v>
      </c>
    </row>
    <row r="55">
      <c r="A55" s="10" t="n">
        <v>0.485</v>
      </c>
      <c r="B55" s="21" t="n">
        <v>0.4188299472534288</v>
      </c>
      <c r="C55" s="21" t="n">
        <v>0.4003538676189424</v>
      </c>
      <c r="D55" s="21" t="n">
        <v>0.1735520097735679</v>
      </c>
      <c r="E55" s="21" t="n">
        <v>0.420217666555943</v>
      </c>
      <c r="F55" s="21" t="n">
        <v>0.4624318072183484</v>
      </c>
      <c r="G55" s="21" t="n">
        <v>0.5284604882207222</v>
      </c>
      <c r="H55" s="21" t="n">
        <v>0.4494001050919811</v>
      </c>
      <c r="I55" s="21" t="n">
        <v>0.6381335268014943</v>
      </c>
      <c r="J55" s="21" t="n">
        <v>0.4806514990343534</v>
      </c>
      <c r="K55" s="21" t="n">
        <v>0.3861971953248619</v>
      </c>
      <c r="L55" s="21" t="n">
        <v>0.2474194603009103</v>
      </c>
    </row>
    <row r="56">
      <c r="A56" s="10" t="n">
        <v>0.495</v>
      </c>
      <c r="B56" s="21" t="n">
        <v>0.4304799253850543</v>
      </c>
      <c r="C56" s="21" t="n">
        <v>0.4124856070709095</v>
      </c>
      <c r="D56" s="21" t="n">
        <v>0.1807608131502818</v>
      </c>
      <c r="E56" s="21" t="n">
        <v>0.4300209212742228</v>
      </c>
      <c r="F56" s="21" t="n">
        <v>0.4737066394772617</v>
      </c>
      <c r="G56" s="21" t="n">
        <v>0.5401164297106856</v>
      </c>
      <c r="H56" s="21" t="n">
        <v>0.4634174901641523</v>
      </c>
      <c r="I56" s="21" t="n">
        <v>0.6487839722321413</v>
      </c>
      <c r="J56" s="21" t="n">
        <v>0.4917914833705632</v>
      </c>
      <c r="K56" s="21" t="n">
        <v>0.4037107885180586</v>
      </c>
      <c r="L56" s="21" t="n">
        <v>0.2590667926933109</v>
      </c>
    </row>
    <row r="57">
      <c r="A57" s="10" t="n">
        <v>0.505</v>
      </c>
      <c r="B57" s="21" t="n">
        <v>0.4436884343177523</v>
      </c>
      <c r="C57" s="21" t="n">
        <v>0.4254995937988604</v>
      </c>
      <c r="D57" s="21" t="n">
        <v>0.1892235110317359</v>
      </c>
      <c r="E57" s="21" t="n">
        <v>0.446593265085686</v>
      </c>
      <c r="F57" s="21" t="n">
        <v>0.484981471736175</v>
      </c>
      <c r="G57" s="21" t="n">
        <v>0.5520640010821695</v>
      </c>
      <c r="H57" s="21" t="n">
        <v>0.4759659343657415</v>
      </c>
      <c r="I57" s="21" t="n">
        <v>0.6590586787968044</v>
      </c>
      <c r="J57" s="21" t="n">
        <v>0.5025454935060214</v>
      </c>
      <c r="K57" s="21" t="n">
        <v>0.425062447254538</v>
      </c>
      <c r="L57" s="21" t="n">
        <v>0.2753814040321895</v>
      </c>
    </row>
    <row r="58">
      <c r="A58" s="10" t="n">
        <v>0.515</v>
      </c>
      <c r="B58" s="21" t="n">
        <v>0.4570973560060503</v>
      </c>
      <c r="C58" s="21" t="n">
        <v>0.4386396158519518</v>
      </c>
      <c r="D58" s="21" t="n">
        <v>0.198050242801663</v>
      </c>
      <c r="E58" s="21" t="n">
        <v>0.4635218767441588</v>
      </c>
      <c r="F58" s="21" t="n">
        <v>0.4962563039950883</v>
      </c>
      <c r="G58" s="21" t="n">
        <v>0.5640115724536533</v>
      </c>
      <c r="H58" s="21" t="n">
        <v>0.4879571940991789</v>
      </c>
      <c r="I58" s="21" t="n">
        <v>0.6693029200480092</v>
      </c>
      <c r="J58" s="21" t="n">
        <v>0.5132995036414796</v>
      </c>
      <c r="K58" s="21" t="n">
        <v>0.4478699239557108</v>
      </c>
      <c r="L58" s="21" t="n">
        <v>0.291941661631409</v>
      </c>
    </row>
    <row r="59">
      <c r="A59" s="10" t="n">
        <v>0.525</v>
      </c>
      <c r="B59" s="21" t="n">
        <v>0.4704848163524579</v>
      </c>
      <c r="C59" s="21" t="n">
        <v>0.4518538576569241</v>
      </c>
      <c r="D59" s="21" t="n">
        <v>0.2068769745715902</v>
      </c>
      <c r="E59" s="21" t="n">
        <v>0.4804504884026316</v>
      </c>
      <c r="F59" s="21" t="n">
        <v>0.5075311362540016</v>
      </c>
      <c r="G59" s="21" t="n">
        <v>0.5756622646179336</v>
      </c>
      <c r="H59" s="21" t="n">
        <v>0.4999484538326163</v>
      </c>
      <c r="I59" s="21" t="n">
        <v>0.679547161299214</v>
      </c>
      <c r="J59" s="21" t="n">
        <v>0.5240535137769378</v>
      </c>
      <c r="K59" s="21" t="n">
        <v>0.4706774006568837</v>
      </c>
      <c r="L59" s="21" t="n">
        <v>0.3085019192306285</v>
      </c>
    </row>
    <row r="60">
      <c r="A60" s="10" t="n">
        <v>0.535</v>
      </c>
      <c r="B60" s="21" t="n">
        <v>0.4843560761455709</v>
      </c>
      <c r="C60" s="21" t="n">
        <v>0.4679626697852487</v>
      </c>
      <c r="D60" s="21" t="n">
        <v>0.2157037063415173</v>
      </c>
      <c r="E60" s="21" t="n">
        <v>0.4964659929101263</v>
      </c>
      <c r="F60" s="21" t="n">
        <v>0.5186835451090154</v>
      </c>
      <c r="G60" s="21" t="n">
        <v>0.5864223191606031</v>
      </c>
      <c r="H60" s="21" t="n">
        <v>0.5119397135660537</v>
      </c>
      <c r="I60" s="21" t="n">
        <v>0.6897772055354028</v>
      </c>
      <c r="J60" s="21" t="n">
        <v>0.5348075239123959</v>
      </c>
      <c r="K60" s="21" t="n">
        <v>0.4934848773580565</v>
      </c>
      <c r="L60" s="21" t="n">
        <v>0.3287333786765409</v>
      </c>
    </row>
    <row r="61">
      <c r="A61" s="10" t="n">
        <v>0.545</v>
      </c>
      <c r="B61" s="21" t="n">
        <v>0.4983207277651058</v>
      </c>
      <c r="C61" s="21" t="n">
        <v>0.4840714819135733</v>
      </c>
      <c r="D61" s="21" t="n">
        <v>0.2245304381114444</v>
      </c>
      <c r="E61" s="21" t="n">
        <v>0.511734409748639</v>
      </c>
      <c r="F61" s="21" t="n">
        <v>0.5296319149575299</v>
      </c>
      <c r="G61" s="21" t="n">
        <v>0.5971823737032725</v>
      </c>
      <c r="H61" s="21" t="n">
        <v>0.5239309732994911</v>
      </c>
      <c r="I61" s="21" t="n">
        <v>0.6998794766364468</v>
      </c>
      <c r="J61" s="21" t="n">
        <v>0.545468641480358</v>
      </c>
      <c r="K61" s="21" t="n">
        <v>0.5162923540592294</v>
      </c>
      <c r="L61" s="21" t="n">
        <v>0.3509416391168263</v>
      </c>
    </row>
    <row r="62">
      <c r="A62" s="10" t="n">
        <v>0.555</v>
      </c>
      <c r="B62" s="21" t="n">
        <v>0.5120148911728102</v>
      </c>
      <c r="C62" s="21" t="n">
        <v>0.4995949127975041</v>
      </c>
      <c r="D62" s="21" t="n">
        <v>0.2333571698813715</v>
      </c>
      <c r="E62" s="21" t="n">
        <v>0.5270028265871517</v>
      </c>
      <c r="F62" s="21" t="n">
        <v>0.5405802848060445</v>
      </c>
      <c r="G62" s="21" t="n">
        <v>0.607820400213106</v>
      </c>
      <c r="H62" s="21" t="n">
        <v>0.5358158604852834</v>
      </c>
      <c r="I62" s="21" t="n">
        <v>0.7099817477374908</v>
      </c>
      <c r="J62" s="21" t="n">
        <v>0.5549840840492019</v>
      </c>
      <c r="K62" s="21" t="n">
        <v>0.5382746994708123</v>
      </c>
      <c r="L62" s="21" t="n">
        <v>0.3731498995571117</v>
      </c>
    </row>
    <row r="63">
      <c r="A63" s="10" t="n">
        <v>0.5649999999999999</v>
      </c>
      <c r="B63" s="21" t="n">
        <v>0.5253371394055113</v>
      </c>
      <c r="C63" s="21" t="n">
        <v>0.5137524541111826</v>
      </c>
      <c r="D63" s="21" t="n">
        <v>0.2421839016512987</v>
      </c>
      <c r="E63" s="21" t="n">
        <v>0.5419575968117858</v>
      </c>
      <c r="F63" s="21" t="n">
        <v>0.551528654654559</v>
      </c>
      <c r="G63" s="21" t="n">
        <v>0.6182933299726319</v>
      </c>
      <c r="H63" s="21" t="n">
        <v>0.5456796692658188</v>
      </c>
      <c r="I63" s="21" t="n">
        <v>0.7200840188385348</v>
      </c>
      <c r="J63" s="21" t="n">
        <v>0.5644995266180457</v>
      </c>
      <c r="K63" s="21" t="n">
        <v>0.5592485510840075</v>
      </c>
      <c r="L63" s="21" t="n">
        <v>0.3966473940519835</v>
      </c>
    </row>
    <row r="64">
      <c r="A64" s="10" t="n">
        <v>0.575</v>
      </c>
      <c r="B64" s="21" t="n">
        <v>0.5395503139304589</v>
      </c>
      <c r="C64" s="21" t="n">
        <v>0.5279099954248612</v>
      </c>
      <c r="D64" s="21" t="n">
        <v>0.2567407874235352</v>
      </c>
      <c r="E64" s="21" t="n">
        <v>0.5560854805089217</v>
      </c>
      <c r="F64" s="21" t="n">
        <v>0.5624770245030736</v>
      </c>
      <c r="G64" s="21" t="n">
        <v>0.6287662597321577</v>
      </c>
      <c r="H64" s="21" t="n">
        <v>0.5555434780463542</v>
      </c>
      <c r="I64" s="21" t="n">
        <v>0.7301862899395788</v>
      </c>
      <c r="J64" s="21" t="n">
        <v>0.5740149691868895</v>
      </c>
      <c r="K64" s="21" t="n">
        <v>0.5802224026972027</v>
      </c>
      <c r="L64" s="21" t="n">
        <v>0.4240125907106146</v>
      </c>
    </row>
    <row r="65">
      <c r="A65" s="10" t="n">
        <v>0.585</v>
      </c>
      <c r="B65" s="21" t="n">
        <v>0.5545381739561188</v>
      </c>
      <c r="C65" s="21" t="n">
        <v>0.5413582201810996</v>
      </c>
      <c r="D65" s="21" t="n">
        <v>0.27830119475415</v>
      </c>
      <c r="E65" s="21" t="n">
        <v>0.5702133642060576</v>
      </c>
      <c r="F65" s="21" t="n">
        <v>0.5734253943515881</v>
      </c>
      <c r="G65" s="21" t="n">
        <v>0.638916964315501</v>
      </c>
      <c r="H65" s="21" t="n">
        <v>0.5654072868268896</v>
      </c>
      <c r="I65" s="21" t="n">
        <v>0.7418491677688396</v>
      </c>
      <c r="J65" s="21" t="n">
        <v>0.5835304117557334</v>
      </c>
      <c r="K65" s="21" t="n">
        <v>0.6011962543103979</v>
      </c>
      <c r="L65" s="21" t="n">
        <v>0.4513777873692458</v>
      </c>
    </row>
    <row r="66">
      <c r="A66" s="10" t="n">
        <v>0.595</v>
      </c>
      <c r="B66" s="21" t="n">
        <v>0.5694529009835546</v>
      </c>
      <c r="C66" s="21" t="n">
        <v>0.5539395024782445</v>
      </c>
      <c r="D66" s="21" t="n">
        <v>0.2998616020847649</v>
      </c>
      <c r="E66" s="21" t="n">
        <v>0.5843412479031935</v>
      </c>
      <c r="F66" s="21" t="n">
        <v>0.5843737642001027</v>
      </c>
      <c r="G66" s="21" t="n">
        <v>0.6489125234436454</v>
      </c>
      <c r="H66" s="21" t="n">
        <v>0.575271095607425</v>
      </c>
      <c r="I66" s="21" t="n">
        <v>0.7537874467854327</v>
      </c>
      <c r="J66" s="21" t="n">
        <v>0.5930458543245772</v>
      </c>
      <c r="K66" s="21" t="n">
        <v>0.6221701059235931</v>
      </c>
      <c r="L66" s="21" t="n">
        <v>0.4787429840278769</v>
      </c>
    </row>
    <row r="67">
      <c r="A67" s="10" t="n">
        <v>0.605</v>
      </c>
      <c r="B67" s="21" t="n">
        <v>0.5843050344297994</v>
      </c>
      <c r="C67" s="21" t="n">
        <v>0.5665207847753895</v>
      </c>
      <c r="D67" s="21" t="n">
        <v>0.3214220094153797</v>
      </c>
      <c r="E67" s="21" t="n">
        <v>0.599835750797893</v>
      </c>
      <c r="F67" s="21" t="n">
        <v>0.5971231573309496</v>
      </c>
      <c r="G67" s="21" t="n">
        <v>0.6589080825717897</v>
      </c>
      <c r="H67" s="21" t="n">
        <v>0.5851349043879603</v>
      </c>
      <c r="I67" s="21" t="n">
        <v>0.7657257258020259</v>
      </c>
      <c r="J67" s="21" t="n">
        <v>0.6020301126623657</v>
      </c>
      <c r="K67" s="21" t="n">
        <v>0.6431439575367883</v>
      </c>
      <c r="L67" s="21" t="n">
        <v>0.5032071241060522</v>
      </c>
    </row>
    <row r="68">
      <c r="A68" s="10" t="n">
        <v>0.615</v>
      </c>
      <c r="B68" s="21" t="n">
        <v>0.599604765581648</v>
      </c>
      <c r="C68" s="21" t="n">
        <v>0.5789655088494183</v>
      </c>
      <c r="D68" s="21" t="n">
        <v>0.3429824167459945</v>
      </c>
      <c r="E68" s="21" t="n">
        <v>0.6155254850065301</v>
      </c>
      <c r="F68" s="21" t="n">
        <v>0.6113461149655229</v>
      </c>
      <c r="G68" s="21" t="n">
        <v>0.6697543716272316</v>
      </c>
      <c r="H68" s="21" t="n">
        <v>0.5951335353301107</v>
      </c>
      <c r="I68" s="21" t="n">
        <v>0.7776640048186191</v>
      </c>
      <c r="J68" s="21" t="n">
        <v>0.6110007508916656</v>
      </c>
      <c r="K68" s="21" t="n">
        <v>0.6669619716167515</v>
      </c>
      <c r="L68" s="21" t="n">
        <v>0.5275185769957823</v>
      </c>
    </row>
    <row r="69">
      <c r="A69" s="10" t="n">
        <v>0.625</v>
      </c>
      <c r="B69" s="21" t="n">
        <v>0.6149938285142523</v>
      </c>
      <c r="C69" s="21" t="n">
        <v>0.5913282979895774</v>
      </c>
      <c r="D69" s="21" t="n">
        <v>0.3645428240766093</v>
      </c>
      <c r="E69" s="21" t="n">
        <v>0.6312152192151673</v>
      </c>
      <c r="F69" s="21" t="n">
        <v>0.6255690726000963</v>
      </c>
      <c r="G69" s="21" t="n">
        <v>0.6807507894933731</v>
      </c>
      <c r="H69" s="21" t="n">
        <v>0.605139262175504</v>
      </c>
      <c r="I69" s="21" t="n">
        <v>0.7897554335729545</v>
      </c>
      <c r="J69" s="21" t="n">
        <v>0.6199713891209655</v>
      </c>
      <c r="K69" s="21" t="n">
        <v>0.6914910263134068</v>
      </c>
      <c r="L69" s="21" t="n">
        <v>0.5518300298855124</v>
      </c>
    </row>
    <row r="70">
      <c r="A70" s="10" t="n">
        <v>0.635</v>
      </c>
      <c r="B70" s="21" t="n">
        <v>0.6299703526277863</v>
      </c>
      <c r="C70" s="21" t="n">
        <v>0.6036629396562354</v>
      </c>
      <c r="D70" s="21" t="n">
        <v>0.3861032314072241</v>
      </c>
      <c r="E70" s="21" t="n">
        <v>0.6438761931302336</v>
      </c>
      <c r="F70" s="21" t="n">
        <v>0.6397920302346697</v>
      </c>
      <c r="G70" s="21" t="n">
        <v>0.6918123546922769</v>
      </c>
      <c r="H70" s="21" t="n">
        <v>0.6151449890208972</v>
      </c>
      <c r="I70" s="21" t="n">
        <v>0.8019049536071233</v>
      </c>
      <c r="J70" s="21" t="n">
        <v>0.6289420273502654</v>
      </c>
      <c r="K70" s="21" t="n">
        <v>0.716020081010062</v>
      </c>
      <c r="L70" s="21" t="n">
        <v>0.5748970223663805</v>
      </c>
    </row>
    <row r="71">
      <c r="A71" s="10" t="n">
        <v>0.645</v>
      </c>
      <c r="B71" s="21" t="n">
        <v>0.6447824413307827</v>
      </c>
      <c r="C71" s="21" t="n">
        <v>0.6156504291497131</v>
      </c>
      <c r="D71" s="21" t="n">
        <v>0.4100998156650017</v>
      </c>
      <c r="E71" s="21" t="n">
        <v>0.6531895898787214</v>
      </c>
      <c r="F71" s="21" t="n">
        <v>0.6540149878692431</v>
      </c>
      <c r="G71" s="21" t="n">
        <v>0.7034602458860415</v>
      </c>
      <c r="H71" s="21" t="n">
        <v>0.6251507158662905</v>
      </c>
      <c r="I71" s="21" t="n">
        <v>0.8140544736412921</v>
      </c>
      <c r="J71" s="21" t="n">
        <v>0.6379126655795653</v>
      </c>
      <c r="K71" s="21" t="n">
        <v>0.7405491357067172</v>
      </c>
      <c r="L71" s="21" t="n">
        <v>0.5969458199672706</v>
      </c>
    </row>
    <row r="72">
      <c r="A72" s="10" t="n">
        <v>0.655</v>
      </c>
      <c r="B72" s="21" t="n">
        <v>0.6600734511962524</v>
      </c>
      <c r="C72" s="21" t="n">
        <v>0.6276379186431909</v>
      </c>
      <c r="D72" s="21" t="n">
        <v>0.4381566948013839</v>
      </c>
      <c r="E72" s="21" t="n">
        <v>0.6625029866272093</v>
      </c>
      <c r="F72" s="21" t="n">
        <v>0.6682379455038164</v>
      </c>
      <c r="G72" s="21" t="n">
        <v>0.7151081370798061</v>
      </c>
      <c r="H72" s="21" t="n">
        <v>0.6351564427116837</v>
      </c>
      <c r="I72" s="21" t="n">
        <v>0.8262039936754609</v>
      </c>
      <c r="J72" s="21" t="n">
        <v>0.6476255839846323</v>
      </c>
      <c r="K72" s="21" t="n">
        <v>0.7650781904033724</v>
      </c>
      <c r="L72" s="21" t="n">
        <v>0.6189946175681607</v>
      </c>
    </row>
    <row r="73">
      <c r="A73" s="10" t="n">
        <v>0.665</v>
      </c>
      <c r="B73" s="21" t="n">
        <v>0.6747419318169815</v>
      </c>
      <c r="C73" s="21" t="n">
        <v>0.6397003628522998</v>
      </c>
      <c r="D73" s="21" t="n">
        <v>0.4662135739377661</v>
      </c>
      <c r="E73" s="21" t="n">
        <v>0.6705984108789212</v>
      </c>
      <c r="F73" s="21" t="n">
        <v>0.6824609031383898</v>
      </c>
      <c r="G73" s="21" t="n">
        <v>0.7272326889252965</v>
      </c>
      <c r="H73" s="21" t="n">
        <v>0.6451067106453027</v>
      </c>
      <c r="I73" s="21" t="n">
        <v>0.8375544619617273</v>
      </c>
      <c r="J73" s="21" t="n">
        <v>0.657444542414809</v>
      </c>
      <c r="K73" s="21" t="n">
        <v>0.7851213657700302</v>
      </c>
      <c r="L73" s="21" t="n">
        <v>0.640487516475264</v>
      </c>
    </row>
    <row r="74">
      <c r="A74" s="10" t="n">
        <v>0.675</v>
      </c>
      <c r="B74" s="21" t="n">
        <v>0.6882647790907201</v>
      </c>
      <c r="C74" s="21" t="n">
        <v>0.6519876712083023</v>
      </c>
      <c r="D74" s="21" t="n">
        <v>0.4942704530741484</v>
      </c>
      <c r="E74" s="21" t="n">
        <v>0.6768668763854695</v>
      </c>
      <c r="F74" s="21" t="n">
        <v>0.6990046239102042</v>
      </c>
      <c r="G74" s="21" t="n">
        <v>0.7406138915798818</v>
      </c>
      <c r="H74" s="21" t="n">
        <v>0.6549107687206076</v>
      </c>
      <c r="I74" s="21" t="n">
        <v>0.8480217677897858</v>
      </c>
      <c r="J74" s="21" t="n">
        <v>0.6672635008449856</v>
      </c>
      <c r="K74" s="21" t="n">
        <v>0.7958477148359241</v>
      </c>
      <c r="L74" s="21" t="n">
        <v>0.6588303227842429</v>
      </c>
    </row>
    <row r="75">
      <c r="A75" s="10" t="n">
        <v>0.6850000000000001</v>
      </c>
      <c r="B75" s="21" t="n">
        <v>0.7018463602769971</v>
      </c>
      <c r="C75" s="21" t="n">
        <v>0.6642749795643047</v>
      </c>
      <c r="D75" s="21" t="n">
        <v>0.5223273322105305</v>
      </c>
      <c r="E75" s="21" t="n">
        <v>0.6831353418920177</v>
      </c>
      <c r="F75" s="21" t="n">
        <v>0.7163219323944323</v>
      </c>
      <c r="G75" s="21" t="n">
        <v>0.7539950942344671</v>
      </c>
      <c r="H75" s="21" t="n">
        <v>0.6647148267959125</v>
      </c>
      <c r="I75" s="21" t="n">
        <v>0.8584890736178442</v>
      </c>
      <c r="J75" s="21" t="n">
        <v>0.6770824592751623</v>
      </c>
      <c r="K75" s="21" t="n">
        <v>0.806574063901818</v>
      </c>
      <c r="L75" s="21" t="n">
        <v>0.6771731290932217</v>
      </c>
    </row>
    <row r="76">
      <c r="A76" s="10" t="n">
        <v>0.695</v>
      </c>
      <c r="B76" s="21" t="n">
        <v>0.7155235926358534</v>
      </c>
      <c r="C76" s="21" t="n">
        <v>0.6769359457577409</v>
      </c>
      <c r="D76" s="21" t="n">
        <v>0.5503842113469127</v>
      </c>
      <c r="E76" s="21" t="n">
        <v>0.689403807398566</v>
      </c>
      <c r="F76" s="21" t="n">
        <v>0.7336392408786604</v>
      </c>
      <c r="G76" s="21" t="n">
        <v>0.7678162571968845</v>
      </c>
      <c r="H76" s="21" t="n">
        <v>0.6745188848712175</v>
      </c>
      <c r="I76" s="21" t="n">
        <v>0.8689563794459026</v>
      </c>
      <c r="J76" s="21" t="n">
        <v>0.6870114486217629</v>
      </c>
      <c r="K76" s="21" t="n">
        <v>0.8173004129677118</v>
      </c>
      <c r="L76" s="21" t="n">
        <v>0.6955159354022005</v>
      </c>
    </row>
    <row r="77">
      <c r="A77" s="10" t="n">
        <v>0.705</v>
      </c>
      <c r="B77" s="21" t="n">
        <v>0.7289358141441983</v>
      </c>
      <c r="C77" s="21" t="n">
        <v>0.6899705697886107</v>
      </c>
      <c r="D77" s="21" t="n">
        <v>0.578441090483295</v>
      </c>
      <c r="E77" s="21" t="n">
        <v>0.6968593263345739</v>
      </c>
      <c r="F77" s="21" t="n">
        <v>0.7509565493628885</v>
      </c>
      <c r="G77" s="21" t="n">
        <v>0.78217514942443</v>
      </c>
      <c r="H77" s="21" t="n">
        <v>0.6843229429465224</v>
      </c>
      <c r="I77" s="21" t="n">
        <v>0.8786358944520822</v>
      </c>
      <c r="J77" s="21" t="n">
        <v>0.6979307162161785</v>
      </c>
      <c r="K77" s="21" t="n">
        <v>0.8280267620336057</v>
      </c>
      <c r="L77" s="21" t="n">
        <v>0.7086482766912149</v>
      </c>
    </row>
    <row r="78">
      <c r="A78" s="10" t="n">
        <v>0.715</v>
      </c>
      <c r="B78" s="21" t="n">
        <v>0.7420486355879252</v>
      </c>
      <c r="C78" s="21" t="n">
        <v>0.7030051938194806</v>
      </c>
      <c r="D78" s="21" t="n">
        <v>0.6059028410501078</v>
      </c>
      <c r="E78" s="21" t="n">
        <v>0.7043148452705819</v>
      </c>
      <c r="F78" s="21" t="n">
        <v>0.7682738578471165</v>
      </c>
      <c r="G78" s="21" t="n">
        <v>0.7965340416519755</v>
      </c>
      <c r="H78" s="21" t="n">
        <v>0.6941270010218273</v>
      </c>
      <c r="I78" s="21" t="n">
        <v>0.8868523693604868</v>
      </c>
      <c r="J78" s="21" t="n">
        <v>0.7088499838105942</v>
      </c>
      <c r="K78" s="21" t="n">
        <v>0.8387531110994996</v>
      </c>
      <c r="L78" s="21" t="n">
        <v>0.7208611241531768</v>
      </c>
    </row>
    <row r="79">
      <c r="A79" s="10" t="n">
        <v>0.725</v>
      </c>
      <c r="B79" s="21" t="n">
        <v>0.7547605169579427</v>
      </c>
      <c r="C79" s="21" t="n">
        <v>0.7167632315992698</v>
      </c>
      <c r="D79" s="21" t="n">
        <v>0.6260246725922329</v>
      </c>
      <c r="E79" s="21" t="n">
        <v>0.7117703642065898</v>
      </c>
      <c r="F79" s="21" t="n">
        <v>0.7855911663313446</v>
      </c>
      <c r="G79" s="21" t="n">
        <v>0.8124706183554317</v>
      </c>
      <c r="H79" s="21" t="n">
        <v>0.7060825982555725</v>
      </c>
      <c r="I79" s="21" t="n">
        <v>0.8950688442688914</v>
      </c>
      <c r="J79" s="21" t="n">
        <v>0.7197692514050098</v>
      </c>
      <c r="K79" s="21" t="n">
        <v>0.8482857163356576</v>
      </c>
      <c r="L79" s="21" t="n">
        <v>0.7330739716151388</v>
      </c>
    </row>
    <row r="80">
      <c r="A80" s="10" t="n">
        <v>0.735</v>
      </c>
      <c r="B80" s="21" t="n">
        <v>0.7674665896714051</v>
      </c>
      <c r="C80" s="21" t="n">
        <v>0.7308695797026128</v>
      </c>
      <c r="D80" s="21" t="n">
        <v>0.646146504134358</v>
      </c>
      <c r="E80" s="21" t="n">
        <v>0.719726381068528</v>
      </c>
      <c r="F80" s="21" t="n">
        <v>0.8005887841054263</v>
      </c>
      <c r="G80" s="21" t="n">
        <v>0.8286325785554465</v>
      </c>
      <c r="H80" s="21" t="n">
        <v>0.7185760802789278</v>
      </c>
      <c r="I80" s="21" t="n">
        <v>0.903285319177296</v>
      </c>
      <c r="J80" s="21" t="n">
        <v>0.7306885189994254</v>
      </c>
      <c r="K80" s="21" t="n">
        <v>0.8572435560241651</v>
      </c>
      <c r="L80" s="21" t="n">
        <v>0.7462785201444208</v>
      </c>
    </row>
    <row r="81">
      <c r="A81" s="10" t="n">
        <v>0.745</v>
      </c>
      <c r="B81" s="21" t="n">
        <v>0.7801287139540439</v>
      </c>
      <c r="C81" s="21" t="n">
        <v>0.7449759278059558</v>
      </c>
      <c r="D81" s="21" t="n">
        <v>0.6662683356764831</v>
      </c>
      <c r="E81" s="21" t="n">
        <v>0.7278722419713365</v>
      </c>
      <c r="F81" s="21" t="n">
        <v>0.8140399414060772</v>
      </c>
      <c r="G81" s="21" t="n">
        <v>0.844656533427216</v>
      </c>
      <c r="H81" s="21" t="n">
        <v>0.7310695623022831</v>
      </c>
      <c r="I81" s="21" t="n">
        <v>0.9112173191884689</v>
      </c>
      <c r="J81" s="21" t="n">
        <v>0.7416077865938411</v>
      </c>
      <c r="K81" s="21" t="n">
        <v>0.8662013957126726</v>
      </c>
      <c r="L81" s="21" t="n">
        <v>0.7606951477559829</v>
      </c>
    </row>
    <row r="82">
      <c r="A82" s="10" t="n">
        <v>0.755</v>
      </c>
      <c r="B82" s="21" t="n">
        <v>0.7927436521099335</v>
      </c>
      <c r="C82" s="21" t="n">
        <v>0.7609682615624751</v>
      </c>
      <c r="D82" s="21" t="n">
        <v>0.6863901672186082</v>
      </c>
      <c r="E82" s="21" t="n">
        <v>0.7360181028741449</v>
      </c>
      <c r="F82" s="21" t="n">
        <v>0.827491098706728</v>
      </c>
      <c r="G82" s="21" t="n">
        <v>0.8580583870623247</v>
      </c>
      <c r="H82" s="21" t="n">
        <v>0.7435630443256385</v>
      </c>
      <c r="I82" s="21" t="n">
        <v>0.9165890451245557</v>
      </c>
      <c r="J82" s="21" t="n">
        <v>0.7553620130309743</v>
      </c>
      <c r="K82" s="21" t="n">
        <v>0.8751592354011801</v>
      </c>
      <c r="L82" s="21" t="n">
        <v>0.7751117753675451</v>
      </c>
    </row>
    <row r="83">
      <c r="A83" s="10" t="n">
        <v>0.765</v>
      </c>
      <c r="B83" s="21" t="n">
        <v>0.8054539284284346</v>
      </c>
      <c r="C83" s="21" t="n">
        <v>0.7771135130746574</v>
      </c>
      <c r="D83" s="21" t="n">
        <v>0.7065119987607333</v>
      </c>
      <c r="E83" s="21" t="n">
        <v>0.7447895819752861</v>
      </c>
      <c r="F83" s="21" t="n">
        <v>0.8409422560073788</v>
      </c>
      <c r="G83" s="21" t="n">
        <v>0.8714602406974334</v>
      </c>
      <c r="H83" s="21" t="n">
        <v>0.7560565263489938</v>
      </c>
      <c r="I83" s="21" t="n">
        <v>0.9219607710606426</v>
      </c>
      <c r="J83" s="21" t="n">
        <v>0.7691162394681075</v>
      </c>
      <c r="K83" s="21" t="n">
        <v>0.8841170750896876</v>
      </c>
      <c r="L83" s="21" t="n">
        <v>0.7896451521715797</v>
      </c>
    </row>
    <row r="84">
      <c r="A84" s="10" t="n">
        <v>0.775</v>
      </c>
      <c r="B84" s="21" t="n">
        <v>0.8183667942077442</v>
      </c>
      <c r="C84" s="21" t="n">
        <v>0.7934953584243806</v>
      </c>
      <c r="D84" s="21" t="n">
        <v>0.7266338303028584</v>
      </c>
      <c r="E84" s="21" t="n">
        <v>0.7548604219498877</v>
      </c>
      <c r="F84" s="21" t="n">
        <v>0.8543934133080296</v>
      </c>
      <c r="G84" s="21" t="n">
        <v>0.88431002596568</v>
      </c>
      <c r="H84" s="21" t="n">
        <v>0.7693983462381248</v>
      </c>
      <c r="I84" s="21" t="n">
        <v>0.9273324969967294</v>
      </c>
      <c r="J84" s="21" t="n">
        <v>0.7828704659052407</v>
      </c>
      <c r="K84" s="21" t="n">
        <v>0.8924079102701473</v>
      </c>
      <c r="L84" s="21" t="n">
        <v>0.8048401077329584</v>
      </c>
    </row>
    <row r="85">
      <c r="A85" s="10" t="n">
        <v>0.785</v>
      </c>
      <c r="B85" s="21" t="n">
        <v>0.8317611142162922</v>
      </c>
      <c r="C85" s="21" t="n">
        <v>0.8120065483119725</v>
      </c>
      <c r="D85" s="21" t="n">
        <v>0.7467556618449835</v>
      </c>
      <c r="E85" s="21" t="n">
        <v>0.7649312619244892</v>
      </c>
      <c r="F85" s="21" t="n">
        <v>0.8678445706086805</v>
      </c>
      <c r="G85" s="21" t="n">
        <v>0.8958716517112484</v>
      </c>
      <c r="H85" s="21" t="n">
        <v>0.7886785311876854</v>
      </c>
      <c r="I85" s="21" t="n">
        <v>0.9327042229328162</v>
      </c>
      <c r="J85" s="21" t="n">
        <v>0.7966246923423739</v>
      </c>
      <c r="K85" s="21" t="n">
        <v>0.8984012854784424</v>
      </c>
      <c r="L85" s="21" t="n">
        <v>0.8200350632943372</v>
      </c>
    </row>
    <row r="86">
      <c r="A86" s="10" t="n">
        <v>0.795</v>
      </c>
      <c r="B86" s="21" t="n">
        <v>0.8448772563747143</v>
      </c>
      <c r="C86" s="21" t="n">
        <v>0.8305177381995644</v>
      </c>
      <c r="D86" s="21" t="n">
        <v>0.7647940297994908</v>
      </c>
      <c r="E86" s="21" t="n">
        <v>0.7750541773573906</v>
      </c>
      <c r="F86" s="21" t="n">
        <v>0.8812957279093313</v>
      </c>
      <c r="G86" s="21" t="n">
        <v>0.9074332774568168</v>
      </c>
      <c r="H86" s="21" t="n">
        <v>0.807958716137246</v>
      </c>
      <c r="I86" s="21" t="n">
        <v>0.9372739215828637</v>
      </c>
      <c r="J86" s="21" t="n">
        <v>0.8104599222262976</v>
      </c>
      <c r="K86" s="21" t="n">
        <v>0.9043946606867376</v>
      </c>
      <c r="L86" s="21" t="n">
        <v>0.8352300188557159</v>
      </c>
    </row>
    <row r="87">
      <c r="A87" s="10" t="n">
        <v>0.805</v>
      </c>
      <c r="B87" s="21" t="n">
        <v>0.8574194272301837</v>
      </c>
      <c r="C87" s="21" t="n">
        <v>0.8484915332427547</v>
      </c>
      <c r="D87" s="21" t="n">
        <v>0.7828323977539982</v>
      </c>
      <c r="E87" s="21" t="n">
        <v>0.7861665264979861</v>
      </c>
      <c r="F87" s="21" t="n">
        <v>0.8910778141399522</v>
      </c>
      <c r="G87" s="21" t="n">
        <v>0.9174615431201554</v>
      </c>
      <c r="H87" s="21" t="n">
        <v>0.8272389010868066</v>
      </c>
      <c r="I87" s="21" t="n">
        <v>0.9417020860059631</v>
      </c>
      <c r="J87" s="21" t="n">
        <v>0.8252941946206369</v>
      </c>
      <c r="K87" s="21" t="n">
        <v>0.9103880358950327</v>
      </c>
      <c r="L87" s="21" t="n">
        <v>0.8485476309891176</v>
      </c>
    </row>
    <row r="88">
      <c r="A88" s="10" t="n">
        <v>0.8149999999999999</v>
      </c>
      <c r="B88" s="21" t="n">
        <v>0.8694793538696681</v>
      </c>
      <c r="C88" s="21" t="n">
        <v>0.8650485600597951</v>
      </c>
      <c r="D88" s="21" t="n">
        <v>0.8008707657085055</v>
      </c>
      <c r="E88" s="21" t="n">
        <v>0.7972788756385817</v>
      </c>
      <c r="F88" s="21" t="n">
        <v>0.8997946861889516</v>
      </c>
      <c r="G88" s="21" t="n">
        <v>0.9257950423768189</v>
      </c>
      <c r="H88" s="21" t="n">
        <v>0.8465190860363673</v>
      </c>
      <c r="I88" s="21" t="n">
        <v>0.9461302504290624</v>
      </c>
      <c r="J88" s="21" t="n">
        <v>0.8401284670149762</v>
      </c>
      <c r="K88" s="21" t="n">
        <v>0.9163814111033278</v>
      </c>
      <c r="L88" s="21" t="n">
        <v>0.8612394619798602</v>
      </c>
    </row>
    <row r="89">
      <c r="A89" s="10" t="n">
        <v>0.825</v>
      </c>
      <c r="B89" s="21" t="n">
        <v>0.8815392805091525</v>
      </c>
      <c r="C89" s="21" t="n">
        <v>0.8816055868768355</v>
      </c>
      <c r="D89" s="21" t="n">
        <v>0.8189091336630128</v>
      </c>
      <c r="E89" s="21" t="n">
        <v>0.8083912247791772</v>
      </c>
      <c r="F89" s="21" t="n">
        <v>0.908511558237951</v>
      </c>
      <c r="G89" s="21" t="n">
        <v>0.9341285416334824</v>
      </c>
      <c r="H89" s="21" t="n">
        <v>0.8657992709859279</v>
      </c>
      <c r="I89" s="21" t="n">
        <v>0.9505584148521617</v>
      </c>
      <c r="J89" s="21" t="n">
        <v>0.8549627394093156</v>
      </c>
      <c r="K89" s="21" t="n">
        <v>0.922374786311623</v>
      </c>
      <c r="L89" s="21" t="n">
        <v>0.8739312929706029</v>
      </c>
    </row>
    <row r="90">
      <c r="A90" s="10" t="n">
        <v>0.835</v>
      </c>
      <c r="B90" s="21" t="n">
        <v>0.8928156405659489</v>
      </c>
      <c r="C90" s="21" t="n">
        <v>0.8960558609344339</v>
      </c>
      <c r="D90" s="21" t="n">
        <v>0.8369475016175201</v>
      </c>
      <c r="E90" s="21" t="n">
        <v>0.8196827507047866</v>
      </c>
      <c r="F90" s="21" t="n">
        <v>0.9172284302869504</v>
      </c>
      <c r="G90" s="21" t="n">
        <v>0.9418216860441626</v>
      </c>
      <c r="H90" s="21" t="n">
        <v>0.8820616852965513</v>
      </c>
      <c r="I90" s="21" t="n">
        <v>0.9547693368532507</v>
      </c>
      <c r="J90" s="21" t="n">
        <v>0.8697970118036549</v>
      </c>
      <c r="K90" s="21" t="n">
        <v>0.9276950563835534</v>
      </c>
      <c r="L90" s="21" t="n">
        <v>0.8854753410259552</v>
      </c>
    </row>
    <row r="91">
      <c r="A91" s="10" t="n">
        <v>0.845</v>
      </c>
      <c r="B91" s="21" t="n">
        <v>0.9034157330988484</v>
      </c>
      <c r="C91" s="21" t="n">
        <v>0.908600025352537</v>
      </c>
      <c r="D91" s="21" t="n">
        <v>0.8549858695720274</v>
      </c>
      <c r="E91" s="21" t="n">
        <v>0.8310707564377111</v>
      </c>
      <c r="F91" s="21" t="n">
        <v>0.9259453023359498</v>
      </c>
      <c r="G91" s="21" t="n">
        <v>0.949271937237401</v>
      </c>
      <c r="H91" s="21" t="n">
        <v>0.8965134372238122</v>
      </c>
      <c r="I91" s="21" t="n">
        <v>0.9588978565563357</v>
      </c>
      <c r="J91" s="21" t="n">
        <v>0.8846312841979942</v>
      </c>
      <c r="K91" s="21" t="n">
        <v>0.9325178139633883</v>
      </c>
      <c r="L91" s="21" t="n">
        <v>0.8948877922012966</v>
      </c>
    </row>
    <row r="92">
      <c r="A92" s="10" t="n">
        <v>0.855</v>
      </c>
      <c r="B92" s="21" t="n">
        <v>0.9135158075474069</v>
      </c>
      <c r="C92" s="21" t="n">
        <v>0.9211441897706402</v>
      </c>
      <c r="D92" s="21" t="n">
        <v>0.8730242375265347</v>
      </c>
      <c r="E92" s="21" t="n">
        <v>0.8424587621706356</v>
      </c>
      <c r="F92" s="21" t="n">
        <v>0.9346621743849493</v>
      </c>
      <c r="G92" s="21" t="n">
        <v>0.9567221884306394</v>
      </c>
      <c r="H92" s="21" t="n">
        <v>0.9109651891510731</v>
      </c>
      <c r="I92" s="21" t="n">
        <v>0.9630263762594208</v>
      </c>
      <c r="J92" s="21" t="n">
        <v>0.8945190541813923</v>
      </c>
      <c r="K92" s="21" t="n">
        <v>0.9373405715432231</v>
      </c>
      <c r="L92" s="21" t="n">
        <v>0.9043002433766379</v>
      </c>
    </row>
    <row r="93">
      <c r="A93" s="10" t="n">
        <v>0.865</v>
      </c>
      <c r="B93" s="21" t="n">
        <v>0.9226922111915412</v>
      </c>
      <c r="C93" s="21" t="n">
        <v>0.9311920599925764</v>
      </c>
      <c r="D93" s="21" t="n">
        <v>0.8862529680931395</v>
      </c>
      <c r="E93" s="21" t="n">
        <v>0.8538553649133853</v>
      </c>
      <c r="F93" s="21" t="n">
        <v>0.9430816999375726</v>
      </c>
      <c r="G93" s="21" t="n">
        <v>0.9631246314755513</v>
      </c>
      <c r="H93" s="21" t="n">
        <v>0.9254169410783339</v>
      </c>
      <c r="I93" s="21" t="n">
        <v>0.9671548959625058</v>
      </c>
      <c r="J93" s="21" t="n">
        <v>0.9042799907696381</v>
      </c>
      <c r="K93" s="21" t="n">
        <v>0.942163329123058</v>
      </c>
      <c r="L93" s="21" t="n">
        <v>0.9133669312865789</v>
      </c>
    </row>
    <row r="94">
      <c r="A94" s="10" t="n">
        <v>0.875</v>
      </c>
      <c r="B94" s="21" t="n">
        <v>0.9312311193152802</v>
      </c>
      <c r="C94" s="21" t="n">
        <v>0.9401700898447268</v>
      </c>
      <c r="D94" s="21" t="n">
        <v>0.8971659473248282</v>
      </c>
      <c r="E94" s="21" t="n">
        <v>0.8652777586856105</v>
      </c>
      <c r="F94" s="21" t="n">
        <v>0.9500994491501376</v>
      </c>
      <c r="G94" s="21" t="n">
        <v>0.9694106513928714</v>
      </c>
      <c r="H94" s="21" t="n">
        <v>0.9398686930055948</v>
      </c>
      <c r="I94" s="21" t="n">
        <v>0.9709488109432772</v>
      </c>
      <c r="J94" s="21" t="n">
        <v>0.9140409273578838</v>
      </c>
      <c r="K94" s="21" t="n">
        <v>0.9469860867028929</v>
      </c>
      <c r="L94" s="21" t="n">
        <v>0.9215220614968274</v>
      </c>
    </row>
    <row r="95">
      <c r="A95" s="10" t="n">
        <v>0.885</v>
      </c>
      <c r="B95" s="21" t="n">
        <v>0.939722391225411</v>
      </c>
      <c r="C95" s="21" t="n">
        <v>0.9491481196968773</v>
      </c>
      <c r="D95" s="21" t="n">
        <v>0.908078926556517</v>
      </c>
      <c r="E95" s="21" t="n">
        <v>0.8767001524578357</v>
      </c>
      <c r="F95" s="21" t="n">
        <v>0.9571171983627025</v>
      </c>
      <c r="G95" s="21" t="n">
        <v>0.9755951060959444</v>
      </c>
      <c r="H95" s="21" t="n">
        <v>0.9543204449328557</v>
      </c>
      <c r="I95" s="21" t="n">
        <v>0.9743728996520179</v>
      </c>
      <c r="J95" s="21" t="n">
        <v>0.9238018639461295</v>
      </c>
      <c r="K95" s="21" t="n">
        <v>0.9518088442827277</v>
      </c>
      <c r="L95" s="21" t="n">
        <v>0.9296771917070759</v>
      </c>
    </row>
    <row r="96">
      <c r="A96" s="10" t="n">
        <v>0.895</v>
      </c>
      <c r="B96" s="21" t="n">
        <v>0.9472511755028714</v>
      </c>
      <c r="C96" s="21" t="n">
        <v>0.9578065074669175</v>
      </c>
      <c r="D96" s="21" t="n">
        <v>0.9189919057882058</v>
      </c>
      <c r="E96" s="21" t="n">
        <v>0.8881225462300609</v>
      </c>
      <c r="F96" s="21" t="n">
        <v>0.9641349475752674</v>
      </c>
      <c r="G96" s="21" t="n">
        <v>0.9798498217283211</v>
      </c>
      <c r="H96" s="21" t="n">
        <v>0.9609715389654081</v>
      </c>
      <c r="I96" s="21" t="n">
        <v>0.9777969883607586</v>
      </c>
      <c r="J96" s="21" t="n">
        <v>0.9335178408836157</v>
      </c>
      <c r="K96" s="21" t="n">
        <v>0.9570225122724692</v>
      </c>
      <c r="L96" s="21" t="n">
        <v>0.9378323219173244</v>
      </c>
    </row>
    <row r="97">
      <c r="A97" s="10" t="n">
        <v>0.905</v>
      </c>
      <c r="B97" s="21" t="n">
        <v>0.9545671269564977</v>
      </c>
      <c r="C97" s="21" t="n">
        <v>0.9664480719694782</v>
      </c>
      <c r="D97" s="21" t="n">
        <v>0.9299048850198945</v>
      </c>
      <c r="E97" s="21" t="n">
        <v>0.9002907215456309</v>
      </c>
      <c r="F97" s="21" t="n">
        <v>0.9711526967878323</v>
      </c>
      <c r="G97" s="21" t="n">
        <v>0.9841045373606979</v>
      </c>
      <c r="H97" s="21" t="n">
        <v>0.9674226161288654</v>
      </c>
      <c r="I97" s="21" t="n">
        <v>0.9812210770694992</v>
      </c>
      <c r="J97" s="21" t="n">
        <v>0.941480391441475</v>
      </c>
      <c r="K97" s="21" t="n">
        <v>0.9622678757008516</v>
      </c>
      <c r="L97" s="21" t="n">
        <v>0.9449641939263768</v>
      </c>
    </row>
    <row r="98">
      <c r="A98" s="10" t="n">
        <v>0.915</v>
      </c>
      <c r="B98" s="21" t="n">
        <v>0.9617620488463907</v>
      </c>
      <c r="C98" s="21" t="n">
        <v>0.9747068816596703</v>
      </c>
      <c r="D98" s="21" t="n">
        <v>0.9408178642515833</v>
      </c>
      <c r="E98" s="21" t="n">
        <v>0.9124780194648765</v>
      </c>
      <c r="F98" s="21" t="n">
        <v>0.9781704460003973</v>
      </c>
      <c r="G98" s="21" t="n">
        <v>0.9878625210082228</v>
      </c>
      <c r="H98" s="21" t="n">
        <v>0.9738736932923227</v>
      </c>
      <c r="I98" s="21" t="n">
        <v>0.9844801162620778</v>
      </c>
      <c r="J98" s="21" t="n">
        <v>0.9494429419993343</v>
      </c>
      <c r="K98" s="21" t="n">
        <v>0.967513239129234</v>
      </c>
      <c r="L98" s="21" t="n">
        <v>0.9519498861924012</v>
      </c>
    </row>
    <row r="99">
      <c r="A99" s="10" t="n">
        <v>0.925</v>
      </c>
      <c r="B99" s="21" t="n">
        <v>0.9685398482589823</v>
      </c>
      <c r="C99" s="21" t="n">
        <v>0.9802864076632825</v>
      </c>
      <c r="D99" s="21" t="n">
        <v>0.9517308434832721</v>
      </c>
      <c r="E99" s="21" t="n">
        <v>0.9246653173841221</v>
      </c>
      <c r="F99" s="21" t="n">
        <v>0.9851881952129622</v>
      </c>
      <c r="G99" s="21" t="n">
        <v>0.990588830533363</v>
      </c>
      <c r="H99" s="21" t="n">
        <v>0.9803247704557799</v>
      </c>
      <c r="I99" s="21" t="n">
        <v>0.9874640729277193</v>
      </c>
      <c r="J99" s="21" t="n">
        <v>0.9574054925571936</v>
      </c>
      <c r="K99" s="21" t="n">
        <v>0.9727586025576165</v>
      </c>
      <c r="L99" s="21" t="n">
        <v>0.9589355784584256</v>
      </c>
    </row>
    <row r="100">
      <c r="A100" s="10" t="n">
        <v>0.9350000000000001</v>
      </c>
      <c r="B100" s="21" t="n">
        <v>0.9751579115259091</v>
      </c>
      <c r="C100" s="21" t="n">
        <v>0.9858659336668946</v>
      </c>
      <c r="D100" s="21" t="n">
        <v>0.9609896051793672</v>
      </c>
      <c r="E100" s="21" t="n">
        <v>0.9371002350760521</v>
      </c>
      <c r="F100" s="21" t="n">
        <v>0.9901875656195909</v>
      </c>
      <c r="G100" s="21" t="n">
        <v>0.9933151400585032</v>
      </c>
      <c r="H100" s="21" t="n">
        <v>0.9867758476192372</v>
      </c>
      <c r="I100" s="21" t="n">
        <v>0.9904480295933609</v>
      </c>
      <c r="J100" s="21" t="n">
        <v>0.965368043115053</v>
      </c>
      <c r="K100" s="21" t="n">
        <v>0.9780039659859989</v>
      </c>
      <c r="L100" s="21" t="n">
        <v>0.967011781736786</v>
      </c>
    </row>
    <row r="101">
      <c r="A101" s="10" t="n">
        <v>0.945</v>
      </c>
      <c r="B101" s="21" t="n">
        <v>0.9809800730144025</v>
      </c>
      <c r="C101" s="21" t="n">
        <v>0.990659004996067</v>
      </c>
      <c r="D101" s="21" t="n">
        <v>0.9674913376494727</v>
      </c>
      <c r="E101" s="21" t="n">
        <v>0.9497181760782273</v>
      </c>
      <c r="F101" s="21" t="n">
        <v>0.991822971349659</v>
      </c>
      <c r="G101" s="21" t="n">
        <v>0.9954377344390103</v>
      </c>
      <c r="H101" s="21" t="n">
        <v>0.9917845298430729</v>
      </c>
      <c r="I101" s="21" t="n">
        <v>0.9934319862590024</v>
      </c>
      <c r="J101" s="21" t="n">
        <v>0.9733305936729123</v>
      </c>
      <c r="K101" s="21" t="n">
        <v>0.9824271979779905</v>
      </c>
      <c r="L101" s="21" t="n">
        <v>0.9758940148938297</v>
      </c>
    </row>
    <row r="102">
      <c r="A102" s="10" t="n">
        <v>0.955</v>
      </c>
      <c r="B102" s="21" t="n">
        <v>0.9858430993032103</v>
      </c>
      <c r="C102" s="21" t="n">
        <v>0.9936170154182132</v>
      </c>
      <c r="D102" s="21" t="n">
        <v>0.9739930701195783</v>
      </c>
      <c r="E102" s="21" t="n">
        <v>0.9623361170804025</v>
      </c>
      <c r="F102" s="21" t="n">
        <v>0.9934583770797272</v>
      </c>
      <c r="G102" s="21" t="n">
        <v>0.9968930647122912</v>
      </c>
      <c r="H102" s="21" t="n">
        <v>0.9934276238744583</v>
      </c>
      <c r="I102" s="21" t="n">
        <v>0.9961628589977588</v>
      </c>
      <c r="J102" s="21" t="n">
        <v>0.9788245969256868</v>
      </c>
      <c r="K102" s="21" t="n">
        <v>0.9859417583823923</v>
      </c>
      <c r="L102" s="21" t="n">
        <v>0.9847762480508733</v>
      </c>
    </row>
    <row r="103">
      <c r="A103" s="10" t="n">
        <v>0.965</v>
      </c>
      <c r="B103" s="21" t="n">
        <v>0.9902603496342652</v>
      </c>
      <c r="C103" s="21" t="n">
        <v>0.9965750258403595</v>
      </c>
      <c r="D103" s="21" t="n">
        <v>0.9804948025896838</v>
      </c>
      <c r="E103" s="21" t="n">
        <v>0.9738785871514316</v>
      </c>
      <c r="F103" s="21" t="n">
        <v>0.9950937828097953</v>
      </c>
      <c r="G103" s="21" t="n">
        <v>0.9983483949855722</v>
      </c>
      <c r="H103" s="21" t="n">
        <v>0.9950707179058437</v>
      </c>
      <c r="I103" s="21" t="n">
        <v>0.997122144248319</v>
      </c>
      <c r="J103" s="21" t="n">
        <v>0.9841184476942653</v>
      </c>
      <c r="K103" s="21" t="n">
        <v>0.9894563187867941</v>
      </c>
      <c r="L103" s="21" t="n">
        <v>0.9925392980208828</v>
      </c>
    </row>
    <row r="104">
      <c r="A104" s="10" t="n">
        <v>0.975</v>
      </c>
      <c r="B104" s="21" t="n">
        <v>0.9935611138332704</v>
      </c>
      <c r="C104" s="21" t="n">
        <v>0.9980469297788335</v>
      </c>
      <c r="D104" s="21" t="n">
        <v>0.9869965350597893</v>
      </c>
      <c r="E104" s="21" t="n">
        <v>0.9825857247676212</v>
      </c>
      <c r="F104" s="21" t="n">
        <v>0.9967291885398635</v>
      </c>
      <c r="G104" s="21" t="n">
        <v>0.9990634382210127</v>
      </c>
      <c r="H104" s="21" t="n">
        <v>0.9967138119372291</v>
      </c>
      <c r="I104" s="21" t="n">
        <v>0.9980814294988792</v>
      </c>
      <c r="J104" s="21" t="n">
        <v>0.9894122984628437</v>
      </c>
      <c r="K104" s="21" t="n">
        <v>0.9929708791911959</v>
      </c>
      <c r="L104" s="21" t="n">
        <v>0.9950261986805887</v>
      </c>
    </row>
    <row r="105">
      <c r="A105" s="10" t="n">
        <v>0.985</v>
      </c>
      <c r="B105" s="21" t="n">
        <v>0.996780556916635</v>
      </c>
      <c r="C105" s="21" t="n">
        <v>0.9990234648894166</v>
      </c>
      <c r="D105" s="21" t="n">
        <v>0.9934982675298949</v>
      </c>
      <c r="E105" s="21" t="n">
        <v>0.9912928623838108</v>
      </c>
      <c r="F105" s="21" t="n">
        <v>0.9983645942699316</v>
      </c>
      <c r="G105" s="21" t="n">
        <v>0.9995317191105066</v>
      </c>
      <c r="H105" s="21" t="n">
        <v>0.9983569059686145</v>
      </c>
      <c r="I105" s="21" t="n">
        <v>0.9990407147494395</v>
      </c>
      <c r="J105" s="21" t="n">
        <v>0.9947061492314222</v>
      </c>
      <c r="K105" s="21" t="n">
        <v>0.9964854395955977</v>
      </c>
      <c r="L105" s="21" t="n">
        <v>0.9975130993402946</v>
      </c>
    </row>
    <row r="106">
      <c r="A106" s="10" t="n">
        <v>0.995</v>
      </c>
      <c r="B106" s="21" t="n">
        <v>0.9999999999999997</v>
      </c>
      <c r="C106" s="21" t="n">
        <v>0.9999999999999998</v>
      </c>
      <c r="D106" s="21" t="n">
        <v>1</v>
      </c>
      <c r="E106" s="21" t="n">
        <v>1</v>
      </c>
      <c r="F106" s="21" t="n">
        <v>0.9999999999999998</v>
      </c>
      <c r="G106" s="21" t="n">
        <v>1</v>
      </c>
      <c r="H106" s="21" t="n">
        <v>0.9999999999999999</v>
      </c>
      <c r="I106" s="21" t="n">
        <v>0.9999999999999997</v>
      </c>
      <c r="J106" s="21" t="n">
        <v>1.000000000000001</v>
      </c>
      <c r="K106" s="21" t="n">
        <v>0.9999999999999994</v>
      </c>
      <c r="L106" s="21" t="n">
        <v>1</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PJ-2019-A</t>
        </is>
      </c>
      <c r="D133" s="8" t="inlineStr">
        <is>
          <t>PJ-2020-B</t>
        </is>
      </c>
      <c r="E133" s="8" t="inlineStr">
        <is>
          <t>PJ-2020-C</t>
        </is>
      </c>
      <c r="F133" s="8" t="inlineStr">
        <is>
          <t>PJ-2021-D</t>
        </is>
      </c>
      <c r="G133" s="8" t="inlineStr">
        <is>
          <t>PJ-2021-E</t>
        </is>
      </c>
      <c r="H133" s="8" t="inlineStr">
        <is>
          <t>PJ-2022-F</t>
        </is>
      </c>
      <c r="I133" s="8" t="inlineStr">
        <is>
          <t>PJ-2022-G</t>
        </is>
      </c>
      <c r="J133" s="8" t="inlineStr">
        <is>
          <t>PJ-2023-H</t>
        </is>
      </c>
      <c r="K133" s="8" t="inlineStr">
        <is>
          <t>PJ-2023-I</t>
        </is>
      </c>
      <c r="L133" s="8" t="inlineStr">
        <is>
          <t>PJ-2024-J</t>
        </is>
      </c>
    </row>
    <row r="134">
      <c r="A134" s="10" t="n">
        <v>0.005</v>
      </c>
      <c r="B134" s="21" t="n">
        <v>0.3834845109846539</v>
      </c>
      <c r="C134" s="21" t="n">
        <v>0.2942922155096011</v>
      </c>
      <c r="D134" s="21" t="n">
        <v>0.04389515497742573</v>
      </c>
      <c r="E134" s="21" t="n">
        <v>1.006548497600342</v>
      </c>
      <c r="F134" s="21" t="n">
        <v>0.5600323056907717</v>
      </c>
      <c r="G134" s="21" t="n">
        <v>0.162458028739213</v>
      </c>
      <c r="H134" s="21" t="n">
        <v>0.2575395519444867</v>
      </c>
      <c r="I134" s="21" t="n">
        <v>1.022638818941777</v>
      </c>
      <c r="J134" s="21" t="n">
        <v>0.270705201857716</v>
      </c>
      <c r="K134" s="21" t="n">
        <v>0.1648996523499456</v>
      </c>
      <c r="L134" s="21" t="n">
        <v>0.02958052671085864</v>
      </c>
    </row>
    <row r="135">
      <c r="A135" s="10" t="n">
        <v>0.015</v>
      </c>
      <c r="B135" s="21" t="n">
        <v>0.3834845109846539</v>
      </c>
      <c r="C135" s="21" t="n">
        <v>0.2942922155096011</v>
      </c>
      <c r="D135" s="21" t="n">
        <v>0.04389515497742573</v>
      </c>
      <c r="E135" s="21" t="n">
        <v>1.006548497600342</v>
      </c>
      <c r="F135" s="21" t="n">
        <v>0.5600323056907717</v>
      </c>
      <c r="G135" s="21" t="n">
        <v>0.162458028739213</v>
      </c>
      <c r="H135" s="21" t="n">
        <v>0.2575395519444867</v>
      </c>
      <c r="I135" s="21" t="n">
        <v>1.022638818941777</v>
      </c>
      <c r="J135" s="21" t="n">
        <v>0.270705201857716</v>
      </c>
      <c r="K135" s="21" t="n">
        <v>0.1648996523499456</v>
      </c>
      <c r="L135" s="21" t="n">
        <v>0.02958052671085864</v>
      </c>
    </row>
    <row r="136">
      <c r="A136" s="10" t="n">
        <v>0.025</v>
      </c>
      <c r="B136" s="21" t="n">
        <v>0.3900762450725753</v>
      </c>
      <c r="C136" s="21" t="n">
        <v>0.3499182916087009</v>
      </c>
      <c r="D136" s="21" t="n">
        <v>0.04389515497742573</v>
      </c>
      <c r="E136" s="21" t="n">
        <v>1.006548497600342</v>
      </c>
      <c r="F136" s="21" t="n">
        <v>0.5600323056907717</v>
      </c>
      <c r="G136" s="21" t="n">
        <v>0.1803933763228694</v>
      </c>
      <c r="H136" s="21" t="n">
        <v>0.2575395519444867</v>
      </c>
      <c r="I136" s="21" t="n">
        <v>1.022638818941777</v>
      </c>
      <c r="J136" s="21" t="n">
        <v>0.270705201857716</v>
      </c>
      <c r="K136" s="21" t="n">
        <v>0.1648996523499456</v>
      </c>
      <c r="L136" s="21" t="n">
        <v>0.02958052671085864</v>
      </c>
    </row>
    <row r="137">
      <c r="A137" s="10" t="n">
        <v>0.035</v>
      </c>
      <c r="B137" s="21" t="n">
        <v>0.4307898917728948</v>
      </c>
      <c r="C137" s="21" t="n">
        <v>0.5167965199060004</v>
      </c>
      <c r="D137" s="21" t="n">
        <v>0.04389515497742573</v>
      </c>
      <c r="E137" s="21" t="n">
        <v>1.123075224536998</v>
      </c>
      <c r="F137" s="21" t="n">
        <v>0.5600323056907717</v>
      </c>
      <c r="G137" s="21" t="n">
        <v>0.2649457292172493</v>
      </c>
      <c r="H137" s="21" t="n">
        <v>0.2575395519444867</v>
      </c>
      <c r="I137" s="21" t="n">
        <v>1.036012906795453</v>
      </c>
      <c r="J137" s="21" t="n">
        <v>0.270705201857716</v>
      </c>
      <c r="K137" s="21" t="n">
        <v>0.1648996523499456</v>
      </c>
      <c r="L137" s="21" t="n">
        <v>0.06265160376343303</v>
      </c>
    </row>
    <row r="138">
      <c r="A138" s="10" t="n">
        <v>0.045</v>
      </c>
      <c r="B138" s="21" t="n">
        <v>0.4529944338099215</v>
      </c>
      <c r="C138" s="21" t="n">
        <v>0.5167965199060004</v>
      </c>
      <c r="D138" s="21" t="n">
        <v>0.04389515497742573</v>
      </c>
      <c r="E138" s="21" t="n">
        <v>1.200759709161435</v>
      </c>
      <c r="F138" s="21" t="n">
        <v>0.5600323056907717</v>
      </c>
      <c r="G138" s="21" t="n">
        <v>0.2649457292172493</v>
      </c>
      <c r="H138" s="21" t="n">
        <v>0.2575395519444867</v>
      </c>
      <c r="I138" s="21" t="n">
        <v>1.111799404632953</v>
      </c>
      <c r="J138" s="21" t="n">
        <v>0.270705201857716</v>
      </c>
      <c r="K138" s="21" t="n">
        <v>0.1648996523499456</v>
      </c>
      <c r="L138" s="21" t="n">
        <v>0.08469898846514926</v>
      </c>
    </row>
    <row r="139">
      <c r="A139" s="10" t="n">
        <v>0.055</v>
      </c>
      <c r="B139" s="21" t="n">
        <v>0.4995375620997842</v>
      </c>
      <c r="C139" s="21" t="n">
        <v>0.5818902013650467</v>
      </c>
      <c r="D139" s="21" t="n">
        <v>0.04389515497742573</v>
      </c>
      <c r="E139" s="21" t="n">
        <v>1.200759709161435</v>
      </c>
      <c r="F139" s="21" t="n">
        <v>0.5600323056907717</v>
      </c>
      <c r="G139" s="21" t="n">
        <v>0.3090816629200583</v>
      </c>
      <c r="H139" s="21" t="n">
        <v>0.3762998284115362</v>
      </c>
      <c r="I139" s="21" t="n">
        <v>1.111799404632953</v>
      </c>
      <c r="J139" s="21" t="n">
        <v>0.4541973442141587</v>
      </c>
      <c r="K139" s="21" t="n">
        <v>0.2213134432125089</v>
      </c>
      <c r="L139" s="21" t="n">
        <v>0.08469898846514926</v>
      </c>
    </row>
    <row r="140">
      <c r="A140" s="10" t="n">
        <v>0.065</v>
      </c>
      <c r="B140" s="21" t="n">
        <v>0.5371377239585607</v>
      </c>
      <c r="C140" s="21" t="n">
        <v>0.6699581233390498</v>
      </c>
      <c r="D140" s="21" t="n">
        <v>0.04389515497742573</v>
      </c>
      <c r="E140" s="21" t="n">
        <v>1.166102257659718</v>
      </c>
      <c r="F140" s="21" t="n">
        <v>0.6185879824894035</v>
      </c>
      <c r="G140" s="21" t="n">
        <v>0.3385056187219311</v>
      </c>
      <c r="H140" s="21" t="n">
        <v>0.4837496023579142</v>
      </c>
      <c r="I140" s="21" t="n">
        <v>1.111799404632953</v>
      </c>
      <c r="J140" s="21" t="n">
        <v>0.4745853600315413</v>
      </c>
      <c r="K140" s="21" t="n">
        <v>0.3260819119572699</v>
      </c>
      <c r="L140" s="21" t="n">
        <v>0.106543661436224</v>
      </c>
    </row>
    <row r="141">
      <c r="A141" s="10" t="n">
        <v>0.075</v>
      </c>
      <c r="B141" s="21" t="n">
        <v>0.538614094631451</v>
      </c>
      <c r="C141" s="21" t="n">
        <v>0.6699581233390498</v>
      </c>
      <c r="D141" s="21" t="n">
        <v>0.1082163100341369</v>
      </c>
      <c r="E141" s="21" t="n">
        <v>1.027472451652854</v>
      </c>
      <c r="F141" s="21" t="n">
        <v>0.7064214976873524</v>
      </c>
      <c r="G141" s="21" t="n">
        <v>0.3385056187219311</v>
      </c>
      <c r="H141" s="21" t="n">
        <v>0.4837496023579142</v>
      </c>
      <c r="I141" s="21" t="n">
        <v>1.111799404632953</v>
      </c>
      <c r="J141" s="21" t="n">
        <v>0.4745853600315413</v>
      </c>
      <c r="K141" s="21" t="n">
        <v>0.3260819119572699</v>
      </c>
      <c r="L141" s="21" t="n">
        <v>0.1360982189853251</v>
      </c>
    </row>
    <row r="142">
      <c r="A142" s="10" t="n">
        <v>0.08500000000000001</v>
      </c>
      <c r="B142" s="21" t="n">
        <v>0.5536993005037764</v>
      </c>
      <c r="C142" s="21" t="n">
        <v>0.7314286306075507</v>
      </c>
      <c r="D142" s="21" t="n">
        <v>0.135782519344156</v>
      </c>
      <c r="E142" s="21" t="n">
        <v>1.027472451652854</v>
      </c>
      <c r="F142" s="21" t="n">
        <v>0.7064214976873524</v>
      </c>
      <c r="G142" s="21" t="n">
        <v>0.391374348069482</v>
      </c>
      <c r="H142" s="21" t="n">
        <v>0.4837496023579142</v>
      </c>
      <c r="I142" s="21" t="n">
        <v>1.092008100823249</v>
      </c>
      <c r="J142" s="21" t="n">
        <v>0.4745853600315413</v>
      </c>
      <c r="K142" s="21" t="n">
        <v>0.3260819119572699</v>
      </c>
      <c r="L142" s="21" t="n">
        <v>0.1360982189853251</v>
      </c>
    </row>
    <row r="143">
      <c r="A143" s="10" t="n">
        <v>0.095</v>
      </c>
      <c r="B143" s="21" t="n">
        <v>0.5637094177431041</v>
      </c>
      <c r="C143" s="21" t="n">
        <v>0.7577731337226226</v>
      </c>
      <c r="D143" s="21" t="n">
        <v>0.135782519344156</v>
      </c>
      <c r="E143" s="21" t="n">
        <v>1.027472451652854</v>
      </c>
      <c r="F143" s="21" t="n">
        <v>0.7064214976873524</v>
      </c>
      <c r="G143" s="21" t="n">
        <v>0.4067233340090936</v>
      </c>
      <c r="H143" s="21" t="n">
        <v>0.4837496023579142</v>
      </c>
      <c r="I143" s="21" t="n">
        <v>1.089809067066615</v>
      </c>
      <c r="J143" s="21" t="n">
        <v>0.5350340190492303</v>
      </c>
      <c r="K143" s="21" t="n">
        <v>0.3260819119572699</v>
      </c>
      <c r="L143" s="21" t="n">
        <v>0.1360982189853251</v>
      </c>
    </row>
    <row r="144">
      <c r="A144" s="10" t="n">
        <v>0.105</v>
      </c>
      <c r="B144" s="21" t="n">
        <v>0.5719034568511761</v>
      </c>
      <c r="C144" s="21" t="n">
        <v>0.7577731337226226</v>
      </c>
      <c r="D144" s="21" t="n">
        <v>0.135782519344156</v>
      </c>
      <c r="E144" s="21" t="n">
        <v>0.8908014418368675</v>
      </c>
      <c r="F144" s="21" t="n">
        <v>0.7064214976873524</v>
      </c>
      <c r="G144" s="21" t="n">
        <v>0.4073386152268993</v>
      </c>
      <c r="H144" s="21" t="n">
        <v>0.4837496023579142</v>
      </c>
      <c r="I144" s="21" t="n">
        <v>1.089809067066615</v>
      </c>
      <c r="J144" s="21" t="n">
        <v>0.6760808900905051</v>
      </c>
      <c r="K144" s="21" t="n">
        <v>0.3260819119572699</v>
      </c>
      <c r="L144" s="21" t="n">
        <v>0.1987031716964616</v>
      </c>
    </row>
    <row r="145">
      <c r="A145" s="10" t="n">
        <v>0.115</v>
      </c>
      <c r="B145" s="21" t="n">
        <v>0.6090281334939568</v>
      </c>
      <c r="C145" s="21" t="n">
        <v>0.8372118740576572</v>
      </c>
      <c r="D145" s="21" t="n">
        <v>0.135782519344156</v>
      </c>
      <c r="E145" s="21" t="n">
        <v>0.8797200086085443</v>
      </c>
      <c r="F145" s="21" t="n">
        <v>0.7064214976873524</v>
      </c>
      <c r="G145" s="21" t="n">
        <v>0.4313345827213263</v>
      </c>
      <c r="H145" s="21" t="n">
        <v>0.6274104515286745</v>
      </c>
      <c r="I145" s="21" t="n">
        <v>1.089809067066615</v>
      </c>
      <c r="J145" s="21" t="n">
        <v>0.6760808900905051</v>
      </c>
      <c r="K145" s="21" t="n">
        <v>0.4442244715284404</v>
      </c>
      <c r="L145" s="21" t="n">
        <v>0.1987031716964616</v>
      </c>
    </row>
    <row r="146">
      <c r="A146" s="10" t="n">
        <v>0.125</v>
      </c>
      <c r="B146" s="21" t="n">
        <v>0.6238068110369358</v>
      </c>
      <c r="C146" s="21" t="n">
        <v>0.8512304752932517</v>
      </c>
      <c r="D146" s="21" t="n">
        <v>0.135782519344156</v>
      </c>
      <c r="E146" s="21" t="n">
        <v>0.8797200086085443</v>
      </c>
      <c r="F146" s="21" t="n">
        <v>0.7064214976873524</v>
      </c>
      <c r="G146" s="21" t="n">
        <v>0.4313345827213263</v>
      </c>
      <c r="H146" s="21" t="n">
        <v>0.6527623660882202</v>
      </c>
      <c r="I146" s="21" t="n">
        <v>1.165822266407539</v>
      </c>
      <c r="J146" s="21" t="n">
        <v>0.6760808900905051</v>
      </c>
      <c r="K146" s="21" t="n">
        <v>0.4573514225919039</v>
      </c>
      <c r="L146" s="21" t="n">
        <v>0.1987031716964616</v>
      </c>
    </row>
    <row r="147">
      <c r="A147" s="10" t="n">
        <v>0.135</v>
      </c>
      <c r="B147" s="21" t="n">
        <v>0.6313920794047359</v>
      </c>
      <c r="C147" s="21" t="n">
        <v>0.8536968544850724</v>
      </c>
      <c r="D147" s="21" t="n">
        <v>0.135782519344156</v>
      </c>
      <c r="E147" s="21" t="n">
        <v>0.8458637057548041</v>
      </c>
      <c r="F147" s="21" t="n">
        <v>0.7634373444154662</v>
      </c>
      <c r="G147" s="21" t="n">
        <v>0.4455900531561218</v>
      </c>
      <c r="H147" s="21" t="n">
        <v>0.6527623660882202</v>
      </c>
      <c r="I147" s="21" t="n">
        <v>1.184825566242769</v>
      </c>
      <c r="J147" s="21" t="n">
        <v>0.6760808900905051</v>
      </c>
      <c r="K147" s="21" t="n">
        <v>0.4573514225919039</v>
      </c>
      <c r="L147" s="21" t="n">
        <v>0.2366252375856218</v>
      </c>
    </row>
    <row r="148">
      <c r="A148" s="10" t="n">
        <v>0.145</v>
      </c>
      <c r="B148" s="21" t="n">
        <v>0.6598860902742947</v>
      </c>
      <c r="C148" s="21" t="n">
        <v>0.9498856429660807</v>
      </c>
      <c r="D148" s="21" t="n">
        <v>0.2316366077458584</v>
      </c>
      <c r="E148" s="21" t="n">
        <v>0.8152318126966583</v>
      </c>
      <c r="F148" s="21" t="n">
        <v>0.8014479089008754</v>
      </c>
      <c r="G148" s="21" t="n">
        <v>0.502611934895305</v>
      </c>
      <c r="H148" s="21" t="n">
        <v>0.6527623660882202</v>
      </c>
      <c r="I148" s="21" t="n">
        <v>1.184825566242769</v>
      </c>
      <c r="J148" s="21" t="n">
        <v>0.7042054829012139</v>
      </c>
      <c r="K148" s="21" t="n">
        <v>0.4573514225919039</v>
      </c>
      <c r="L148" s="21" t="n">
        <v>0.2510094694746136</v>
      </c>
    </row>
    <row r="149">
      <c r="A149" s="10" t="n">
        <v>0.155</v>
      </c>
      <c r="B149" s="21" t="n">
        <v>0.6717400087833783</v>
      </c>
      <c r="C149" s="21" t="n">
        <v>0.9498856429660807</v>
      </c>
      <c r="D149" s="21" t="n">
        <v>0.2485520351108647</v>
      </c>
      <c r="E149" s="21" t="n">
        <v>0.8152318126966583</v>
      </c>
      <c r="F149" s="21" t="n">
        <v>0.8014479089008754</v>
      </c>
      <c r="G149" s="21" t="n">
        <v>0.502611934895305</v>
      </c>
      <c r="H149" s="21" t="n">
        <v>0.6527623660882202</v>
      </c>
      <c r="I149" s="21" t="n">
        <v>1.184825566242769</v>
      </c>
      <c r="J149" s="21" t="n">
        <v>0.8167038541440513</v>
      </c>
      <c r="K149" s="21" t="n">
        <v>0.4573514225919039</v>
      </c>
      <c r="L149" s="21" t="n">
        <v>0.2510094694746136</v>
      </c>
    </row>
    <row r="150">
      <c r="A150" s="10" t="n">
        <v>0.165</v>
      </c>
      <c r="B150" s="21" t="n">
        <v>0.6736215608823527</v>
      </c>
      <c r="C150" s="21" t="n">
        <v>0.874868922830383</v>
      </c>
      <c r="D150" s="21" t="n">
        <v>0.2485520351108647</v>
      </c>
      <c r="E150" s="21" t="n">
        <v>0.8103997886678614</v>
      </c>
      <c r="F150" s="21" t="n">
        <v>0.8014479089008754</v>
      </c>
      <c r="G150" s="21" t="n">
        <v>0.5114743030867728</v>
      </c>
      <c r="H150" s="21" t="n">
        <v>0.7022373988472713</v>
      </c>
      <c r="I150" s="21" t="n">
        <v>1.15980307563612</v>
      </c>
      <c r="J150" s="21" t="n">
        <v>0.8167038541440513</v>
      </c>
      <c r="K150" s="21" t="n">
        <v>0.4941884680041365</v>
      </c>
      <c r="L150" s="21" t="n">
        <v>0.2636085354802497</v>
      </c>
    </row>
    <row r="151">
      <c r="A151" s="10" t="n">
        <v>0.175</v>
      </c>
      <c r="B151" s="21" t="n">
        <v>0.6769459765594132</v>
      </c>
      <c r="C151" s="21" t="n">
        <v>0.6998299091804203</v>
      </c>
      <c r="D151" s="21" t="n">
        <v>0.2485520351108647</v>
      </c>
      <c r="E151" s="21" t="n">
        <v>0.7959037165814715</v>
      </c>
      <c r="F151" s="21" t="n">
        <v>0.8014479089008754</v>
      </c>
      <c r="G151" s="21" t="n">
        <v>0.5223060864319001</v>
      </c>
      <c r="H151" s="21" t="n">
        <v>0.784695786779023</v>
      </c>
      <c r="I151" s="21" t="n">
        <v>1.139330128776136</v>
      </c>
      <c r="J151" s="21" t="n">
        <v>0.8167038541440513</v>
      </c>
      <c r="K151" s="21" t="n">
        <v>0.6046996042408346</v>
      </c>
      <c r="L151" s="21" t="n">
        <v>0.2897758264150321</v>
      </c>
    </row>
    <row r="152">
      <c r="A152" s="10" t="n">
        <v>0.185</v>
      </c>
      <c r="B152" s="21" t="n">
        <v>0.6769459765594132</v>
      </c>
      <c r="C152" s="21" t="n">
        <v>0.6998299091804203</v>
      </c>
      <c r="D152" s="21" t="n">
        <v>0.2485520351108647</v>
      </c>
      <c r="E152" s="21" t="n">
        <v>0.7959037165814715</v>
      </c>
      <c r="F152" s="21" t="n">
        <v>0.8014479089008754</v>
      </c>
      <c r="G152" s="21" t="n">
        <v>0.5223060864319001</v>
      </c>
      <c r="H152" s="21" t="n">
        <v>0.784695786779023</v>
      </c>
      <c r="I152" s="21" t="n">
        <v>1.139330128776136</v>
      </c>
      <c r="J152" s="21" t="n">
        <v>0.8167038541440513</v>
      </c>
      <c r="K152" s="21" t="n">
        <v>0.6046996042408346</v>
      </c>
      <c r="L152" s="21" t="n">
        <v>0.2897758264150321</v>
      </c>
    </row>
    <row r="153">
      <c r="A153" s="10" t="n">
        <v>0.195</v>
      </c>
      <c r="B153" s="21" t="n">
        <v>0.6822651029618994</v>
      </c>
      <c r="C153" s="21" t="n">
        <v>0.7185831859876143</v>
      </c>
      <c r="D153" s="21" t="n">
        <v>0.2485520351108647</v>
      </c>
      <c r="E153" s="21" t="n">
        <v>0.7959037165814715</v>
      </c>
      <c r="F153" s="21" t="n">
        <v>0.8014479089008754</v>
      </c>
      <c r="G153" s="21" t="n">
        <v>0.5243984824094255</v>
      </c>
      <c r="H153" s="21" t="n">
        <v>0.784695786779023</v>
      </c>
      <c r="I153" s="21" t="n">
        <v>1.139330128776136</v>
      </c>
      <c r="J153" s="21" t="n">
        <v>0.8465867153788316</v>
      </c>
      <c r="K153" s="21" t="n">
        <v>0.6046996042408346</v>
      </c>
      <c r="L153" s="21" t="n">
        <v>0.2913658505603354</v>
      </c>
    </row>
    <row r="154">
      <c r="A154" s="10" t="n">
        <v>0.205</v>
      </c>
      <c r="B154" s="21" t="n">
        <v>0.7067531117675715</v>
      </c>
      <c r="C154" s="21" t="n">
        <v>0.7415038576408508</v>
      </c>
      <c r="D154" s="21" t="n">
        <v>0.2485520351108647</v>
      </c>
      <c r="E154" s="21" t="n">
        <v>0.7708036015464856</v>
      </c>
      <c r="F154" s="21" t="n">
        <v>0.8961371479461208</v>
      </c>
      <c r="G154" s="21" t="n">
        <v>0.5256539199959405</v>
      </c>
      <c r="H154" s="21" t="n">
        <v>0.784695786779023</v>
      </c>
      <c r="I154" s="21" t="n">
        <v>1.197692913787077</v>
      </c>
      <c r="J154" s="21" t="n">
        <v>0.925368804088704</v>
      </c>
      <c r="K154" s="21" t="n">
        <v>0.6046996042408346</v>
      </c>
      <c r="L154" s="21" t="n">
        <v>0.3533767922271625</v>
      </c>
    </row>
    <row r="155">
      <c r="A155" s="10" t="n">
        <v>0.215</v>
      </c>
      <c r="B155" s="21" t="n">
        <v>0.719606866736588</v>
      </c>
      <c r="C155" s="21" t="n">
        <v>0.7415038576408508</v>
      </c>
      <c r="D155" s="21" t="n">
        <v>0.2981674489706432</v>
      </c>
      <c r="E155" s="21" t="n">
        <v>0.766374169481488</v>
      </c>
      <c r="F155" s="21" t="n">
        <v>0.8961371479461208</v>
      </c>
      <c r="G155" s="21" t="n">
        <v>0.5256539199959405</v>
      </c>
      <c r="H155" s="21" t="n">
        <v>0.784695786779023</v>
      </c>
      <c r="I155" s="21" t="n">
        <v>1.276654328801878</v>
      </c>
      <c r="J155" s="21" t="n">
        <v>0.925368804088704</v>
      </c>
      <c r="K155" s="21" t="n">
        <v>0.6046996042408346</v>
      </c>
      <c r="L155" s="21" t="n">
        <v>0.3533767922271625</v>
      </c>
    </row>
    <row r="156">
      <c r="A156" s="10" t="n">
        <v>0.225</v>
      </c>
      <c r="B156" s="21" t="n">
        <v>0.7498767057782773</v>
      </c>
      <c r="C156" s="21" t="n">
        <v>0.7393787962499978</v>
      </c>
      <c r="D156" s="21" t="n">
        <v>0.3387618784922802</v>
      </c>
      <c r="E156" s="21" t="n">
        <v>0.766374169481488</v>
      </c>
      <c r="F156" s="21" t="n">
        <v>0.8961371479461208</v>
      </c>
      <c r="G156" s="21" t="n">
        <v>0.5712426030498411</v>
      </c>
      <c r="H156" s="21" t="n">
        <v>0.9160766881821018</v>
      </c>
      <c r="I156" s="21" t="n">
        <v>1.276654328801878</v>
      </c>
      <c r="J156" s="21" t="n">
        <v>0.925368804088704</v>
      </c>
      <c r="K156" s="21" t="n">
        <v>0.6895604248575985</v>
      </c>
      <c r="L156" s="21" t="n">
        <v>0.3533767922271625</v>
      </c>
    </row>
    <row r="157">
      <c r="A157" s="10" t="n">
        <v>0.235</v>
      </c>
      <c r="B157" s="21" t="n">
        <v>0.7690470272742462</v>
      </c>
      <c r="C157" s="21" t="n">
        <v>0.7385727384810539</v>
      </c>
      <c r="D157" s="21" t="n">
        <v>0.3387618784922802</v>
      </c>
      <c r="E157" s="21" t="n">
        <v>0.753186276526307</v>
      </c>
      <c r="F157" s="21" t="n">
        <v>0.8961371479461208</v>
      </c>
      <c r="G157" s="21" t="n">
        <v>0.5826397738133162</v>
      </c>
      <c r="H157" s="21" t="n">
        <v>0.9723827887834215</v>
      </c>
      <c r="I157" s="21" t="n">
        <v>1.276654328801878</v>
      </c>
      <c r="J157" s="21" t="n">
        <v>0.925368804088704</v>
      </c>
      <c r="K157" s="21" t="n">
        <v>0.7461343052687744</v>
      </c>
      <c r="L157" s="21" t="n">
        <v>0.4355838810065852</v>
      </c>
    </row>
    <row r="158">
      <c r="A158" s="10" t="n">
        <v>0.245</v>
      </c>
      <c r="B158" s="21" t="n">
        <v>0.7793993408812909</v>
      </c>
      <c r="C158" s="21" t="n">
        <v>0.7385727384810539</v>
      </c>
      <c r="D158" s="21" t="n">
        <v>0.3387618784922802</v>
      </c>
      <c r="E158" s="21" t="n">
        <v>0.7370677406921968</v>
      </c>
      <c r="F158" s="21" t="n">
        <v>0.8961371479461208</v>
      </c>
      <c r="G158" s="21" t="n">
        <v>0.5949758823162291</v>
      </c>
      <c r="H158" s="21" t="n">
        <v>0.9723827887834215</v>
      </c>
      <c r="I158" s="21" t="n">
        <v>1.301360926317986</v>
      </c>
      <c r="J158" s="21" t="n">
        <v>0.9569693110531798</v>
      </c>
      <c r="K158" s="21" t="n">
        <v>0.7461343052687744</v>
      </c>
      <c r="L158" s="21" t="n">
        <v>0.4849081342742389</v>
      </c>
    </row>
    <row r="159">
      <c r="A159" s="10" t="n">
        <v>0.255</v>
      </c>
      <c r="B159" s="21" t="n">
        <v>0.8346941187664815</v>
      </c>
      <c r="C159" s="21" t="n">
        <v>0.7865623246093266</v>
      </c>
      <c r="D159" s="21" t="n">
        <v>0.3387618784922802</v>
      </c>
      <c r="E159" s="21" t="n">
        <v>0.7370677406921968</v>
      </c>
      <c r="F159" s="21" t="n">
        <v>0.8961371479461208</v>
      </c>
      <c r="G159" s="21" t="n">
        <v>0.8293619438715722</v>
      </c>
      <c r="H159" s="21" t="n">
        <v>0.9723827887834215</v>
      </c>
      <c r="I159" s="21" t="n">
        <v>1.417834886036785</v>
      </c>
      <c r="J159" s="21" t="n">
        <v>1.105943129599995</v>
      </c>
      <c r="K159" s="21" t="n">
        <v>0.7461343052687744</v>
      </c>
      <c r="L159" s="21" t="n">
        <v>0.4849081342742389</v>
      </c>
    </row>
    <row r="160">
      <c r="A160" s="10" t="n">
        <v>0.265</v>
      </c>
      <c r="B160" s="21" t="n">
        <v>0.8397043879162517</v>
      </c>
      <c r="C160" s="21" t="n">
        <v>0.7934179797705084</v>
      </c>
      <c r="D160" s="21" t="n">
        <v>0.3387618784922802</v>
      </c>
      <c r="E160" s="21" t="n">
        <v>0.7446586387121122</v>
      </c>
      <c r="F160" s="21" t="n">
        <v>0.9161113898693172</v>
      </c>
      <c r="G160" s="21" t="n">
        <v>0.8293619438715722</v>
      </c>
      <c r="H160" s="21" t="n">
        <v>0.9723827887834215</v>
      </c>
      <c r="I160" s="21" t="n">
        <v>1.417834886036785</v>
      </c>
      <c r="J160" s="21" t="n">
        <v>1.105943129599995</v>
      </c>
      <c r="K160" s="21" t="n">
        <v>0.7461343052687744</v>
      </c>
      <c r="L160" s="21" t="n">
        <v>0.502768362520736</v>
      </c>
    </row>
    <row r="161">
      <c r="A161" s="10" t="n">
        <v>0.275</v>
      </c>
      <c r="B161" s="21" t="n">
        <v>0.8742364140792216</v>
      </c>
      <c r="C161" s="21" t="n">
        <v>0.7941751271386478</v>
      </c>
      <c r="D161" s="21" t="n">
        <v>0.3387618784922802</v>
      </c>
      <c r="E161" s="21" t="n">
        <v>0.7573101354119713</v>
      </c>
      <c r="F161" s="21" t="n">
        <v>1.010275673221531</v>
      </c>
      <c r="G161" s="21" t="n">
        <v>1.00914895206916</v>
      </c>
      <c r="H161" s="21" t="n">
        <v>0.9758849791032842</v>
      </c>
      <c r="I161" s="21" t="n">
        <v>1.417834886036785</v>
      </c>
      <c r="J161" s="21" t="n">
        <v>1.105943129599995</v>
      </c>
      <c r="K161" s="21" t="n">
        <v>0.7622193366209536</v>
      </c>
      <c r="L161" s="21" t="n">
        <v>0.5642869264808922</v>
      </c>
    </row>
    <row r="162">
      <c r="A162" s="10" t="n">
        <v>0.285</v>
      </c>
      <c r="B162" s="21" t="n">
        <v>0.9742757454180631</v>
      </c>
      <c r="C162" s="21" t="n">
        <v>0.8085609271332936</v>
      </c>
      <c r="D162" s="21" t="n">
        <v>0.3973937821411426</v>
      </c>
      <c r="E162" s="21" t="n">
        <v>0.7573101354119713</v>
      </c>
      <c r="F162" s="21" t="n">
        <v>1.010275673221531</v>
      </c>
      <c r="G162" s="21" t="n">
        <v>1.72829698485951</v>
      </c>
      <c r="H162" s="21" t="n">
        <v>1.112470401577929</v>
      </c>
      <c r="I162" s="21" t="n">
        <v>1.417834886036785</v>
      </c>
      <c r="J162" s="21" t="n">
        <v>1.105943129599995</v>
      </c>
      <c r="K162" s="21" t="n">
        <v>0.8748145560862083</v>
      </c>
      <c r="L162" s="21" t="n">
        <v>0.5642869264808922</v>
      </c>
    </row>
    <row r="163">
      <c r="A163" s="10" t="n">
        <v>0.295</v>
      </c>
      <c r="B163" s="21" t="n">
        <v>1.013304130772383</v>
      </c>
      <c r="C163" s="21" t="n">
        <v>0.8085609271332936</v>
      </c>
      <c r="D163" s="21" t="n">
        <v>0.4690549977119741</v>
      </c>
      <c r="E163" s="21" t="n">
        <v>0.7573101354119713</v>
      </c>
      <c r="F163" s="21" t="n">
        <v>1.010275673221531</v>
      </c>
      <c r="G163" s="21" t="n">
        <v>1.72829698485951</v>
      </c>
      <c r="H163" s="21" t="n">
        <v>1.112470401577929</v>
      </c>
      <c r="I163" s="21" t="n">
        <v>1.679210491828758</v>
      </c>
      <c r="J163" s="21" t="n">
        <v>1.144689580551166</v>
      </c>
      <c r="K163" s="21" t="n">
        <v>0.8748145560862083</v>
      </c>
      <c r="L163" s="21" t="n">
        <v>0.5642869264808922</v>
      </c>
    </row>
    <row r="164">
      <c r="A164" s="10" t="n">
        <v>0.305</v>
      </c>
      <c r="B164" s="21" t="n">
        <v>1.03976272990319</v>
      </c>
      <c r="C164" s="21" t="n">
        <v>0.8324964866300485</v>
      </c>
      <c r="D164" s="21" t="n">
        <v>0.4690549977119741</v>
      </c>
      <c r="E164" s="21" t="n">
        <v>0.715277007863738</v>
      </c>
      <c r="F164" s="21" t="n">
        <v>1.010275673221531</v>
      </c>
      <c r="G164" s="21" t="n">
        <v>1.74847658534617</v>
      </c>
      <c r="H164" s="21" t="n">
        <v>1.112470401577929</v>
      </c>
      <c r="I164" s="21" t="n">
        <v>1.700403108514594</v>
      </c>
      <c r="J164" s="21" t="n">
        <v>1.278149578271865</v>
      </c>
      <c r="K164" s="21" t="n">
        <v>0.8748145560862083</v>
      </c>
      <c r="L164" s="21" t="n">
        <v>0.6629118322171753</v>
      </c>
    </row>
    <row r="165">
      <c r="A165" s="10" t="n">
        <v>0.315</v>
      </c>
      <c r="B165" s="21" t="n">
        <v>1.047923133534718</v>
      </c>
      <c r="C165" s="21" t="n">
        <v>0.8683998258751806</v>
      </c>
      <c r="D165" s="21" t="n">
        <v>0.4690549977119741</v>
      </c>
      <c r="E165" s="21" t="n">
        <v>0.715277007863738</v>
      </c>
      <c r="F165" s="21" t="n">
        <v>1.010275673221531</v>
      </c>
      <c r="G165" s="21" t="n">
        <v>1.77078035430511</v>
      </c>
      <c r="H165" s="21" t="n">
        <v>1.112470401577929</v>
      </c>
      <c r="I165" s="21" t="n">
        <v>1.700403108514594</v>
      </c>
      <c r="J165" s="21" t="n">
        <v>1.278149578271865</v>
      </c>
      <c r="K165" s="21" t="n">
        <v>0.8748145560862083</v>
      </c>
      <c r="L165" s="21" t="n">
        <v>0.6709084461957929</v>
      </c>
    </row>
    <row r="166">
      <c r="A166" s="10" t="n">
        <v>0.325</v>
      </c>
      <c r="B166" s="21" t="n">
        <v>1.047923133534718</v>
      </c>
      <c r="C166" s="21" t="n">
        <v>0.8683998258751806</v>
      </c>
      <c r="D166" s="21" t="n">
        <v>0.4690549977119741</v>
      </c>
      <c r="E166" s="21" t="n">
        <v>0.715277007863738</v>
      </c>
      <c r="F166" s="21" t="n">
        <v>1.010275673221531</v>
      </c>
      <c r="G166" s="21" t="n">
        <v>1.77078035430511</v>
      </c>
      <c r="H166" s="21" t="n">
        <v>1.112470401577929</v>
      </c>
      <c r="I166" s="21" t="n">
        <v>1.700403108514594</v>
      </c>
      <c r="J166" s="21" t="n">
        <v>1.278149578271865</v>
      </c>
      <c r="K166" s="21" t="n">
        <v>0.8748145560862083</v>
      </c>
      <c r="L166" s="21" t="n">
        <v>0.6709084461957929</v>
      </c>
    </row>
    <row r="167">
      <c r="A167" s="10" t="n">
        <v>0.335</v>
      </c>
      <c r="B167" s="21" t="n">
        <v>1.092134997226499</v>
      </c>
      <c r="C167" s="21" t="n">
        <v>0.86703960143459</v>
      </c>
      <c r="D167" s="21" t="n">
        <v>0.4690549977119741</v>
      </c>
      <c r="E167" s="21" t="n">
        <v>0.7075240447912585</v>
      </c>
      <c r="F167" s="21" t="n">
        <v>1.089688477844762</v>
      </c>
      <c r="G167" s="21" t="n">
        <v>1.991984493153331</v>
      </c>
      <c r="H167" s="21" t="n">
        <v>1.154140769325804</v>
      </c>
      <c r="I167" s="21" t="n">
        <v>1.668494444402798</v>
      </c>
      <c r="J167" s="21" t="n">
        <v>1.278149578271865</v>
      </c>
      <c r="K167" s="21" t="n">
        <v>0.9651094001613467</v>
      </c>
      <c r="L167" s="21" t="n">
        <v>0.7345349575385453</v>
      </c>
    </row>
    <row r="168">
      <c r="A168" s="10" t="n">
        <v>0.345</v>
      </c>
      <c r="B168" s="21" t="n">
        <v>1.136538912343711</v>
      </c>
      <c r="C168" s="21" t="n">
        <v>0.8660342181524154</v>
      </c>
      <c r="D168" s="21" t="n">
        <v>0.4690549977119741</v>
      </c>
      <c r="E168" s="21" t="n">
        <v>0.7042013463316248</v>
      </c>
      <c r="F168" s="21" t="n">
        <v>1.222043152216813</v>
      </c>
      <c r="G168" s="21" t="n">
        <v>2.124706976462263</v>
      </c>
      <c r="H168" s="21" t="n">
        <v>1.188234706574065</v>
      </c>
      <c r="I168" s="21" t="n">
        <v>1.660517278374849</v>
      </c>
      <c r="J168" s="21" t="n">
        <v>1.310812051386985</v>
      </c>
      <c r="K168" s="21" t="n">
        <v>1.064908964665448</v>
      </c>
      <c r="L168" s="21" t="n">
        <v>0.7921018011343687</v>
      </c>
    </row>
    <row r="169">
      <c r="A169" s="10" t="n">
        <v>0.355</v>
      </c>
      <c r="B169" s="21" t="n">
        <v>1.161204040344713</v>
      </c>
      <c r="C169" s="21" t="n">
        <v>0.8660342181524154</v>
      </c>
      <c r="D169" s="21" t="n">
        <v>0.4852317450924607</v>
      </c>
      <c r="E169" s="21" t="n">
        <v>0.7042013463316248</v>
      </c>
      <c r="F169" s="21" t="n">
        <v>1.222043152216813</v>
      </c>
      <c r="G169" s="21" t="n">
        <v>2.124706976462263</v>
      </c>
      <c r="H169" s="21" t="n">
        <v>1.188234706574065</v>
      </c>
      <c r="I169" s="21" t="n">
        <v>1.660517278374849</v>
      </c>
      <c r="J169" s="21" t="n">
        <v>1.539449363192827</v>
      </c>
      <c r="K169" s="21" t="n">
        <v>1.064908964665448</v>
      </c>
      <c r="L169" s="21" t="n">
        <v>0.7921018011343687</v>
      </c>
    </row>
    <row r="170">
      <c r="A170" s="10" t="n">
        <v>0.365</v>
      </c>
      <c r="B170" s="21" t="n">
        <v>1.192844865070716</v>
      </c>
      <c r="C170" s="21" t="n">
        <v>0.892937592621569</v>
      </c>
      <c r="D170" s="21" t="n">
        <v>0.5768999802485525</v>
      </c>
      <c r="E170" s="21" t="n">
        <v>0.724244257860209</v>
      </c>
      <c r="F170" s="21" t="n">
        <v>1.222043152216813</v>
      </c>
      <c r="G170" s="21" t="n">
        <v>2.281564898468812</v>
      </c>
      <c r="H170" s="21" t="n">
        <v>1.188234706574065</v>
      </c>
      <c r="I170" s="21" t="n">
        <v>1.660517278374849</v>
      </c>
      <c r="J170" s="21" t="n">
        <v>1.539449363192827</v>
      </c>
      <c r="K170" s="21" t="n">
        <v>1.064908964665448</v>
      </c>
      <c r="L170" s="21" t="n">
        <v>0.8033173065194753</v>
      </c>
    </row>
    <row r="171">
      <c r="A171" s="10" t="n">
        <v>0.375</v>
      </c>
      <c r="B171" s="21" t="n">
        <v>1.203669765753216</v>
      </c>
      <c r="C171" s="21" t="n">
        <v>0.8986443690241166</v>
      </c>
      <c r="D171" s="21" t="n">
        <v>0.5768999802485525</v>
      </c>
      <c r="E171" s="21" t="n">
        <v>0.7710110514269046</v>
      </c>
      <c r="F171" s="21" t="n">
        <v>1.222043152216813</v>
      </c>
      <c r="G171" s="21" t="n">
        <v>2.320779378970449</v>
      </c>
      <c r="H171" s="21" t="n">
        <v>1.188234706574065</v>
      </c>
      <c r="I171" s="21" t="n">
        <v>1.635409062133965</v>
      </c>
      <c r="J171" s="21" t="n">
        <v>1.539449363192827</v>
      </c>
      <c r="K171" s="21" t="n">
        <v>1.064908964665448</v>
      </c>
      <c r="L171" s="21" t="n">
        <v>0.8419484917348445</v>
      </c>
    </row>
    <row r="172">
      <c r="A172" s="10" t="n">
        <v>0.385</v>
      </c>
      <c r="B172" s="21" t="n">
        <v>1.216582596988205</v>
      </c>
      <c r="C172" s="21" t="n">
        <v>0.8986443690241166</v>
      </c>
      <c r="D172" s="21" t="n">
        <v>0.5768999802485525</v>
      </c>
      <c r="E172" s="21" t="n">
        <v>0.7710110514269046</v>
      </c>
      <c r="F172" s="21" t="n">
        <v>1.222043152216813</v>
      </c>
      <c r="G172" s="21" t="n">
        <v>2.45946009743566</v>
      </c>
      <c r="H172" s="21" t="n">
        <v>1.188234706574065</v>
      </c>
      <c r="I172" s="21" t="n">
        <v>1.614865976118698</v>
      </c>
      <c r="J172" s="21" t="n">
        <v>1.539449363192827</v>
      </c>
      <c r="K172" s="21" t="n">
        <v>1.071102892461436</v>
      </c>
      <c r="L172" s="21" t="n">
        <v>0.8419484917348445</v>
      </c>
    </row>
    <row r="173">
      <c r="A173" s="10" t="n">
        <v>0.395</v>
      </c>
      <c r="B173" s="21" t="n">
        <v>1.313507712055811</v>
      </c>
      <c r="C173" s="21" t="n">
        <v>1.000180360511752</v>
      </c>
      <c r="D173" s="21" t="n">
        <v>0.5768999802485525</v>
      </c>
      <c r="E173" s="21" t="n">
        <v>0.7734982983606445</v>
      </c>
      <c r="F173" s="21" t="n">
        <v>1.222043152216813</v>
      </c>
      <c r="G173" s="21" t="n">
        <v>2.875502252831294</v>
      </c>
      <c r="H173" s="21" t="n">
        <v>1.465064847602144</v>
      </c>
      <c r="I173" s="21" t="n">
        <v>1.614865976118698</v>
      </c>
      <c r="J173" s="21" t="n">
        <v>1.541065840407455</v>
      </c>
      <c r="K173" s="21" t="n">
        <v>1.312666076504959</v>
      </c>
      <c r="L173" s="21" t="n">
        <v>0.8419484917348445</v>
      </c>
    </row>
    <row r="174">
      <c r="A174" s="10" t="n">
        <v>0.405</v>
      </c>
      <c r="B174" s="21" t="n">
        <v>1.349806336687969</v>
      </c>
      <c r="C174" s="21" t="n">
        <v>1.000180360511752</v>
      </c>
      <c r="D174" s="21" t="n">
        <v>0.5768999802485525</v>
      </c>
      <c r="E174" s="21" t="n">
        <v>0.8705009287765025</v>
      </c>
      <c r="F174" s="21" t="n">
        <v>1.320693460419295</v>
      </c>
      <c r="G174" s="21" t="n">
        <v>2.875502252831294</v>
      </c>
      <c r="H174" s="21" t="n">
        <v>1.504612010606155</v>
      </c>
      <c r="I174" s="21" t="n">
        <v>1.614865976118698</v>
      </c>
      <c r="J174" s="21" t="n">
        <v>1.604108451777984</v>
      </c>
      <c r="K174" s="21" t="n">
        <v>1.312666076504959</v>
      </c>
      <c r="L174" s="21" t="n">
        <v>0.8955039078425835</v>
      </c>
    </row>
    <row r="175">
      <c r="A175" s="10" t="n">
        <v>0.415</v>
      </c>
      <c r="B175" s="21" t="n">
        <v>1.289085682567353</v>
      </c>
      <c r="C175" s="21" t="n">
        <v>1.015618089172561</v>
      </c>
      <c r="D175" s="21" t="n">
        <v>0.5768999802485525</v>
      </c>
      <c r="E175" s="21" t="n">
        <v>0.8705009287765025</v>
      </c>
      <c r="F175" s="21" t="n">
        <v>1.349333872478079</v>
      </c>
      <c r="G175" s="21" t="n">
        <v>2.363676903234015</v>
      </c>
      <c r="H175" s="21" t="n">
        <v>1.504612010606155</v>
      </c>
      <c r="I175" s="21" t="n">
        <v>1.466728351300942</v>
      </c>
      <c r="J175" s="21" t="n">
        <v>1.604108451777984</v>
      </c>
      <c r="K175" s="21" t="n">
        <v>1.312666076504959</v>
      </c>
      <c r="L175" s="21" t="n">
        <v>0.906864147623013</v>
      </c>
    </row>
    <row r="176">
      <c r="A176" s="10" t="n">
        <v>0.425</v>
      </c>
      <c r="B176" s="21" t="n">
        <v>1.198799030568763</v>
      </c>
      <c r="C176" s="21" t="n">
        <v>1.056317555641963</v>
      </c>
      <c r="D176" s="21" t="n">
        <v>0.5876985070552649</v>
      </c>
      <c r="E176" s="21" t="n">
        <v>0.8705009287765025</v>
      </c>
      <c r="F176" s="21" t="n">
        <v>1.349333872478079</v>
      </c>
      <c r="G176" s="21" t="n">
        <v>1.595938878838096</v>
      </c>
      <c r="H176" s="21" t="n">
        <v>1.504612010606155</v>
      </c>
      <c r="I176" s="21" t="n">
        <v>1.266306858900447</v>
      </c>
      <c r="J176" s="21" t="n">
        <v>1.604108451777984</v>
      </c>
      <c r="K176" s="21" t="n">
        <v>1.312666076504959</v>
      </c>
      <c r="L176" s="21" t="n">
        <v>0.906864147623013</v>
      </c>
    </row>
    <row r="177">
      <c r="A177" s="10" t="n">
        <v>0.435</v>
      </c>
      <c r="B177" s="21" t="n">
        <v>1.21655011668005</v>
      </c>
      <c r="C177" s="21" t="n">
        <v>1.056317555641963</v>
      </c>
      <c r="D177" s="21" t="n">
        <v>0.720880337671389</v>
      </c>
      <c r="E177" s="21" t="n">
        <v>0.8661763052349818</v>
      </c>
      <c r="F177" s="21" t="n">
        <v>1.349333872478079</v>
      </c>
      <c r="G177" s="21" t="n">
        <v>1.595938878838096</v>
      </c>
      <c r="H177" s="21" t="n">
        <v>1.504612010606155</v>
      </c>
      <c r="I177" s="21" t="n">
        <v>1.266306858900447</v>
      </c>
      <c r="J177" s="21" t="n">
        <v>1.604108451777984</v>
      </c>
      <c r="K177" s="21" t="n">
        <v>1.312666076504959</v>
      </c>
      <c r="L177" s="21" t="n">
        <v>0.9575652837407769</v>
      </c>
    </row>
    <row r="178">
      <c r="A178" s="10" t="n">
        <v>0.445</v>
      </c>
      <c r="B178" s="21" t="n">
        <v>1.215368629812958</v>
      </c>
      <c r="C178" s="21" t="n">
        <v>1.093759007413764</v>
      </c>
      <c r="D178" s="21" t="n">
        <v>0.720880337671389</v>
      </c>
      <c r="E178" s="21" t="n">
        <v>0.8635815311100694</v>
      </c>
      <c r="F178" s="21" t="n">
        <v>1.349333872478079</v>
      </c>
      <c r="G178" s="21" t="n">
        <v>1.409429709112094</v>
      </c>
      <c r="H178" s="21" t="n">
        <v>1.463462609250541</v>
      </c>
      <c r="I178" s="21" t="n">
        <v>1.266306858900447</v>
      </c>
      <c r="J178" s="21" t="n">
        <v>1.555097449962283</v>
      </c>
      <c r="K178" s="21" t="n">
        <v>1.477176042560479</v>
      </c>
      <c r="L178" s="21" t="n">
        <v>1.026160938488339</v>
      </c>
    </row>
    <row r="179">
      <c r="A179" s="10" t="n">
        <v>0.455</v>
      </c>
      <c r="B179" s="21" t="n">
        <v>1.184415667762377</v>
      </c>
      <c r="C179" s="21" t="n">
        <v>1.144415089222672</v>
      </c>
      <c r="D179" s="21" t="n">
        <v>0.720880337671389</v>
      </c>
      <c r="E179" s="21" t="n">
        <v>0.8635815311100694</v>
      </c>
      <c r="F179" s="21" t="n">
        <v>1.349333872478079</v>
      </c>
      <c r="G179" s="21" t="n">
        <v>1.319628997762538</v>
      </c>
      <c r="H179" s="21" t="n">
        <v>1.401738507217121</v>
      </c>
      <c r="I179" s="21" t="n">
        <v>1.231085953629192</v>
      </c>
      <c r="J179" s="21" t="n">
        <v>1.113998433620975</v>
      </c>
      <c r="K179" s="21" t="n">
        <v>1.751359319319675</v>
      </c>
      <c r="L179" s="21" t="n">
        <v>1.026160938488339</v>
      </c>
    </row>
    <row r="180">
      <c r="A180" s="10" t="n">
        <v>0.465</v>
      </c>
      <c r="B180" s="21" t="n">
        <v>1.175103296598825</v>
      </c>
      <c r="C180" s="21" t="n">
        <v>1.144415089222672</v>
      </c>
      <c r="D180" s="21" t="n">
        <v>0.720880337671389</v>
      </c>
      <c r="E180" s="21" t="n">
        <v>0.8898489177716008</v>
      </c>
      <c r="F180" s="21" t="n">
        <v>1.349333872478079</v>
      </c>
      <c r="G180" s="21" t="n">
        <v>1.319628997762538</v>
      </c>
      <c r="H180" s="21" t="n">
        <v>1.401738507217121</v>
      </c>
      <c r="I180" s="21" t="n">
        <v>1.065044543064712</v>
      </c>
      <c r="J180" s="21" t="n">
        <v>1.113998433620975</v>
      </c>
      <c r="K180" s="21" t="n">
        <v>1.751359319319675</v>
      </c>
      <c r="L180" s="21" t="n">
        <v>1.07466124375144</v>
      </c>
    </row>
    <row r="181">
      <c r="A181" s="10" t="n">
        <v>0.475</v>
      </c>
      <c r="B181" s="21" t="n">
        <v>1.165143017808628</v>
      </c>
      <c r="C181" s="21" t="n">
        <v>1.185670402807094</v>
      </c>
      <c r="D181" s="21" t="n">
        <v>0.720880337671389</v>
      </c>
      <c r="E181" s="21" t="n">
        <v>0.980325471827983</v>
      </c>
      <c r="F181" s="21" t="n">
        <v>1.133029492055999</v>
      </c>
      <c r="G181" s="21" t="n">
        <v>1.189876973616484</v>
      </c>
      <c r="H181" s="21" t="n">
        <v>1.401738507217121</v>
      </c>
      <c r="I181" s="21" t="n">
        <v>1.065044543064712</v>
      </c>
      <c r="J181" s="21" t="n">
        <v>1.113998433620975</v>
      </c>
      <c r="K181" s="21" t="n">
        <v>1.751359319319675</v>
      </c>
      <c r="L181" s="21" t="n">
        <v>1.164733239240058</v>
      </c>
    </row>
    <row r="182">
      <c r="A182" s="10" t="n">
        <v>0.485</v>
      </c>
      <c r="B182" s="21" t="n">
        <v>1.164670322341156</v>
      </c>
      <c r="C182" s="21" t="n">
        <v>1.213173945196708</v>
      </c>
      <c r="D182" s="21" t="n">
        <v>0.720880337671389</v>
      </c>
      <c r="E182" s="21" t="n">
        <v>0.980325471827983</v>
      </c>
      <c r="F182" s="21" t="n">
        <v>1.12748322589133</v>
      </c>
      <c r="G182" s="21" t="n">
        <v>1.162353816979443</v>
      </c>
      <c r="H182" s="21" t="n">
        <v>1.401738507217121</v>
      </c>
      <c r="I182" s="21" t="n">
        <v>1.065044543064712</v>
      </c>
      <c r="J182" s="21" t="n">
        <v>1.113998433620975</v>
      </c>
      <c r="K182" s="21" t="n">
        <v>1.751359319319675</v>
      </c>
      <c r="L182" s="21" t="n">
        <v>1.164733239240058</v>
      </c>
    </row>
    <row r="183">
      <c r="A183" s="10" t="n">
        <v>0.495</v>
      </c>
      <c r="B183" s="21" t="n">
        <v>1.164997813162551</v>
      </c>
      <c r="C183" s="21" t="n">
        <v>1.213173945196708</v>
      </c>
      <c r="D183" s="21" t="n">
        <v>0.720880337671389</v>
      </c>
      <c r="E183" s="21" t="n">
        <v>0.980325471827983</v>
      </c>
      <c r="F183" s="21" t="n">
        <v>1.12748322589133</v>
      </c>
      <c r="G183" s="21" t="n">
        <v>1.165594148996336</v>
      </c>
      <c r="H183" s="21" t="n">
        <v>1.401738507217121</v>
      </c>
      <c r="I183" s="21" t="n">
        <v>1.065044543064712</v>
      </c>
      <c r="J183" s="21" t="n">
        <v>1.113998433620975</v>
      </c>
      <c r="K183" s="21" t="n">
        <v>1.751359319319675</v>
      </c>
      <c r="L183" s="21" t="n">
        <v>1.164733239240058</v>
      </c>
    </row>
    <row r="184">
      <c r="A184" s="10" t="n">
        <v>0.505</v>
      </c>
      <c r="B184" s="21" t="n">
        <v>1.320850893269806</v>
      </c>
      <c r="C184" s="21" t="n">
        <v>1.301398672795088</v>
      </c>
      <c r="D184" s="21" t="n">
        <v>0.8462697881454153</v>
      </c>
      <c r="E184" s="21" t="n">
        <v>1.657234381146314</v>
      </c>
      <c r="F184" s="21" t="n">
        <v>1.12748322589133</v>
      </c>
      <c r="G184" s="21" t="n">
        <v>1.194757137148381</v>
      </c>
      <c r="H184" s="21" t="n">
        <v>1.254844420158919</v>
      </c>
      <c r="I184" s="21" t="n">
        <v>1.0274706564663</v>
      </c>
      <c r="J184" s="21" t="n">
        <v>1.075401013545814</v>
      </c>
      <c r="K184" s="21" t="n">
        <v>2.135165873647941</v>
      </c>
      <c r="L184" s="21" t="n">
        <v>1.631461133887859</v>
      </c>
    </row>
    <row r="185">
      <c r="A185" s="10" t="n">
        <v>0.515</v>
      </c>
      <c r="B185" s="21" t="n">
        <v>1.3408921688298</v>
      </c>
      <c r="C185" s="21" t="n">
        <v>1.314002205309142</v>
      </c>
      <c r="D185" s="21" t="n">
        <v>0.882673176992713</v>
      </c>
      <c r="E185" s="21" t="n">
        <v>1.692861165847279</v>
      </c>
      <c r="F185" s="21" t="n">
        <v>1.12748322589133</v>
      </c>
      <c r="G185" s="21" t="n">
        <v>1.194757137148381</v>
      </c>
      <c r="H185" s="21" t="n">
        <v>1.199125973343738</v>
      </c>
      <c r="I185" s="21" t="n">
        <v>1.024424125120483</v>
      </c>
      <c r="J185" s="21" t="n">
        <v>1.075401013545814</v>
      </c>
      <c r="K185" s="21" t="n">
        <v>2.280747670117285</v>
      </c>
      <c r="L185" s="21" t="n">
        <v>1.656025759921953</v>
      </c>
    </row>
    <row r="186">
      <c r="A186" s="10" t="n">
        <v>0.525</v>
      </c>
      <c r="B186" s="21" t="n">
        <v>1.33874603464075</v>
      </c>
      <c r="C186" s="21" t="n">
        <v>1.321424180497225</v>
      </c>
      <c r="D186" s="21" t="n">
        <v>0.882673176992713</v>
      </c>
      <c r="E186" s="21" t="n">
        <v>1.692861165847279</v>
      </c>
      <c r="F186" s="21" t="n">
        <v>1.12748322589133</v>
      </c>
      <c r="G186" s="21" t="n">
        <v>1.165069216428024</v>
      </c>
      <c r="H186" s="21" t="n">
        <v>1.199125973343738</v>
      </c>
      <c r="I186" s="21" t="n">
        <v>1.024424125120483</v>
      </c>
      <c r="J186" s="21" t="n">
        <v>1.075401013545814</v>
      </c>
      <c r="K186" s="21" t="n">
        <v>2.280747670117285</v>
      </c>
      <c r="L186" s="21" t="n">
        <v>1.656025759921953</v>
      </c>
    </row>
    <row r="187">
      <c r="A187" s="10" t="n">
        <v>0.535</v>
      </c>
      <c r="B187" s="21" t="n">
        <v>1.387125979311298</v>
      </c>
      <c r="C187" s="21" t="n">
        <v>1.61088121283246</v>
      </c>
      <c r="D187" s="21" t="n">
        <v>0.882673176992713</v>
      </c>
      <c r="E187" s="21" t="n">
        <v>1.601550450749472</v>
      </c>
      <c r="F187" s="21" t="n">
        <v>1.115240885501377</v>
      </c>
      <c r="G187" s="21" t="n">
        <v>1.076005454266949</v>
      </c>
      <c r="H187" s="21" t="n">
        <v>1.199125973343738</v>
      </c>
      <c r="I187" s="21" t="n">
        <v>1.023004423618875</v>
      </c>
      <c r="J187" s="21" t="n">
        <v>1.075401013545814</v>
      </c>
      <c r="K187" s="21" t="n">
        <v>2.280747670117285</v>
      </c>
      <c r="L187" s="21" t="n">
        <v>2.023145944591235</v>
      </c>
    </row>
    <row r="188">
      <c r="A188" s="10" t="n">
        <v>0.545</v>
      </c>
      <c r="B188" s="21" t="n">
        <v>1.396465161953493</v>
      </c>
      <c r="C188" s="21" t="n">
        <v>1.61088121283246</v>
      </c>
      <c r="D188" s="21" t="n">
        <v>0.882673176992713</v>
      </c>
      <c r="E188" s="21" t="n">
        <v>1.526841683851268</v>
      </c>
      <c r="F188" s="21" t="n">
        <v>1.094836984851456</v>
      </c>
      <c r="G188" s="21" t="n">
        <v>1.076005454266949</v>
      </c>
      <c r="H188" s="21" t="n">
        <v>1.199125973343738</v>
      </c>
      <c r="I188" s="21" t="n">
        <v>1.010227110104402</v>
      </c>
      <c r="J188" s="21" t="n">
        <v>1.066111756796207</v>
      </c>
      <c r="K188" s="21" t="n">
        <v>2.280747670117285</v>
      </c>
      <c r="L188" s="21" t="n">
        <v>2.22082604402854</v>
      </c>
    </row>
    <row r="189">
      <c r="A189" s="10" t="n">
        <v>0.555</v>
      </c>
      <c r="B189" s="21" t="n">
        <v>1.369416340770435</v>
      </c>
      <c r="C189" s="21" t="n">
        <v>1.552343088393077</v>
      </c>
      <c r="D189" s="21" t="n">
        <v>0.882673176992713</v>
      </c>
      <c r="E189" s="21" t="n">
        <v>1.526841683851268</v>
      </c>
      <c r="F189" s="21" t="n">
        <v>1.094836984851456</v>
      </c>
      <c r="G189" s="21" t="n">
        <v>1.063802650983342</v>
      </c>
      <c r="H189" s="21" t="n">
        <v>1.188488718579228</v>
      </c>
      <c r="I189" s="21" t="n">
        <v>1.010227110104402</v>
      </c>
      <c r="J189" s="21" t="n">
        <v>0.9515442568843846</v>
      </c>
      <c r="K189" s="21" t="n">
        <v>2.198234541158293</v>
      </c>
      <c r="L189" s="21" t="n">
        <v>2.22082604402854</v>
      </c>
    </row>
    <row r="190">
      <c r="A190" s="10" t="n">
        <v>0.5649999999999999</v>
      </c>
      <c r="B190" s="21" t="n">
        <v>1.332224823270117</v>
      </c>
      <c r="C190" s="21" t="n">
        <v>1.415754131367856</v>
      </c>
      <c r="D190" s="21" t="n">
        <v>0.882673176992713</v>
      </c>
      <c r="E190" s="21" t="n">
        <v>1.495477022463408</v>
      </c>
      <c r="F190" s="21" t="n">
        <v>1.094836984851456</v>
      </c>
      <c r="G190" s="21" t="n">
        <v>1.04729297595258</v>
      </c>
      <c r="H190" s="21" t="n">
        <v>0.9863808780535421</v>
      </c>
      <c r="I190" s="21" t="n">
        <v>1.010227110104402</v>
      </c>
      <c r="J190" s="21" t="n">
        <v>0.9515442568843846</v>
      </c>
      <c r="K190" s="21" t="n">
        <v>2.097385161319526</v>
      </c>
      <c r="L190" s="21" t="n">
        <v>2.349749449487184</v>
      </c>
    </row>
    <row r="191">
      <c r="A191" s="10" t="n">
        <v>0.575</v>
      </c>
      <c r="B191" s="21" t="n">
        <v>1.421317452494768</v>
      </c>
      <c r="C191" s="21" t="n">
        <v>1.415754131367856</v>
      </c>
      <c r="D191" s="21" t="n">
        <v>1.455688577223657</v>
      </c>
      <c r="E191" s="21" t="n">
        <v>1.412788369713594</v>
      </c>
      <c r="F191" s="21" t="n">
        <v>1.094836984851456</v>
      </c>
      <c r="G191" s="21" t="n">
        <v>1.04729297595258</v>
      </c>
      <c r="H191" s="21" t="n">
        <v>0.9863808780535421</v>
      </c>
      <c r="I191" s="21" t="n">
        <v>1.010227110104402</v>
      </c>
      <c r="J191" s="21" t="n">
        <v>0.9515442568843846</v>
      </c>
      <c r="K191" s="21" t="n">
        <v>2.097385161319526</v>
      </c>
      <c r="L191" s="21" t="n">
        <v>2.736519665863111</v>
      </c>
    </row>
    <row r="192">
      <c r="A192" s="10" t="n">
        <v>0.585</v>
      </c>
      <c r="B192" s="21" t="n">
        <v>1.498786002565983</v>
      </c>
      <c r="C192" s="21" t="n">
        <v>1.344822475623844</v>
      </c>
      <c r="D192" s="21" t="n">
        <v>2.156040733061479</v>
      </c>
      <c r="E192" s="21" t="n">
        <v>1.412788369713594</v>
      </c>
      <c r="F192" s="21" t="n">
        <v>1.094836984851456</v>
      </c>
      <c r="G192" s="21" t="n">
        <v>1.015070458334327</v>
      </c>
      <c r="H192" s="21" t="n">
        <v>0.9863808780535421</v>
      </c>
      <c r="I192" s="21" t="n">
        <v>1.166287782926077</v>
      </c>
      <c r="J192" s="21" t="n">
        <v>0.9515442568843846</v>
      </c>
      <c r="K192" s="21" t="n">
        <v>2.097385161319526</v>
      </c>
      <c r="L192" s="21" t="n">
        <v>2.736519665863111</v>
      </c>
    </row>
    <row r="193">
      <c r="A193" s="10" t="n">
        <v>0.595</v>
      </c>
      <c r="B193" s="21" t="n">
        <v>1.491472702743583</v>
      </c>
      <c r="C193" s="21" t="n">
        <v>1.258128229714495</v>
      </c>
      <c r="D193" s="21" t="n">
        <v>2.156040733061479</v>
      </c>
      <c r="E193" s="21" t="n">
        <v>1.412788369713594</v>
      </c>
      <c r="F193" s="21" t="n">
        <v>1.094836984851456</v>
      </c>
      <c r="G193" s="21" t="n">
        <v>0.999555912814427</v>
      </c>
      <c r="H193" s="21" t="n">
        <v>0.9863808780535421</v>
      </c>
      <c r="I193" s="21" t="n">
        <v>1.193827901659314</v>
      </c>
      <c r="J193" s="21" t="n">
        <v>0.9515442568843846</v>
      </c>
      <c r="K193" s="21" t="n">
        <v>2.097385161319526</v>
      </c>
      <c r="L193" s="21" t="n">
        <v>2.736519665863111</v>
      </c>
    </row>
    <row r="194">
      <c r="A194" s="10" t="n">
        <v>0.605</v>
      </c>
      <c r="B194" s="21" t="n">
        <v>1.48521334462448</v>
      </c>
      <c r="C194" s="21" t="n">
        <v>1.258128229714495</v>
      </c>
      <c r="D194" s="21" t="n">
        <v>2.156040733061479</v>
      </c>
      <c r="E194" s="21" t="n">
        <v>1.549450289469948</v>
      </c>
      <c r="F194" s="21" t="n">
        <v>1.274939313084691</v>
      </c>
      <c r="G194" s="21" t="n">
        <v>0.999555912814427</v>
      </c>
      <c r="H194" s="21" t="n">
        <v>0.9863808780535421</v>
      </c>
      <c r="I194" s="21" t="n">
        <v>1.193827901659314</v>
      </c>
      <c r="J194" s="21" t="n">
        <v>0.8984258337788434</v>
      </c>
      <c r="K194" s="21" t="n">
        <v>2.097385161319526</v>
      </c>
      <c r="L194" s="21" t="n">
        <v>2.446414007817522</v>
      </c>
    </row>
    <row r="195">
      <c r="A195" s="10" t="n">
        <v>0.615</v>
      </c>
      <c r="B195" s="21" t="n">
        <v>1.52997311518486</v>
      </c>
      <c r="C195" s="21" t="n">
        <v>1.244472407402881</v>
      </c>
      <c r="D195" s="21" t="n">
        <v>2.156040733061479</v>
      </c>
      <c r="E195" s="21" t="n">
        <v>1.568973420863713</v>
      </c>
      <c r="F195" s="21" t="n">
        <v>1.422295763457337</v>
      </c>
      <c r="G195" s="21" t="n">
        <v>1.084628905544192</v>
      </c>
      <c r="H195" s="21" t="n">
        <v>0.9998630942150342</v>
      </c>
      <c r="I195" s="21" t="n">
        <v>1.193827901659314</v>
      </c>
      <c r="J195" s="21" t="n">
        <v>0.8970638229299834</v>
      </c>
      <c r="K195" s="21" t="n">
        <v>2.381801407996325</v>
      </c>
      <c r="L195" s="21" t="n">
        <v>2.431145288973017</v>
      </c>
    </row>
    <row r="196">
      <c r="A196" s="10" t="n">
        <v>0.625</v>
      </c>
      <c r="B196" s="21" t="n">
        <v>1.538906293260437</v>
      </c>
      <c r="C196" s="21" t="n">
        <v>1.236278914015912</v>
      </c>
      <c r="D196" s="21" t="n">
        <v>2.156040733061479</v>
      </c>
      <c r="E196" s="21" t="n">
        <v>1.568973420863713</v>
      </c>
      <c r="F196" s="21" t="n">
        <v>1.422295763457337</v>
      </c>
      <c r="G196" s="21" t="n">
        <v>1.09964178661415</v>
      </c>
      <c r="H196" s="21" t="n">
        <v>1.000572684539323</v>
      </c>
      <c r="I196" s="21" t="n">
        <v>1.209142875433547</v>
      </c>
      <c r="J196" s="21" t="n">
        <v>0.8970638229299834</v>
      </c>
      <c r="K196" s="21" t="n">
        <v>2.452905469665525</v>
      </c>
      <c r="L196" s="21" t="n">
        <v>2.431145288973017</v>
      </c>
    </row>
    <row r="197">
      <c r="A197" s="10" t="n">
        <v>0.635</v>
      </c>
      <c r="B197" s="21" t="n">
        <v>1.497652411353406</v>
      </c>
      <c r="C197" s="21" t="n">
        <v>1.233464166665801</v>
      </c>
      <c r="D197" s="21" t="n">
        <v>2.156040733061479</v>
      </c>
      <c r="E197" s="21" t="n">
        <v>1.266097391506623</v>
      </c>
      <c r="F197" s="21" t="n">
        <v>1.422295763457337</v>
      </c>
      <c r="G197" s="21" t="n">
        <v>1.106156519890382</v>
      </c>
      <c r="H197" s="21" t="n">
        <v>1.000572684539323</v>
      </c>
      <c r="I197" s="21" t="n">
        <v>1.214952003416878</v>
      </c>
      <c r="J197" s="21" t="n">
        <v>0.8970638229299834</v>
      </c>
      <c r="K197" s="21" t="n">
        <v>2.452905469665525</v>
      </c>
      <c r="L197" s="21" t="n">
        <v>2.306699248086812</v>
      </c>
    </row>
    <row r="198">
      <c r="A198" s="10" t="n">
        <v>0.645</v>
      </c>
      <c r="B198" s="21" t="n">
        <v>1.481208870299635</v>
      </c>
      <c r="C198" s="21" t="n">
        <v>1.198748949347773</v>
      </c>
      <c r="D198" s="21" t="n">
        <v>2.399658425777758</v>
      </c>
      <c r="E198" s="21" t="n">
        <v>0.9313396748487841</v>
      </c>
      <c r="F198" s="21" t="n">
        <v>1.422295763457337</v>
      </c>
      <c r="G198" s="21" t="n">
        <v>1.164789119376462</v>
      </c>
      <c r="H198" s="21" t="n">
        <v>1.000572684539323</v>
      </c>
      <c r="I198" s="21" t="n">
        <v>1.214952003416878</v>
      </c>
      <c r="J198" s="21" t="n">
        <v>0.8970638229299834</v>
      </c>
      <c r="K198" s="21" t="n">
        <v>2.452905469665525</v>
      </c>
      <c r="L198" s="21" t="n">
        <v>2.204879760089009</v>
      </c>
    </row>
    <row r="199">
      <c r="A199" s="10" t="n">
        <v>0.655</v>
      </c>
      <c r="B199" s="21" t="n">
        <v>1.529100986546969</v>
      </c>
      <c r="C199" s="21" t="n">
        <v>1.198748949347773</v>
      </c>
      <c r="D199" s="21" t="n">
        <v>2.80568791363822</v>
      </c>
      <c r="E199" s="21" t="n">
        <v>0.9313396748487841</v>
      </c>
      <c r="F199" s="21" t="n">
        <v>1.422295763457337</v>
      </c>
      <c r="G199" s="21" t="n">
        <v>1.164789119376462</v>
      </c>
      <c r="H199" s="21" t="n">
        <v>1.000572684539323</v>
      </c>
      <c r="I199" s="21" t="n">
        <v>1.214952003416878</v>
      </c>
      <c r="J199" s="21" t="n">
        <v>0.9712918405067033</v>
      </c>
      <c r="K199" s="21" t="n">
        <v>2.452905469665525</v>
      </c>
      <c r="L199" s="21" t="n">
        <v>2.204879760089009</v>
      </c>
    </row>
    <row r="200">
      <c r="A200" s="10" t="n">
        <v>0.665</v>
      </c>
      <c r="B200" s="21" t="n">
        <v>1.466848062072911</v>
      </c>
      <c r="C200" s="21" t="n">
        <v>1.206244420910892</v>
      </c>
      <c r="D200" s="21" t="n">
        <v>2.80568791363822</v>
      </c>
      <c r="E200" s="21" t="n">
        <v>0.8095424251711996</v>
      </c>
      <c r="F200" s="21" t="n">
        <v>1.422295763457337</v>
      </c>
      <c r="G200" s="21" t="n">
        <v>1.212455184549031</v>
      </c>
      <c r="H200" s="21" t="n">
        <v>0.9950267933618939</v>
      </c>
      <c r="I200" s="21" t="n">
        <v>1.135046828626638</v>
      </c>
      <c r="J200" s="21" t="n">
        <v>0.9818958430176633</v>
      </c>
      <c r="K200" s="21" t="n">
        <v>2.004317536665783</v>
      </c>
      <c r="L200" s="21" t="n">
        <v>2.14928989071034</v>
      </c>
    </row>
    <row r="201">
      <c r="A201" s="10" t="n">
        <v>0.675</v>
      </c>
      <c r="B201" s="21" t="n">
        <v>1.352284727373861</v>
      </c>
      <c r="C201" s="21" t="n">
        <v>1.228730835600247</v>
      </c>
      <c r="D201" s="21" t="n">
        <v>2.80568791363822</v>
      </c>
      <c r="E201" s="21" t="n">
        <v>0.6268465506548235</v>
      </c>
      <c r="F201" s="21" t="n">
        <v>1.654372077181443</v>
      </c>
      <c r="G201" s="21" t="n">
        <v>1.338120265458532</v>
      </c>
      <c r="H201" s="21" t="n">
        <v>0.9804058075304897</v>
      </c>
      <c r="I201" s="21" t="n">
        <v>1.046730582805846</v>
      </c>
      <c r="J201" s="21" t="n">
        <v>0.9818958430176633</v>
      </c>
      <c r="K201" s="21" t="n">
        <v>1.072634906589389</v>
      </c>
      <c r="L201" s="21" t="n">
        <v>1.834280630897883</v>
      </c>
    </row>
    <row r="202">
      <c r="A202" s="10" t="n">
        <v>0.6850000000000001</v>
      </c>
      <c r="B202" s="21" t="n">
        <v>1.358158118627696</v>
      </c>
      <c r="C202" s="21" t="n">
        <v>1.228730835600247</v>
      </c>
      <c r="D202" s="21" t="n">
        <v>2.80568791363822</v>
      </c>
      <c r="E202" s="21" t="n">
        <v>0.6268465506548235</v>
      </c>
      <c r="F202" s="21" t="n">
        <v>1.731730848422812</v>
      </c>
      <c r="G202" s="21" t="n">
        <v>1.338120265458532</v>
      </c>
      <c r="H202" s="21" t="n">
        <v>0.9804058075304897</v>
      </c>
      <c r="I202" s="21" t="n">
        <v>1.046730582805846</v>
      </c>
      <c r="J202" s="21" t="n">
        <v>0.9818958430176633</v>
      </c>
      <c r="K202" s="21" t="n">
        <v>1.072634906589389</v>
      </c>
      <c r="L202" s="21" t="n">
        <v>1.834280630897883</v>
      </c>
    </row>
    <row r="203">
      <c r="A203" s="10" t="n">
        <v>0.695</v>
      </c>
      <c r="B203" s="21" t="n">
        <v>1.367723235885636</v>
      </c>
      <c r="C203" s="21" t="n">
        <v>1.266096619343615</v>
      </c>
      <c r="D203" s="21" t="n">
        <v>2.80568791363822</v>
      </c>
      <c r="E203" s="21" t="n">
        <v>0.6268465506548235</v>
      </c>
      <c r="F203" s="21" t="n">
        <v>1.731730848422812</v>
      </c>
      <c r="G203" s="21" t="n">
        <v>1.382116296241742</v>
      </c>
      <c r="H203" s="21" t="n">
        <v>0.9804058075304897</v>
      </c>
      <c r="I203" s="21" t="n">
        <v>1.046730582805846</v>
      </c>
      <c r="J203" s="21" t="n">
        <v>0.9928989346600537</v>
      </c>
      <c r="K203" s="21" t="n">
        <v>1.072634906589389</v>
      </c>
      <c r="L203" s="21" t="n">
        <v>1.834280630897883</v>
      </c>
    </row>
    <row r="204">
      <c r="A204" s="10" t="n">
        <v>0.705</v>
      </c>
      <c r="B204" s="21" t="n">
        <v>1.341222150834488</v>
      </c>
      <c r="C204" s="21" t="n">
        <v>1.303462403086983</v>
      </c>
      <c r="D204" s="21" t="n">
        <v>2.80568791363822</v>
      </c>
      <c r="E204" s="21" t="n">
        <v>0.7455518936007919</v>
      </c>
      <c r="F204" s="21" t="n">
        <v>1.731730848422812</v>
      </c>
      <c r="G204" s="21" t="n">
        <v>1.435889222754552</v>
      </c>
      <c r="H204" s="21" t="n">
        <v>0.9804058075304897</v>
      </c>
      <c r="I204" s="21" t="n">
        <v>0.9679515006179626</v>
      </c>
      <c r="J204" s="21" t="n">
        <v>1.091926759441567</v>
      </c>
      <c r="K204" s="21" t="n">
        <v>1.072634906589389</v>
      </c>
      <c r="L204" s="21" t="n">
        <v>1.313234128901446</v>
      </c>
    </row>
    <row r="205">
      <c r="A205" s="10" t="n">
        <v>0.715</v>
      </c>
      <c r="B205" s="21" t="n">
        <v>1.311282144372698</v>
      </c>
      <c r="C205" s="21" t="n">
        <v>1.303462403086983</v>
      </c>
      <c r="D205" s="21" t="n">
        <v>2.746175056681292</v>
      </c>
      <c r="E205" s="21" t="n">
        <v>0.7455518936007919</v>
      </c>
      <c r="F205" s="21" t="n">
        <v>1.731730848422812</v>
      </c>
      <c r="G205" s="21" t="n">
        <v>1.435889222754552</v>
      </c>
      <c r="H205" s="21" t="n">
        <v>0.9804058075304897</v>
      </c>
      <c r="I205" s="21" t="n">
        <v>0.8216474908404631</v>
      </c>
      <c r="J205" s="21" t="n">
        <v>1.091926759441567</v>
      </c>
      <c r="K205" s="21" t="n">
        <v>1.072634906589389</v>
      </c>
      <c r="L205" s="21" t="n">
        <v>1.221284746196192</v>
      </c>
    </row>
    <row r="206">
      <c r="A206" s="10" t="n">
        <v>0.725</v>
      </c>
      <c r="B206" s="21" t="n">
        <v>1.271188137001747</v>
      </c>
      <c r="C206" s="21" t="n">
        <v>1.375803777978925</v>
      </c>
      <c r="D206" s="21" t="n">
        <v>2.012183154212512</v>
      </c>
      <c r="E206" s="21" t="n">
        <v>0.7455518936007919</v>
      </c>
      <c r="F206" s="21" t="n">
        <v>1.731730848422812</v>
      </c>
      <c r="G206" s="21" t="n">
        <v>1.593657670345619</v>
      </c>
      <c r="H206" s="21" t="n">
        <v>1.195559723374523</v>
      </c>
      <c r="I206" s="21" t="n">
        <v>0.8216474908404631</v>
      </c>
      <c r="J206" s="21" t="n">
        <v>1.091926759441567</v>
      </c>
      <c r="K206" s="21" t="n">
        <v>0.953260523615808</v>
      </c>
      <c r="L206" s="21" t="n">
        <v>1.221284746196192</v>
      </c>
    </row>
    <row r="207">
      <c r="A207" s="10" t="n">
        <v>0.735</v>
      </c>
      <c r="B207" s="21" t="n">
        <v>1.270607271346244</v>
      </c>
      <c r="C207" s="21" t="n">
        <v>1.410634810334304</v>
      </c>
      <c r="D207" s="21" t="n">
        <v>2.012183154212512</v>
      </c>
      <c r="E207" s="21" t="n">
        <v>0.7956016861938271</v>
      </c>
      <c r="F207" s="21" t="n">
        <v>1.499761777408172</v>
      </c>
      <c r="G207" s="21" t="n">
        <v>1.616196020001486</v>
      </c>
      <c r="H207" s="21" t="n">
        <v>1.249348202335531</v>
      </c>
      <c r="I207" s="21" t="n">
        <v>0.8216474908404631</v>
      </c>
      <c r="J207" s="21" t="n">
        <v>1.091926759441567</v>
      </c>
      <c r="K207" s="21" t="n">
        <v>0.8957839688507508</v>
      </c>
      <c r="L207" s="21" t="n">
        <v>1.320454852928202</v>
      </c>
    </row>
    <row r="208">
      <c r="A208" s="10" t="n">
        <v>0.745</v>
      </c>
      <c r="B208" s="21" t="n">
        <v>1.266212428263882</v>
      </c>
      <c r="C208" s="21" t="n">
        <v>1.410634810334304</v>
      </c>
      <c r="D208" s="21" t="n">
        <v>2.012183154212512</v>
      </c>
      <c r="E208" s="21" t="n">
        <v>0.8145860902808407</v>
      </c>
      <c r="F208" s="21" t="n">
        <v>1.345115730065078</v>
      </c>
      <c r="G208" s="21" t="n">
        <v>1.602395487176955</v>
      </c>
      <c r="H208" s="21" t="n">
        <v>1.249348202335531</v>
      </c>
      <c r="I208" s="21" t="n">
        <v>0.7932000011172851</v>
      </c>
      <c r="J208" s="21" t="n">
        <v>1.091926759441567</v>
      </c>
      <c r="K208" s="21" t="n">
        <v>0.8957839688507508</v>
      </c>
      <c r="L208" s="21" t="n">
        <v>1.441662761156216</v>
      </c>
    </row>
    <row r="209">
      <c r="A209" s="10" t="n">
        <v>0.755</v>
      </c>
      <c r="B209" s="21" t="n">
        <v>1.261493815588951</v>
      </c>
      <c r="C209" s="21" t="n">
        <v>1.599233375651933</v>
      </c>
      <c r="D209" s="21" t="n">
        <v>2.012183154212512</v>
      </c>
      <c r="E209" s="21" t="n">
        <v>0.8145860902808407</v>
      </c>
      <c r="F209" s="21" t="n">
        <v>1.345115730065078</v>
      </c>
      <c r="G209" s="21" t="n">
        <v>1.340185363510866</v>
      </c>
      <c r="H209" s="21" t="n">
        <v>1.249348202335531</v>
      </c>
      <c r="I209" s="21" t="n">
        <v>0.537172593608681</v>
      </c>
      <c r="J209" s="21" t="n">
        <v>1.37542264371332</v>
      </c>
      <c r="K209" s="21" t="n">
        <v>0.8957839688507508</v>
      </c>
      <c r="L209" s="21" t="n">
        <v>1.441662761156216</v>
      </c>
    </row>
    <row r="210">
      <c r="A210" s="10" t="n">
        <v>0.765</v>
      </c>
      <c r="B210" s="21" t="n">
        <v>1.271027631850106</v>
      </c>
      <c r="C210" s="21" t="n">
        <v>1.614525151218227</v>
      </c>
      <c r="D210" s="21" t="n">
        <v>2.012183154212512</v>
      </c>
      <c r="E210" s="21" t="n">
        <v>0.877147910114119</v>
      </c>
      <c r="F210" s="21" t="n">
        <v>1.345115730065078</v>
      </c>
      <c r="G210" s="21" t="n">
        <v>1.340185363510866</v>
      </c>
      <c r="H210" s="21" t="n">
        <v>1.249348202335531</v>
      </c>
      <c r="I210" s="21" t="n">
        <v>0.537172593608681</v>
      </c>
      <c r="J210" s="21" t="n">
        <v>1.37542264371332</v>
      </c>
      <c r="K210" s="21" t="n">
        <v>0.8957839688507508</v>
      </c>
      <c r="L210" s="21" t="n">
        <v>1.453337680403464</v>
      </c>
    </row>
    <row r="211">
      <c r="A211" s="10" t="n">
        <v>0.775</v>
      </c>
      <c r="B211" s="21" t="n">
        <v>1.291286577930963</v>
      </c>
      <c r="C211" s="21" t="n">
        <v>1.638184534972324</v>
      </c>
      <c r="D211" s="21" t="n">
        <v>2.012183154212512</v>
      </c>
      <c r="E211" s="21" t="n">
        <v>1.007083997460159</v>
      </c>
      <c r="F211" s="21" t="n">
        <v>1.345115730065078</v>
      </c>
      <c r="G211" s="21" t="n">
        <v>1.284978526824658</v>
      </c>
      <c r="H211" s="21" t="n">
        <v>1.334181988913098</v>
      </c>
      <c r="I211" s="21" t="n">
        <v>0.537172593608681</v>
      </c>
      <c r="J211" s="21" t="n">
        <v>1.37542264371332</v>
      </c>
      <c r="K211" s="21" t="n">
        <v>0.829083518045972</v>
      </c>
      <c r="L211" s="21" t="n">
        <v>1.519495556137872</v>
      </c>
    </row>
    <row r="212">
      <c r="A212" s="10" t="n">
        <v>0.785</v>
      </c>
      <c r="B212" s="21" t="n">
        <v>1.339432000854804</v>
      </c>
      <c r="C212" s="21" t="n">
        <v>1.851118988759197</v>
      </c>
      <c r="D212" s="21" t="n">
        <v>2.012183154212512</v>
      </c>
      <c r="E212" s="21" t="n">
        <v>1.007083997460159</v>
      </c>
      <c r="F212" s="21" t="n">
        <v>1.345115730065078</v>
      </c>
      <c r="G212" s="21" t="n">
        <v>1.156162574556841</v>
      </c>
      <c r="H212" s="21" t="n">
        <v>1.928018494956066</v>
      </c>
      <c r="I212" s="21" t="n">
        <v>0.537172593608681</v>
      </c>
      <c r="J212" s="21" t="n">
        <v>1.37542264371332</v>
      </c>
      <c r="K212" s="21" t="n">
        <v>0.5993375208295119</v>
      </c>
      <c r="L212" s="21" t="n">
        <v>1.519495556137872</v>
      </c>
    </row>
    <row r="213">
      <c r="A213" s="10" t="n">
        <v>0.795</v>
      </c>
      <c r="B213" s="21" t="n">
        <v>1.311614215842219</v>
      </c>
      <c r="C213" s="21" t="n">
        <v>1.851118988759197</v>
      </c>
      <c r="D213" s="21" t="n">
        <v>1.803836795450726</v>
      </c>
      <c r="E213" s="21" t="n">
        <v>1.012291543290128</v>
      </c>
      <c r="F213" s="21" t="n">
        <v>1.345115730065078</v>
      </c>
      <c r="G213" s="21" t="n">
        <v>1.156162574556841</v>
      </c>
      <c r="H213" s="21" t="n">
        <v>1.928018494956066</v>
      </c>
      <c r="I213" s="21" t="n">
        <v>0.4569698650047507</v>
      </c>
      <c r="J213" s="21" t="n">
        <v>1.383522988392366</v>
      </c>
      <c r="K213" s="21" t="n">
        <v>0.5993375208295119</v>
      </c>
      <c r="L213" s="21" t="n">
        <v>1.519495556137872</v>
      </c>
    </row>
    <row r="214">
      <c r="A214" s="10" t="n">
        <v>0.805</v>
      </c>
      <c r="B214" s="21" t="n">
        <v>1.254217085546941</v>
      </c>
      <c r="C214" s="21" t="n">
        <v>1.797379504319029</v>
      </c>
      <c r="D214" s="21" t="n">
        <v>1.803836795450726</v>
      </c>
      <c r="E214" s="21" t="n">
        <v>1.111234914059555</v>
      </c>
      <c r="F214" s="21" t="n">
        <v>0.9782086230620959</v>
      </c>
      <c r="G214" s="21" t="n">
        <v>1.002826566333856</v>
      </c>
      <c r="H214" s="21" t="n">
        <v>1.928018494956066</v>
      </c>
      <c r="I214" s="21" t="n">
        <v>0.4428164423099396</v>
      </c>
      <c r="J214" s="21" t="n">
        <v>1.483427239433933</v>
      </c>
      <c r="K214" s="21" t="n">
        <v>0.5993375208295119</v>
      </c>
      <c r="L214" s="21" t="n">
        <v>1.331761213340165</v>
      </c>
    </row>
    <row r="215">
      <c r="A215" s="10" t="n">
        <v>0.8149999999999999</v>
      </c>
      <c r="B215" s="21" t="n">
        <v>1.205992663948437</v>
      </c>
      <c r="C215" s="21" t="n">
        <v>1.655702681704042</v>
      </c>
      <c r="D215" s="21" t="n">
        <v>1.803836795450726</v>
      </c>
      <c r="E215" s="21" t="n">
        <v>1.111234914059555</v>
      </c>
      <c r="F215" s="21" t="n">
        <v>0.8716872048999397</v>
      </c>
      <c r="G215" s="21" t="n">
        <v>0.8333499256663475</v>
      </c>
      <c r="H215" s="21" t="n">
        <v>1.928018494956066</v>
      </c>
      <c r="I215" s="21" t="n">
        <v>0.4428164423099396</v>
      </c>
      <c r="J215" s="21" t="n">
        <v>1.483427239433933</v>
      </c>
      <c r="K215" s="21" t="n">
        <v>0.5993375208295119</v>
      </c>
      <c r="L215" s="21" t="n">
        <v>1.269183099074262</v>
      </c>
    </row>
    <row r="216">
      <c r="A216" s="10" t="n">
        <v>0.825</v>
      </c>
      <c r="B216" s="21" t="n">
        <v>1.205992663948437</v>
      </c>
      <c r="C216" s="21" t="n">
        <v>1.655702681704042</v>
      </c>
      <c r="D216" s="21" t="n">
        <v>1.803836795450726</v>
      </c>
      <c r="E216" s="21" t="n">
        <v>1.111234914059555</v>
      </c>
      <c r="F216" s="21" t="n">
        <v>0.8716872048999397</v>
      </c>
      <c r="G216" s="21" t="n">
        <v>0.8333499256663475</v>
      </c>
      <c r="H216" s="21" t="n">
        <v>1.928018494956066</v>
      </c>
      <c r="I216" s="21" t="n">
        <v>0.4428164423099396</v>
      </c>
      <c r="J216" s="21" t="n">
        <v>1.483427239433933</v>
      </c>
      <c r="K216" s="21" t="n">
        <v>0.5993375208295119</v>
      </c>
      <c r="L216" s="21" t="n">
        <v>1.269183099074262</v>
      </c>
    </row>
    <row r="217">
      <c r="A217" s="10" t="n">
        <v>0.835</v>
      </c>
      <c r="B217" s="21" t="n">
        <v>1.12763600567963</v>
      </c>
      <c r="C217" s="21" t="n">
        <v>1.445027405759832</v>
      </c>
      <c r="D217" s="21" t="n">
        <v>1.803836795450726</v>
      </c>
      <c r="E217" s="21" t="n">
        <v>1.129152592560935</v>
      </c>
      <c r="F217" s="21" t="n">
        <v>0.8716872048999397</v>
      </c>
      <c r="G217" s="21" t="n">
        <v>0.7693144410680276</v>
      </c>
      <c r="H217" s="21" t="n">
        <v>1.626241431062334</v>
      </c>
      <c r="I217" s="21" t="n">
        <v>0.4210922001088949</v>
      </c>
      <c r="J217" s="21" t="n">
        <v>1.483427239433933</v>
      </c>
      <c r="K217" s="21" t="n">
        <v>0.532027007193048</v>
      </c>
      <c r="L217" s="21" t="n">
        <v>1.15440480553522</v>
      </c>
    </row>
    <row r="218">
      <c r="A218" s="10" t="n">
        <v>0.845</v>
      </c>
      <c r="B218" s="21" t="n">
        <v>1.060009253289953</v>
      </c>
      <c r="C218" s="21" t="n">
        <v>1.254416441810309</v>
      </c>
      <c r="D218" s="21" t="n">
        <v>1.803836795450726</v>
      </c>
      <c r="E218" s="21" t="n">
        <v>1.138800573292448</v>
      </c>
      <c r="F218" s="21" t="n">
        <v>0.8716872048999397</v>
      </c>
      <c r="G218" s="21" t="n">
        <v>0.7450251193238366</v>
      </c>
      <c r="H218" s="21" t="n">
        <v>1.445175192726093</v>
      </c>
      <c r="I218" s="21" t="n">
        <v>0.4128519703084987</v>
      </c>
      <c r="J218" s="21" t="n">
        <v>1.483427239433933</v>
      </c>
      <c r="K218" s="21" t="n">
        <v>0.4822757579834876</v>
      </c>
      <c r="L218" s="21" t="n">
        <v>0.9412451175341409</v>
      </c>
    </row>
    <row r="219">
      <c r="A219" s="10" t="n">
        <v>0.855</v>
      </c>
      <c r="B219" s="21" t="n">
        <v>1.010007444855856</v>
      </c>
      <c r="C219" s="21" t="n">
        <v>1.254416441810309</v>
      </c>
      <c r="D219" s="21" t="n">
        <v>1.803836795450726</v>
      </c>
      <c r="E219" s="21" t="n">
        <v>1.138800573292448</v>
      </c>
      <c r="F219" s="21" t="n">
        <v>0.8716872048999397</v>
      </c>
      <c r="G219" s="21" t="n">
        <v>0.7450251193238366</v>
      </c>
      <c r="H219" s="21" t="n">
        <v>1.445175192726093</v>
      </c>
      <c r="I219" s="21" t="n">
        <v>0.4128519703084987</v>
      </c>
      <c r="J219" s="21" t="n">
        <v>0.988776998339811</v>
      </c>
      <c r="K219" s="21" t="n">
        <v>0.4822757579834876</v>
      </c>
      <c r="L219" s="21" t="n">
        <v>0.9412451175341409</v>
      </c>
    </row>
    <row r="220">
      <c r="A220" s="10" t="n">
        <v>0.865</v>
      </c>
      <c r="B220" s="21" t="n">
        <v>0.9176403644134282</v>
      </c>
      <c r="C220" s="21" t="n">
        <v>1.004787022193623</v>
      </c>
      <c r="D220" s="21" t="n">
        <v>1.322873056660478</v>
      </c>
      <c r="E220" s="21" t="n">
        <v>1.139660274274965</v>
      </c>
      <c r="F220" s="21" t="n">
        <v>0.8419525552623363</v>
      </c>
      <c r="G220" s="21" t="n">
        <v>0.640244304491194</v>
      </c>
      <c r="H220" s="21" t="n">
        <v>1.445175192726093</v>
      </c>
      <c r="I220" s="21" t="n">
        <v>0.4128519703084987</v>
      </c>
      <c r="J220" s="21" t="n">
        <v>0.9760936588245773</v>
      </c>
      <c r="K220" s="21" t="n">
        <v>0.4822757579834876</v>
      </c>
      <c r="L220" s="21" t="n">
        <v>0.9066687909940865</v>
      </c>
    </row>
    <row r="221">
      <c r="A221" s="10" t="n">
        <v>0.875</v>
      </c>
      <c r="B221" s="21" t="n">
        <v>0.8538908123739044</v>
      </c>
      <c r="C221" s="21" t="n">
        <v>0.8978029852150444</v>
      </c>
      <c r="D221" s="21" t="n">
        <v>1.091297923168879</v>
      </c>
      <c r="E221" s="21" t="n">
        <v>1.142239377222518</v>
      </c>
      <c r="F221" s="21" t="n">
        <v>0.7017749212564914</v>
      </c>
      <c r="G221" s="21" t="n">
        <v>0.6286019917320114</v>
      </c>
      <c r="H221" s="21" t="n">
        <v>1.445175192726093</v>
      </c>
      <c r="I221" s="21" t="n">
        <v>0.3793914980771422</v>
      </c>
      <c r="J221" s="21" t="n">
        <v>0.9760936588245773</v>
      </c>
      <c r="K221" s="21" t="n">
        <v>0.4822757579834876</v>
      </c>
      <c r="L221" s="21" t="n">
        <v>0.8155130210248526</v>
      </c>
    </row>
    <row r="222">
      <c r="A222" s="10" t="n">
        <v>0.885</v>
      </c>
      <c r="B222" s="21" t="n">
        <v>0.8491271910130784</v>
      </c>
      <c r="C222" s="21" t="n">
        <v>0.8978029852150444</v>
      </c>
      <c r="D222" s="21" t="n">
        <v>1.091297923168879</v>
      </c>
      <c r="E222" s="21" t="n">
        <v>1.142239377222518</v>
      </c>
      <c r="F222" s="21" t="n">
        <v>0.7017749212564914</v>
      </c>
      <c r="G222" s="21" t="n">
        <v>0.6184454703072945</v>
      </c>
      <c r="H222" s="21" t="n">
        <v>1.445175192726093</v>
      </c>
      <c r="I222" s="21" t="n">
        <v>0.342408870874064</v>
      </c>
      <c r="J222" s="21" t="n">
        <v>0.9760936588245773</v>
      </c>
      <c r="K222" s="21" t="n">
        <v>0.4822757579834876</v>
      </c>
      <c r="L222" s="21" t="n">
        <v>0.8155130210248526</v>
      </c>
    </row>
    <row r="223">
      <c r="A223" s="10" t="n">
        <v>0.895</v>
      </c>
      <c r="B223" s="21" t="n">
        <v>0.7528784277460427</v>
      </c>
      <c r="C223" s="21" t="n">
        <v>0.8658387770040209</v>
      </c>
      <c r="D223" s="21" t="n">
        <v>1.091297923168879</v>
      </c>
      <c r="E223" s="21" t="n">
        <v>1.142239377222518</v>
      </c>
      <c r="F223" s="21" t="n">
        <v>0.7017749212564914</v>
      </c>
      <c r="G223" s="21" t="n">
        <v>0.4254715632376734</v>
      </c>
      <c r="H223" s="21" t="n">
        <v>0.6651094032552345</v>
      </c>
      <c r="I223" s="21" t="n">
        <v>0.342408870874064</v>
      </c>
      <c r="J223" s="21" t="n">
        <v>0.971597693748611</v>
      </c>
      <c r="K223" s="21" t="n">
        <v>0.5213667989741398</v>
      </c>
      <c r="L223" s="21" t="n">
        <v>0.8155130210248526</v>
      </c>
    </row>
    <row r="224">
      <c r="A224" s="10" t="n">
        <v>0.905</v>
      </c>
      <c r="B224" s="21" t="n">
        <v>0.7315951453626327</v>
      </c>
      <c r="C224" s="21" t="n">
        <v>0.8641564502560721</v>
      </c>
      <c r="D224" s="21" t="n">
        <v>1.091297923168879</v>
      </c>
      <c r="E224" s="21" t="n">
        <v>1.216817531557003</v>
      </c>
      <c r="F224" s="21" t="n">
        <v>0.7017749212564914</v>
      </c>
      <c r="G224" s="21" t="n">
        <v>0.4254715632376734</v>
      </c>
      <c r="H224" s="21" t="n">
        <v>0.6451077163457253</v>
      </c>
      <c r="I224" s="21" t="n">
        <v>0.342408870874064</v>
      </c>
      <c r="J224" s="21" t="n">
        <v>0.7962550557859348</v>
      </c>
      <c r="K224" s="21" t="n">
        <v>0.5245363428382467</v>
      </c>
      <c r="L224" s="21" t="n">
        <v>0.7131872009052387</v>
      </c>
    </row>
    <row r="225">
      <c r="A225" s="10" t="n">
        <v>0.915</v>
      </c>
      <c r="B225" s="21" t="n">
        <v>0.7194921889892981</v>
      </c>
      <c r="C225" s="21" t="n">
        <v>0.8258809690192147</v>
      </c>
      <c r="D225" s="21" t="n">
        <v>1.091297923168879</v>
      </c>
      <c r="E225" s="21" t="n">
        <v>1.218729791924554</v>
      </c>
      <c r="F225" s="21" t="n">
        <v>0.7017749212564914</v>
      </c>
      <c r="G225" s="21" t="n">
        <v>0.3757983647524872</v>
      </c>
      <c r="H225" s="21" t="n">
        <v>0.6451077163457253</v>
      </c>
      <c r="I225" s="21" t="n">
        <v>0.3259039192578491</v>
      </c>
      <c r="J225" s="21" t="n">
        <v>0.7962550557859348</v>
      </c>
      <c r="K225" s="21" t="n">
        <v>0.5245363428382467</v>
      </c>
      <c r="L225" s="21" t="n">
        <v>0.6985692266024367</v>
      </c>
    </row>
    <row r="226">
      <c r="A226" s="10" t="n">
        <v>0.925</v>
      </c>
      <c r="B226" s="21" t="n">
        <v>0.6777799412591654</v>
      </c>
      <c r="C226" s="21" t="n">
        <v>0.5579526003612139</v>
      </c>
      <c r="D226" s="21" t="n">
        <v>1.091297923168879</v>
      </c>
      <c r="E226" s="21" t="n">
        <v>1.218729791924554</v>
      </c>
      <c r="F226" s="21" t="n">
        <v>0.7017749212564914</v>
      </c>
      <c r="G226" s="21" t="n">
        <v>0.2726309525140235</v>
      </c>
      <c r="H226" s="21" t="n">
        <v>0.6451077163457253</v>
      </c>
      <c r="I226" s="21" t="n">
        <v>0.2983956665641567</v>
      </c>
      <c r="J226" s="21" t="n">
        <v>0.7962550557859348</v>
      </c>
      <c r="K226" s="21" t="n">
        <v>0.5245363428382467</v>
      </c>
      <c r="L226" s="21" t="n">
        <v>0.6985692266024367</v>
      </c>
    </row>
    <row r="227">
      <c r="A227" s="10" t="n">
        <v>0.9350000000000001</v>
      </c>
      <c r="B227" s="21" t="n">
        <v>0.6618063266926834</v>
      </c>
      <c r="C227" s="21" t="n">
        <v>0.5579526003612139</v>
      </c>
      <c r="D227" s="21" t="n">
        <v>0.9258761696095062</v>
      </c>
      <c r="E227" s="21" t="n">
        <v>1.243491769193008</v>
      </c>
      <c r="F227" s="21" t="n">
        <v>0.4999370406628642</v>
      </c>
      <c r="G227" s="21" t="n">
        <v>0.2726309525140235</v>
      </c>
      <c r="H227" s="21" t="n">
        <v>0.6451077163457253</v>
      </c>
      <c r="I227" s="21" t="n">
        <v>0.2983956665641567</v>
      </c>
      <c r="J227" s="21" t="n">
        <v>0.7962550557859348</v>
      </c>
      <c r="K227" s="21" t="n">
        <v>0.5245363428382467</v>
      </c>
      <c r="L227" s="21" t="n">
        <v>0.8076203278360422</v>
      </c>
    </row>
    <row r="228">
      <c r="A228" s="10" t="n">
        <v>0.945</v>
      </c>
      <c r="B228" s="21" t="n">
        <v>0.5822161488493349</v>
      </c>
      <c r="C228" s="21" t="n">
        <v>0.4793071329172374</v>
      </c>
      <c r="D228" s="21" t="n">
        <v>0.6501732470105509</v>
      </c>
      <c r="E228" s="21" t="n">
        <v>1.261794100217516</v>
      </c>
      <c r="F228" s="21" t="n">
        <v>0.1635405730068196</v>
      </c>
      <c r="G228" s="21" t="n">
        <v>0.212259438050705</v>
      </c>
      <c r="H228" s="21" t="n">
        <v>0.5008682223835691</v>
      </c>
      <c r="I228" s="21" t="n">
        <v>0.2983956665641567</v>
      </c>
      <c r="J228" s="21" t="n">
        <v>0.7962550557859348</v>
      </c>
      <c r="K228" s="21" t="n">
        <v>0.442323199199162</v>
      </c>
      <c r="L228" s="21" t="n">
        <v>0.8882233157043593</v>
      </c>
    </row>
    <row r="229">
      <c r="A229" s="10" t="n">
        <v>0.955</v>
      </c>
      <c r="B229" s="21" t="n">
        <v>0.4863026288807808</v>
      </c>
      <c r="C229" s="21" t="n">
        <v>0.2958010422146266</v>
      </c>
      <c r="D229" s="21" t="n">
        <v>0.6501732470105509</v>
      </c>
      <c r="E229" s="21" t="n">
        <v>1.261794100217516</v>
      </c>
      <c r="F229" s="21" t="n">
        <v>0.1635405730068196</v>
      </c>
      <c r="G229" s="21" t="n">
        <v>0.14553302732809</v>
      </c>
      <c r="H229" s="21" t="n">
        <v>0.1643094031385371</v>
      </c>
      <c r="I229" s="21" t="n">
        <v>0.2730872738756394</v>
      </c>
      <c r="J229" s="21" t="n">
        <v>0.5494003252774513</v>
      </c>
      <c r="K229" s="21" t="n">
        <v>0.3514560404401737</v>
      </c>
      <c r="L229" s="21" t="n">
        <v>0.8882233157043593</v>
      </c>
    </row>
    <row r="230">
      <c r="A230" s="10" t="n">
        <v>0.965</v>
      </c>
      <c r="B230" s="21" t="n">
        <v>0.4417250331054907</v>
      </c>
      <c r="C230" s="21" t="n">
        <v>0.2958010422146266</v>
      </c>
      <c r="D230" s="21" t="n">
        <v>0.6501732470105509</v>
      </c>
      <c r="E230" s="21" t="n">
        <v>1.154247007102911</v>
      </c>
      <c r="F230" s="21" t="n">
        <v>0.1635405730068196</v>
      </c>
      <c r="G230" s="21" t="n">
        <v>0.14553302732809</v>
      </c>
      <c r="H230" s="21" t="n">
        <v>0.1643094031385371</v>
      </c>
      <c r="I230" s="21" t="n">
        <v>0.09592852505601861</v>
      </c>
      <c r="J230" s="21" t="n">
        <v>0.5293850768578445</v>
      </c>
      <c r="K230" s="21" t="n">
        <v>0.3514560404401737</v>
      </c>
      <c r="L230" s="21" t="n">
        <v>0.7763049970009497</v>
      </c>
    </row>
    <row r="231">
      <c r="A231" s="10" t="n">
        <v>0.975</v>
      </c>
      <c r="B231" s="21" t="n">
        <v>0.3300764199005129</v>
      </c>
      <c r="C231" s="21" t="n">
        <v>0.1471903938473939</v>
      </c>
      <c r="D231" s="21" t="n">
        <v>0.6501732470105509</v>
      </c>
      <c r="E231" s="21" t="n">
        <v>0.8707137616189585</v>
      </c>
      <c r="F231" s="21" t="n">
        <v>0.1635405730068196</v>
      </c>
      <c r="G231" s="21" t="n">
        <v>0.07150432354406164</v>
      </c>
      <c r="H231" s="21" t="n">
        <v>0.1643094031385371</v>
      </c>
      <c r="I231" s="21" t="n">
        <v>0.09592852505601861</v>
      </c>
      <c r="J231" s="21" t="n">
        <v>0.5293850768578445</v>
      </c>
      <c r="K231" s="21" t="n">
        <v>0.3514560404401737</v>
      </c>
      <c r="L231" s="21" t="n">
        <v>0.2486900659705904</v>
      </c>
    </row>
    <row r="232">
      <c r="A232" s="10" t="n">
        <v>0.985</v>
      </c>
      <c r="B232" s="21" t="n">
        <v>0.3219443083364679</v>
      </c>
      <c r="C232" s="21" t="n">
        <v>0.09765351105831636</v>
      </c>
      <c r="D232" s="21" t="n">
        <v>0.6501732470105509</v>
      </c>
      <c r="E232" s="21" t="n">
        <v>0.8707137616189585</v>
      </c>
      <c r="F232" s="21" t="n">
        <v>0.1635405730068196</v>
      </c>
      <c r="G232" s="21" t="n">
        <v>0.04682808894938557</v>
      </c>
      <c r="H232" s="21" t="n">
        <v>0.1643094031385371</v>
      </c>
      <c r="I232" s="21" t="n">
        <v>0.09592852505601861</v>
      </c>
      <c r="J232" s="21" t="n">
        <v>0.5293850768578445</v>
      </c>
      <c r="K232" s="21" t="n">
        <v>0.3514560404401737</v>
      </c>
      <c r="L232" s="21" t="n">
        <v>0.2486900659705904</v>
      </c>
    </row>
    <row r="233">
      <c r="A233" s="10" t="n">
        <v>0.995</v>
      </c>
      <c r="B233" s="21" t="n">
        <v>0.3219443083364679</v>
      </c>
      <c r="C233" s="21" t="n">
        <v>0.09765351105831636</v>
      </c>
      <c r="D233" s="21" t="n">
        <v>0.6501732470105509</v>
      </c>
      <c r="E233" s="21" t="n">
        <v>0.8707137616189585</v>
      </c>
      <c r="F233" s="21" t="n">
        <v>0.1635405730068196</v>
      </c>
      <c r="G233" s="21" t="n">
        <v>0.04682808894938557</v>
      </c>
      <c r="H233" s="21" t="n">
        <v>0.1643094031385371</v>
      </c>
      <c r="I233" s="21" t="n">
        <v>0.09592852505601861</v>
      </c>
      <c r="J233" s="21" t="n">
        <v>0.5293850768578445</v>
      </c>
      <c r="K233" s="21" t="n">
        <v>0.3514560404401737</v>
      </c>
      <c r="L233" s="21" t="n">
        <v>0.2486900659705904</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1" t="n">
        <v>3.767877411941975</v>
      </c>
      <c r="C260" s="21" t="n">
        <v>0.619585569177682</v>
      </c>
      <c r="D260" s="21" t="n">
        <v>0.1040111806815678</v>
      </c>
      <c r="E260" s="21" t="n">
        <v>0.04058971085133671</v>
      </c>
      <c r="F260" s="21" t="n">
        <v>0</v>
      </c>
      <c r="G260" s="21" t="n">
        <v>0</v>
      </c>
      <c r="H260" s="21" t="n">
        <v>0.4444697383040477</v>
      </c>
    </row>
    <row r="261">
      <c r="A261" s="10" t="n">
        <v>0.015</v>
      </c>
      <c r="B261" s="21" t="n">
        <v>3.767877411941975</v>
      </c>
      <c r="C261" s="21" t="n">
        <v>0.619585569177682</v>
      </c>
      <c r="D261" s="21" t="n">
        <v>0.1040111806815678</v>
      </c>
      <c r="E261" s="21" t="n">
        <v>0.04058971085133671</v>
      </c>
      <c r="F261" s="21" t="n">
        <v>0</v>
      </c>
      <c r="G261" s="21" t="n">
        <v>0</v>
      </c>
      <c r="H261" s="21" t="n">
        <v>0.4444697383040477</v>
      </c>
    </row>
    <row r="262">
      <c r="A262" s="10" t="n">
        <v>0.025</v>
      </c>
      <c r="B262" s="21" t="n">
        <v>3.810722214190663</v>
      </c>
      <c r="C262" s="21" t="n">
        <v>0.6381463427567752</v>
      </c>
      <c r="D262" s="21" t="n">
        <v>0.1068187560050453</v>
      </c>
      <c r="E262" s="21" t="n">
        <v>0.04173018741387217</v>
      </c>
      <c r="F262" s="21" t="n">
        <v>0</v>
      </c>
      <c r="G262" s="21" t="n">
        <v>0</v>
      </c>
      <c r="H262" s="21" t="n">
        <v>0.4540965163037631</v>
      </c>
    </row>
    <row r="263">
      <c r="A263" s="10" t="n">
        <v>0.035</v>
      </c>
      <c r="B263" s="21" t="n">
        <v>3.829147747015585</v>
      </c>
      <c r="C263" s="21" t="n">
        <v>0.778972910079537</v>
      </c>
      <c r="D263" s="21" t="n">
        <v>0.1468566117336495</v>
      </c>
      <c r="E263" s="21" t="n">
        <v>0.06702153225011068</v>
      </c>
      <c r="F263" s="21" t="n">
        <v>0.005025098573570153</v>
      </c>
      <c r="G263" s="21" t="n">
        <v>0</v>
      </c>
      <c r="H263" s="21" t="n">
        <v>0.5288270609427473</v>
      </c>
    </row>
    <row r="264">
      <c r="A264" s="10" t="n">
        <v>0.045</v>
      </c>
      <c r="B264" s="21" t="n">
        <v>3.572865613704256</v>
      </c>
      <c r="C264" s="21" t="n">
        <v>0.8839491573304633</v>
      </c>
      <c r="D264" s="21" t="n">
        <v>0.1918766329623267</v>
      </c>
      <c r="E264" s="21" t="n">
        <v>0.1028267661027663</v>
      </c>
      <c r="F264" s="21" t="n">
        <v>0.01380696974140061</v>
      </c>
      <c r="G264" s="21" t="n">
        <v>0</v>
      </c>
      <c r="H264" s="21" t="n">
        <v>0.5810102370883147</v>
      </c>
    </row>
    <row r="265">
      <c r="A265" s="10" t="n">
        <v>0.055</v>
      </c>
      <c r="B265" s="21" t="n">
        <v>3.721697031769053</v>
      </c>
      <c r="C265" s="21" t="n">
        <v>1.015172777271759</v>
      </c>
      <c r="D265" s="21" t="n">
        <v>0.2309983269901021</v>
      </c>
      <c r="E265" s="21" t="n">
        <v>0.123179171286522</v>
      </c>
      <c r="F265" s="21" t="n">
        <v>0.01380696974140061</v>
      </c>
      <c r="G265" s="21" t="n">
        <v>0</v>
      </c>
      <c r="H265" s="21" t="n">
        <v>0.661937118405598</v>
      </c>
    </row>
    <row r="266">
      <c r="A266" s="10" t="n">
        <v>0.065</v>
      </c>
      <c r="B266" s="21" t="n">
        <v>3.660983951362077</v>
      </c>
      <c r="C266" s="21" t="n">
        <v>1.124549946123863</v>
      </c>
      <c r="D266" s="21" t="n">
        <v>0.2812621354156193</v>
      </c>
      <c r="E266" s="21" t="n">
        <v>0.157648256374449</v>
      </c>
      <c r="F266" s="21" t="n">
        <v>0.01843487952906581</v>
      </c>
      <c r="G266" s="21" t="n">
        <v>0</v>
      </c>
      <c r="H266" s="21" t="n">
        <v>0.7348534690820484</v>
      </c>
    </row>
    <row r="267">
      <c r="A267" s="10" t="n">
        <v>0.075</v>
      </c>
      <c r="B267" s="21" t="n">
        <v>3.355857705621556</v>
      </c>
      <c r="C267" s="21" t="n">
        <v>1.122905585427267</v>
      </c>
      <c r="D267" s="21" t="n">
        <v>0.3165001586206924</v>
      </c>
      <c r="E267" s="21" t="n">
        <v>0.1908793281726426</v>
      </c>
      <c r="F267" s="21" t="n">
        <v>0.0280358481517694</v>
      </c>
      <c r="G267" s="21" t="n">
        <v>0</v>
      </c>
      <c r="H267" s="21" t="n">
        <v>0.7524122826310642</v>
      </c>
    </row>
    <row r="268">
      <c r="A268" s="10" t="n">
        <v>0.08500000000000001</v>
      </c>
      <c r="B268" s="21" t="n">
        <v>3.216977730990249</v>
      </c>
      <c r="C268" s="21" t="n">
        <v>1.165687071435139</v>
      </c>
      <c r="D268" s="21" t="n">
        <v>0.340724852129399</v>
      </c>
      <c r="E268" s="21" t="n">
        <v>0.2259951731042855</v>
      </c>
      <c r="F268" s="21" t="n">
        <v>0.04243447162073816</v>
      </c>
      <c r="G268" s="21" t="n">
        <v>0.0006397441023590565</v>
      </c>
      <c r="H268" s="21" t="n">
        <v>0.7715115524924753</v>
      </c>
    </row>
    <row r="269">
      <c r="A269" s="10" t="n">
        <v>0.095</v>
      </c>
      <c r="B269" s="21" t="n">
        <v>3.196857315654854</v>
      </c>
      <c r="C269" s="21" t="n">
        <v>1.192333652410856</v>
      </c>
      <c r="D269" s="21" t="n">
        <v>0.3529051935273292</v>
      </c>
      <c r="E269" s="21" t="n">
        <v>0.237481893202507</v>
      </c>
      <c r="F269" s="21" t="n">
        <v>0.04575166090679429</v>
      </c>
      <c r="G269" s="21" t="n">
        <v>0.0007108267803989517</v>
      </c>
      <c r="H269" s="21" t="n">
        <v>0.7924324631895568</v>
      </c>
    </row>
    <row r="270">
      <c r="A270" s="10" t="n">
        <v>0.105</v>
      </c>
      <c r="B270" s="21" t="n">
        <v>3.094735680451616</v>
      </c>
      <c r="C270" s="21" t="n">
        <v>1.193403192425488</v>
      </c>
      <c r="D270" s="21" t="n">
        <v>0.3733129215560984</v>
      </c>
      <c r="E270" s="21" t="n">
        <v>0.2627175758786249</v>
      </c>
      <c r="F270" s="21" t="n">
        <v>0.05603050333202039</v>
      </c>
      <c r="G270" s="21" t="n">
        <v>0.001382729815466373</v>
      </c>
      <c r="H270" s="21" t="n">
        <v>0.8052237774978448</v>
      </c>
    </row>
    <row r="271">
      <c r="A271" s="10" t="n">
        <v>0.115</v>
      </c>
      <c r="B271" s="21" t="n">
        <v>2.953161285482985</v>
      </c>
      <c r="C271" s="21" t="n">
        <v>1.30181916048524</v>
      </c>
      <c r="D271" s="21" t="n">
        <v>0.431328681910587</v>
      </c>
      <c r="E271" s="21" t="n">
        <v>0.3092767959218793</v>
      </c>
      <c r="F271" s="21" t="n">
        <v>0.06424759731439039</v>
      </c>
      <c r="G271" s="21" t="n">
        <v>0.001437208439931299</v>
      </c>
      <c r="H271" s="21" t="n">
        <v>0.8590073111965486</v>
      </c>
    </row>
    <row r="272">
      <c r="A272" s="10" t="n">
        <v>0.125</v>
      </c>
      <c r="B272" s="21" t="n">
        <v>2.86498068475542</v>
      </c>
      <c r="C272" s="21" t="n">
        <v>1.304292175061463</v>
      </c>
      <c r="D272" s="21" t="n">
        <v>0.4656357115203822</v>
      </c>
      <c r="E272" s="21" t="n">
        <v>0.3383339863339646</v>
      </c>
      <c r="F272" s="21" t="n">
        <v>0.07686225799867849</v>
      </c>
      <c r="G272" s="21" t="n">
        <v>0.003062911100043724</v>
      </c>
      <c r="H272" s="21" t="n">
        <v>0.8742019203840588</v>
      </c>
    </row>
    <row r="273">
      <c r="A273" s="10" t="n">
        <v>0.135</v>
      </c>
      <c r="B273" s="21" t="n">
        <v>2.738690659886463</v>
      </c>
      <c r="C273" s="21" t="n">
        <v>1.323612546174386</v>
      </c>
      <c r="D273" s="21" t="n">
        <v>0.4867330622358319</v>
      </c>
      <c r="E273" s="21" t="n">
        <v>0.3600084060339347</v>
      </c>
      <c r="F273" s="21" t="n">
        <v>0.09456010293886249</v>
      </c>
      <c r="G273" s="21" t="n">
        <v>0.005275811896891327</v>
      </c>
      <c r="H273" s="21" t="n">
        <v>0.8744754481874056</v>
      </c>
    </row>
    <row r="274">
      <c r="A274" s="10" t="n">
        <v>0.145</v>
      </c>
      <c r="B274" s="21" t="n">
        <v>2.650351298090826</v>
      </c>
      <c r="C274" s="21" t="n">
        <v>1.376195112237585</v>
      </c>
      <c r="D274" s="21" t="n">
        <v>0.5322370728747786</v>
      </c>
      <c r="E274" s="21" t="n">
        <v>0.4000862942343154</v>
      </c>
      <c r="F274" s="21" t="n">
        <v>0.1140107152660763</v>
      </c>
      <c r="G274" s="21" t="n">
        <v>0.007093149143843835</v>
      </c>
      <c r="H274" s="21" t="n">
        <v>0.9110358774624568</v>
      </c>
    </row>
    <row r="275">
      <c r="A275" s="10" t="n">
        <v>0.155</v>
      </c>
      <c r="B275" s="21" t="n">
        <v>2.577961688234705</v>
      </c>
      <c r="C275" s="21" t="n">
        <v>1.409055635161383</v>
      </c>
      <c r="D275" s="21" t="n">
        <v>0.5546640828082204</v>
      </c>
      <c r="E275" s="21" t="n">
        <v>0.4165901173365658</v>
      </c>
      <c r="F275" s="21" t="n">
        <v>0.121710179955947</v>
      </c>
      <c r="G275" s="21" t="n">
        <v>0.007471981497124623</v>
      </c>
      <c r="H275" s="21" t="n">
        <v>0.9297338208692378</v>
      </c>
    </row>
    <row r="276">
      <c r="A276" s="10" t="n">
        <v>0.165</v>
      </c>
      <c r="B276" s="21" t="n">
        <v>2.417065007268398</v>
      </c>
      <c r="C276" s="21" t="n">
        <v>1.380131239888952</v>
      </c>
      <c r="D276" s="21" t="n">
        <v>0.5803178791322726</v>
      </c>
      <c r="E276" s="21" t="n">
        <v>0.4395238638317879</v>
      </c>
      <c r="F276" s="21" t="n">
        <v>0.1413522550291986</v>
      </c>
      <c r="G276" s="21" t="n">
        <v>0.009729381459952622</v>
      </c>
      <c r="H276" s="21" t="n">
        <v>0.9332221239104627</v>
      </c>
    </row>
    <row r="277">
      <c r="A277" s="10" t="n">
        <v>0.175</v>
      </c>
      <c r="B277" s="21" t="n">
        <v>2.152931691095738</v>
      </c>
      <c r="C277" s="21" t="n">
        <v>1.337739115104011</v>
      </c>
      <c r="D277" s="21" t="n">
        <v>0.622784268717962</v>
      </c>
      <c r="E277" s="21" t="n">
        <v>0.4758630733330546</v>
      </c>
      <c r="F277" s="21" t="n">
        <v>0.1720427610936438</v>
      </c>
      <c r="G277" s="21" t="n">
        <v>0.01251789507495068</v>
      </c>
      <c r="H277" s="21" t="n">
        <v>0.9414306362527854</v>
      </c>
    </row>
    <row r="278">
      <c r="A278" s="10" t="n">
        <v>0.185</v>
      </c>
      <c r="B278" s="21" t="n">
        <v>2.152931691095738</v>
      </c>
      <c r="C278" s="21" t="n">
        <v>1.337739115104011</v>
      </c>
      <c r="D278" s="21" t="n">
        <v>0.622784268717962</v>
      </c>
      <c r="E278" s="21" t="n">
        <v>0.4758630733330546</v>
      </c>
      <c r="F278" s="21" t="n">
        <v>0.1720427610936438</v>
      </c>
      <c r="G278" s="21" t="n">
        <v>0.01251789507495068</v>
      </c>
      <c r="H278" s="21" t="n">
        <v>0.9414306362527854</v>
      </c>
    </row>
    <row r="279">
      <c r="A279" s="10" t="n">
        <v>0.195</v>
      </c>
      <c r="B279" s="21" t="n">
        <v>2.100913367463208</v>
      </c>
      <c r="C279" s="21" t="n">
        <v>1.351169205109309</v>
      </c>
      <c r="D279" s="21" t="n">
        <v>0.6314069118109072</v>
      </c>
      <c r="E279" s="21" t="n">
        <v>0.4916667882279521</v>
      </c>
      <c r="F279" s="21" t="n">
        <v>0.1795393690861897</v>
      </c>
      <c r="G279" s="21" t="n">
        <v>0.01312106552050533</v>
      </c>
      <c r="H279" s="21" t="n">
        <v>0.9341144156457931</v>
      </c>
    </row>
    <row r="280">
      <c r="A280" s="10" t="n">
        <v>0.205</v>
      </c>
      <c r="B280" s="21" t="n">
        <v>1.946861497385785</v>
      </c>
      <c r="C280" s="21" t="n">
        <v>1.347404680325081</v>
      </c>
      <c r="D280" s="21" t="n">
        <v>0.6740299911315949</v>
      </c>
      <c r="E280" s="21" t="n">
        <v>0.5571493150767661</v>
      </c>
      <c r="F280" s="21" t="n">
        <v>0.2331410380494671</v>
      </c>
      <c r="G280" s="21" t="n">
        <v>0.02222541280072627</v>
      </c>
      <c r="H280" s="21" t="n">
        <v>0.9255679175234779</v>
      </c>
    </row>
    <row r="281">
      <c r="A281" s="10" t="n">
        <v>0.215</v>
      </c>
      <c r="B281" s="21" t="n">
        <v>1.930766350752051</v>
      </c>
      <c r="C281" s="21" t="n">
        <v>1.361665821470809</v>
      </c>
      <c r="D281" s="21" t="n">
        <v>0.6915729547952912</v>
      </c>
      <c r="E281" s="21" t="n">
        <v>0.5764605164004363</v>
      </c>
      <c r="F281" s="21" t="n">
        <v>0.2492866198961074</v>
      </c>
      <c r="G281" s="21" t="n">
        <v>0.02672839906838667</v>
      </c>
      <c r="H281" s="21" t="n">
        <v>0.9282774088759003</v>
      </c>
    </row>
    <row r="282">
      <c r="A282" s="10" t="n">
        <v>0.225</v>
      </c>
      <c r="B282" s="21" t="n">
        <v>1.817191248866756</v>
      </c>
      <c r="C282" s="21" t="n">
        <v>1.391588429664046</v>
      </c>
      <c r="D282" s="21" t="n">
        <v>0.7411438162624779</v>
      </c>
      <c r="E282" s="21" t="n">
        <v>0.629199696927114</v>
      </c>
      <c r="F282" s="21" t="n">
        <v>0.2782511808591488</v>
      </c>
      <c r="G282" s="21" t="n">
        <v>0.02948658122903492</v>
      </c>
      <c r="H282" s="21" t="n">
        <v>0.9726337938027361</v>
      </c>
    </row>
    <row r="283">
      <c r="A283" s="10" t="n">
        <v>0.235</v>
      </c>
      <c r="B283" s="21" t="n">
        <v>1.757965507537874</v>
      </c>
      <c r="C283" s="21" t="n">
        <v>1.425932277175019</v>
      </c>
      <c r="D283" s="21" t="n">
        <v>0.7723093782203994</v>
      </c>
      <c r="E283" s="21" t="n">
        <v>0.6551450759288672</v>
      </c>
      <c r="F283" s="21" t="n">
        <v>0.2934437013322498</v>
      </c>
      <c r="G283" s="21" t="n">
        <v>0.03133850666694923</v>
      </c>
      <c r="H283" s="21" t="n">
        <v>0.9985252887963418</v>
      </c>
    </row>
    <row r="284">
      <c r="A284" s="10" t="n">
        <v>0.245</v>
      </c>
      <c r="B284" s="21" t="n">
        <v>1.738141471595826</v>
      </c>
      <c r="C284" s="21" t="n">
        <v>1.44427214823733</v>
      </c>
      <c r="D284" s="21" t="n">
        <v>0.7899137620617623</v>
      </c>
      <c r="E284" s="21" t="n">
        <v>0.6650346176777434</v>
      </c>
      <c r="F284" s="21" t="n">
        <v>0.3061218771836271</v>
      </c>
      <c r="G284" s="21" t="n">
        <v>0.0344031023539461</v>
      </c>
      <c r="H284" s="21" t="n">
        <v>1.008725262869522</v>
      </c>
    </row>
    <row r="285">
      <c r="A285" s="10" t="n">
        <v>0.255</v>
      </c>
      <c r="B285" s="21" t="n">
        <v>1.677045821567595</v>
      </c>
      <c r="C285" s="21" t="n">
        <v>1.510336255561315</v>
      </c>
      <c r="D285" s="21" t="n">
        <v>0.8669061928536153</v>
      </c>
      <c r="E285" s="21" t="n">
        <v>0.7355764444898975</v>
      </c>
      <c r="F285" s="21" t="n">
        <v>0.3770450469669674</v>
      </c>
      <c r="G285" s="21" t="n">
        <v>0.04758394123608755</v>
      </c>
      <c r="H285" s="21" t="n">
        <v>1.072145601450209</v>
      </c>
    </row>
    <row r="286">
      <c r="A286" s="10" t="n">
        <v>0.265</v>
      </c>
      <c r="B286" s="21" t="n">
        <v>1.659985400489984</v>
      </c>
      <c r="C286" s="21" t="n">
        <v>1.514574572008356</v>
      </c>
      <c r="D286" s="21" t="n">
        <v>0.8713061168509364</v>
      </c>
      <c r="E286" s="21" t="n">
        <v>0.7479123297056046</v>
      </c>
      <c r="F286" s="21" t="n">
        <v>0.3849638933280131</v>
      </c>
      <c r="G286" s="21" t="n">
        <v>0.04971390942593241</v>
      </c>
      <c r="H286" s="21" t="n">
        <v>1.07301987533476</v>
      </c>
    </row>
    <row r="287">
      <c r="A287" s="10" t="n">
        <v>0.275</v>
      </c>
      <c r="B287" s="21" t="n">
        <v>1.624575049531932</v>
      </c>
      <c r="C287" s="21" t="n">
        <v>1.556544286222288</v>
      </c>
      <c r="D287" s="21" t="n">
        <v>0.9079876324504493</v>
      </c>
      <c r="E287" s="21" t="n">
        <v>0.8084815410383814</v>
      </c>
      <c r="F287" s="21" t="n">
        <v>0.4178619516483938</v>
      </c>
      <c r="G287" s="21" t="n">
        <v>0.05868259113164839</v>
      </c>
      <c r="H287" s="21" t="n">
        <v>1.086143710573598</v>
      </c>
    </row>
    <row r="288">
      <c r="A288" s="10" t="n">
        <v>0.285</v>
      </c>
      <c r="B288" s="21" t="n">
        <v>1.601089154909382</v>
      </c>
      <c r="C288" s="21" t="n">
        <v>1.674865236863562</v>
      </c>
      <c r="D288" s="21" t="n">
        <v>1.021903790181665</v>
      </c>
      <c r="E288" s="21" t="n">
        <v>0.9589575421177384</v>
      </c>
      <c r="F288" s="21" t="n">
        <v>0.4799332197256771</v>
      </c>
      <c r="G288" s="21" t="n">
        <v>0.07016114447097356</v>
      </c>
      <c r="H288" s="21" t="n">
        <v>1.190339471094744</v>
      </c>
    </row>
    <row r="289">
      <c r="A289" s="10" t="n">
        <v>0.295</v>
      </c>
      <c r="B289" s="21" t="n">
        <v>1.571326171661897</v>
      </c>
      <c r="C289" s="21" t="n">
        <v>1.705476744225472</v>
      </c>
      <c r="D289" s="21" t="n">
        <v>1.121375344022772</v>
      </c>
      <c r="E289" s="21" t="n">
        <v>0.9759495529168962</v>
      </c>
      <c r="F289" s="21" t="n">
        <v>0.4919076587182564</v>
      </c>
      <c r="G289" s="21" t="n">
        <v>0.08339562371537154</v>
      </c>
      <c r="H289" s="21" t="n">
        <v>1.216344851677705</v>
      </c>
    </row>
    <row r="290">
      <c r="A290" s="10" t="n">
        <v>0.305</v>
      </c>
      <c r="B290" s="21" t="n">
        <v>1.471167824741739</v>
      </c>
      <c r="C290" s="21" t="n">
        <v>1.686100111517493</v>
      </c>
      <c r="D290" s="21" t="n">
        <v>1.157599537836887</v>
      </c>
      <c r="E290" s="21" t="n">
        <v>1.037907603294503</v>
      </c>
      <c r="F290" s="21" t="n">
        <v>0.5422616115150244</v>
      </c>
      <c r="G290" s="21" t="n">
        <v>0.09440480692427461</v>
      </c>
      <c r="H290" s="21" t="n">
        <v>1.259037384690474</v>
      </c>
    </row>
    <row r="291">
      <c r="A291" s="10" t="n">
        <v>0.315</v>
      </c>
      <c r="B291" s="21" t="n">
        <v>1.406216696068695</v>
      </c>
      <c r="C291" s="21" t="n">
        <v>1.680855989403165</v>
      </c>
      <c r="D291" s="21" t="n">
        <v>1.174960883183434</v>
      </c>
      <c r="E291" s="21" t="n">
        <v>1.053347168137886</v>
      </c>
      <c r="F291" s="21" t="n">
        <v>0.5653322438592215</v>
      </c>
      <c r="G291" s="21" t="n">
        <v>0.09880035431723809</v>
      </c>
      <c r="H291" s="21" t="n">
        <v>1.289390860647137</v>
      </c>
    </row>
    <row r="292">
      <c r="A292" s="10" t="n">
        <v>0.325</v>
      </c>
      <c r="B292" s="21" t="n">
        <v>1.406216696068695</v>
      </c>
      <c r="C292" s="21" t="n">
        <v>1.680855989403165</v>
      </c>
      <c r="D292" s="21" t="n">
        <v>1.174960883183434</v>
      </c>
      <c r="E292" s="21" t="n">
        <v>1.053347168137886</v>
      </c>
      <c r="F292" s="21" t="n">
        <v>0.5653322438592215</v>
      </c>
      <c r="G292" s="21" t="n">
        <v>0.09880035431723809</v>
      </c>
      <c r="H292" s="21" t="n">
        <v>1.289390860647137</v>
      </c>
    </row>
    <row r="293">
      <c r="A293" s="10" t="n">
        <v>0.335</v>
      </c>
      <c r="B293" s="21" t="n">
        <v>1.258300254233011</v>
      </c>
      <c r="C293" s="21" t="n">
        <v>1.717619219047676</v>
      </c>
      <c r="D293" s="21" t="n">
        <v>1.269588682680515</v>
      </c>
      <c r="E293" s="21" t="n">
        <v>1.106644164620041</v>
      </c>
      <c r="F293" s="21" t="n">
        <v>0.6624043425583102</v>
      </c>
      <c r="G293" s="21" t="n">
        <v>0.1234375290955905</v>
      </c>
      <c r="H293" s="21" t="n">
        <v>1.272889135139177</v>
      </c>
    </row>
    <row r="294">
      <c r="A294" s="10" t="n">
        <v>0.345</v>
      </c>
      <c r="B294" s="21" t="n">
        <v>1.136655492238954</v>
      </c>
      <c r="C294" s="21" t="n">
        <v>1.749969968347874</v>
      </c>
      <c r="D294" s="21" t="n">
        <v>1.356883554692571</v>
      </c>
      <c r="E294" s="21" t="n">
        <v>1.165167187161413</v>
      </c>
      <c r="F294" s="21" t="n">
        <v>0.737948584728424</v>
      </c>
      <c r="G294" s="21" t="n">
        <v>0.1436166657902054</v>
      </c>
      <c r="H294" s="21" t="n">
        <v>1.274028185480553</v>
      </c>
    </row>
    <row r="295">
      <c r="A295" s="10" t="n">
        <v>0.355</v>
      </c>
      <c r="B295" s="21" t="n">
        <v>1.088876846263031</v>
      </c>
      <c r="C295" s="21" t="n">
        <v>1.803492109064417</v>
      </c>
      <c r="D295" s="21" t="n">
        <v>1.402769867417953</v>
      </c>
      <c r="E295" s="21" t="n">
        <v>1.179611887270312</v>
      </c>
      <c r="F295" s="21" t="n">
        <v>0.7747937142164455</v>
      </c>
      <c r="G295" s="21" t="n">
        <v>0.1526121095178186</v>
      </c>
      <c r="H295" s="21" t="n">
        <v>1.298805529985793</v>
      </c>
    </row>
    <row r="296">
      <c r="A296" s="10" t="n">
        <v>0.365</v>
      </c>
      <c r="B296" s="21" t="n">
        <v>0.971481601591261</v>
      </c>
      <c r="C296" s="21" t="n">
        <v>1.884761007839957</v>
      </c>
      <c r="D296" s="21" t="n">
        <v>1.446189140191124</v>
      </c>
      <c r="E296" s="21" t="n">
        <v>1.219757804021386</v>
      </c>
      <c r="F296" s="21" t="n">
        <v>0.8200957528059574</v>
      </c>
      <c r="G296" s="21" t="n">
        <v>0.167978736915214</v>
      </c>
      <c r="H296" s="21" t="n">
        <v>1.326710462894523</v>
      </c>
    </row>
    <row r="297">
      <c r="A297" s="10" t="n">
        <v>0.375</v>
      </c>
      <c r="B297" s="21" t="n">
        <v>0.9129521960122917</v>
      </c>
      <c r="C297" s="21" t="n">
        <v>1.885374483016405</v>
      </c>
      <c r="D297" s="21" t="n">
        <v>1.447071998938769</v>
      </c>
      <c r="E297" s="21" t="n">
        <v>1.254896564955288</v>
      </c>
      <c r="F297" s="21" t="n">
        <v>0.8500853261383776</v>
      </c>
      <c r="G297" s="21" t="n">
        <v>0.1842811022815853</v>
      </c>
      <c r="H297" s="21" t="n">
        <v>1.331996906097209</v>
      </c>
    </row>
    <row r="298">
      <c r="A298" s="10" t="n">
        <v>0.385</v>
      </c>
      <c r="B298" s="21" t="n">
        <v>0.8920917882053856</v>
      </c>
      <c r="C298" s="21" t="n">
        <v>1.871871048878961</v>
      </c>
      <c r="D298" s="21" t="n">
        <v>1.464085449197102</v>
      </c>
      <c r="E298" s="21" t="n">
        <v>1.282016550800834</v>
      </c>
      <c r="F298" s="21" t="n">
        <v>0.8723660891380862</v>
      </c>
      <c r="G298" s="21" t="n">
        <v>0.1994462672800681</v>
      </c>
      <c r="H298" s="21" t="n">
        <v>1.328073536957324</v>
      </c>
    </row>
    <row r="299">
      <c r="A299" s="10" t="n">
        <v>0.395</v>
      </c>
      <c r="B299" s="21" t="n">
        <v>0.7793590288982849</v>
      </c>
      <c r="C299" s="21" t="n">
        <v>1.945183893484519</v>
      </c>
      <c r="D299" s="21" t="n">
        <v>1.683909402392992</v>
      </c>
      <c r="E299" s="21" t="n">
        <v>1.353653187937692</v>
      </c>
      <c r="F299" s="21" t="n">
        <v>0.9839664516989924</v>
      </c>
      <c r="G299" s="21" t="n">
        <v>0.2386916807503415</v>
      </c>
      <c r="H299" s="21" t="n">
        <v>1.349171268908084</v>
      </c>
    </row>
    <row r="300">
      <c r="A300" s="10" t="n">
        <v>0.405</v>
      </c>
      <c r="B300" s="21" t="n">
        <v>0.7228181952728058</v>
      </c>
      <c r="C300" s="21" t="n">
        <v>1.925605637485239</v>
      </c>
      <c r="D300" s="21" t="n">
        <v>1.805956750574954</v>
      </c>
      <c r="E300" s="21" t="n">
        <v>1.370036018865023</v>
      </c>
      <c r="F300" s="21" t="n">
        <v>1.044745693400656</v>
      </c>
      <c r="G300" s="21" t="n">
        <v>0.2631607514763799</v>
      </c>
      <c r="H300" s="21" t="n">
        <v>1.285215492203694</v>
      </c>
    </row>
    <row r="301">
      <c r="A301" s="10" t="n">
        <v>0.415</v>
      </c>
      <c r="B301" s="21" t="n">
        <v>0.6907583064018142</v>
      </c>
      <c r="C301" s="21" t="n">
        <v>1.794681770333077</v>
      </c>
      <c r="D301" s="21" t="n">
        <v>1.726752626224723</v>
      </c>
      <c r="E301" s="21" t="n">
        <v>1.30620284167357</v>
      </c>
      <c r="F301" s="21" t="n">
        <v>1.025579446062465</v>
      </c>
      <c r="G301" s="21" t="n">
        <v>0.2718026662705367</v>
      </c>
      <c r="H301" s="21" t="n">
        <v>1.24626223746322</v>
      </c>
    </row>
    <row r="302">
      <c r="A302" s="10" t="n">
        <v>0.425</v>
      </c>
      <c r="B302" s="21" t="n">
        <v>0.6441767034034023</v>
      </c>
      <c r="C302" s="21" t="n">
        <v>1.603808763889024</v>
      </c>
      <c r="D302" s="21" t="n">
        <v>1.612335643323499</v>
      </c>
      <c r="E302" s="21" t="n">
        <v>1.209032591476958</v>
      </c>
      <c r="F302" s="21" t="n">
        <v>0.9837542437578971</v>
      </c>
      <c r="G302" s="21" t="n">
        <v>0.279954445216148</v>
      </c>
      <c r="H302" s="21" t="n">
        <v>1.195381498334666</v>
      </c>
    </row>
    <row r="303">
      <c r="A303" s="10" t="n">
        <v>0.435</v>
      </c>
      <c r="B303" s="21" t="n">
        <v>0.598041739736922</v>
      </c>
      <c r="C303" s="21" t="n">
        <v>1.631143777007364</v>
      </c>
      <c r="D303" s="21" t="n">
        <v>1.62934636894911</v>
      </c>
      <c r="E303" s="21" t="n">
        <v>1.239173328346046</v>
      </c>
      <c r="F303" s="21" t="n">
        <v>1.012219622512064</v>
      </c>
      <c r="G303" s="21" t="n">
        <v>0.2845501991890071</v>
      </c>
      <c r="H303" s="21" t="n">
        <v>1.227997453644219</v>
      </c>
    </row>
    <row r="304">
      <c r="A304" s="10" t="n">
        <v>0.445</v>
      </c>
      <c r="B304" s="21" t="n">
        <v>0.5404318134860473</v>
      </c>
      <c r="C304" s="21" t="n">
        <v>1.634206467278015</v>
      </c>
      <c r="D304" s="21" t="n">
        <v>1.618942106549861</v>
      </c>
      <c r="E304" s="21" t="n">
        <v>1.250075203035976</v>
      </c>
      <c r="F304" s="21" t="n">
        <v>1.032001205672984</v>
      </c>
      <c r="G304" s="21" t="n">
        <v>0.3064057167770529</v>
      </c>
      <c r="H304" s="21" t="n">
        <v>1.197233154047291</v>
      </c>
    </row>
    <row r="305">
      <c r="A305" s="10" t="n">
        <v>0.455</v>
      </c>
      <c r="B305" s="21" t="n">
        <v>0.4789051865692655</v>
      </c>
      <c r="C305" s="21" t="n">
        <v>1.594383365832135</v>
      </c>
      <c r="D305" s="21" t="n">
        <v>1.577641922319025</v>
      </c>
      <c r="E305" s="21" t="n">
        <v>1.218433172083575</v>
      </c>
      <c r="F305" s="21" t="n">
        <v>1.027892270789744</v>
      </c>
      <c r="G305" s="21" t="n">
        <v>0.3253366521746782</v>
      </c>
      <c r="H305" s="21" t="n">
        <v>1.138930013983245</v>
      </c>
    </row>
    <row r="306">
      <c r="A306" s="10" t="n">
        <v>0.465</v>
      </c>
      <c r="B306" s="21" t="n">
        <v>0.4659164078782317</v>
      </c>
      <c r="C306" s="21" t="n">
        <v>1.583342550813224</v>
      </c>
      <c r="D306" s="21" t="n">
        <v>1.562842340889607</v>
      </c>
      <c r="E306" s="21" t="n">
        <v>1.216758095970445</v>
      </c>
      <c r="F306" s="21" t="n">
        <v>1.0123184296417</v>
      </c>
      <c r="G306" s="21" t="n">
        <v>0.3174537221169449</v>
      </c>
      <c r="H306" s="21" t="n">
        <v>1.126161863017476</v>
      </c>
    </row>
    <row r="307">
      <c r="A307" s="10" t="n">
        <v>0.475</v>
      </c>
      <c r="B307" s="21" t="n">
        <v>0.4340348775359231</v>
      </c>
      <c r="C307" s="21" t="n">
        <v>1.511017215707635</v>
      </c>
      <c r="D307" s="21" t="n">
        <v>1.521974643603984</v>
      </c>
      <c r="E307" s="21" t="n">
        <v>1.241457126297369</v>
      </c>
      <c r="F307" s="21" t="n">
        <v>1.039924509457119</v>
      </c>
      <c r="G307" s="21" t="n">
        <v>0.3389295263783382</v>
      </c>
      <c r="H307" s="21" t="n">
        <v>1.135443992449101</v>
      </c>
    </row>
    <row r="308">
      <c r="A308" s="10" t="n">
        <v>0.485</v>
      </c>
      <c r="B308" s="21" t="n">
        <v>0.4342456532965462</v>
      </c>
      <c r="C308" s="21" t="n">
        <v>1.506572454682811</v>
      </c>
      <c r="D308" s="21" t="n">
        <v>1.521501039741278</v>
      </c>
      <c r="E308" s="21" t="n">
        <v>1.240908469054088</v>
      </c>
      <c r="F308" s="21" t="n">
        <v>1.047639222700725</v>
      </c>
      <c r="G308" s="21" t="n">
        <v>0.3386371179597438</v>
      </c>
      <c r="H308" s="21" t="n">
        <v>1.135798008860172</v>
      </c>
    </row>
    <row r="309">
      <c r="A309" s="10" t="n">
        <v>0.495</v>
      </c>
      <c r="B309" s="21" t="n">
        <v>0.4337149799964914</v>
      </c>
      <c r="C309" s="21" t="n">
        <v>1.505067589956928</v>
      </c>
      <c r="D309" s="21" t="n">
        <v>1.52133434475427</v>
      </c>
      <c r="E309" s="21" t="n">
        <v>1.242698907582185</v>
      </c>
      <c r="F309" s="21" t="n">
        <v>1.048583219147308</v>
      </c>
      <c r="G309" s="21" t="n">
        <v>0.3387260611921275</v>
      </c>
      <c r="H309" s="21" t="n">
        <v>1.135602093406527</v>
      </c>
    </row>
    <row r="310">
      <c r="A310" s="10" t="n">
        <v>0.505</v>
      </c>
      <c r="B310" s="21" t="n">
        <v>0.3662800116723156</v>
      </c>
      <c r="C310" s="21" t="n">
        <v>1.524895231061904</v>
      </c>
      <c r="D310" s="21" t="n">
        <v>1.70436810870402</v>
      </c>
      <c r="E310" s="21" t="n">
        <v>1.471065462640909</v>
      </c>
      <c r="F310" s="21" t="n">
        <v>1.351597694135023</v>
      </c>
      <c r="G310" s="21" t="n">
        <v>0.4638837452835599</v>
      </c>
      <c r="H310" s="21" t="n">
        <v>1.256613253598276</v>
      </c>
    </row>
    <row r="311">
      <c r="A311" s="10" t="n">
        <v>0.515</v>
      </c>
      <c r="B311" s="21" t="n">
        <v>0.3495953150521309</v>
      </c>
      <c r="C311" s="21" t="n">
        <v>1.50840904080909</v>
      </c>
      <c r="D311" s="21" t="n">
        <v>1.72283360354988</v>
      </c>
      <c r="E311" s="21" t="n">
        <v>1.510906298040099</v>
      </c>
      <c r="F311" s="21" t="n">
        <v>1.40013296074621</v>
      </c>
      <c r="G311" s="21" t="n">
        <v>0.4838405840850475</v>
      </c>
      <c r="H311" s="21" t="n">
        <v>1.272977689811978</v>
      </c>
    </row>
    <row r="312">
      <c r="A312" s="10" t="n">
        <v>0.525</v>
      </c>
      <c r="B312" s="21" t="n">
        <v>0.3490278347626827</v>
      </c>
      <c r="C312" s="21" t="n">
        <v>1.503015535090622</v>
      </c>
      <c r="D312" s="21" t="n">
        <v>1.719077663970473</v>
      </c>
      <c r="E312" s="21" t="n">
        <v>1.508628048471943</v>
      </c>
      <c r="F312" s="21" t="n">
        <v>1.398254281661411</v>
      </c>
      <c r="G312" s="21" t="n">
        <v>0.4879023356956555</v>
      </c>
      <c r="H312" s="21" t="n">
        <v>1.269618914548885</v>
      </c>
    </row>
    <row r="313">
      <c r="A313" s="10" t="n">
        <v>0.535</v>
      </c>
      <c r="B313" s="21" t="n">
        <v>0.3277473406710639</v>
      </c>
      <c r="C313" s="21" t="n">
        <v>1.485241201919841</v>
      </c>
      <c r="D313" s="21" t="n">
        <v>1.786220565359582</v>
      </c>
      <c r="E313" s="21" t="n">
        <v>1.580762721189929</v>
      </c>
      <c r="F313" s="21" t="n">
        <v>1.460088843901875</v>
      </c>
      <c r="G313" s="21" t="n">
        <v>0.5460846277244464</v>
      </c>
      <c r="H313" s="21" t="n">
        <v>1.276043382433686</v>
      </c>
    </row>
    <row r="314">
      <c r="A314" s="10" t="n">
        <v>0.545</v>
      </c>
      <c r="B314" s="21" t="n">
        <v>0.3145884093414878</v>
      </c>
      <c r="C314" s="21" t="n">
        <v>1.444539652145236</v>
      </c>
      <c r="D314" s="21" t="n">
        <v>1.766801453745116</v>
      </c>
      <c r="E314" s="21" t="n">
        <v>1.60476247853606</v>
      </c>
      <c r="F314" s="21" t="n">
        <v>1.510603120184208</v>
      </c>
      <c r="G314" s="21" t="n">
        <v>0.6159705012928565</v>
      </c>
      <c r="H314" s="21" t="n">
        <v>1.305087353036283</v>
      </c>
    </row>
    <row r="315">
      <c r="A315" s="10" t="n">
        <v>0.555</v>
      </c>
      <c r="B315" s="21" t="n">
        <v>0.300102666792571</v>
      </c>
      <c r="C315" s="21" t="n">
        <v>1.339921630758927</v>
      </c>
      <c r="D315" s="21" t="n">
        <v>1.68995910154515</v>
      </c>
      <c r="E315" s="21" t="n">
        <v>1.597224432508595</v>
      </c>
      <c r="F315" s="21" t="n">
        <v>1.554183337416912</v>
      </c>
      <c r="G315" s="21" t="n">
        <v>0.6762033063860413</v>
      </c>
      <c r="H315" s="21" t="n">
        <v>1.307763973028069</v>
      </c>
    </row>
    <row r="316">
      <c r="A316" s="10" t="n">
        <v>0.5649999999999999</v>
      </c>
      <c r="B316" s="21" t="n">
        <v>0.2676985956367876</v>
      </c>
      <c r="C316" s="21" t="n">
        <v>1.207943526654546</v>
      </c>
      <c r="D316" s="21" t="n">
        <v>1.562667137622131</v>
      </c>
      <c r="E316" s="21" t="n">
        <v>1.597377591588398</v>
      </c>
      <c r="F316" s="21" t="n">
        <v>1.652661558624264</v>
      </c>
      <c r="G316" s="21" t="n">
        <v>0.7590888838540285</v>
      </c>
      <c r="H316" s="21" t="n">
        <v>1.326592411293242</v>
      </c>
    </row>
    <row r="317">
      <c r="A317" s="10" t="n">
        <v>0.575</v>
      </c>
      <c r="B317" s="21" t="n">
        <v>0.2382553191784991</v>
      </c>
      <c r="C317" s="21" t="n">
        <v>1.294300657565943</v>
      </c>
      <c r="D317" s="21" t="n">
        <v>1.684055012381977</v>
      </c>
      <c r="E317" s="21" t="n">
        <v>1.702196305067476</v>
      </c>
      <c r="F317" s="21" t="n">
        <v>1.746359401703499</v>
      </c>
      <c r="G317" s="21" t="n">
        <v>0.8101634710236328</v>
      </c>
      <c r="H317" s="21" t="n">
        <v>1.396265007006022</v>
      </c>
    </row>
    <row r="318">
      <c r="A318" s="10" t="n">
        <v>0.585</v>
      </c>
      <c r="B318" s="21" t="n">
        <v>0.2383278311584995</v>
      </c>
      <c r="C318" s="21" t="n">
        <v>1.358776472410963</v>
      </c>
      <c r="D318" s="21" t="n">
        <v>1.780806482410162</v>
      </c>
      <c r="E318" s="21" t="n">
        <v>1.789578466187274</v>
      </c>
      <c r="F318" s="21" t="n">
        <v>1.809787088911357</v>
      </c>
      <c r="G318" s="21" t="n">
        <v>0.8847977662434473</v>
      </c>
      <c r="H318" s="21" t="n">
        <v>1.455880352170611</v>
      </c>
    </row>
    <row r="319">
      <c r="A319" s="10" t="n">
        <v>0.595</v>
      </c>
      <c r="B319" s="21" t="n">
        <v>0.2342935322819966</v>
      </c>
      <c r="C319" s="21" t="n">
        <v>1.339842226156252</v>
      </c>
      <c r="D319" s="21" t="n">
        <v>1.764614857014447</v>
      </c>
      <c r="E319" s="21" t="n">
        <v>1.77975510327562</v>
      </c>
      <c r="F319" s="21" t="n">
        <v>1.81228785545875</v>
      </c>
      <c r="G319" s="21" t="n">
        <v>0.9057379199375668</v>
      </c>
      <c r="H319" s="21" t="n">
        <v>1.452482056982415</v>
      </c>
    </row>
    <row r="320">
      <c r="A320" s="10" t="n">
        <v>0.605</v>
      </c>
      <c r="B320" s="21" t="n">
        <v>0.2076145940936064</v>
      </c>
      <c r="C320" s="21" t="n">
        <v>1.187519417494855</v>
      </c>
      <c r="D320" s="21" t="n">
        <v>1.647482835845219</v>
      </c>
      <c r="E320" s="21" t="n">
        <v>1.852467450209096</v>
      </c>
      <c r="F320" s="21" t="n">
        <v>1.96763658675351</v>
      </c>
      <c r="G320" s="21" t="n">
        <v>1.039898207007919</v>
      </c>
      <c r="H320" s="21" t="n">
        <v>1.451842639664097</v>
      </c>
    </row>
    <row r="321">
      <c r="A321" s="10" t="n">
        <v>0.615</v>
      </c>
      <c r="B321" s="21" t="n">
        <v>0.1850381546192543</v>
      </c>
      <c r="C321" s="21" t="n">
        <v>1.095764579944292</v>
      </c>
      <c r="D321" s="21" t="n">
        <v>1.627215183888597</v>
      </c>
      <c r="E321" s="21" t="n">
        <v>1.894129587402686</v>
      </c>
      <c r="F321" s="21" t="n">
        <v>2.079725363784804</v>
      </c>
      <c r="G321" s="21" t="n">
        <v>1.389554456545183</v>
      </c>
      <c r="H321" s="21" t="n">
        <v>1.428220999815362</v>
      </c>
    </row>
    <row r="322">
      <c r="A322" s="10" t="n">
        <v>0.625</v>
      </c>
      <c r="B322" s="21" t="n">
        <v>0.180158646584881</v>
      </c>
      <c r="C322" s="21" t="n">
        <v>1.066764812535633</v>
      </c>
      <c r="D322" s="21" t="n">
        <v>1.618997436354281</v>
      </c>
      <c r="E322" s="21" t="n">
        <v>1.893985825425964</v>
      </c>
      <c r="F322" s="21" t="n">
        <v>2.087574770096363</v>
      </c>
      <c r="G322" s="21" t="n">
        <v>1.500486150516593</v>
      </c>
      <c r="H322" s="21" t="n">
        <v>1.425730674605745</v>
      </c>
    </row>
    <row r="323">
      <c r="A323" s="10" t="n">
        <v>0.635</v>
      </c>
      <c r="B323" s="21" t="n">
        <v>0.1679881192848452</v>
      </c>
      <c r="C323" s="21" t="n">
        <v>0.9857259409378913</v>
      </c>
      <c r="D323" s="21" t="n">
        <v>1.564314881568066</v>
      </c>
      <c r="E323" s="21" t="n">
        <v>1.82816010203027</v>
      </c>
      <c r="F323" s="21" t="n">
        <v>2.086533561841735</v>
      </c>
      <c r="G323" s="21" t="n">
        <v>1.550634873488683</v>
      </c>
      <c r="H323" s="21" t="n">
        <v>1.383741892274614</v>
      </c>
    </row>
    <row r="324">
      <c r="A324" s="10" t="n">
        <v>0.645</v>
      </c>
      <c r="B324" s="21" t="n">
        <v>0.1258061433601901</v>
      </c>
      <c r="C324" s="21" t="n">
        <v>0.9008968086698308</v>
      </c>
      <c r="D324" s="21" t="n">
        <v>1.510999742851859</v>
      </c>
      <c r="E324" s="21" t="n">
        <v>1.809099831441779</v>
      </c>
      <c r="F324" s="21" t="n">
        <v>2.156896138585317</v>
      </c>
      <c r="G324" s="21" t="n">
        <v>1.671606139050086</v>
      </c>
      <c r="H324" s="21" t="n">
        <v>1.346515723031086</v>
      </c>
    </row>
    <row r="325">
      <c r="A325" s="10" t="n">
        <v>0.655</v>
      </c>
      <c r="B325" s="21" t="n">
        <v>0.07654489917646165</v>
      </c>
      <c r="C325" s="21" t="n">
        <v>0.8994633432767544</v>
      </c>
      <c r="D325" s="21" t="n">
        <v>1.547379992883964</v>
      </c>
      <c r="E325" s="21" t="n">
        <v>1.884901380057352</v>
      </c>
      <c r="F325" s="21" t="n">
        <v>2.281490719007597</v>
      </c>
      <c r="G325" s="21" t="n">
        <v>1.755706708719349</v>
      </c>
      <c r="H325" s="21" t="n">
        <v>1.372136555016889</v>
      </c>
    </row>
    <row r="326">
      <c r="A326" s="10" t="n">
        <v>0.665</v>
      </c>
      <c r="B326" s="21" t="n">
        <v>0.07183951434695619</v>
      </c>
      <c r="C326" s="21" t="n">
        <v>0.8508050018569256</v>
      </c>
      <c r="D326" s="21" t="n">
        <v>1.47471634851862</v>
      </c>
      <c r="E326" s="21" t="n">
        <v>1.813393426336112</v>
      </c>
      <c r="F326" s="21" t="n">
        <v>2.206751340400704</v>
      </c>
      <c r="G326" s="21" t="n">
        <v>1.696938149855206</v>
      </c>
      <c r="H326" s="21" t="n">
        <v>1.319681105176131</v>
      </c>
    </row>
    <row r="327">
      <c r="A327" s="10" t="n">
        <v>0.675</v>
      </c>
      <c r="B327" s="21" t="n">
        <v>0.05705250827147419</v>
      </c>
      <c r="C327" s="21" t="n">
        <v>0.7018485273709172</v>
      </c>
      <c r="D327" s="21" t="n">
        <v>1.323410848200518</v>
      </c>
      <c r="E327" s="21" t="n">
        <v>1.678358782592441</v>
      </c>
      <c r="F327" s="21" t="n">
        <v>2.084241493839019</v>
      </c>
      <c r="G327" s="21" t="n">
        <v>1.7004450803414</v>
      </c>
      <c r="H327" s="21" t="n">
        <v>1.183729831680602</v>
      </c>
    </row>
    <row r="328">
      <c r="A328" s="10" t="n">
        <v>0.6850000000000001</v>
      </c>
      <c r="B328" s="21" t="n">
        <v>0.05705250827147419</v>
      </c>
      <c r="C328" s="21" t="n">
        <v>0.6953985992997475</v>
      </c>
      <c r="D328" s="21" t="n">
        <v>1.329112850903654</v>
      </c>
      <c r="E328" s="21" t="n">
        <v>1.685389948549569</v>
      </c>
      <c r="F328" s="21" t="n">
        <v>2.08505383079234</v>
      </c>
      <c r="G328" s="21" t="n">
        <v>1.724590995839138</v>
      </c>
      <c r="H328" s="21" t="n">
        <v>1.176936354405233</v>
      </c>
    </row>
    <row r="329">
      <c r="A329" s="10" t="n">
        <v>0.695</v>
      </c>
      <c r="B329" s="21" t="n">
        <v>0.05484465402367406</v>
      </c>
      <c r="C329" s="21" t="n">
        <v>0.6837855025649802</v>
      </c>
      <c r="D329" s="21" t="n">
        <v>1.336503471586511</v>
      </c>
      <c r="E329" s="21" t="n">
        <v>1.702651810156079</v>
      </c>
      <c r="F329" s="21" t="n">
        <v>2.085516660530891</v>
      </c>
      <c r="G329" s="21" t="n">
        <v>1.754355117531022</v>
      </c>
      <c r="H329" s="21" t="n">
        <v>1.172265007876697</v>
      </c>
    </row>
    <row r="330">
      <c r="A330" s="10" t="n">
        <v>0.705</v>
      </c>
      <c r="B330" s="21" t="n">
        <v>0.04384091137867002</v>
      </c>
      <c r="C330" s="21" t="n">
        <v>0.6142756623711189</v>
      </c>
      <c r="D330" s="21" t="n">
        <v>1.314092941208209</v>
      </c>
      <c r="E330" s="21" t="n">
        <v>1.64804918648974</v>
      </c>
      <c r="F330" s="21" t="n">
        <v>2.011087674078149</v>
      </c>
      <c r="G330" s="21" t="n">
        <v>1.85616387832268</v>
      </c>
      <c r="H330" s="21" t="n">
        <v>1.079234044005936</v>
      </c>
    </row>
    <row r="331">
      <c r="A331" s="10" t="n">
        <v>0.715</v>
      </c>
      <c r="B331" s="21" t="n">
        <v>0.04061249497625297</v>
      </c>
      <c r="C331" s="21" t="n">
        <v>0.5860322218156984</v>
      </c>
      <c r="D331" s="21" t="n">
        <v>1.27838532490748</v>
      </c>
      <c r="E331" s="21" t="n">
        <v>1.606326471639991</v>
      </c>
      <c r="F331" s="21" t="n">
        <v>1.980059212051052</v>
      </c>
      <c r="G331" s="21" t="n">
        <v>1.849696162306925</v>
      </c>
      <c r="H331" s="21" t="n">
        <v>1.052709298561469</v>
      </c>
    </row>
    <row r="332">
      <c r="A332" s="10" t="n">
        <v>0.725</v>
      </c>
      <c r="B332" s="21" t="n">
        <v>0.009350409534766228</v>
      </c>
      <c r="C332" s="21" t="n">
        <v>0.3654078104801415</v>
      </c>
      <c r="D332" s="21" t="n">
        <v>1.158871237868172</v>
      </c>
      <c r="E332" s="21" t="n">
        <v>1.556666928739343</v>
      </c>
      <c r="F332" s="21" t="n">
        <v>1.953037030629206</v>
      </c>
      <c r="G332" s="21" t="n">
        <v>2.17234101590903</v>
      </c>
      <c r="H332" s="21" t="n">
        <v>0.9564147442334769</v>
      </c>
    </row>
    <row r="333">
      <c r="A333" s="10" t="n">
        <v>0.735</v>
      </c>
      <c r="B333" s="21" t="n">
        <v>0.007983795641222494</v>
      </c>
      <c r="C333" s="21" t="n">
        <v>0.3485205568018463</v>
      </c>
      <c r="D333" s="21" t="n">
        <v>1.142582786401687</v>
      </c>
      <c r="E333" s="21" t="n">
        <v>1.543175393449618</v>
      </c>
      <c r="F333" s="21" t="n">
        <v>1.939006416457859</v>
      </c>
      <c r="G333" s="21" t="n">
        <v>2.262381819605606</v>
      </c>
      <c r="H333" s="21" t="n">
        <v>0.9358771947599444</v>
      </c>
    </row>
    <row r="334">
      <c r="A334" s="10" t="n">
        <v>0.745</v>
      </c>
      <c r="B334" s="21" t="n">
        <v>0.007427664892512294</v>
      </c>
      <c r="C334" s="21" t="n">
        <v>0.3385062867907087</v>
      </c>
      <c r="D334" s="21" t="n">
        <v>1.130109320139842</v>
      </c>
      <c r="E334" s="21" t="n">
        <v>1.534326465863141</v>
      </c>
      <c r="F334" s="21" t="n">
        <v>1.931047572380478</v>
      </c>
      <c r="G334" s="21" t="n">
        <v>2.28923425488311</v>
      </c>
      <c r="H334" s="21" t="n">
        <v>0.9323468039187593</v>
      </c>
    </row>
    <row r="335">
      <c r="A335" s="10" t="n">
        <v>0.755</v>
      </c>
      <c r="B335" s="21" t="n">
        <v>0.006931273427056712</v>
      </c>
      <c r="C335" s="21" t="n">
        <v>0.3159857012457899</v>
      </c>
      <c r="D335" s="21" t="n">
        <v>1.124821663526984</v>
      </c>
      <c r="E335" s="21" t="n">
        <v>1.509761331652345</v>
      </c>
      <c r="F335" s="21" t="n">
        <v>1.947013979786752</v>
      </c>
      <c r="G335" s="21" t="n">
        <v>2.346571382582072</v>
      </c>
      <c r="H335" s="21" t="n">
        <v>0.9058006755825838</v>
      </c>
    </row>
    <row r="336">
      <c r="A336" s="10" t="n">
        <v>0.765</v>
      </c>
      <c r="B336" s="21" t="n">
        <v>0.006804184950241913</v>
      </c>
      <c r="C336" s="21" t="n">
        <v>0.3139045679120986</v>
      </c>
      <c r="D336" s="21" t="n">
        <v>1.133708031151499</v>
      </c>
      <c r="E336" s="21" t="n">
        <v>1.518174295636767</v>
      </c>
      <c r="F336" s="21" t="n">
        <v>1.951583451877122</v>
      </c>
      <c r="G336" s="21" t="n">
        <v>2.380656227687378</v>
      </c>
      <c r="H336" s="21" t="n">
        <v>0.9052689907711627</v>
      </c>
    </row>
    <row r="337">
      <c r="A337" s="10" t="n">
        <v>0.775</v>
      </c>
      <c r="B337" s="21" t="n">
        <v>0.006191301311583299</v>
      </c>
      <c r="C337" s="21" t="n">
        <v>0.3024587211254711</v>
      </c>
      <c r="D337" s="21" t="n">
        <v>1.146533681801538</v>
      </c>
      <c r="E337" s="21" t="n">
        <v>1.537618003362933</v>
      </c>
      <c r="F337" s="21" t="n">
        <v>1.956655725851737</v>
      </c>
      <c r="G337" s="21" t="n">
        <v>2.471572909752965</v>
      </c>
      <c r="H337" s="21" t="n">
        <v>0.9012190927268158</v>
      </c>
    </row>
    <row r="338">
      <c r="A338" s="10" t="n">
        <v>0.785</v>
      </c>
      <c r="B338" s="21" t="n">
        <v>0.00510421509162396</v>
      </c>
      <c r="C338" s="21" t="n">
        <v>0.2881878719388095</v>
      </c>
      <c r="D338" s="21" t="n">
        <v>1.177645860093394</v>
      </c>
      <c r="E338" s="21" t="n">
        <v>1.584321204000232</v>
      </c>
      <c r="F338" s="21" t="n">
        <v>2.002380577791629</v>
      </c>
      <c r="G338" s="21" t="n">
        <v>2.630394357969519</v>
      </c>
      <c r="H338" s="21" t="n">
        <v>0.9659374735723033</v>
      </c>
    </row>
    <row r="339">
      <c r="A339" s="10" t="n">
        <v>0.795</v>
      </c>
      <c r="B339" s="21" t="n">
        <v>0</v>
      </c>
      <c r="C339" s="21" t="n">
        <v>0.2324695041919486</v>
      </c>
      <c r="D339" s="21" t="n">
        <v>1.128212713999799</v>
      </c>
      <c r="E339" s="21" t="n">
        <v>1.511970163849459</v>
      </c>
      <c r="F339" s="21" t="n">
        <v>1.998810594525403</v>
      </c>
      <c r="G339" s="21" t="n">
        <v>2.769483296438768</v>
      </c>
      <c r="H339" s="21" t="n">
        <v>0.9049203703522934</v>
      </c>
    </row>
    <row r="340">
      <c r="A340" s="10" t="n">
        <v>0.805</v>
      </c>
      <c r="B340" s="21" t="n">
        <v>0</v>
      </c>
      <c r="C340" s="21" t="n">
        <v>0.1989167162645388</v>
      </c>
      <c r="D340" s="21" t="n">
        <v>1.074036071067774</v>
      </c>
      <c r="E340" s="21" t="n">
        <v>1.404285087975412</v>
      </c>
      <c r="F340" s="21" t="n">
        <v>1.942159837770314</v>
      </c>
      <c r="G340" s="21" t="n">
        <v>2.75019069420847</v>
      </c>
      <c r="H340" s="21" t="n">
        <v>0.8932940571262072</v>
      </c>
    </row>
    <row r="341">
      <c r="A341" s="10" t="n">
        <v>0.8149999999999999</v>
      </c>
      <c r="B341" s="21" t="n">
        <v>0</v>
      </c>
      <c r="C341" s="21" t="n">
        <v>0.1825159946832706</v>
      </c>
      <c r="D341" s="21" t="n">
        <v>1.047358964647214</v>
      </c>
      <c r="E341" s="21" t="n">
        <v>1.323852430530922</v>
      </c>
      <c r="F341" s="21" t="n">
        <v>1.903241506895865</v>
      </c>
      <c r="G341" s="21" t="n">
        <v>2.664170751171041</v>
      </c>
      <c r="H341" s="21" t="n">
        <v>0.8685789728927387</v>
      </c>
    </row>
    <row r="342">
      <c r="A342" s="10" t="n">
        <v>0.825</v>
      </c>
      <c r="B342" s="21" t="n">
        <v>0</v>
      </c>
      <c r="C342" s="21" t="n">
        <v>0.1825159946832706</v>
      </c>
      <c r="D342" s="21" t="n">
        <v>1.047358964647214</v>
      </c>
      <c r="E342" s="21" t="n">
        <v>1.323852430530922</v>
      </c>
      <c r="F342" s="21" t="n">
        <v>1.903241506895865</v>
      </c>
      <c r="G342" s="21" t="n">
        <v>2.664170751171041</v>
      </c>
      <c r="H342" s="21" t="n">
        <v>0.8685789728927387</v>
      </c>
    </row>
    <row r="343">
      <c r="A343" s="10" t="n">
        <v>0.835</v>
      </c>
      <c r="B343" s="21" t="n">
        <v>0</v>
      </c>
      <c r="C343" s="21" t="n">
        <v>0.1598372428929919</v>
      </c>
      <c r="D343" s="21" t="n">
        <v>0.9219020339522824</v>
      </c>
      <c r="E343" s="21" t="n">
        <v>1.194937176617763</v>
      </c>
      <c r="F343" s="21" t="n">
        <v>1.756691534328277</v>
      </c>
      <c r="G343" s="21" t="n">
        <v>2.706714508144616</v>
      </c>
      <c r="H343" s="21" t="n">
        <v>0.8634524174145772</v>
      </c>
    </row>
    <row r="344">
      <c r="A344" s="10" t="n">
        <v>0.845</v>
      </c>
      <c r="B344" s="21" t="n">
        <v>0</v>
      </c>
      <c r="C344" s="21" t="n">
        <v>0.1426904092146371</v>
      </c>
      <c r="D344" s="21" t="n">
        <v>0.8272783798212123</v>
      </c>
      <c r="E344" s="21" t="n">
        <v>1.093335468501513</v>
      </c>
      <c r="F344" s="21" t="n">
        <v>1.625175864651607</v>
      </c>
      <c r="G344" s="21" t="n">
        <v>2.690897505445812</v>
      </c>
      <c r="H344" s="21" t="n">
        <v>0.8604412185124952</v>
      </c>
    </row>
    <row r="345">
      <c r="A345" s="10" t="n">
        <v>0.855</v>
      </c>
      <c r="B345" s="21" t="n">
        <v>0</v>
      </c>
      <c r="C345" s="21" t="n">
        <v>0.1332445640082766</v>
      </c>
      <c r="D345" s="21" t="n">
        <v>0.7730318255089013</v>
      </c>
      <c r="E345" s="21" t="n">
        <v>1.030741862415697</v>
      </c>
      <c r="F345" s="21" t="n">
        <v>1.554119123371024</v>
      </c>
      <c r="G345" s="21" t="n">
        <v>2.611225503271124</v>
      </c>
      <c r="H345" s="21" t="n">
        <v>0.8452772744841562</v>
      </c>
    </row>
    <row r="346">
      <c r="A346" s="10" t="n">
        <v>0.865</v>
      </c>
      <c r="B346" s="21" t="n">
        <v>0</v>
      </c>
      <c r="C346" s="21" t="n">
        <v>0.1073778499483172</v>
      </c>
      <c r="D346" s="21" t="n">
        <v>0.6599992996384085</v>
      </c>
      <c r="E346" s="21" t="n">
        <v>0.887739811795233</v>
      </c>
      <c r="F346" s="21" t="n">
        <v>1.357071803894875</v>
      </c>
      <c r="G346" s="21" t="n">
        <v>2.579299878834999</v>
      </c>
      <c r="H346" s="21" t="n">
        <v>0.8240197026520297</v>
      </c>
    </row>
    <row r="347">
      <c r="A347" s="10" t="n">
        <v>0.875</v>
      </c>
      <c r="B347" s="21" t="n">
        <v>0</v>
      </c>
      <c r="C347" s="21" t="n">
        <v>0.08759183194510974</v>
      </c>
      <c r="D347" s="21" t="n">
        <v>0.5766334639749939</v>
      </c>
      <c r="E347" s="21" t="n">
        <v>0.781268594531491</v>
      </c>
      <c r="F347" s="21" t="n">
        <v>1.217026796495277</v>
      </c>
      <c r="G347" s="21" t="n">
        <v>2.587101513984741</v>
      </c>
      <c r="H347" s="21" t="n">
        <v>0.8146317351520691</v>
      </c>
    </row>
    <row r="348">
      <c r="A348" s="10" t="n">
        <v>0.885</v>
      </c>
      <c r="B348" s="21" t="n">
        <v>0</v>
      </c>
      <c r="C348" s="21" t="n">
        <v>0.08618020352581156</v>
      </c>
      <c r="D348" s="21" t="n">
        <v>0.5728450313128484</v>
      </c>
      <c r="E348" s="21" t="n">
        <v>0.7744863413417078</v>
      </c>
      <c r="F348" s="21" t="n">
        <v>1.204178292683803</v>
      </c>
      <c r="G348" s="21" t="n">
        <v>2.581568352543639</v>
      </c>
      <c r="H348" s="21" t="n">
        <v>0.8113838781003209</v>
      </c>
    </row>
    <row r="349">
      <c r="A349" s="10" t="n">
        <v>0.895</v>
      </c>
      <c r="B349" s="21" t="n">
        <v>0</v>
      </c>
      <c r="C349" s="21" t="n">
        <v>0.06488272098695233</v>
      </c>
      <c r="D349" s="21" t="n">
        <v>0.461667465105784</v>
      </c>
      <c r="E349" s="21" t="n">
        <v>0.6087958837471446</v>
      </c>
      <c r="F349" s="21" t="n">
        <v>0.9833284321310634</v>
      </c>
      <c r="G349" s="21" t="n">
        <v>2.630299221369311</v>
      </c>
      <c r="H349" s="21" t="n">
        <v>0.6567762988880734</v>
      </c>
    </row>
    <row r="350">
      <c r="A350" s="10" t="n">
        <v>0.905</v>
      </c>
      <c r="B350" s="21" t="n">
        <v>0</v>
      </c>
      <c r="C350" s="21" t="n">
        <v>0.05706066352577593</v>
      </c>
      <c r="D350" s="21" t="n">
        <v>0.4089299586508326</v>
      </c>
      <c r="E350" s="21" t="n">
        <v>0.5370194541454711</v>
      </c>
      <c r="F350" s="21" t="n">
        <v>0.9254364521444607</v>
      </c>
      <c r="G350" s="21" t="n">
        <v>2.7766967261783</v>
      </c>
      <c r="H350" s="21" t="n">
        <v>0.6466046489362844</v>
      </c>
    </row>
    <row r="351">
      <c r="A351" s="10" t="n">
        <v>0.915</v>
      </c>
      <c r="B351" s="21" t="n">
        <v>0</v>
      </c>
      <c r="C351" s="21" t="n">
        <v>0.05570218786703715</v>
      </c>
      <c r="D351" s="21" t="n">
        <v>0.4006415994417518</v>
      </c>
      <c r="E351" s="21" t="n">
        <v>0.523927983387387</v>
      </c>
      <c r="F351" s="21" t="n">
        <v>0.9039617771842774</v>
      </c>
      <c r="G351" s="21" t="n">
        <v>2.746674854476413</v>
      </c>
      <c r="H351" s="21" t="n">
        <v>0.6342370706954441</v>
      </c>
    </row>
    <row r="352">
      <c r="A352" s="10" t="n">
        <v>0.925</v>
      </c>
      <c r="B352" s="21" t="n">
        <v>0</v>
      </c>
      <c r="C352" s="21" t="n">
        <v>0.05150927368436536</v>
      </c>
      <c r="D352" s="21" t="n">
        <v>0.3764621343940574</v>
      </c>
      <c r="E352" s="21" t="n">
        <v>0.4841253690333527</v>
      </c>
      <c r="F352" s="21" t="n">
        <v>0.8342903770934551</v>
      </c>
      <c r="G352" s="21" t="n">
        <v>2.616948121201038</v>
      </c>
      <c r="H352" s="21" t="n">
        <v>0.5981692910859023</v>
      </c>
    </row>
    <row r="353">
      <c r="A353" s="10" t="n">
        <v>0.9350000000000001</v>
      </c>
      <c r="B353" s="21" t="n">
        <v>0</v>
      </c>
      <c r="C353" s="21" t="n">
        <v>0.03967399635387891</v>
      </c>
      <c r="D353" s="21" t="n">
        <v>0.3358502227107302</v>
      </c>
      <c r="E353" s="21" t="n">
        <v>0.4196149478798673</v>
      </c>
      <c r="F353" s="21" t="n">
        <v>0.7461946338651002</v>
      </c>
      <c r="G353" s="21" t="n">
        <v>2.77502263705627</v>
      </c>
      <c r="H353" s="21" t="n">
        <v>0.585157245791236</v>
      </c>
    </row>
    <row r="354">
      <c r="A354" s="10" t="n">
        <v>0.945</v>
      </c>
      <c r="B354" s="21" t="n">
        <v>0</v>
      </c>
      <c r="C354" s="21" t="n">
        <v>0.02501948657798472</v>
      </c>
      <c r="D354" s="21" t="n">
        <v>0.2637707542379893</v>
      </c>
      <c r="E354" s="21" t="n">
        <v>0.3148440661021794</v>
      </c>
      <c r="F354" s="21" t="n">
        <v>0.5858854179402364</v>
      </c>
      <c r="G354" s="21" t="n">
        <v>2.657156344223852</v>
      </c>
      <c r="H354" s="21" t="n">
        <v>0.5308078644649261</v>
      </c>
    </row>
    <row r="355">
      <c r="A355" s="10" t="n">
        <v>0.955</v>
      </c>
      <c r="B355" s="21" t="n">
        <v>0</v>
      </c>
      <c r="C355" s="21" t="n">
        <v>0.01634778841409083</v>
      </c>
      <c r="D355" s="21" t="n">
        <v>0.2126128990860389</v>
      </c>
      <c r="E355" s="21" t="n">
        <v>0.2430166856348224</v>
      </c>
      <c r="F355" s="21" t="n">
        <v>0.4568152138243896</v>
      </c>
      <c r="G355" s="21" t="n">
        <v>2.273624253025463</v>
      </c>
      <c r="H355" s="21" t="n">
        <v>0.4935438276009413</v>
      </c>
    </row>
    <row r="356">
      <c r="A356" s="10" t="n">
        <v>0.965</v>
      </c>
      <c r="B356" s="21" t="n">
        <v>0</v>
      </c>
      <c r="C356" s="21" t="n">
        <v>0.0129505393461387</v>
      </c>
      <c r="D356" s="21" t="n">
        <v>0.1861365182702057</v>
      </c>
      <c r="E356" s="21" t="n">
        <v>0.2099522682039955</v>
      </c>
      <c r="F356" s="21" t="n">
        <v>0.3936790455875662</v>
      </c>
      <c r="G356" s="21" t="n">
        <v>2.105870881437453</v>
      </c>
      <c r="H356" s="21" t="n">
        <v>0.4651392012355764</v>
      </c>
    </row>
    <row r="357">
      <c r="A357" s="10" t="n">
        <v>0.975</v>
      </c>
      <c r="B357" s="21" t="n">
        <v>0</v>
      </c>
      <c r="C357" s="21" t="n">
        <v>0.003585660064516414</v>
      </c>
      <c r="D357" s="21" t="n">
        <v>0.1170869456336769</v>
      </c>
      <c r="E357" s="21" t="n">
        <v>0.1225272632297918</v>
      </c>
      <c r="F357" s="21" t="n">
        <v>0.2372411078145948</v>
      </c>
      <c r="G357" s="21" t="n">
        <v>1.706400576502403</v>
      </c>
      <c r="H357" s="21" t="n">
        <v>0.3846236053605293</v>
      </c>
    </row>
    <row r="358">
      <c r="A358" s="10" t="n">
        <v>0.985</v>
      </c>
      <c r="B358" s="21" t="n">
        <v>0</v>
      </c>
      <c r="C358" s="21" t="n">
        <v>0.003585660064516414</v>
      </c>
      <c r="D358" s="21" t="n">
        <v>0.1138151361934506</v>
      </c>
      <c r="E358" s="21" t="n">
        <v>0.1188145004636117</v>
      </c>
      <c r="F358" s="21" t="n">
        <v>0.2306538094403781</v>
      </c>
      <c r="G358" s="21" t="n">
        <v>1.666938160964544</v>
      </c>
      <c r="H358" s="21" t="n">
        <v>0.375144792757016</v>
      </c>
    </row>
    <row r="359">
      <c r="A359" s="10" t="n">
        <v>0.995</v>
      </c>
      <c r="B359" s="21" t="n">
        <v>0</v>
      </c>
      <c r="C359" s="21" t="n">
        <v>0.003585660064516414</v>
      </c>
      <c r="D359" s="21" t="n">
        <v>0.1138151361934506</v>
      </c>
      <c r="E359" s="21" t="n">
        <v>0.1188145004636117</v>
      </c>
      <c r="F359" s="21" t="n">
        <v>0.2306538094403781</v>
      </c>
      <c r="G359" s="21" t="n">
        <v>1.666938160964544</v>
      </c>
      <c r="H359" s="21" t="n">
        <v>0.375144792757016</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1" t="n">
        <v>0.181</v>
      </c>
      <c r="F385" s="21" t="n">
        <v>0.515</v>
      </c>
      <c r="G385" s="21" t="n">
        <v>0.793</v>
      </c>
      <c r="H385" s="21" t="n">
        <v>0.9320000000000001</v>
      </c>
    </row>
    <row r="386">
      <c r="A386" s="10" t="inlineStr">
        <is>
          <t>PJ-2020-B</t>
        </is>
      </c>
      <c r="B386" s="10" t="inlineStr">
        <is>
          <t>ブレイブフロンティア外伝(後半集中)</t>
        </is>
      </c>
      <c r="C386" s="10" t="inlineStr">
        <is>
          <t>大型アップデート</t>
        </is>
      </c>
      <c r="D386" s="10" t="n">
        <v>14</v>
      </c>
      <c r="E386" s="21" t="n">
        <v/>
      </c>
      <c r="F386" s="21" t="n">
        <v>0.608</v>
      </c>
      <c r="G386" s="21" t="n">
        <v>0.752</v>
      </c>
      <c r="H386" s="21" t="n">
        <v>0.899</v>
      </c>
    </row>
    <row r="387">
      <c r="A387" s="10" t="inlineStr">
        <is>
          <t>PJ-2020-C</t>
        </is>
      </c>
      <c r="B387" s="10" t="inlineStr">
        <is>
          <t>クロノスギア(二山)</t>
        </is>
      </c>
      <c r="C387" s="10" t="inlineStr">
        <is>
          <t>新規タイトル開発</t>
        </is>
      </c>
      <c r="D387" s="10" t="n">
        <v>30</v>
      </c>
      <c r="E387" s="21" t="n">
        <v>0.218</v>
      </c>
      <c r="F387" s="21" t="n">
        <v>0.483</v>
      </c>
      <c r="G387" s="21" t="n">
        <v>0.65</v>
      </c>
      <c r="H387" s="21" t="n">
        <v>0.917</v>
      </c>
    </row>
    <row r="388">
      <c r="A388" s="10" t="inlineStr">
        <is>
          <t>PJ-2021-D</t>
        </is>
      </c>
      <c r="B388" s="10" t="inlineStr">
        <is>
          <t>蒼穹のレガリア HD Edition(前倒し)</t>
        </is>
      </c>
      <c r="C388" s="10" t="inlineStr">
        <is>
          <t>移植・リマスター</t>
        </is>
      </c>
      <c r="D388" s="10" t="n">
        <v>15</v>
      </c>
      <c r="E388" s="21" t="n">
        <v/>
      </c>
      <c r="F388" s="21" t="n">
        <v>0.569</v>
      </c>
      <c r="G388" s="21" t="n">
        <v>0.767</v>
      </c>
      <c r="H388" s="21" t="n">
        <v>0.901</v>
      </c>
    </row>
    <row r="389">
      <c r="A389" s="10" t="inlineStr">
        <is>
          <t>PJ-2021-E</t>
        </is>
      </c>
      <c r="B389" s="10" t="inlineStr">
        <is>
          <t>シャドウヴェイル</t>
        </is>
      </c>
      <c r="C389" s="10" t="inlineStr">
        <is>
          <t>新規タイトル開発</t>
        </is>
      </c>
      <c r="D389" s="10" t="n">
        <v>36</v>
      </c>
      <c r="E389" s="21" t="n">
        <v>0.263</v>
      </c>
      <c r="F389" s="21" t="n">
        <v>0.429</v>
      </c>
      <c r="G389" s="21" t="n">
        <v>0.735</v>
      </c>
      <c r="H389" s="21" t="n">
        <v>0.875</v>
      </c>
    </row>
    <row r="390">
      <c r="A390" s="10" t="inlineStr">
        <is>
          <t>PJ-2022-F</t>
        </is>
      </c>
      <c r="B390" s="10" t="inlineStr">
        <is>
          <t>ネオンハーツ Season2</t>
        </is>
      </c>
      <c r="C390" s="10" t="inlineStr">
        <is>
          <t>大型アップデート</t>
        </is>
      </c>
      <c r="D390" s="10" t="n">
        <v>18</v>
      </c>
      <c r="E390" s="21" t="n">
        <v/>
      </c>
      <c r="F390" s="21" t="n">
        <v>0.473</v>
      </c>
      <c r="G390" s="21" t="n">
        <v>0.804</v>
      </c>
      <c r="H390" s="21" t="n">
        <v>0.918</v>
      </c>
    </row>
    <row r="391">
      <c r="A391" s="10" t="inlineStr">
        <is>
          <t>PJ-2022-G</t>
        </is>
      </c>
      <c r="B391" s="10" t="inlineStr">
        <is>
          <t>ギルドマスターズ(前倒し)</t>
        </is>
      </c>
      <c r="C391" s="10" t="inlineStr">
        <is>
          <t>新規タイトル開発</t>
        </is>
      </c>
      <c r="D391" s="10" t="n">
        <v>24</v>
      </c>
      <c r="E391" s="21" t="n">
        <v>0.226</v>
      </c>
      <c r="F391" s="21" t="n">
        <v>0.479</v>
      </c>
      <c r="G391" s="21" t="n">
        <v>0.727</v>
      </c>
      <c r="H391" s="21" t="n">
        <v>0.9370000000000001</v>
      </c>
    </row>
    <row r="392">
      <c r="A392" s="10" t="inlineStr">
        <is>
          <t>PJ-2023-H</t>
        </is>
      </c>
      <c r="B392" s="10" t="inlineStr">
        <is>
          <t>クロノスギア:蒼き遺産</t>
        </is>
      </c>
      <c r="C392" s="10" t="inlineStr">
        <is>
          <t>大型アップデート</t>
        </is>
      </c>
      <c r="D392" s="10" t="n">
        <v>20</v>
      </c>
      <c r="E392" s="21" t="n">
        <v/>
      </c>
      <c r="F392" s="21" t="n">
        <v>0.423</v>
      </c>
      <c r="G392" s="21" t="n">
        <v>0.773</v>
      </c>
      <c r="H392" s="21" t="n">
        <v>0.924</v>
      </c>
    </row>
    <row r="393">
      <c r="A393" s="10" t="inlineStr">
        <is>
          <t>PJ-2023-I</t>
        </is>
      </c>
      <c r="B393" s="10" t="inlineStr">
        <is>
          <t>ブレイブフロンティア Remaster</t>
        </is>
      </c>
      <c r="C393" s="10" t="inlineStr">
        <is>
          <t>移植・リマスター</t>
        </is>
      </c>
      <c r="D393" s="10" t="n">
        <v>18</v>
      </c>
      <c r="E393" s="21" t="n">
        <v/>
      </c>
      <c r="F393" s="21" t="n">
        <v>0.474</v>
      </c>
      <c r="G393" s="21" t="n">
        <v>0.694</v>
      </c>
      <c r="H393" s="21" t="n">
        <v>0.916</v>
      </c>
    </row>
    <row r="394">
      <c r="A394" s="10" t="inlineStr">
        <is>
          <t>PJ-2024-J</t>
        </is>
      </c>
      <c r="B394" s="10" t="inlineStr">
        <is>
          <t>オーヴァーロード・サーガ(後半集中)</t>
        </is>
      </c>
      <c r="C394" s="10" t="inlineStr">
        <is>
          <t>新規タイトル開発</t>
        </is>
      </c>
      <c r="D394" s="10" t="n">
        <v>30</v>
      </c>
      <c r="E394" s="21" t="n">
        <v>0.25</v>
      </c>
      <c r="F394" s="21" t="n">
        <v>0.516</v>
      </c>
      <c r="G394" s="21" t="n">
        <v>0.6840000000000001</v>
      </c>
      <c r="H394" s="21" t="n">
        <v>0.917</v>
      </c>
    </row>
    <row r="395">
      <c r="A395" s="10" t="inlineStr">
        <is>
          <t>(正準位置)</t>
        </is>
      </c>
      <c r="B395" s="10" t="inlineStr"/>
      <c r="C395" s="10" t="inlineStr"/>
      <c r="D395" s="10" t="n">
        <v/>
      </c>
      <c r="E395" s="21" t="n">
        <v/>
      </c>
      <c r="F395" s="21" t="n">
        <v/>
      </c>
      <c r="G395" s="21" t="n">
        <v/>
      </c>
      <c r="H395" s="21" t="n">
        <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82"/>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2026-09-03 11:03:41</t>
        </is>
      </c>
    </row>
    <row r="7">
      <c r="A7" s="10" t="inlineStr">
        <is>
          <t>予測対象</t>
        </is>
      </c>
      <c r="B7" s="10" t="inlineStr">
        <is>
          <t>PJ-2026-K  蒼穹のレガリア II</t>
        </is>
      </c>
    </row>
    <row r="8">
      <c r="A8" s="10" t="inlineStr">
        <is>
          <t>マスタ</t>
        </is>
      </c>
      <c r="B8" s="10" t="inlineStr">
        <is>
          <t>/home/user/Man-hour-forecasting/data/master.xlsx</t>
        </is>
      </c>
    </row>
    <row r="9">
      <c r="A9" s="10" t="inlineStr">
        <is>
          <t>実績データ</t>
        </is>
      </c>
      <c r="B9" s="10" t="inlineStr">
        <is>
          <t>/home/user/Man-hour-forecasting/data/actuals.csv</t>
        </is>
      </c>
    </row>
    <row r="10">
      <c r="A10" s="10" t="inlineStr">
        <is>
          <t>集約軸</t>
        </is>
      </c>
      <c r="B10" s="10" t="inlineStr">
        <is>
          <t>行程グループ</t>
        </is>
      </c>
    </row>
    <row r="11">
      <c r="A11" s="10" t="inlineStr">
        <is>
          <t>位置合わせ</t>
        </is>
      </c>
      <c r="B11" s="10" t="inlineStr">
        <is>
          <t>OFF</t>
        </is>
      </c>
    </row>
    <row r="12">
      <c r="A12" s="10" t="inlineStr">
        <is>
          <t>背骨マイルストーン</t>
        </is>
      </c>
      <c r="B12" s="10" t="inlineStr">
        <is>
          <t>(なし)</t>
        </is>
      </c>
    </row>
    <row r="13">
      <c r="A13" s="10" t="inlineStr">
        <is>
          <t>背骨最小カバー率</t>
        </is>
      </c>
      <c r="B13" s="10" t="n">
        <v>0.6</v>
      </c>
    </row>
    <row r="14">
      <c r="A14" s="10" t="inlineStr">
        <is>
          <t>マイルストーン精度</t>
        </is>
      </c>
      <c r="B14" s="10" t="inlineStr">
        <is>
          <t>月</t>
        </is>
      </c>
    </row>
    <row r="15">
      <c r="A15" s="10" t="inlineStr">
        <is>
          <t>位置合わせ強度</t>
        </is>
      </c>
      <c r="B15" s="10" t="n">
        <v>1</v>
      </c>
    </row>
    <row r="16">
      <c r="A16" s="10" t="inlineStr">
        <is>
          <t>伸縮率上限</t>
        </is>
      </c>
      <c r="B16" s="10" t="inlineStr">
        <is>
          <t>無制限</t>
        </is>
      </c>
    </row>
    <row r="17">
      <c r="A17" s="10" t="inlineStr">
        <is>
          <t>カーブ復元</t>
        </is>
      </c>
      <c r="B17" s="10" t="inlineStr">
        <is>
          <t>月内均等</t>
        </is>
      </c>
    </row>
    <row r="18">
      <c r="A18" s="10" t="inlineStr">
        <is>
          <t>カーブ解像度</t>
        </is>
      </c>
      <c r="B18" s="10" t="n">
        <v>100</v>
      </c>
    </row>
    <row r="19">
      <c r="A19" s="10" t="inlineStr">
        <is>
          <t>人月換算係数</t>
        </is>
      </c>
      <c r="B19" s="10" t="n">
        <v>160</v>
      </c>
    </row>
    <row r="20">
      <c r="A20" s="10" t="inlineStr">
        <is>
          <t>学習案件数</t>
        </is>
      </c>
      <c r="B20" s="10" t="n">
        <v>10</v>
      </c>
    </row>
    <row r="21">
      <c r="A21" s="10" t="inlineStr">
        <is>
          <t>総量の根拠</t>
        </is>
      </c>
      <c r="B21" s="10" t="inlineStr">
        <is>
          <t>契約人月 + 学習比率</t>
        </is>
      </c>
    </row>
    <row r="22">
      <c r="A22" s="10" t="inlineStr">
        <is>
          <t>予測した行程グループ</t>
        </is>
      </c>
      <c r="B22" s="10" t="inlineStr">
        <is>
          <t>企画・プリプロ, ゲームデザイン・シナリオ, プログラム, アート, サウンド, QA・デバッグ, PM・運営</t>
        </is>
      </c>
    </row>
    <row r="23">
      <c r="A23" s="10" t="inlineStr">
        <is>
          <t>除外した行程グループ</t>
        </is>
      </c>
      <c r="B23" s="10" t="inlineStr">
        <is>
          <t>(なし)</t>
        </is>
      </c>
    </row>
    <row r="24">
      <c r="A24" s="10" t="inlineStr">
        <is>
          <t>実装範囲</t>
        </is>
      </c>
      <c r="B24" s="10" t="inlineStr">
        <is>
          <t>実装順序 1〜2(素朴版 + マイルストーン位置合わせ) + 見積もりによる総量指定</t>
        </is>
      </c>
    </row>
    <row r="25">
      <c r="A25" s="10" t="inlineStr">
        <is>
          <t>未使用パラメータ</t>
        </is>
      </c>
      <c r="B25" s="10" t="inlineStr">
        <is>
          <t>k=3.0, タグ重み係数=0.5 (実装順序 3・4 で使用予定)</t>
        </is>
      </c>
    </row>
    <row r="27">
      <c r="A27" s="6" t="inlineStr">
        <is>
          <t>■ 人月換算</t>
        </is>
      </c>
    </row>
    <row r="28">
      <c r="A28" s="2" t="inlineStr">
        <is>
          <t>換算係数</t>
        </is>
      </c>
      <c r="B28" s="4" t="n">
        <v>160</v>
      </c>
      <c r="C28" s="2" t="inlineStr">
        <is>
          <t>時間 / 人月</t>
        </is>
      </c>
    </row>
    <row r="29">
      <c r="A29" s="5" t="inlineStr">
        <is>
          <t>人月の定義は組織によって揺れる。この係数を明記しないまま数字が独り歩きすると議論が噛み合わなくなる(設計書 4-3)。</t>
        </is>
      </c>
    </row>
    <row r="31">
      <c r="A31" s="6" t="inlineStr">
        <is>
          <t>■ 学習に使用した案件と重み</t>
        </is>
      </c>
    </row>
    <row r="32">
      <c r="A32" s="5" t="inlineStr">
        <is>
          <t>第1版(素朴版+位置合わせ)では全案件の重みを 1.0 で固定している。種別・タグによる重み付けは実装順序 3・4 で導入する。</t>
        </is>
      </c>
    </row>
    <row r="33">
      <c r="A33" s="8" t="inlineStr">
        <is>
          <t>案件ID</t>
        </is>
      </c>
      <c r="B33" s="8" t="inlineStr">
        <is>
          <t>名称</t>
        </is>
      </c>
      <c r="C33" s="8" t="inlineStr">
        <is>
          <t>種別</t>
        </is>
      </c>
      <c r="D33" s="8" t="inlineStr">
        <is>
          <t>重み</t>
        </is>
      </c>
      <c r="E33" s="8" t="inlineStr">
        <is>
          <t>契約人月</t>
        </is>
      </c>
      <c r="F33" s="8" t="inlineStr">
        <is>
          <t>実績人月</t>
        </is>
      </c>
      <c r="G33" s="8" t="inlineStr">
        <is>
          <t>乖離率(%)</t>
        </is>
      </c>
      <c r="H33" s="8" t="inlineStr">
        <is>
          <t>期間(月)</t>
        </is>
      </c>
      <c r="I33" s="8" t="inlineStr">
        <is>
          <t>マイルストーン数</t>
        </is>
      </c>
    </row>
    <row r="34">
      <c r="A34" s="10" t="inlineStr">
        <is>
          <t>PJ-2019-A</t>
        </is>
      </c>
      <c r="B34" s="10" t="inlineStr">
        <is>
          <t>蒼穹のレガリア</t>
        </is>
      </c>
      <c r="C34" s="10" t="inlineStr">
        <is>
          <t>新規タイトル開発</t>
        </is>
      </c>
      <c r="D34" s="22" t="n">
        <v>1</v>
      </c>
      <c r="E34" s="12" t="n">
        <v>2400</v>
      </c>
      <c r="F34" s="12" t="n">
        <v>2372.3</v>
      </c>
      <c r="G34" s="10" t="n">
        <v>-1.2</v>
      </c>
      <c r="H34" s="10" t="n">
        <v>36</v>
      </c>
      <c r="I34" s="10" t="n">
        <v>4</v>
      </c>
    </row>
    <row r="35">
      <c r="A35" s="10" t="inlineStr">
        <is>
          <t>PJ-2020-B</t>
        </is>
      </c>
      <c r="B35" s="10" t="inlineStr">
        <is>
          <t>ブレイブフロンティア外伝(後半集中)</t>
        </is>
      </c>
      <c r="C35" s="10" t="inlineStr">
        <is>
          <t>大型アップデート</t>
        </is>
      </c>
      <c r="D35" s="22" t="n">
        <v>1</v>
      </c>
      <c r="E35" s="12" t="n">
        <v>620</v>
      </c>
      <c r="F35" s="12" t="n">
        <v>625.1</v>
      </c>
      <c r="G35" s="10" t="n">
        <v>0.8</v>
      </c>
      <c r="H35" s="10" t="n">
        <v>14</v>
      </c>
      <c r="I35" s="10" t="n">
        <v>3</v>
      </c>
    </row>
    <row r="36">
      <c r="A36" s="10" t="inlineStr">
        <is>
          <t>PJ-2020-C</t>
        </is>
      </c>
      <c r="B36" s="10" t="inlineStr">
        <is>
          <t>クロノスギア(二山)</t>
        </is>
      </c>
      <c r="C36" s="10" t="inlineStr">
        <is>
          <t>新規タイトル開発</t>
        </is>
      </c>
      <c r="D36" s="22" t="n">
        <v>1</v>
      </c>
      <c r="E36" s="12" t="n">
        <v>1800</v>
      </c>
      <c r="F36" s="12" t="n">
        <v>1806.5</v>
      </c>
      <c r="G36" s="10" t="n">
        <v>0.4</v>
      </c>
      <c r="H36" s="10" t="n">
        <v>30</v>
      </c>
      <c r="I36" s="10" t="n">
        <v>4</v>
      </c>
    </row>
    <row r="37">
      <c r="A37" s="10" t="inlineStr">
        <is>
          <t>PJ-2021-D</t>
        </is>
      </c>
      <c r="B37" s="10" t="inlineStr">
        <is>
          <t>蒼穹のレガリア HD Edition(前倒し)</t>
        </is>
      </c>
      <c r="C37" s="10" t="inlineStr">
        <is>
          <t>移植・リマスター</t>
        </is>
      </c>
      <c r="D37" s="22" t="n">
        <v>1</v>
      </c>
      <c r="E37" s="12" t="n">
        <v>520</v>
      </c>
      <c r="F37" s="12" t="n">
        <v>518.2</v>
      </c>
      <c r="G37" s="10" t="n">
        <v>-0.3</v>
      </c>
      <c r="H37" s="10" t="n">
        <v>15</v>
      </c>
      <c r="I37" s="10" t="n">
        <v>3</v>
      </c>
    </row>
    <row r="38">
      <c r="A38" s="10" t="inlineStr">
        <is>
          <t>PJ-2021-E</t>
        </is>
      </c>
      <c r="B38" s="10" t="inlineStr">
        <is>
          <t>シャドウヴェイル</t>
        </is>
      </c>
      <c r="C38" s="10" t="inlineStr">
        <is>
          <t>新規タイトル開発</t>
        </is>
      </c>
      <c r="D38" s="22" t="n">
        <v>1</v>
      </c>
      <c r="E38" s="12" t="n">
        <v>2950</v>
      </c>
      <c r="F38" s="12" t="n">
        <v>3013.4</v>
      </c>
      <c r="G38" s="10" t="n">
        <v>2.2</v>
      </c>
      <c r="H38" s="10" t="n">
        <v>36</v>
      </c>
      <c r="I38" s="10" t="n">
        <v>4</v>
      </c>
    </row>
    <row r="39">
      <c r="A39" s="10" t="inlineStr">
        <is>
          <t>PJ-2022-F</t>
        </is>
      </c>
      <c r="B39" s="10" t="inlineStr">
        <is>
          <t>ネオンハーツ Season2</t>
        </is>
      </c>
      <c r="C39" s="10" t="inlineStr">
        <is>
          <t>大型アップデート</t>
        </is>
      </c>
      <c r="D39" s="22" t="n">
        <v>1</v>
      </c>
      <c r="E39" s="12" t="n">
        <v>880</v>
      </c>
      <c r="F39" s="12" t="n">
        <v>881.8</v>
      </c>
      <c r="G39" s="10" t="n">
        <v>0.2</v>
      </c>
      <c r="H39" s="10" t="n">
        <v>18</v>
      </c>
      <c r="I39" s="10" t="n">
        <v>3</v>
      </c>
    </row>
    <row r="40">
      <c r="A40" s="10" t="inlineStr">
        <is>
          <t>PJ-2022-G</t>
        </is>
      </c>
      <c r="B40" s="10" t="inlineStr">
        <is>
          <t>ギルドマスターズ(前倒し)</t>
        </is>
      </c>
      <c r="C40" s="10" t="inlineStr">
        <is>
          <t>新規タイトル開発</t>
        </is>
      </c>
      <c r="D40" s="22" t="n">
        <v>1</v>
      </c>
      <c r="E40" s="12" t="n">
        <v>1450</v>
      </c>
      <c r="F40" s="12" t="n">
        <v>1461</v>
      </c>
      <c r="G40" s="10" t="n">
        <v>0.8</v>
      </c>
      <c r="H40" s="10" t="n">
        <v>24</v>
      </c>
      <c r="I40" s="10" t="n">
        <v>4</v>
      </c>
    </row>
    <row r="41">
      <c r="A41" s="10" t="inlineStr">
        <is>
          <t>PJ-2023-H</t>
        </is>
      </c>
      <c r="B41" s="10" t="inlineStr">
        <is>
          <t>クロノスギア:蒼き遺産</t>
        </is>
      </c>
      <c r="C41" s="10" t="inlineStr">
        <is>
          <t>大型アップデート</t>
        </is>
      </c>
      <c r="D41" s="22" t="n">
        <v>1</v>
      </c>
      <c r="E41" s="12" t="n">
        <v>1100</v>
      </c>
      <c r="F41" s="12" t="n">
        <v>1104.9</v>
      </c>
      <c r="G41" s="10" t="n">
        <v>0.4</v>
      </c>
      <c r="H41" s="10" t="n">
        <v>20</v>
      </c>
      <c r="I41" s="10" t="n">
        <v>3</v>
      </c>
    </row>
    <row r="42">
      <c r="A42" s="10" t="inlineStr">
        <is>
          <t>PJ-2023-I</t>
        </is>
      </c>
      <c r="B42" s="10" t="inlineStr">
        <is>
          <t>ブレイブフロンティア Remaster</t>
        </is>
      </c>
      <c r="C42" s="10" t="inlineStr">
        <is>
          <t>移植・リマスター</t>
        </is>
      </c>
      <c r="D42" s="22" t="n">
        <v>1</v>
      </c>
      <c r="E42" s="12" t="n">
        <v>700</v>
      </c>
      <c r="F42" s="12" t="n">
        <v>709.7</v>
      </c>
      <c r="G42" s="10" t="n">
        <v>1.4</v>
      </c>
      <c r="H42" s="10" t="n">
        <v>18</v>
      </c>
      <c r="I42" s="10" t="n">
        <v>3</v>
      </c>
    </row>
    <row r="43">
      <c r="A43" s="10" t="inlineStr">
        <is>
          <t>PJ-2024-J</t>
        </is>
      </c>
      <c r="B43" s="10" t="inlineStr">
        <is>
          <t>オーヴァーロード・サーガ(後半集中)</t>
        </is>
      </c>
      <c r="C43" s="10" t="inlineStr">
        <is>
          <t>新規タイトル開発</t>
        </is>
      </c>
      <c r="D43" s="22" t="n">
        <v>1</v>
      </c>
      <c r="E43" s="12" t="n">
        <v>2200</v>
      </c>
      <c r="F43" s="12" t="n">
        <v>2162.6</v>
      </c>
      <c r="G43" s="10" t="n">
        <v>-1.7</v>
      </c>
      <c r="H43" s="10" t="n">
        <v>30</v>
      </c>
      <c r="I43" s="10" t="n">
        <v>4</v>
      </c>
    </row>
    <row r="45">
      <c r="A45" s="6" t="inlineStr">
        <is>
          <t>■ 案件別 × 行程グループ 実績工数(人月)</t>
        </is>
      </c>
    </row>
    <row r="46">
      <c r="A46"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48">
      <c r="A48" s="8" t="inlineStr">
        <is>
          <t>案件ID</t>
        </is>
      </c>
      <c r="B48" s="8" t="inlineStr">
        <is>
          <t>名称</t>
        </is>
      </c>
      <c r="C48" s="8" t="inlineStr">
        <is>
          <t>期間(月)</t>
        </is>
      </c>
      <c r="D48" s="8" t="inlineStr">
        <is>
          <t>企画・プリプロ</t>
        </is>
      </c>
      <c r="E48" s="8" t="inlineStr">
        <is>
          <t>ゲームデザイン・シナリオ</t>
        </is>
      </c>
      <c r="F48" s="8" t="inlineStr">
        <is>
          <t>プログラム</t>
        </is>
      </c>
      <c r="G48" s="8" t="inlineStr">
        <is>
          <t>アート</t>
        </is>
      </c>
      <c r="H48" s="8" t="inlineStr">
        <is>
          <t>サウンド</t>
        </is>
      </c>
      <c r="I48" s="8" t="inlineStr">
        <is>
          <t>QA・デバッグ</t>
        </is>
      </c>
      <c r="J48" s="8" t="inlineStr">
        <is>
          <t>PM・運営</t>
        </is>
      </c>
      <c r="K48" s="8" t="inlineStr">
        <is>
          <t>合計</t>
        </is>
      </c>
    </row>
    <row r="49">
      <c r="A49" s="10" t="inlineStr">
        <is>
          <t>PJ-2019-A</t>
        </is>
      </c>
      <c r="B49" s="10" t="inlineStr">
        <is>
          <t>蒼穹のレガリア</t>
        </is>
      </c>
      <c r="C49" s="10" t="n">
        <v>36</v>
      </c>
      <c r="D49" s="19" t="n">
        <v>185</v>
      </c>
      <c r="E49" s="19" t="n">
        <v>297.4</v>
      </c>
      <c r="F49" s="19" t="n">
        <v>589.6</v>
      </c>
      <c r="G49" s="19" t="n">
        <v>772.4</v>
      </c>
      <c r="H49" s="19" t="n">
        <v>119.1</v>
      </c>
      <c r="I49" s="19" t="n">
        <v>272.4</v>
      </c>
      <c r="J49" s="19" t="n">
        <v>136.4</v>
      </c>
      <c r="K49" s="19" t="n">
        <v>2372.3</v>
      </c>
    </row>
    <row r="50">
      <c r="A50" s="10" t="inlineStr">
        <is>
          <t>PJ-2020-B</t>
        </is>
      </c>
      <c r="B50" s="10" t="inlineStr">
        <is>
          <t>ブレイブフロンティア外伝(後半集中)</t>
        </is>
      </c>
      <c r="C50" s="10" t="n">
        <v>14</v>
      </c>
      <c r="D50" s="19" t="n">
        <v>40.2</v>
      </c>
      <c r="E50" s="19" t="n">
        <v>85.5</v>
      </c>
      <c r="F50" s="19" t="n">
        <v>145.7</v>
      </c>
      <c r="G50" s="19" t="n">
        <v>202.1</v>
      </c>
      <c r="H50" s="19" t="n">
        <v>25.6</v>
      </c>
      <c r="I50" s="19" t="n">
        <v>87.59999999999999</v>
      </c>
      <c r="J50" s="19" t="n">
        <v>38.5</v>
      </c>
      <c r="K50" s="19" t="n">
        <v>625.1</v>
      </c>
    </row>
    <row r="51">
      <c r="A51" s="10" t="inlineStr">
        <is>
          <t>PJ-2020-C</t>
        </is>
      </c>
      <c r="B51" s="10" t="inlineStr">
        <is>
          <t>クロノスギア(二山)</t>
        </is>
      </c>
      <c r="C51" s="10" t="n">
        <v>30</v>
      </c>
      <c r="D51" s="19" t="n">
        <v>141.4</v>
      </c>
      <c r="E51" s="19" t="n">
        <v>217.4</v>
      </c>
      <c r="F51" s="19" t="n">
        <v>502.4</v>
      </c>
      <c r="G51" s="19" t="n">
        <v>524.6</v>
      </c>
      <c r="H51" s="19" t="n">
        <v>87.40000000000001</v>
      </c>
      <c r="I51" s="19" t="n">
        <v>225.2</v>
      </c>
      <c r="J51" s="19" t="n">
        <v>108.2</v>
      </c>
      <c r="K51" s="19" t="n">
        <v>1806.5</v>
      </c>
    </row>
    <row r="52">
      <c r="A52" s="10" t="inlineStr">
        <is>
          <t>PJ-2021-D</t>
        </is>
      </c>
      <c r="B52" s="10" t="inlineStr">
        <is>
          <t>蒼穹のレガリア HD Edition(前倒し)</t>
        </is>
      </c>
      <c r="C52" s="10" t="n">
        <v>15</v>
      </c>
      <c r="D52" s="19" t="n">
        <v>19.6</v>
      </c>
      <c r="E52" s="19" t="n">
        <v>24.2</v>
      </c>
      <c r="F52" s="19" t="n">
        <v>211.1</v>
      </c>
      <c r="G52" s="19" t="n">
        <v>127.2</v>
      </c>
      <c r="H52" s="19" t="n">
        <v>14</v>
      </c>
      <c r="I52" s="19" t="n">
        <v>93.2</v>
      </c>
      <c r="J52" s="19" t="n">
        <v>28.8</v>
      </c>
      <c r="K52" s="19" t="n">
        <v>518.2</v>
      </c>
    </row>
    <row r="53">
      <c r="A53" s="10" t="inlineStr">
        <is>
          <t>PJ-2021-E</t>
        </is>
      </c>
      <c r="B53" s="10" t="inlineStr">
        <is>
          <t>シャドウヴェイル</t>
        </is>
      </c>
      <c r="C53" s="10" t="n">
        <v>36</v>
      </c>
      <c r="D53" s="19" t="n">
        <v>251</v>
      </c>
      <c r="E53" s="19" t="n">
        <v>373</v>
      </c>
      <c r="F53" s="19" t="n">
        <v>795.5</v>
      </c>
      <c r="G53" s="19" t="n">
        <v>930.9</v>
      </c>
      <c r="H53" s="19" t="n">
        <v>147.4</v>
      </c>
      <c r="I53" s="19" t="n">
        <v>346.7</v>
      </c>
      <c r="J53" s="19" t="n">
        <v>168.9</v>
      </c>
      <c r="K53" s="19" t="n">
        <v>3013.4</v>
      </c>
    </row>
    <row r="54">
      <c r="A54" s="10" t="inlineStr">
        <is>
          <t>PJ-2022-F</t>
        </is>
      </c>
      <c r="B54" s="10" t="inlineStr">
        <is>
          <t>ネオンハーツ Season2</t>
        </is>
      </c>
      <c r="C54" s="10" t="n">
        <v>18</v>
      </c>
      <c r="D54" s="19" t="n">
        <v>51.8</v>
      </c>
      <c r="E54" s="19" t="n">
        <v>129.1</v>
      </c>
      <c r="F54" s="19" t="n">
        <v>204.3</v>
      </c>
      <c r="G54" s="19" t="n">
        <v>286.5</v>
      </c>
      <c r="H54" s="19" t="n">
        <v>37.3</v>
      </c>
      <c r="I54" s="19" t="n">
        <v>124.6</v>
      </c>
      <c r="J54" s="19" t="n">
        <v>48.2</v>
      </c>
      <c r="K54" s="19" t="n">
        <v>881.8</v>
      </c>
    </row>
    <row r="55">
      <c r="A55" s="10" t="inlineStr">
        <is>
          <t>PJ-2022-G</t>
        </is>
      </c>
      <c r="B55" s="10" t="inlineStr">
        <is>
          <t>ギルドマスターズ(前倒し)</t>
        </is>
      </c>
      <c r="C55" s="10" t="n">
        <v>24</v>
      </c>
      <c r="D55" s="19" t="n">
        <v>123.2</v>
      </c>
      <c r="E55" s="19" t="n">
        <v>170</v>
      </c>
      <c r="F55" s="19" t="n">
        <v>392.3</v>
      </c>
      <c r="G55" s="19" t="n">
        <v>446</v>
      </c>
      <c r="H55" s="19" t="n">
        <v>71.7</v>
      </c>
      <c r="I55" s="19" t="n">
        <v>171.6</v>
      </c>
      <c r="J55" s="19" t="n">
        <v>86.40000000000001</v>
      </c>
      <c r="K55" s="19" t="n">
        <v>1461</v>
      </c>
    </row>
    <row r="56">
      <c r="A56" s="10" t="inlineStr">
        <is>
          <t>PJ-2023-H</t>
        </is>
      </c>
      <c r="B56" s="10" t="inlineStr">
        <is>
          <t>クロノスギア:蒼き遺産</t>
        </is>
      </c>
      <c r="C56" s="10" t="n">
        <v>20</v>
      </c>
      <c r="D56" s="19" t="n">
        <v>61.4</v>
      </c>
      <c r="E56" s="19" t="n">
        <v>155.3</v>
      </c>
      <c r="F56" s="19" t="n">
        <v>260.3</v>
      </c>
      <c r="G56" s="19" t="n">
        <v>371</v>
      </c>
      <c r="H56" s="19" t="n">
        <v>40.6</v>
      </c>
      <c r="I56" s="19" t="n">
        <v>150.1</v>
      </c>
      <c r="J56" s="19" t="n">
        <v>66.3</v>
      </c>
      <c r="K56" s="19" t="n">
        <v>1104.9</v>
      </c>
    </row>
    <row r="57">
      <c r="A57" s="10" t="inlineStr">
        <is>
          <t>PJ-2023-I</t>
        </is>
      </c>
      <c r="B57" s="10" t="inlineStr">
        <is>
          <t>ブレイブフロンティア Remaster</t>
        </is>
      </c>
      <c r="C57" s="10" t="n">
        <v>18</v>
      </c>
      <c r="D57" s="19" t="n">
        <v>29.2</v>
      </c>
      <c r="E57" s="19" t="n">
        <v>34.4</v>
      </c>
      <c r="F57" s="19" t="n">
        <v>308.5</v>
      </c>
      <c r="G57" s="19" t="n">
        <v>171.1</v>
      </c>
      <c r="H57" s="19" t="n">
        <v>20.9</v>
      </c>
      <c r="I57" s="19" t="n">
        <v>106.1</v>
      </c>
      <c r="J57" s="19" t="n">
        <v>39.5</v>
      </c>
      <c r="K57" s="19" t="n">
        <v>709.7</v>
      </c>
    </row>
    <row r="58">
      <c r="A58" s="10" t="inlineStr">
        <is>
          <t>PJ-2024-J</t>
        </is>
      </c>
      <c r="B58" s="10" t="inlineStr">
        <is>
          <t>オーヴァーロード・サーガ(後半集中)</t>
        </is>
      </c>
      <c r="C58" s="10" t="n">
        <v>30</v>
      </c>
      <c r="D58" s="19" t="n">
        <v>153.8</v>
      </c>
      <c r="E58" s="19" t="n">
        <v>254</v>
      </c>
      <c r="F58" s="19" t="n">
        <v>600.1</v>
      </c>
      <c r="G58" s="19" t="n">
        <v>658.4</v>
      </c>
      <c r="H58" s="19" t="n">
        <v>122.6</v>
      </c>
      <c r="I58" s="19" t="n">
        <v>234.8</v>
      </c>
      <c r="J58" s="19" t="n">
        <v>138.9</v>
      </c>
      <c r="K58" s="19" t="n">
        <v>2162.6</v>
      </c>
    </row>
    <row r="59">
      <c r="A59" s="10" t="inlineStr">
        <is>
          <t>合計</t>
        </is>
      </c>
      <c r="B59" s="10" t="inlineStr"/>
      <c r="C59" s="10" t="n"/>
      <c r="D59" s="19" t="n">
        <v>1056.6</v>
      </c>
      <c r="E59" s="19" t="n">
        <v>1740.3</v>
      </c>
      <c r="F59" s="19" t="n">
        <v>4009.8</v>
      </c>
      <c r="G59" s="19" t="n">
        <v>4490.2</v>
      </c>
      <c r="H59" s="19" t="n">
        <v>686.6</v>
      </c>
      <c r="I59" s="19" t="n">
        <v>1812.3</v>
      </c>
      <c r="J59" s="19" t="n">
        <v>860.1</v>
      </c>
      <c r="K59" s="19" t="n">
        <v>14655.5</v>
      </c>
    </row>
    <row r="60">
      <c r="A60" s="10" t="inlineStr">
        <is>
          <t>構成比</t>
        </is>
      </c>
      <c r="B60" s="10" t="inlineStr">
        <is>
          <t>(全案件の単純合計)</t>
        </is>
      </c>
      <c r="C60" s="10" t="n"/>
      <c r="D60" s="17" t="n">
        <v>0.0721</v>
      </c>
      <c r="E60" s="17" t="n">
        <v>0.1187</v>
      </c>
      <c r="F60" s="17" t="n">
        <v>0.2736</v>
      </c>
      <c r="G60" s="17" t="n">
        <v>0.3064</v>
      </c>
      <c r="H60" s="17" t="n">
        <v>0.0468</v>
      </c>
      <c r="I60" s="17" t="n">
        <v>0.1237</v>
      </c>
      <c r="J60" s="17" t="n">
        <v>0.0587</v>
      </c>
      <c r="K60" s="17" t="n">
        <v>1</v>
      </c>
    </row>
    <row r="62">
      <c r="A62" s="6" t="inlineStr">
        <is>
          <t>■ マイルストーン位置分布(学習値)</t>
        </is>
      </c>
    </row>
    <row r="63">
      <c r="A63" s="8" t="inlineStr">
        <is>
          <t>マイルストーン名</t>
        </is>
      </c>
      <c r="B63" s="8" t="inlineStr">
        <is>
          <t>平均位置</t>
        </is>
      </c>
      <c r="C63" s="8" t="inlineStr">
        <is>
          <t>標準偏差</t>
        </is>
      </c>
      <c r="D63" s="8" t="inlineStr">
        <is>
          <t>件数</t>
        </is>
      </c>
      <c r="E63" s="8" t="inlineStr">
        <is>
          <t>背骨</t>
        </is>
      </c>
    </row>
    <row r="64">
      <c r="A64" s="10" t="inlineStr">
        <is>
          <t>プロトタイプ</t>
        </is>
      </c>
      <c r="B64" s="21" t="n">
        <v>0.2277301327110109</v>
      </c>
      <c r="C64" s="21" t="n">
        <v>0.03189012393515308</v>
      </c>
      <c r="D64" s="10" t="n">
        <v>5</v>
      </c>
      <c r="E64" s="10" t="inlineStr"/>
    </row>
    <row r="65">
      <c r="A65" s="10" t="inlineStr">
        <is>
          <t>α版</t>
        </is>
      </c>
      <c r="B65" s="21" t="n">
        <v>0.4968946897102826</v>
      </c>
      <c r="C65" s="21" t="n">
        <v>0.05787603873596738</v>
      </c>
      <c r="D65" s="10" t="n">
        <v>10</v>
      </c>
      <c r="E65" s="10" t="inlineStr"/>
    </row>
    <row r="66">
      <c r="A66" s="10" t="inlineStr">
        <is>
          <t>β版</t>
        </is>
      </c>
      <c r="B66" s="21" t="n">
        <v>0.7378800534841294</v>
      </c>
      <c r="C66" s="21" t="n">
        <v>0.05000354072467814</v>
      </c>
      <c r="D66" s="10" t="n">
        <v>10</v>
      </c>
      <c r="E66" s="10" t="inlineStr"/>
    </row>
    <row r="67">
      <c r="A67" s="10" t="inlineStr">
        <is>
          <t>マスターアップ</t>
        </is>
      </c>
      <c r="B67" s="21" t="n">
        <v>0.9135394862767734</v>
      </c>
      <c r="C67" s="21" t="n">
        <v>0.01808788952320223</v>
      </c>
      <c r="D67" s="10" t="n">
        <v>10</v>
      </c>
      <c r="E67" s="10" t="inlineStr"/>
    </row>
    <row r="69">
      <c r="A69" s="6" t="inlineStr">
        <is>
          <t>■ 行程グループ別 工数比率(学習値)</t>
        </is>
      </c>
    </row>
    <row r="70">
      <c r="A70"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71">
      <c r="A71" s="8" t="inlineStr">
        <is>
          <t>行程グループ</t>
        </is>
      </c>
      <c r="B71" s="8" t="inlineStr">
        <is>
          <t>比率</t>
        </is>
      </c>
      <c r="C71" s="8" t="inlineStr">
        <is>
          <t>件数</t>
        </is>
      </c>
    </row>
    <row r="72">
      <c r="A72" s="10" t="inlineStr">
        <is>
          <t>企画・プリプロ</t>
        </is>
      </c>
      <c r="B72" s="13" t="n">
        <v>0.06524885174932314</v>
      </c>
      <c r="C72" s="11" t="n">
        <v>10</v>
      </c>
    </row>
    <row r="73">
      <c r="A73" s="10" t="inlineStr">
        <is>
          <t>ゲームデザイン・シナリオ</t>
        </is>
      </c>
      <c r="B73" s="13" t="n">
        <v>0.1122043113713705</v>
      </c>
      <c r="C73" s="11" t="n">
        <v>10</v>
      </c>
    </row>
    <row r="74">
      <c r="A74" s="10" t="inlineStr">
        <is>
          <t>プログラム</t>
        </is>
      </c>
      <c r="B74" s="13" t="n">
        <v>0.2879091969215787</v>
      </c>
      <c r="C74" s="11" t="n">
        <v>10</v>
      </c>
    </row>
    <row r="75">
      <c r="A75" s="10" t="inlineStr">
        <is>
          <t>アート</t>
        </is>
      </c>
      <c r="B75" s="13" t="n">
        <v>0.3005002389104883</v>
      </c>
      <c r="C75" s="11" t="n">
        <v>10</v>
      </c>
    </row>
    <row r="76">
      <c r="A76" s="10" t="inlineStr">
        <is>
          <t>サウンド</t>
        </is>
      </c>
      <c r="B76" s="13" t="n">
        <v>0.04298558319794448</v>
      </c>
      <c r="C76" s="11" t="n">
        <v>10</v>
      </c>
    </row>
    <row r="77">
      <c r="A77" s="10" t="inlineStr">
        <is>
          <t>QA・デバッグ</t>
        </is>
      </c>
      <c r="B77" s="13" t="n">
        <v>0.1327188838365589</v>
      </c>
      <c r="C77" s="11" t="n">
        <v>10</v>
      </c>
    </row>
    <row r="78">
      <c r="A78" s="10" t="inlineStr">
        <is>
          <t>PM・運営</t>
        </is>
      </c>
      <c r="B78" s="13" t="n">
        <v>0.05843293401273604</v>
      </c>
      <c r="C78" s="11" t="n">
        <v>10</v>
      </c>
    </row>
    <row r="80">
      <c r="A80" s="6" t="inlineStr">
        <is>
          <t>■ 警告</t>
        </is>
      </c>
    </row>
    <row r="81">
      <c r="A81" s="23" t="inlineStr">
        <is>
          <t>⚠ マイルストーン精度=月 のため、マイルストーンの日付を月央に丸めました。</t>
        </is>
      </c>
    </row>
    <row r="82">
      <c r="A82" s="23" t="inlineStr">
        <is>
          <t>⚠ 位置合わせ OFF で実行。マイルストーン直前の工数の山は平均によってならされている。</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2026-09-03T11:03:41Z</dcterms:created>
  <dcterms:modified xsi:type="dcterms:W3CDTF">2026-09-03T11:03:41Z</dcterms:modified>
</cp:coreProperties>
</file>