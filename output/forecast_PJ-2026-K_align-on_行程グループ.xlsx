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予測" sheetId="1" state="visible" r:id="rId1"/>
    <sheet name="カーブ" sheetId="2" state="visible" r:id="rId2"/>
    <sheet name="条件" sheetId="3" state="visible" r:id="rId3"/>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
  </numFmts>
  <fonts count="8">
    <font>
      <name val="Calibri"/>
      <family val="2"/>
      <color theme="1"/>
      <sz val="11"/>
      <scheme val="minor"/>
    </font>
    <font>
      <name val="Arial"/>
      <b val="1"/>
      <color rgb="001F3864"/>
      <sz val="14"/>
    </font>
    <font>
      <name val="Arial"/>
      <sz val="10"/>
    </font>
    <font>
      <name val="Arial"/>
      <i val="1"/>
      <color rgb="007F7F7F"/>
      <sz val="9"/>
    </font>
    <font>
      <name val="Arial"/>
      <b val="1"/>
      <color rgb="001F3864"/>
      <sz val="11"/>
    </font>
    <font>
      <name val="Arial"/>
      <b val="1"/>
      <color rgb="00FFFFFF"/>
      <sz val="10"/>
    </font>
    <font>
      <name val="Arial"/>
      <b val="1"/>
      <sz val="10"/>
    </font>
    <font>
      <name val="Arial"/>
      <color rgb="00C00000"/>
      <sz val="10"/>
    </font>
  </fonts>
  <fills count="5">
    <fill>
      <patternFill/>
    </fill>
    <fill>
      <patternFill patternType="gray125"/>
    </fill>
    <fill>
      <patternFill patternType="solid">
        <fgColor rgb="00FFF2CC"/>
      </patternFill>
    </fill>
    <fill>
      <patternFill patternType="solid">
        <fgColor rgb="001F3864"/>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3" fontId="2" fillId="0" borderId="0" pivotButton="0" quotePrefix="0" xfId="0"/>
    <xf numFmtId="3" fontId="2" fillId="2" borderId="0" pivotButton="0" quotePrefix="0" xfId="0"/>
    <xf numFmtId="0" fontId="3" fillId="0" borderId="0" pivotButton="0" quotePrefix="0" xfId="0"/>
    <xf numFmtId="0" fontId="4" fillId="0" borderId="0" pivotButton="0" quotePrefix="0" xfId="0"/>
    <xf numFmtId="0" fontId="5" fillId="3" borderId="1" applyAlignment="1" pivotButton="0" quotePrefix="0" xfId="0">
      <alignment horizontal="center"/>
    </xf>
    <xf numFmtId="0" fontId="5" fillId="3" borderId="1" applyAlignment="1" pivotButton="0" quotePrefix="0" xfId="0">
      <alignment horizontal="center" wrapText="1"/>
    </xf>
    <xf numFmtId="0" fontId="5" fillId="3" borderId="0" pivotButton="0" quotePrefix="0" xfId="0"/>
    <xf numFmtId="0" fontId="2" fillId="0" borderId="1" pivotButton="0" quotePrefix="0" xfId="0"/>
    <xf numFmtId="1" fontId="2" fillId="0" borderId="1" pivotButton="0" quotePrefix="0" xfId="0"/>
    <xf numFmtId="3" fontId="2" fillId="0" borderId="1" pivotButton="0" quotePrefix="0" xfId="0"/>
    <xf numFmtId="164" fontId="2" fillId="0" borderId="1" pivotButton="0" quotePrefix="0" xfId="0"/>
    <xf numFmtId="0" fontId="6" fillId="0" borderId="1" pivotButton="0" quotePrefix="0" xfId="0"/>
    <xf numFmtId="3" fontId="6" fillId="4" borderId="1" pivotButton="0" quotePrefix="0" xfId="0"/>
    <xf numFmtId="0" fontId="3" fillId="0" borderId="1" pivotButton="0" quotePrefix="0" xfId="0"/>
    <xf numFmtId="164" fontId="3" fillId="0" borderId="1" pivotButton="0" quotePrefix="0" xfId="0"/>
    <xf numFmtId="0" fontId="5" fillId="3" borderId="1" pivotButton="0" quotePrefix="0" xfId="0"/>
    <xf numFmtId="165" fontId="2" fillId="0" borderId="1" pivotButton="0" quotePrefix="0" xfId="0"/>
    <xf numFmtId="165" fontId="6" fillId="4" borderId="1" pivotButton="0" quotePrefix="0" xfId="0"/>
    <xf numFmtId="166" fontId="2" fillId="0" borderId="1" pivotButton="0" quotePrefix="0" xfId="0"/>
    <xf numFmtId="2" fontId="2" fillId="0" borderId="1"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蒼穹のレガリア II 月次工数(時間・行程グループ積み上げ)</a:t>
            </a:r>
          </a:p>
        </rich>
      </tx>
    </title>
    <plotArea>
      <barChart>
        <barDir val="col"/>
        <grouping val="stacked"/>
        <ser>
          <idx val="0"/>
          <order val="0"/>
          <tx>
            <strRef>
              <f>'予測'!C11</f>
            </strRef>
          </tx>
          <spPr>
            <a:ln>
              <a:prstDash val="solid"/>
            </a:ln>
          </spPr>
          <cat>
            <numRef>
              <f>'予測'!$A$12:$A$37</f>
            </numRef>
          </cat>
          <val>
            <numRef>
              <f>'予測'!$C$12:$C$37</f>
            </numRef>
          </val>
        </ser>
        <ser>
          <idx val="1"/>
          <order val="1"/>
          <tx>
            <strRef>
              <f>'予測'!D11</f>
            </strRef>
          </tx>
          <spPr>
            <a:ln>
              <a:prstDash val="solid"/>
            </a:ln>
          </spPr>
          <cat>
            <numRef>
              <f>'予測'!$A$12:$A$37</f>
            </numRef>
          </cat>
          <val>
            <numRef>
              <f>'予測'!$D$12:$D$37</f>
            </numRef>
          </val>
        </ser>
        <ser>
          <idx val="2"/>
          <order val="2"/>
          <tx>
            <strRef>
              <f>'予測'!E11</f>
            </strRef>
          </tx>
          <spPr>
            <a:ln>
              <a:prstDash val="solid"/>
            </a:ln>
          </spPr>
          <cat>
            <numRef>
              <f>'予測'!$A$12:$A$37</f>
            </numRef>
          </cat>
          <val>
            <numRef>
              <f>'予測'!$E$12:$E$37</f>
            </numRef>
          </val>
        </ser>
        <ser>
          <idx val="3"/>
          <order val="3"/>
          <tx>
            <strRef>
              <f>'予測'!F11</f>
            </strRef>
          </tx>
          <spPr>
            <a:ln>
              <a:prstDash val="solid"/>
            </a:ln>
          </spPr>
          <cat>
            <numRef>
              <f>'予測'!$A$12:$A$37</f>
            </numRef>
          </cat>
          <val>
            <numRef>
              <f>'予測'!$F$12:$F$37</f>
            </numRef>
          </val>
        </ser>
        <ser>
          <idx val="4"/>
          <order val="4"/>
          <tx>
            <strRef>
              <f>'予測'!G11</f>
            </strRef>
          </tx>
          <spPr>
            <a:ln>
              <a:prstDash val="solid"/>
            </a:ln>
          </spPr>
          <cat>
            <numRef>
              <f>'予測'!$A$12:$A$37</f>
            </numRef>
          </cat>
          <val>
            <numRef>
              <f>'予測'!$G$12:$G$37</f>
            </numRef>
          </val>
        </ser>
        <ser>
          <idx val="5"/>
          <order val="5"/>
          <tx>
            <strRef>
              <f>'予測'!H11</f>
            </strRef>
          </tx>
          <spPr>
            <a:ln>
              <a:prstDash val="solid"/>
            </a:ln>
          </spPr>
          <cat>
            <numRef>
              <f>'予測'!$A$12:$A$37</f>
            </numRef>
          </cat>
          <val>
            <numRef>
              <f>'予測'!$H$12:$H$37</f>
            </numRef>
          </val>
        </ser>
        <ser>
          <idx val="6"/>
          <order val="6"/>
          <tx>
            <strRef>
              <f>'予測'!I11</f>
            </strRef>
          </tx>
          <spPr>
            <a:ln>
              <a:prstDash val="solid"/>
            </a:ln>
          </spPr>
          <cat>
            <numRef>
              <f>'予測'!$A$12:$A$37</f>
            </numRef>
          </cat>
          <val>
            <numRef>
              <f>'予測'!$I$12:$I$37</f>
            </numRef>
          </val>
        </ser>
        <gapWidth val="150"/>
        <overlap val="100"/>
        <axId val="10"/>
        <axId val="100"/>
      </barChart>
      <catAx>
        <axId val="10"/>
        <scaling>
          <orientation val="minMax"/>
        </scaling>
        <axPos val="l"/>
        <title>
          <tx>
            <rich>
              <a:bodyPr/>
              <a:p>
                <a:pPr>
                  <a:defRPr/>
                </a:pPr>
                <a:r>
                  <a:t>月</a:t>
                </a:r>
              </a:p>
            </rich>
          </tx>
        </title>
        <majorTickMark val="none"/>
        <minorTickMark val="none"/>
        <crossAx val="100"/>
        <lblOffset val="100"/>
      </catAx>
      <valAx>
        <axId val="100"/>
        <scaling>
          <orientation val="minMax"/>
        </scaling>
        <axPos val="l"/>
        <majorGridlines/>
        <title>
          <tx>
            <rich>
              <a:bodyPr/>
              <a:p>
                <a:pPr>
                  <a:defRPr/>
                </a:pPr>
                <a:r>
                  <a:t>時間</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累積消化率</a:t>
            </a:r>
          </a:p>
        </rich>
      </tx>
    </title>
    <plotArea>
      <lineChart>
        <grouping val="standard"/>
        <ser>
          <idx val="0"/>
          <order val="0"/>
          <tx>
            <strRef>
              <f>'予測'!K11</f>
            </strRef>
          </tx>
          <spPr>
            <a:ln>
              <a:prstDash val="solid"/>
            </a:ln>
          </spPr>
          <marker>
            <symbol val="none"/>
            <spPr>
              <a:ln>
                <a:prstDash val="solid"/>
              </a:ln>
            </spPr>
          </marker>
          <cat>
            <numRef>
              <f>'予測'!$A$12:$A$37</f>
            </numRef>
          </cat>
          <val>
            <numRef>
              <f>'予測'!$K$12:$K$37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累積比率</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累積消化率カーブ(太線=平均)</a:t>
            </a:r>
          </a:p>
        </rich>
      </tx>
    </title>
    <plotArea>
      <lineChart>
        <grouping val="standard"/>
        <ser>
          <idx val="0"/>
          <order val="0"/>
          <tx>
            <strRef>
              <f>'カーブ'!B6</f>
            </strRef>
          </tx>
          <spPr>
            <a:ln>
              <a:prstDash val="solid"/>
            </a:ln>
          </spPr>
          <marker>
            <symbol val="none"/>
            <spPr>
              <a:ln>
                <a:prstDash val="solid"/>
              </a:ln>
            </spPr>
          </marker>
          <cat>
            <numRef>
              <f>'カーブ'!$A$7:$A$106</f>
            </numRef>
          </cat>
          <val>
            <numRef>
              <f>'カーブ'!$B$7:$B$106</f>
            </numRef>
          </val>
          <smooth val="0"/>
        </ser>
        <ser>
          <idx val="1"/>
          <order val="1"/>
          <tx>
            <strRef>
              <f>'カーブ'!C6</f>
            </strRef>
          </tx>
          <spPr>
            <a:ln>
              <a:prstDash val="solid"/>
            </a:ln>
          </spPr>
          <marker>
            <symbol val="none"/>
            <spPr>
              <a:ln>
                <a:prstDash val="solid"/>
              </a:ln>
            </spPr>
          </marker>
          <cat>
            <numRef>
              <f>'カーブ'!$A$7:$A$106</f>
            </numRef>
          </cat>
          <val>
            <numRef>
              <f>'カーブ'!$C$7:$C$106</f>
            </numRef>
          </val>
          <smooth val="0"/>
        </ser>
        <ser>
          <idx val="2"/>
          <order val="2"/>
          <tx>
            <strRef>
              <f>'カーブ'!D6</f>
            </strRef>
          </tx>
          <spPr>
            <a:ln>
              <a:prstDash val="solid"/>
            </a:ln>
          </spPr>
          <marker>
            <symbol val="none"/>
            <spPr>
              <a:ln>
                <a:prstDash val="solid"/>
              </a:ln>
            </spPr>
          </marker>
          <cat>
            <numRef>
              <f>'カーブ'!$A$7:$A$106</f>
            </numRef>
          </cat>
          <val>
            <numRef>
              <f>'カーブ'!$D$7:$D$106</f>
            </numRef>
          </val>
          <smooth val="0"/>
        </ser>
        <ser>
          <idx val="3"/>
          <order val="3"/>
          <tx>
            <strRef>
              <f>'カーブ'!E6</f>
            </strRef>
          </tx>
          <spPr>
            <a:ln>
              <a:prstDash val="solid"/>
            </a:ln>
          </spPr>
          <marker>
            <symbol val="none"/>
            <spPr>
              <a:ln>
                <a:prstDash val="solid"/>
              </a:ln>
            </spPr>
          </marker>
          <cat>
            <numRef>
              <f>'カーブ'!$A$7:$A$106</f>
            </numRef>
          </cat>
          <val>
            <numRef>
              <f>'カーブ'!$E$7:$E$106</f>
            </numRef>
          </val>
          <smooth val="0"/>
        </ser>
        <ser>
          <idx val="4"/>
          <order val="4"/>
          <tx>
            <strRef>
              <f>'カーブ'!F6</f>
            </strRef>
          </tx>
          <spPr>
            <a:ln>
              <a:prstDash val="solid"/>
            </a:ln>
          </spPr>
          <marker>
            <symbol val="none"/>
            <spPr>
              <a:ln>
                <a:prstDash val="solid"/>
              </a:ln>
            </spPr>
          </marker>
          <cat>
            <numRef>
              <f>'カーブ'!$A$7:$A$106</f>
            </numRef>
          </cat>
          <val>
            <numRef>
              <f>'カーブ'!$F$7:$F$106</f>
            </numRef>
          </val>
          <smooth val="0"/>
        </ser>
        <ser>
          <idx val="5"/>
          <order val="5"/>
          <tx>
            <strRef>
              <f>'カーブ'!G6</f>
            </strRef>
          </tx>
          <spPr>
            <a:ln>
              <a:prstDash val="solid"/>
            </a:ln>
          </spPr>
          <marker>
            <symbol val="none"/>
            <spPr>
              <a:ln>
                <a:prstDash val="solid"/>
              </a:ln>
            </spPr>
          </marker>
          <cat>
            <numRef>
              <f>'カーブ'!$A$7:$A$106</f>
            </numRef>
          </cat>
          <val>
            <numRef>
              <f>'カーブ'!$G$7:$G$106</f>
            </numRef>
          </val>
          <smooth val="0"/>
        </ser>
        <ser>
          <idx val="6"/>
          <order val="6"/>
          <tx>
            <strRef>
              <f>'カーブ'!H6</f>
            </strRef>
          </tx>
          <spPr>
            <a:ln>
              <a:prstDash val="solid"/>
            </a:ln>
          </spPr>
          <marker>
            <symbol val="none"/>
            <spPr>
              <a:ln>
                <a:prstDash val="solid"/>
              </a:ln>
            </spPr>
          </marker>
          <cat>
            <numRef>
              <f>'カーブ'!$A$7:$A$106</f>
            </numRef>
          </cat>
          <val>
            <numRef>
              <f>'カーブ'!$H$7:$H$106</f>
            </numRef>
          </val>
          <smooth val="0"/>
        </ser>
        <ser>
          <idx val="7"/>
          <order val="7"/>
          <tx>
            <strRef>
              <f>'カーブ'!I6</f>
            </strRef>
          </tx>
          <spPr>
            <a:ln>
              <a:prstDash val="solid"/>
            </a:ln>
          </spPr>
          <marker>
            <symbol val="none"/>
            <spPr>
              <a:ln>
                <a:prstDash val="solid"/>
              </a:ln>
            </spPr>
          </marker>
          <cat>
            <numRef>
              <f>'カーブ'!$A$7:$A$106</f>
            </numRef>
          </cat>
          <val>
            <numRef>
              <f>'カーブ'!$I$7:$I$106</f>
            </numRef>
          </val>
          <smooth val="0"/>
        </ser>
        <ser>
          <idx val="8"/>
          <order val="8"/>
          <tx>
            <strRef>
              <f>'カーブ'!J6</f>
            </strRef>
          </tx>
          <spPr>
            <a:ln>
              <a:prstDash val="solid"/>
            </a:ln>
          </spPr>
          <marker>
            <symbol val="none"/>
            <spPr>
              <a:ln>
                <a:prstDash val="solid"/>
              </a:ln>
            </spPr>
          </marker>
          <cat>
            <numRef>
              <f>'カーブ'!$A$7:$A$106</f>
            </numRef>
          </cat>
          <val>
            <numRef>
              <f>'カーブ'!$J$7:$J$106</f>
            </numRef>
          </val>
          <smooth val="0"/>
        </ser>
        <ser>
          <idx val="9"/>
          <order val="9"/>
          <tx>
            <strRef>
              <f>'カーブ'!K6</f>
            </strRef>
          </tx>
          <spPr>
            <a:ln>
              <a:prstDash val="solid"/>
            </a:ln>
          </spPr>
          <marker>
            <symbol val="none"/>
            <spPr>
              <a:ln>
                <a:prstDash val="solid"/>
              </a:ln>
            </spPr>
          </marker>
          <cat>
            <numRef>
              <f>'カーブ'!$A$7:$A$106</f>
            </numRef>
          </cat>
          <val>
            <numRef>
              <f>'カーブ'!$K$7:$K$106</f>
            </numRef>
          </val>
          <smooth val="0"/>
        </ser>
        <ser>
          <idx val="10"/>
          <order val="10"/>
          <tx>
            <strRef>
              <f>'カーブ'!L6</f>
            </strRef>
          </tx>
          <spPr>
            <a:ln>
              <a:prstDash val="solid"/>
            </a:ln>
          </spPr>
          <marker>
            <symbol val="none"/>
            <spPr>
              <a:ln>
                <a:prstDash val="solid"/>
              </a:ln>
            </spPr>
          </marker>
          <cat>
            <numRef>
              <f>'カーブ'!$A$7:$A$106</f>
            </numRef>
          </cat>
          <val>
            <numRef>
              <f>'カーブ'!$L$7:$L$106</f>
            </numRef>
          </val>
          <smooth val="0"/>
        </ser>
        <ser>
          <idx val="11"/>
          <order val="11"/>
          <tx>
            <strRef>
              <f>'カーブ'!M6</f>
            </strRef>
          </tx>
          <spPr>
            <a:ln>
              <a:prstDash val="solid"/>
            </a:ln>
          </spPr>
          <marker>
            <symbol val="none"/>
            <spPr>
              <a:ln>
                <a:prstDash val="solid"/>
              </a:ln>
            </spPr>
          </marker>
          <cat>
            <numRef>
              <f>'カーブ'!$A$7:$A$106</f>
            </numRef>
          </cat>
          <val>
            <numRef>
              <f>'カーブ'!$M$7:$M$106</f>
            </numRef>
          </val>
          <smooth val="0"/>
        </ser>
        <axId val="10"/>
        <axId val="100"/>
      </lineChart>
      <catAx>
        <axId val="10"/>
        <scaling>
          <orientation val="minMax"/>
        </scaling>
        <axPos val="l"/>
        <title>
          <tx>
            <rich>
              <a:bodyPr/>
              <a:p>
                <a:pPr>
                  <a:defRPr/>
                </a:pPr>
                <a:r>
                  <a:t>正準時間軸 t</a:t>
                </a:r>
              </a:p>
            </rich>
          </tx>
        </title>
        <majorTickMark val="none"/>
        <minorTickMark val="none"/>
        <crossAx val="100"/>
        <lblOffset val="100"/>
      </catAx>
      <valAx>
        <axId val="100"/>
        <scaling>
          <orientation val="minMax"/>
        </scaling>
        <axPos val="l"/>
        <majorGridlines/>
        <title>
          <tx>
            <rich>
              <a:bodyPr/>
              <a:p>
                <a:pPr>
                  <a:defRPr/>
                </a:pPr>
                <a:r>
                  <a:t>累積比率</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工数密度カーブ(非累積・太線=平均)</a:t>
            </a:r>
          </a:p>
        </rich>
      </tx>
    </title>
    <plotArea>
      <lineChart>
        <grouping val="standard"/>
        <ser>
          <idx val="0"/>
          <order val="0"/>
          <tx>
            <strRef>
              <f>'カーブ'!B133</f>
            </strRef>
          </tx>
          <spPr>
            <a:ln>
              <a:prstDash val="solid"/>
            </a:ln>
          </spPr>
          <marker>
            <symbol val="none"/>
            <spPr>
              <a:ln>
                <a:prstDash val="solid"/>
              </a:ln>
            </spPr>
          </marker>
          <cat>
            <numRef>
              <f>'カーブ'!$A$134:$A$233</f>
            </numRef>
          </cat>
          <val>
            <numRef>
              <f>'カーブ'!$B$134:$B$233</f>
            </numRef>
          </val>
          <smooth val="0"/>
        </ser>
        <ser>
          <idx val="1"/>
          <order val="1"/>
          <tx>
            <strRef>
              <f>'カーブ'!C133</f>
            </strRef>
          </tx>
          <spPr>
            <a:ln>
              <a:prstDash val="solid"/>
            </a:ln>
          </spPr>
          <marker>
            <symbol val="none"/>
            <spPr>
              <a:ln>
                <a:prstDash val="solid"/>
              </a:ln>
            </spPr>
          </marker>
          <cat>
            <numRef>
              <f>'カーブ'!$A$134:$A$233</f>
            </numRef>
          </cat>
          <val>
            <numRef>
              <f>'カーブ'!$C$134:$C$233</f>
            </numRef>
          </val>
          <smooth val="0"/>
        </ser>
        <ser>
          <idx val="2"/>
          <order val="2"/>
          <tx>
            <strRef>
              <f>'カーブ'!D133</f>
            </strRef>
          </tx>
          <spPr>
            <a:ln>
              <a:prstDash val="solid"/>
            </a:ln>
          </spPr>
          <marker>
            <symbol val="none"/>
            <spPr>
              <a:ln>
                <a:prstDash val="solid"/>
              </a:ln>
            </spPr>
          </marker>
          <cat>
            <numRef>
              <f>'カーブ'!$A$134:$A$233</f>
            </numRef>
          </cat>
          <val>
            <numRef>
              <f>'カーブ'!$D$134:$D$233</f>
            </numRef>
          </val>
          <smooth val="0"/>
        </ser>
        <ser>
          <idx val="3"/>
          <order val="3"/>
          <tx>
            <strRef>
              <f>'カーブ'!E133</f>
            </strRef>
          </tx>
          <spPr>
            <a:ln>
              <a:prstDash val="solid"/>
            </a:ln>
          </spPr>
          <marker>
            <symbol val="none"/>
            <spPr>
              <a:ln>
                <a:prstDash val="solid"/>
              </a:ln>
            </spPr>
          </marker>
          <cat>
            <numRef>
              <f>'カーブ'!$A$134:$A$233</f>
            </numRef>
          </cat>
          <val>
            <numRef>
              <f>'カーブ'!$E$134:$E$233</f>
            </numRef>
          </val>
          <smooth val="0"/>
        </ser>
        <ser>
          <idx val="4"/>
          <order val="4"/>
          <tx>
            <strRef>
              <f>'カーブ'!F133</f>
            </strRef>
          </tx>
          <spPr>
            <a:ln>
              <a:prstDash val="solid"/>
            </a:ln>
          </spPr>
          <marker>
            <symbol val="none"/>
            <spPr>
              <a:ln>
                <a:prstDash val="solid"/>
              </a:ln>
            </spPr>
          </marker>
          <cat>
            <numRef>
              <f>'カーブ'!$A$134:$A$233</f>
            </numRef>
          </cat>
          <val>
            <numRef>
              <f>'カーブ'!$F$134:$F$233</f>
            </numRef>
          </val>
          <smooth val="0"/>
        </ser>
        <ser>
          <idx val="5"/>
          <order val="5"/>
          <tx>
            <strRef>
              <f>'カーブ'!G133</f>
            </strRef>
          </tx>
          <spPr>
            <a:ln>
              <a:prstDash val="solid"/>
            </a:ln>
          </spPr>
          <marker>
            <symbol val="none"/>
            <spPr>
              <a:ln>
                <a:prstDash val="solid"/>
              </a:ln>
            </spPr>
          </marker>
          <cat>
            <numRef>
              <f>'カーブ'!$A$134:$A$233</f>
            </numRef>
          </cat>
          <val>
            <numRef>
              <f>'カーブ'!$G$134:$G$233</f>
            </numRef>
          </val>
          <smooth val="0"/>
        </ser>
        <ser>
          <idx val="6"/>
          <order val="6"/>
          <tx>
            <strRef>
              <f>'カーブ'!H133</f>
            </strRef>
          </tx>
          <spPr>
            <a:ln>
              <a:prstDash val="solid"/>
            </a:ln>
          </spPr>
          <marker>
            <symbol val="none"/>
            <spPr>
              <a:ln>
                <a:prstDash val="solid"/>
              </a:ln>
            </spPr>
          </marker>
          <cat>
            <numRef>
              <f>'カーブ'!$A$134:$A$233</f>
            </numRef>
          </cat>
          <val>
            <numRef>
              <f>'カーブ'!$H$134:$H$233</f>
            </numRef>
          </val>
          <smooth val="0"/>
        </ser>
        <ser>
          <idx val="7"/>
          <order val="7"/>
          <tx>
            <strRef>
              <f>'カーブ'!I133</f>
            </strRef>
          </tx>
          <spPr>
            <a:ln>
              <a:prstDash val="solid"/>
            </a:ln>
          </spPr>
          <marker>
            <symbol val="none"/>
            <spPr>
              <a:ln>
                <a:prstDash val="solid"/>
              </a:ln>
            </spPr>
          </marker>
          <cat>
            <numRef>
              <f>'カーブ'!$A$134:$A$233</f>
            </numRef>
          </cat>
          <val>
            <numRef>
              <f>'カーブ'!$I$134:$I$233</f>
            </numRef>
          </val>
          <smooth val="0"/>
        </ser>
        <ser>
          <idx val="8"/>
          <order val="8"/>
          <tx>
            <strRef>
              <f>'カーブ'!J133</f>
            </strRef>
          </tx>
          <spPr>
            <a:ln>
              <a:prstDash val="solid"/>
            </a:ln>
          </spPr>
          <marker>
            <symbol val="none"/>
            <spPr>
              <a:ln>
                <a:prstDash val="solid"/>
              </a:ln>
            </spPr>
          </marker>
          <cat>
            <numRef>
              <f>'カーブ'!$A$134:$A$233</f>
            </numRef>
          </cat>
          <val>
            <numRef>
              <f>'カーブ'!$J$134:$J$233</f>
            </numRef>
          </val>
          <smooth val="0"/>
        </ser>
        <ser>
          <idx val="9"/>
          <order val="9"/>
          <tx>
            <strRef>
              <f>'カーブ'!K133</f>
            </strRef>
          </tx>
          <spPr>
            <a:ln>
              <a:prstDash val="solid"/>
            </a:ln>
          </spPr>
          <marker>
            <symbol val="none"/>
            <spPr>
              <a:ln>
                <a:prstDash val="solid"/>
              </a:ln>
            </spPr>
          </marker>
          <cat>
            <numRef>
              <f>'カーブ'!$A$134:$A$233</f>
            </numRef>
          </cat>
          <val>
            <numRef>
              <f>'カーブ'!$K$134:$K$233</f>
            </numRef>
          </val>
          <smooth val="0"/>
        </ser>
        <ser>
          <idx val="10"/>
          <order val="10"/>
          <tx>
            <strRef>
              <f>'カーブ'!L133</f>
            </strRef>
          </tx>
          <spPr>
            <a:ln>
              <a:prstDash val="solid"/>
            </a:ln>
          </spPr>
          <marker>
            <symbol val="none"/>
            <spPr>
              <a:ln>
                <a:prstDash val="solid"/>
              </a:ln>
            </spPr>
          </marker>
          <cat>
            <numRef>
              <f>'カーブ'!$A$134:$A$233</f>
            </numRef>
          </cat>
          <val>
            <numRef>
              <f>'カーブ'!$L$134:$L$233</f>
            </numRef>
          </val>
          <smooth val="0"/>
        </ser>
        <ser>
          <idx val="11"/>
          <order val="11"/>
          <tx>
            <strRef>
              <f>'カーブ'!M133</f>
            </strRef>
          </tx>
          <spPr>
            <a:ln>
              <a:prstDash val="solid"/>
            </a:ln>
          </spPr>
          <marker>
            <symbol val="none"/>
            <spPr>
              <a:ln>
                <a:prstDash val="solid"/>
              </a:ln>
            </spPr>
          </marker>
          <cat>
            <numRef>
              <f>'カーブ'!$A$134:$A$233</f>
            </numRef>
          </cat>
          <val>
            <numRef>
              <f>'カーブ'!$M$134:$M$233</f>
            </numRef>
          </val>
          <smooth val="0"/>
        </ser>
        <axId val="10"/>
        <axId val="100"/>
      </lineChart>
      <catAx>
        <axId val="10"/>
        <scaling>
          <orientation val="minMax"/>
        </scaling>
        <axPos val="l"/>
        <title>
          <tx>
            <rich>
              <a:bodyPr/>
              <a:p>
                <a:pPr>
                  <a:defRPr/>
                </a:pPr>
                <a:r>
                  <a:t>正準時間軸 t</a:t>
                </a:r>
              </a:p>
            </rich>
          </tx>
        </title>
        <majorTickMark val="none"/>
        <minorTickMark val="none"/>
        <crossAx val="100"/>
        <lblOffset val="100"/>
      </catAx>
      <valAx>
        <axId val="100"/>
        <scaling>
          <orientation val="minMax"/>
        </scaling>
        <axPos val="l"/>
        <majorGridlines/>
        <title>
          <tx>
            <rich>
              <a:bodyPr/>
              <a:p>
                <a:pPr>
                  <a:defRPr/>
                </a:pPr>
                <a:r>
                  <a:t>密度</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行程グループ別 工数密度(平均カーブ)</a:t>
            </a:r>
          </a:p>
        </rich>
      </tx>
    </title>
    <plotArea>
      <lineChart>
        <grouping val="standard"/>
        <ser>
          <idx val="0"/>
          <order val="0"/>
          <tx>
            <strRef>
              <f>'カーブ'!B259</f>
            </strRef>
          </tx>
          <spPr>
            <a:ln>
              <a:prstDash val="solid"/>
            </a:ln>
          </spPr>
          <marker>
            <symbol val="none"/>
            <spPr>
              <a:ln>
                <a:prstDash val="solid"/>
              </a:ln>
            </spPr>
          </marker>
          <cat>
            <numRef>
              <f>'カーブ'!$A$260:$A$359</f>
            </numRef>
          </cat>
          <val>
            <numRef>
              <f>'カーブ'!$B$260:$B$359</f>
            </numRef>
          </val>
        </ser>
        <ser>
          <idx val="1"/>
          <order val="1"/>
          <tx>
            <strRef>
              <f>'カーブ'!C259</f>
            </strRef>
          </tx>
          <spPr>
            <a:ln>
              <a:prstDash val="solid"/>
            </a:ln>
          </spPr>
          <marker>
            <symbol val="none"/>
            <spPr>
              <a:ln>
                <a:prstDash val="solid"/>
              </a:ln>
            </spPr>
          </marker>
          <cat>
            <numRef>
              <f>'カーブ'!$A$260:$A$359</f>
            </numRef>
          </cat>
          <val>
            <numRef>
              <f>'カーブ'!$C$260:$C$359</f>
            </numRef>
          </val>
        </ser>
        <ser>
          <idx val="2"/>
          <order val="2"/>
          <tx>
            <strRef>
              <f>'カーブ'!D259</f>
            </strRef>
          </tx>
          <spPr>
            <a:ln>
              <a:prstDash val="solid"/>
            </a:ln>
          </spPr>
          <marker>
            <symbol val="none"/>
            <spPr>
              <a:ln>
                <a:prstDash val="solid"/>
              </a:ln>
            </spPr>
          </marker>
          <cat>
            <numRef>
              <f>'カーブ'!$A$260:$A$359</f>
            </numRef>
          </cat>
          <val>
            <numRef>
              <f>'カーブ'!$D$260:$D$359</f>
            </numRef>
          </val>
        </ser>
        <ser>
          <idx val="3"/>
          <order val="3"/>
          <tx>
            <strRef>
              <f>'カーブ'!E259</f>
            </strRef>
          </tx>
          <spPr>
            <a:ln>
              <a:prstDash val="solid"/>
            </a:ln>
          </spPr>
          <marker>
            <symbol val="none"/>
            <spPr>
              <a:ln>
                <a:prstDash val="solid"/>
              </a:ln>
            </spPr>
          </marker>
          <cat>
            <numRef>
              <f>'カーブ'!$A$260:$A$359</f>
            </numRef>
          </cat>
          <val>
            <numRef>
              <f>'カーブ'!$E$260:$E$359</f>
            </numRef>
          </val>
        </ser>
        <ser>
          <idx val="4"/>
          <order val="4"/>
          <tx>
            <strRef>
              <f>'カーブ'!F259</f>
            </strRef>
          </tx>
          <spPr>
            <a:ln>
              <a:prstDash val="solid"/>
            </a:ln>
          </spPr>
          <marker>
            <symbol val="none"/>
            <spPr>
              <a:ln>
                <a:prstDash val="solid"/>
              </a:ln>
            </spPr>
          </marker>
          <cat>
            <numRef>
              <f>'カーブ'!$A$260:$A$359</f>
            </numRef>
          </cat>
          <val>
            <numRef>
              <f>'カーブ'!$F$260:$F$359</f>
            </numRef>
          </val>
        </ser>
        <ser>
          <idx val="5"/>
          <order val="5"/>
          <tx>
            <strRef>
              <f>'カーブ'!G259</f>
            </strRef>
          </tx>
          <spPr>
            <a:ln>
              <a:prstDash val="solid"/>
            </a:ln>
          </spPr>
          <marker>
            <symbol val="none"/>
            <spPr>
              <a:ln>
                <a:prstDash val="solid"/>
              </a:ln>
            </spPr>
          </marker>
          <cat>
            <numRef>
              <f>'カーブ'!$A$260:$A$359</f>
            </numRef>
          </cat>
          <val>
            <numRef>
              <f>'カーブ'!$G$260:$G$359</f>
            </numRef>
          </val>
        </ser>
        <ser>
          <idx val="6"/>
          <order val="6"/>
          <tx>
            <strRef>
              <f>'カーブ'!H259</f>
            </strRef>
          </tx>
          <spPr>
            <a:ln>
              <a:prstDash val="solid"/>
            </a:ln>
          </spPr>
          <marker>
            <symbol val="none"/>
            <spPr>
              <a:ln>
                <a:prstDash val="solid"/>
              </a:ln>
            </spPr>
          </marker>
          <cat>
            <numRef>
              <f>'カーブ'!$A$260:$A$359</f>
            </numRef>
          </cat>
          <val>
            <numRef>
              <f>'カーブ'!$H$260:$H$359</f>
            </numRef>
          </val>
        </ser>
        <axId val="10"/>
        <axId val="100"/>
      </lineChart>
      <catAx>
        <axId val="10"/>
        <scaling>
          <orientation val="minMax"/>
        </scaling>
        <axPos val="l"/>
        <title>
          <tx>
            <rich>
              <a:bodyPr/>
              <a:p>
                <a:pPr>
                  <a:defRPr/>
                </a:pPr>
                <a:r>
                  <a:t>正準時間軸 t</a:t>
                </a:r>
              </a:p>
            </rich>
          </tx>
        </title>
        <majorTickMark val="none"/>
        <minorTickMark val="none"/>
        <crossAx val="100"/>
        <lblOffset val="100"/>
      </catAx>
      <valAx>
        <axId val="100"/>
        <scaling>
          <orientation val="minMax"/>
        </scaling>
        <axPos val="l"/>
        <majorGridlines/>
        <title>
          <tx>
            <rich>
              <a:bodyPr/>
              <a:p>
                <a:pPr>
                  <a:defRPr/>
                </a:pPr>
                <a:r>
                  <a:t>密度</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 Type="http://schemas.openxmlformats.org/officeDocument/2006/relationships/chart" Target="/xl/charts/chart4.xml" Id="rId2" /><Relationship Type="http://schemas.openxmlformats.org/officeDocument/2006/relationships/chart" Target="/xl/charts/chart5.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10</row>
      <rowOff>0</rowOff>
    </from>
    <ext cx="9432000" cy="36000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31</row>
      <rowOff>0</rowOff>
    </from>
    <ext cx="7560000" cy="288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14</col>
      <colOff>0</colOff>
      <row>5</row>
      <rowOff>0</rowOff>
    </from>
    <ext cx="8640000" cy="3960000"/>
    <graphicFrame>
      <nvGraphicFramePr>
        <cNvPr id="1" name="Chart 1"/>
        <cNvGraphicFramePr/>
      </nvGraphicFramePr>
      <xfrm/>
      <a:graphic>
        <a:graphicData uri="http://schemas.openxmlformats.org/drawingml/2006/chart">
          <c:chart r:id="rId1"/>
        </a:graphicData>
      </a:graphic>
    </graphicFrame>
    <clientData/>
  </oneCellAnchor>
  <oneCellAnchor>
    <from>
      <col>14</col>
      <colOff>0</colOff>
      <row>132</row>
      <rowOff>0</rowOff>
    </from>
    <ext cx="8640000" cy="3960000"/>
    <graphicFrame>
      <nvGraphicFramePr>
        <cNvPr id="2" name="Chart 2"/>
        <cNvGraphicFramePr/>
      </nvGraphicFramePr>
      <xfrm/>
      <a:graphic>
        <a:graphicData uri="http://schemas.openxmlformats.org/drawingml/2006/chart">
          <c:chart r:id="rId2"/>
        </a:graphicData>
      </a:graphic>
    </graphicFrame>
    <clientData/>
  </oneCellAnchor>
  <oneCellAnchor>
    <from>
      <col>9</col>
      <colOff>0</colOff>
      <row>258</row>
      <rowOff>0</rowOff>
    </from>
    <ext cx="8640000" cy="3960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fitToPage="1"/>
  </sheetPr>
  <dimension ref="A1:K85"/>
  <sheetViews>
    <sheetView workbookViewId="0">
      <pane xSplit="2" ySplit="11" topLeftCell="C12" activePane="bottomRight" state="frozen"/>
      <selection pane="topRight"/>
      <selection pane="bottomLeft"/>
      <selection pane="bottomRight" activeCell="A1" sqref="A1"/>
    </sheetView>
  </sheetViews>
  <sheetFormatPr baseColWidth="8" defaultRowHeight="15"/>
  <cols>
    <col width="20" customWidth="1" min="1" max="1"/>
    <col width="14" customWidth="1" min="2" max="2"/>
    <col width="10" customWidth="1" min="3" max="3"/>
    <col width="22" customWidth="1" min="4" max="4"/>
    <col width="15" customWidth="1" min="5" max="5"/>
    <col width="15" customWidth="1" min="6" max="6"/>
    <col width="15" customWidth="1" min="7" max="7"/>
    <col width="15" customWidth="1" min="8" max="8"/>
    <col width="15" customWidth="1" min="9" max="9"/>
  </cols>
  <sheetData>
    <row r="1">
      <c r="A1" s="1" t="inlineStr">
        <is>
          <t>工数予測  蒼穹のレガリア II  (PJ-2026-K)</t>
        </is>
      </c>
    </row>
    <row r="2">
      <c r="A2" s="2" t="inlineStr">
        <is>
          <t>生成日時</t>
        </is>
      </c>
      <c r="B2" s="2" t="inlineStr">
        <is>
          <t>2026-09-03 00:32</t>
        </is>
      </c>
    </row>
    <row r="3">
      <c r="A3" s="2" t="inlineStr">
        <is>
          <t>種別</t>
        </is>
      </c>
      <c r="B3" s="2" t="inlineStr">
        <is>
          <t>新規タイトル開発</t>
        </is>
      </c>
    </row>
    <row r="4">
      <c r="A4" s="2" t="inlineStr">
        <is>
          <t>タグ</t>
        </is>
      </c>
      <c r="B4" s="2" t="inlineStr">
        <is>
          <t>コンソール;既存IP;オンライン要素</t>
        </is>
      </c>
    </row>
    <row r="5">
      <c r="A5" s="2" t="inlineStr">
        <is>
          <t>期間</t>
        </is>
      </c>
      <c r="B5" s="2" t="inlineStr">
        <is>
          <t>2026-07 〜 2028-08  (26ヶ月)</t>
        </is>
      </c>
    </row>
    <row r="6">
      <c r="A6" s="2" t="inlineStr">
        <is>
          <t>契約人月</t>
        </is>
      </c>
      <c r="B6" s="3" t="n">
        <v>1900</v>
      </c>
    </row>
    <row r="7">
      <c r="A7" s="2" t="inlineStr">
        <is>
          <t>人月換算係数</t>
        </is>
      </c>
      <c r="B7" s="4" t="n">
        <v>160</v>
      </c>
      <c r="C7" s="5" t="inlineStr">
        <is>
          <t>← 人月表示はこのセルを参照。定義が違う場合はここを書き換える</t>
        </is>
      </c>
    </row>
    <row r="8">
      <c r="A8" s="2" t="inlineStr">
        <is>
          <t>総工数(時間)</t>
        </is>
      </c>
      <c r="B8" s="3" t="n">
        <v>304000</v>
      </c>
    </row>
    <row r="10">
      <c r="A10" s="6" t="inlineStr">
        <is>
          <t>■ 月 × 行程グループ 工数(時間)</t>
        </is>
      </c>
    </row>
    <row r="11">
      <c r="A11" s="7" t="inlineStr">
        <is>
          <t>月</t>
        </is>
      </c>
      <c r="B11" s="8" t="inlineStr">
        <is>
          <t>経過月</t>
        </is>
      </c>
      <c r="C11" s="8" t="inlineStr">
        <is>
          <t>企画・プリプロ</t>
        </is>
      </c>
      <c r="D11" s="8" t="inlineStr">
        <is>
          <t>ゲームデザイン・シナリオ</t>
        </is>
      </c>
      <c r="E11" s="8" t="inlineStr">
        <is>
          <t>プログラム</t>
        </is>
      </c>
      <c r="F11" s="8" t="inlineStr">
        <is>
          <t>アート</t>
        </is>
      </c>
      <c r="G11" s="8" t="inlineStr">
        <is>
          <t>サウンド</t>
        </is>
      </c>
      <c r="H11" s="8" t="inlineStr">
        <is>
          <t>QA・デバッグ</t>
        </is>
      </c>
      <c r="I11" s="8" t="inlineStr">
        <is>
          <t>PM・運営</t>
        </is>
      </c>
      <c r="J11" s="7" t="inlineStr">
        <is>
          <t>合計</t>
        </is>
      </c>
      <c r="K11" s="9" t="inlineStr">
        <is>
          <t>累積率</t>
        </is>
      </c>
    </row>
    <row r="12">
      <c r="A12" s="10" t="inlineStr">
        <is>
          <t>2026-07</t>
        </is>
      </c>
      <c r="B12" s="11" t="n">
        <v>1</v>
      </c>
      <c r="C12" s="12" t="n">
        <v>2167.6</v>
      </c>
      <c r="D12" s="12" t="n">
        <v>444.9</v>
      </c>
      <c r="E12" s="12" t="n">
        <v>135.4</v>
      </c>
      <c r="F12" s="12" t="n">
        <v>30.5</v>
      </c>
      <c r="G12" s="12" t="n">
        <v>0</v>
      </c>
      <c r="H12" s="12" t="n">
        <v>0</v>
      </c>
      <c r="I12" s="12" t="n">
        <v>201.8</v>
      </c>
      <c r="J12" s="12">
        <f>SUM(C12:I12)</f>
        <v/>
      </c>
      <c r="K12" s="13">
        <f>SUM($J$12:J12)/$J$38</f>
        <v/>
      </c>
    </row>
    <row r="13">
      <c r="A13" s="10" t="inlineStr">
        <is>
          <t>2026-08</t>
        </is>
      </c>
      <c r="B13" s="11" t="n">
        <v>2</v>
      </c>
      <c r="C13" s="12" t="n">
        <v>2582</v>
      </c>
      <c r="D13" s="12" t="n">
        <v>911</v>
      </c>
      <c r="E13" s="12" t="n">
        <v>414.9</v>
      </c>
      <c r="F13" s="12" t="n">
        <v>183.2</v>
      </c>
      <c r="G13" s="12" t="n">
        <v>0.3</v>
      </c>
      <c r="H13" s="12" t="n">
        <v>0</v>
      </c>
      <c r="I13" s="12" t="n">
        <v>351.3</v>
      </c>
      <c r="J13" s="12">
        <f>SUM(C13:I13)</f>
        <v/>
      </c>
      <c r="K13" s="13">
        <f>SUM($J$12:J13)/$J$38</f>
        <v/>
      </c>
    </row>
    <row r="14">
      <c r="A14" s="10" t="inlineStr">
        <is>
          <t>2026-09</t>
        </is>
      </c>
      <c r="B14" s="11" t="n">
        <v>3</v>
      </c>
      <c r="C14" s="12" t="n">
        <v>2623.5</v>
      </c>
      <c r="D14" s="12" t="n">
        <v>1418.3</v>
      </c>
      <c r="E14" s="12" t="n">
        <v>874.1</v>
      </c>
      <c r="F14" s="12" t="n">
        <v>458.9</v>
      </c>
      <c r="G14" s="12" t="n">
        <v>3</v>
      </c>
      <c r="H14" s="12" t="n">
        <v>0</v>
      </c>
      <c r="I14" s="12" t="n">
        <v>485.3</v>
      </c>
      <c r="J14" s="12">
        <f>SUM(C14:I14)</f>
        <v/>
      </c>
      <c r="K14" s="13">
        <f>SUM($J$12:J14)/$J$38</f>
        <v/>
      </c>
    </row>
    <row r="15">
      <c r="A15" s="10" t="inlineStr">
        <is>
          <t>2026-10</t>
        </is>
      </c>
      <c r="B15" s="11" t="n">
        <v>4</v>
      </c>
      <c r="C15" s="12" t="n">
        <v>2519.7</v>
      </c>
      <c r="D15" s="12" t="n">
        <v>1776</v>
      </c>
      <c r="E15" s="12" t="n">
        <v>1362.9</v>
      </c>
      <c r="F15" s="12" t="n">
        <v>893.5</v>
      </c>
      <c r="G15" s="12" t="n">
        <v>18.5</v>
      </c>
      <c r="H15" s="12" t="n">
        <v>0.5</v>
      </c>
      <c r="I15" s="12" t="n">
        <v>627.3</v>
      </c>
      <c r="J15" s="12">
        <f>SUM(C15:I15)</f>
        <v/>
      </c>
      <c r="K15" s="13">
        <f>SUM($J$12:J15)/$J$38</f>
        <v/>
      </c>
    </row>
    <row r="16">
      <c r="A16" s="10" t="inlineStr">
        <is>
          <t>2026-11</t>
        </is>
      </c>
      <c r="B16" s="11" t="n">
        <v>5</v>
      </c>
      <c r="C16" s="12" t="n">
        <v>2008.1</v>
      </c>
      <c r="D16" s="12" t="n">
        <v>1916.8</v>
      </c>
      <c r="E16" s="12" t="n">
        <v>1801.8</v>
      </c>
      <c r="F16" s="12" t="n">
        <v>1318.8</v>
      </c>
      <c r="G16" s="12" t="n">
        <v>44.3</v>
      </c>
      <c r="H16" s="12" t="n">
        <v>2.8</v>
      </c>
      <c r="I16" s="12" t="n">
        <v>658.6</v>
      </c>
      <c r="J16" s="12">
        <f>SUM(C16:I16)</f>
        <v/>
      </c>
      <c r="K16" s="13">
        <f>SUM($J$12:J16)/$J$38</f>
        <v/>
      </c>
    </row>
    <row r="17">
      <c r="A17" s="10" t="inlineStr">
        <is>
          <t>2026-12</t>
        </is>
      </c>
      <c r="B17" s="11" t="n">
        <v>6</v>
      </c>
      <c r="C17" s="12" t="n">
        <v>1735.1</v>
      </c>
      <c r="D17" s="12" t="n">
        <v>2024.5</v>
      </c>
      <c r="E17" s="12" t="n">
        <v>2298.5</v>
      </c>
      <c r="F17" s="12" t="n">
        <v>1805.4</v>
      </c>
      <c r="G17" s="12" t="n">
        <v>81.8</v>
      </c>
      <c r="H17" s="12" t="n">
        <v>11.5</v>
      </c>
      <c r="I17" s="12" t="n">
        <v>732.9</v>
      </c>
      <c r="J17" s="12">
        <f>SUM(C17:I17)</f>
        <v/>
      </c>
      <c r="K17" s="13">
        <f>SUM($J$12:J17)/$J$38</f>
        <v/>
      </c>
    </row>
    <row r="18">
      <c r="A18" s="10" t="inlineStr">
        <is>
          <t>2027-01</t>
        </is>
      </c>
      <c r="B18" s="11" t="n">
        <v>7</v>
      </c>
      <c r="C18" s="12" t="n">
        <v>1507.5</v>
      </c>
      <c r="D18" s="12" t="n">
        <v>2179.4</v>
      </c>
      <c r="E18" s="12" t="n">
        <v>2825.7</v>
      </c>
      <c r="F18" s="12" t="n">
        <v>2445.6</v>
      </c>
      <c r="G18" s="12" t="n">
        <v>132.2</v>
      </c>
      <c r="H18" s="12" t="n">
        <v>34.4</v>
      </c>
      <c r="I18" s="12" t="n">
        <v>858.4</v>
      </c>
      <c r="J18" s="12">
        <f>SUM(C18:I18)</f>
        <v/>
      </c>
      <c r="K18" s="13">
        <f>SUM($J$12:J18)/$J$38</f>
        <v/>
      </c>
    </row>
    <row r="19">
      <c r="A19" s="10" t="inlineStr">
        <is>
          <t>2027-02</t>
        </is>
      </c>
      <c r="B19" s="11" t="n">
        <v>8</v>
      </c>
      <c r="C19" s="12" t="n">
        <v>1187.7</v>
      </c>
      <c r="D19" s="12" t="n">
        <v>2158.4</v>
      </c>
      <c r="E19" s="12" t="n">
        <v>3029.4</v>
      </c>
      <c r="F19" s="12" t="n">
        <v>2834.6</v>
      </c>
      <c r="G19" s="12" t="n">
        <v>170.3</v>
      </c>
      <c r="H19" s="12" t="n">
        <v>54.8</v>
      </c>
      <c r="I19" s="12" t="n">
        <v>849.7</v>
      </c>
      <c r="J19" s="12">
        <f>SUM(C19:I19)</f>
        <v/>
      </c>
      <c r="K19" s="13">
        <f>SUM($J$12:J19)/$J$38</f>
        <v/>
      </c>
    </row>
    <row r="20">
      <c r="A20" s="10" t="inlineStr">
        <is>
          <t>2027-03</t>
        </is>
      </c>
      <c r="B20" s="11" t="n">
        <v>9</v>
      </c>
      <c r="C20" s="12" t="n">
        <v>1052.7</v>
      </c>
      <c r="D20" s="12" t="n">
        <v>2413.7</v>
      </c>
      <c r="E20" s="12" t="n">
        <v>4078.9</v>
      </c>
      <c r="F20" s="12" t="n">
        <v>3960.9</v>
      </c>
      <c r="G20" s="12" t="n">
        <v>303.3</v>
      </c>
      <c r="H20" s="12" t="n">
        <v>122.9</v>
      </c>
      <c r="I20" s="12" t="n">
        <v>993.3</v>
      </c>
      <c r="J20" s="12">
        <f>SUM(C20:I20)</f>
        <v/>
      </c>
      <c r="K20" s="13">
        <f>SUM($J$12:J20)/$J$38</f>
        <v/>
      </c>
    </row>
    <row r="21">
      <c r="A21" s="10" t="inlineStr">
        <is>
          <t>2027-04</t>
        </is>
      </c>
      <c r="B21" s="11" t="n">
        <v>10</v>
      </c>
      <c r="C21" s="12" t="n">
        <v>802.6</v>
      </c>
      <c r="D21" s="12" t="n">
        <v>2328.1</v>
      </c>
      <c r="E21" s="12" t="n">
        <v>4244.8</v>
      </c>
      <c r="F21" s="12" t="n">
        <v>4437.9</v>
      </c>
      <c r="G21" s="12" t="n">
        <v>378.3</v>
      </c>
      <c r="H21" s="12" t="n">
        <v>182.9</v>
      </c>
      <c r="I21" s="12" t="n">
        <v>1006.4</v>
      </c>
      <c r="J21" s="12">
        <f>SUM(C21:I21)</f>
        <v/>
      </c>
      <c r="K21" s="13">
        <f>SUM($J$12:J21)/$J$38</f>
        <v/>
      </c>
    </row>
    <row r="22">
      <c r="A22" s="10" t="inlineStr">
        <is>
          <t>2027-05</t>
        </is>
      </c>
      <c r="B22" s="11" t="n">
        <v>11</v>
      </c>
      <c r="C22" s="12" t="n">
        <v>599.6</v>
      </c>
      <c r="D22" s="12" t="n">
        <v>2680.7</v>
      </c>
      <c r="E22" s="12" t="n">
        <v>5690.2</v>
      </c>
      <c r="F22" s="12" t="n">
        <v>5194.6</v>
      </c>
      <c r="G22" s="12" t="n">
        <v>535.5</v>
      </c>
      <c r="H22" s="12" t="n">
        <v>315.3</v>
      </c>
      <c r="I22" s="12" t="n">
        <v>1098.4</v>
      </c>
      <c r="J22" s="12">
        <f>SUM(C22:I22)</f>
        <v/>
      </c>
      <c r="K22" s="13">
        <f>SUM($J$12:J22)/$J$38</f>
        <v/>
      </c>
    </row>
    <row r="23">
      <c r="A23" s="10" t="inlineStr">
        <is>
          <t>2027-06</t>
        </is>
      </c>
      <c r="B23" s="11" t="n">
        <v>12</v>
      </c>
      <c r="C23" s="12" t="n">
        <v>438.1</v>
      </c>
      <c r="D23" s="12" t="n">
        <v>2845.4</v>
      </c>
      <c r="E23" s="12" t="n">
        <v>7154.7</v>
      </c>
      <c r="F23" s="12" t="n">
        <v>5576.8</v>
      </c>
      <c r="G23" s="12" t="n">
        <v>631.4</v>
      </c>
      <c r="H23" s="12" t="n">
        <v>426.9</v>
      </c>
      <c r="I23" s="12" t="n">
        <v>1047.1</v>
      </c>
      <c r="J23" s="12">
        <f>SUM(C23:I23)</f>
        <v/>
      </c>
      <c r="K23" s="13">
        <f>SUM($J$12:J23)/$J$38</f>
        <v/>
      </c>
    </row>
    <row r="24">
      <c r="A24" s="10" t="inlineStr">
        <is>
          <t>2027-07</t>
        </is>
      </c>
      <c r="B24" s="11" t="n">
        <v>13</v>
      </c>
      <c r="C24" s="12" t="n">
        <v>284.2</v>
      </c>
      <c r="D24" s="12" t="n">
        <v>2860.4</v>
      </c>
      <c r="E24" s="12" t="n">
        <v>7961.6</v>
      </c>
      <c r="F24" s="12" t="n">
        <v>5601.9</v>
      </c>
      <c r="G24" s="12" t="n">
        <v>699.6</v>
      </c>
      <c r="H24" s="12" t="n">
        <v>621.5</v>
      </c>
      <c r="I24" s="12" t="n">
        <v>1013.9</v>
      </c>
      <c r="J24" s="12">
        <f>SUM(C24:I24)</f>
        <v/>
      </c>
      <c r="K24" s="13">
        <f>SUM($J$12:J24)/$J$38</f>
        <v/>
      </c>
    </row>
    <row r="25">
      <c r="A25" s="10" t="inlineStr">
        <is>
          <t>2027-08</t>
        </is>
      </c>
      <c r="B25" s="11" t="n">
        <v>14</v>
      </c>
      <c r="C25" s="12" t="n">
        <v>178.8</v>
      </c>
      <c r="D25" s="12" t="n">
        <v>2155.2</v>
      </c>
      <c r="E25" s="12" t="n">
        <v>6470.5</v>
      </c>
      <c r="F25" s="12" t="n">
        <v>5227.4</v>
      </c>
      <c r="G25" s="12" t="n">
        <v>698.6</v>
      </c>
      <c r="H25" s="12" t="n">
        <v>731.7</v>
      </c>
      <c r="I25" s="12" t="n">
        <v>910.9</v>
      </c>
      <c r="J25" s="12">
        <f>SUM(C25:I25)</f>
        <v/>
      </c>
      <c r="K25" s="13">
        <f>SUM($J$12:J25)/$J$38</f>
        <v/>
      </c>
    </row>
    <row r="26">
      <c r="A26" s="10" t="inlineStr">
        <is>
          <t>2027-09</t>
        </is>
      </c>
      <c r="B26" s="11" t="n">
        <v>15</v>
      </c>
      <c r="C26" s="12" t="n">
        <v>118</v>
      </c>
      <c r="D26" s="12" t="n">
        <v>1627.1</v>
      </c>
      <c r="E26" s="12" t="n">
        <v>5360.9</v>
      </c>
      <c r="F26" s="12" t="n">
        <v>5153.5</v>
      </c>
      <c r="G26" s="12" t="n">
        <v>770.1</v>
      </c>
      <c r="H26" s="12" t="n">
        <v>893.5</v>
      </c>
      <c r="I26" s="12" t="n">
        <v>889.7</v>
      </c>
      <c r="J26" s="12">
        <f>SUM(C26:I26)</f>
        <v/>
      </c>
      <c r="K26" s="13">
        <f>SUM($J$12:J26)/$J$38</f>
        <v/>
      </c>
    </row>
    <row r="27">
      <c r="A27" s="10" t="inlineStr">
        <is>
          <t>2027-10</t>
        </is>
      </c>
      <c r="B27" s="11" t="n">
        <v>16</v>
      </c>
      <c r="C27" s="12" t="n">
        <v>82.2</v>
      </c>
      <c r="D27" s="12" t="n">
        <v>1250.4</v>
      </c>
      <c r="E27" s="12" t="n">
        <v>4567</v>
      </c>
      <c r="F27" s="12" t="n">
        <v>5219.7</v>
      </c>
      <c r="G27" s="12" t="n">
        <v>850.3</v>
      </c>
      <c r="H27" s="12" t="n">
        <v>1138.2</v>
      </c>
      <c r="I27" s="12" t="n">
        <v>906.9</v>
      </c>
      <c r="J27" s="12">
        <f>SUM(C27:I27)</f>
        <v/>
      </c>
      <c r="K27" s="13">
        <f>SUM($J$12:J27)/$J$38</f>
        <v/>
      </c>
    </row>
    <row r="28">
      <c r="A28" s="10" t="inlineStr">
        <is>
          <t>2027-11</t>
        </is>
      </c>
      <c r="B28" s="11" t="n">
        <v>17</v>
      </c>
      <c r="C28" s="12" t="n">
        <v>49</v>
      </c>
      <c r="D28" s="12" t="n">
        <v>915.7</v>
      </c>
      <c r="E28" s="12" t="n">
        <v>3990.6</v>
      </c>
      <c r="F28" s="12" t="n">
        <v>5199</v>
      </c>
      <c r="G28" s="12" t="n">
        <v>895.8</v>
      </c>
      <c r="H28" s="12" t="n">
        <v>1467.7</v>
      </c>
      <c r="I28" s="12" t="n">
        <v>823.4</v>
      </c>
      <c r="J28" s="12">
        <f>SUM(C28:I28)</f>
        <v/>
      </c>
      <c r="K28" s="13">
        <f>SUM($J$12:J28)/$J$38</f>
        <v/>
      </c>
    </row>
    <row r="29">
      <c r="A29" s="10" t="inlineStr">
        <is>
          <t>2027-12</t>
        </is>
      </c>
      <c r="B29" s="11" t="n">
        <v>18</v>
      </c>
      <c r="C29" s="12" t="n">
        <v>22.2</v>
      </c>
      <c r="D29" s="12" t="n">
        <v>706.5</v>
      </c>
      <c r="E29" s="12" t="n">
        <v>4055.4</v>
      </c>
      <c r="F29" s="12" t="n">
        <v>5562.6</v>
      </c>
      <c r="G29" s="12" t="n">
        <v>1052.2</v>
      </c>
      <c r="H29" s="12" t="n">
        <v>2433.8</v>
      </c>
      <c r="I29" s="12" t="n">
        <v>811.1</v>
      </c>
      <c r="J29" s="12">
        <f>SUM(C29:I29)</f>
        <v/>
      </c>
      <c r="K29" s="13">
        <f>SUM($J$12:J29)/$J$38</f>
        <v/>
      </c>
    </row>
    <row r="30">
      <c r="A30" s="10" t="inlineStr">
        <is>
          <t>2028-01</t>
        </is>
      </c>
      <c r="B30" s="11" t="n">
        <v>19</v>
      </c>
      <c r="C30" s="12" t="n">
        <v>12.2</v>
      </c>
      <c r="D30" s="12" t="n">
        <v>605.6</v>
      </c>
      <c r="E30" s="12" t="n">
        <v>4286.2</v>
      </c>
      <c r="F30" s="12" t="n">
        <v>5959.5</v>
      </c>
      <c r="G30" s="12" t="n">
        <v>1131.2</v>
      </c>
      <c r="H30" s="12" t="n">
        <v>3471.3</v>
      </c>
      <c r="I30" s="12" t="n">
        <v>805.7</v>
      </c>
      <c r="J30" s="12">
        <f>SUM(C30:I30)</f>
        <v/>
      </c>
      <c r="K30" s="13">
        <f>SUM($J$12:J30)/$J$38</f>
        <v/>
      </c>
    </row>
    <row r="31">
      <c r="A31" s="10" t="inlineStr">
        <is>
          <t>2028-02</t>
        </is>
      </c>
      <c r="B31" s="11" t="n">
        <v>20</v>
      </c>
      <c r="C31" s="12" t="n">
        <v>3</v>
      </c>
      <c r="D31" s="12" t="n">
        <v>422.6</v>
      </c>
      <c r="E31" s="12" t="n">
        <v>4352.3</v>
      </c>
      <c r="F31" s="12" t="n">
        <v>6151.6</v>
      </c>
      <c r="G31" s="12" t="n">
        <v>1129</v>
      </c>
      <c r="H31" s="12" t="n">
        <v>4335.4</v>
      </c>
      <c r="I31" s="12" t="n">
        <v>694.5</v>
      </c>
      <c r="J31" s="12">
        <f>SUM(C31:I31)</f>
        <v/>
      </c>
      <c r="K31" s="13">
        <f>SUM($J$12:J31)/$J$38</f>
        <v/>
      </c>
    </row>
    <row r="32">
      <c r="A32" s="10" t="inlineStr">
        <is>
          <t>2028-03</t>
        </is>
      </c>
      <c r="B32" s="11" t="n">
        <v>21</v>
      </c>
      <c r="C32" s="12" t="n">
        <v>0.4</v>
      </c>
      <c r="D32" s="12" t="n">
        <v>366.4</v>
      </c>
      <c r="E32" s="12" t="n">
        <v>4751.5</v>
      </c>
      <c r="F32" s="12" t="n">
        <v>6733.7</v>
      </c>
      <c r="G32" s="12" t="n">
        <v>1233.6</v>
      </c>
      <c r="H32" s="12" t="n">
        <v>5305.3</v>
      </c>
      <c r="I32" s="12" t="n">
        <v>771.7</v>
      </c>
      <c r="J32" s="12">
        <f>SUM(C32:I32)</f>
        <v/>
      </c>
      <c r="K32" s="13">
        <f>SUM($J$12:J32)/$J$38</f>
        <v/>
      </c>
    </row>
    <row r="33">
      <c r="A33" s="10" t="inlineStr">
        <is>
          <t>2028-04</t>
        </is>
      </c>
      <c r="B33" s="11" t="n">
        <v>22</v>
      </c>
      <c r="C33" s="12" t="n">
        <v>0</v>
      </c>
      <c r="D33" s="12" t="n">
        <v>232.2</v>
      </c>
      <c r="E33" s="12" t="n">
        <v>3254.3</v>
      </c>
      <c r="F33" s="12" t="n">
        <v>4661.2</v>
      </c>
      <c r="G33" s="12" t="n">
        <v>977.2</v>
      </c>
      <c r="H33" s="12" t="n">
        <v>4201.9</v>
      </c>
      <c r="I33" s="12" t="n">
        <v>668.5</v>
      </c>
      <c r="J33" s="12">
        <f>SUM(C33:I33)</f>
        <v/>
      </c>
      <c r="K33" s="13">
        <f>SUM($J$12:J33)/$J$38</f>
        <v/>
      </c>
    </row>
    <row r="34">
      <c r="A34" s="10" t="inlineStr">
        <is>
          <t>2028-05</t>
        </is>
      </c>
      <c r="B34" s="11" t="n">
        <v>23</v>
      </c>
      <c r="C34" s="12" t="n">
        <v>0</v>
      </c>
      <c r="D34" s="12" t="n">
        <v>137.4</v>
      </c>
      <c r="E34" s="12" t="n">
        <v>2140.2</v>
      </c>
      <c r="F34" s="12" t="n">
        <v>3006</v>
      </c>
      <c r="G34" s="12" t="n">
        <v>704</v>
      </c>
      <c r="H34" s="12" t="n">
        <v>3990.9</v>
      </c>
      <c r="I34" s="12" t="n">
        <v>607.3</v>
      </c>
      <c r="J34" s="12">
        <f>SUM(C34:I34)</f>
        <v/>
      </c>
      <c r="K34" s="13">
        <f>SUM($J$12:J34)/$J$38</f>
        <v/>
      </c>
    </row>
    <row r="35">
      <c r="A35" s="10" t="inlineStr">
        <is>
          <t>2028-06</t>
        </is>
      </c>
      <c r="B35" s="11" t="n">
        <v>24</v>
      </c>
      <c r="C35" s="12" t="n">
        <v>0</v>
      </c>
      <c r="D35" s="12" t="n">
        <v>57.6</v>
      </c>
      <c r="E35" s="12" t="n">
        <v>1255.5</v>
      </c>
      <c r="F35" s="12" t="n">
        <v>1640.4</v>
      </c>
      <c r="G35" s="12" t="n">
        <v>408.9</v>
      </c>
      <c r="H35" s="12" t="n">
        <v>4685.2</v>
      </c>
      <c r="I35" s="12" t="n">
        <v>500.1</v>
      </c>
      <c r="J35" s="12">
        <f>SUM(C35:I35)</f>
        <v/>
      </c>
      <c r="K35" s="13">
        <f>SUM($J$12:J35)/$J$38</f>
        <v/>
      </c>
    </row>
    <row r="36">
      <c r="A36" s="10" t="inlineStr">
        <is>
          <t>2028-07</t>
        </is>
      </c>
      <c r="B36" s="11" t="n">
        <v>25</v>
      </c>
      <c r="C36" s="12" t="n">
        <v>0</v>
      </c>
      <c r="D36" s="12" t="n">
        <v>16.1</v>
      </c>
      <c r="E36" s="12" t="n">
        <v>689</v>
      </c>
      <c r="F36" s="12" t="n">
        <v>810.6</v>
      </c>
      <c r="G36" s="12" t="n">
        <v>227.2</v>
      </c>
      <c r="H36" s="12" t="n">
        <v>3788.3</v>
      </c>
      <c r="I36" s="12" t="n">
        <v>348.7</v>
      </c>
      <c r="J36" s="12">
        <f>SUM(C36:I36)</f>
        <v/>
      </c>
      <c r="K36" s="13">
        <f>SUM($J$12:J36)/$J$38</f>
        <v/>
      </c>
    </row>
    <row r="37">
      <c r="A37" s="10" t="inlineStr">
        <is>
          <t>2028-08</t>
        </is>
      </c>
      <c r="B37" s="11" t="n">
        <v>26</v>
      </c>
      <c r="C37" s="12" t="n">
        <v>0</v>
      </c>
      <c r="D37" s="12" t="n">
        <v>0</v>
      </c>
      <c r="E37" s="12" t="n">
        <v>236.1</v>
      </c>
      <c r="F37" s="12" t="n">
        <v>258.3</v>
      </c>
      <c r="G37" s="12" t="n">
        <v>72.5</v>
      </c>
      <c r="H37" s="12" t="n">
        <v>1749.3</v>
      </c>
      <c r="I37" s="12" t="n">
        <v>188.9</v>
      </c>
      <c r="J37" s="12">
        <f>SUM(C37:I37)</f>
        <v/>
      </c>
      <c r="K37" s="13">
        <f>SUM($J$12:J37)/$J$38</f>
        <v/>
      </c>
    </row>
    <row r="38">
      <c r="A38" s="14" t="inlineStr">
        <is>
          <t>合計</t>
        </is>
      </c>
      <c r="C38" s="15">
        <f>SUM(C12:C37)</f>
        <v/>
      </c>
      <c r="D38" s="15">
        <f>SUM(D12:D37)</f>
        <v/>
      </c>
      <c r="E38" s="15">
        <f>SUM(E12:E37)</f>
        <v/>
      </c>
      <c r="F38" s="15">
        <f>SUM(F12:F37)</f>
        <v/>
      </c>
      <c r="G38" s="15">
        <f>SUM(G12:G37)</f>
        <v/>
      </c>
      <c r="H38" s="15">
        <f>SUM(H12:H37)</f>
        <v/>
      </c>
      <c r="I38" s="15">
        <f>SUM(I12:I37)</f>
        <v/>
      </c>
      <c r="J38" s="15">
        <f>SUM(J12:J37)</f>
        <v/>
      </c>
    </row>
    <row r="39">
      <c r="A39" s="16" t="inlineStr">
        <is>
          <t>構成比</t>
        </is>
      </c>
      <c r="C39" s="17">
        <f>C38/$J$38</f>
        <v/>
      </c>
      <c r="D39" s="17">
        <f>D38/$J$38</f>
        <v/>
      </c>
      <c r="E39" s="17">
        <f>E38/$J$38</f>
        <v/>
      </c>
      <c r="F39" s="17">
        <f>F38/$J$38</f>
        <v/>
      </c>
      <c r="G39" s="17">
        <f>G38/$J$38</f>
        <v/>
      </c>
      <c r="H39" s="17">
        <f>H38/$J$38</f>
        <v/>
      </c>
      <c r="I39" s="17">
        <f>I38/$J$38</f>
        <v/>
      </c>
    </row>
    <row r="42">
      <c r="A42" s="6" t="inlineStr">
        <is>
          <t>■ 月 × 行程グループ 工数(人月)</t>
        </is>
      </c>
    </row>
    <row r="43">
      <c r="A43" s="5" t="inlineStr">
        <is>
          <t>上の時間表を換算係数(160時間/人月)で割った値。係数セルを書き換えると自動で追従する。</t>
        </is>
      </c>
    </row>
    <row r="44">
      <c r="A44" s="18" t="inlineStr">
        <is>
          <t>月</t>
        </is>
      </c>
      <c r="B44" s="8" t="inlineStr">
        <is>
          <t>企画・プリプロ</t>
        </is>
      </c>
      <c r="C44" s="8" t="inlineStr">
        <is>
          <t>ゲームデザイン・シナリオ</t>
        </is>
      </c>
      <c r="D44" s="8" t="inlineStr">
        <is>
          <t>プログラム</t>
        </is>
      </c>
      <c r="E44" s="8" t="inlineStr">
        <is>
          <t>アート</t>
        </is>
      </c>
      <c r="F44" s="8" t="inlineStr">
        <is>
          <t>サウンド</t>
        </is>
      </c>
      <c r="G44" s="8" t="inlineStr">
        <is>
          <t>QA・デバッグ</t>
        </is>
      </c>
      <c r="H44" s="8" t="inlineStr">
        <is>
          <t>PM・運営</t>
        </is>
      </c>
      <c r="I44" s="18" t="inlineStr">
        <is>
          <t>合計</t>
        </is>
      </c>
    </row>
    <row r="45">
      <c r="A45" s="10">
        <f>A12</f>
        <v/>
      </c>
      <c r="B45" s="19">
        <f>C12/$B$7</f>
        <v/>
      </c>
      <c r="C45" s="19">
        <f>D12/$B$7</f>
        <v/>
      </c>
      <c r="D45" s="19">
        <f>E12/$B$7</f>
        <v/>
      </c>
      <c r="E45" s="19">
        <f>F12/$B$7</f>
        <v/>
      </c>
      <c r="F45" s="19">
        <f>G12/$B$7</f>
        <v/>
      </c>
      <c r="G45" s="19">
        <f>H12/$B$7</f>
        <v/>
      </c>
      <c r="H45" s="19">
        <f>I12/$B$7</f>
        <v/>
      </c>
      <c r="I45" s="19">
        <f>SUM(B45:H45)</f>
        <v/>
      </c>
    </row>
    <row r="46">
      <c r="A46" s="10">
        <f>A13</f>
        <v/>
      </c>
      <c r="B46" s="19">
        <f>C13/$B$7</f>
        <v/>
      </c>
      <c r="C46" s="19">
        <f>D13/$B$7</f>
        <v/>
      </c>
      <c r="D46" s="19">
        <f>E13/$B$7</f>
        <v/>
      </c>
      <c r="E46" s="19">
        <f>F13/$B$7</f>
        <v/>
      </c>
      <c r="F46" s="19">
        <f>G13/$B$7</f>
        <v/>
      </c>
      <c r="G46" s="19">
        <f>H13/$B$7</f>
        <v/>
      </c>
      <c r="H46" s="19">
        <f>I13/$B$7</f>
        <v/>
      </c>
      <c r="I46" s="19">
        <f>SUM(B46:H46)</f>
        <v/>
      </c>
    </row>
    <row r="47">
      <c r="A47" s="10">
        <f>A14</f>
        <v/>
      </c>
      <c r="B47" s="19">
        <f>C14/$B$7</f>
        <v/>
      </c>
      <c r="C47" s="19">
        <f>D14/$B$7</f>
        <v/>
      </c>
      <c r="D47" s="19">
        <f>E14/$B$7</f>
        <v/>
      </c>
      <c r="E47" s="19">
        <f>F14/$B$7</f>
        <v/>
      </c>
      <c r="F47" s="19">
        <f>G14/$B$7</f>
        <v/>
      </c>
      <c r="G47" s="19">
        <f>H14/$B$7</f>
        <v/>
      </c>
      <c r="H47" s="19">
        <f>I14/$B$7</f>
        <v/>
      </c>
      <c r="I47" s="19">
        <f>SUM(B47:H47)</f>
        <v/>
      </c>
    </row>
    <row r="48">
      <c r="A48" s="10">
        <f>A15</f>
        <v/>
      </c>
      <c r="B48" s="19">
        <f>C15/$B$7</f>
        <v/>
      </c>
      <c r="C48" s="19">
        <f>D15/$B$7</f>
        <v/>
      </c>
      <c r="D48" s="19">
        <f>E15/$B$7</f>
        <v/>
      </c>
      <c r="E48" s="19">
        <f>F15/$B$7</f>
        <v/>
      </c>
      <c r="F48" s="19">
        <f>G15/$B$7</f>
        <v/>
      </c>
      <c r="G48" s="19">
        <f>H15/$B$7</f>
        <v/>
      </c>
      <c r="H48" s="19">
        <f>I15/$B$7</f>
        <v/>
      </c>
      <c r="I48" s="19">
        <f>SUM(B48:H48)</f>
        <v/>
      </c>
    </row>
    <row r="49">
      <c r="A49" s="10">
        <f>A16</f>
        <v/>
      </c>
      <c r="B49" s="19">
        <f>C16/$B$7</f>
        <v/>
      </c>
      <c r="C49" s="19">
        <f>D16/$B$7</f>
        <v/>
      </c>
      <c r="D49" s="19">
        <f>E16/$B$7</f>
        <v/>
      </c>
      <c r="E49" s="19">
        <f>F16/$B$7</f>
        <v/>
      </c>
      <c r="F49" s="19">
        <f>G16/$B$7</f>
        <v/>
      </c>
      <c r="G49" s="19">
        <f>H16/$B$7</f>
        <v/>
      </c>
      <c r="H49" s="19">
        <f>I16/$B$7</f>
        <v/>
      </c>
      <c r="I49" s="19">
        <f>SUM(B49:H49)</f>
        <v/>
      </c>
    </row>
    <row r="50">
      <c r="A50" s="10">
        <f>A17</f>
        <v/>
      </c>
      <c r="B50" s="19">
        <f>C17/$B$7</f>
        <v/>
      </c>
      <c r="C50" s="19">
        <f>D17/$B$7</f>
        <v/>
      </c>
      <c r="D50" s="19">
        <f>E17/$B$7</f>
        <v/>
      </c>
      <c r="E50" s="19">
        <f>F17/$B$7</f>
        <v/>
      </c>
      <c r="F50" s="19">
        <f>G17/$B$7</f>
        <v/>
      </c>
      <c r="G50" s="19">
        <f>H17/$B$7</f>
        <v/>
      </c>
      <c r="H50" s="19">
        <f>I17/$B$7</f>
        <v/>
      </c>
      <c r="I50" s="19">
        <f>SUM(B50:H50)</f>
        <v/>
      </c>
    </row>
    <row r="51">
      <c r="A51" s="10">
        <f>A18</f>
        <v/>
      </c>
      <c r="B51" s="19">
        <f>C18/$B$7</f>
        <v/>
      </c>
      <c r="C51" s="19">
        <f>D18/$B$7</f>
        <v/>
      </c>
      <c r="D51" s="19">
        <f>E18/$B$7</f>
        <v/>
      </c>
      <c r="E51" s="19">
        <f>F18/$B$7</f>
        <v/>
      </c>
      <c r="F51" s="19">
        <f>G18/$B$7</f>
        <v/>
      </c>
      <c r="G51" s="19">
        <f>H18/$B$7</f>
        <v/>
      </c>
      <c r="H51" s="19">
        <f>I18/$B$7</f>
        <v/>
      </c>
      <c r="I51" s="19">
        <f>SUM(B51:H51)</f>
        <v/>
      </c>
    </row>
    <row r="52">
      <c r="A52" s="10">
        <f>A19</f>
        <v/>
      </c>
      <c r="B52" s="19">
        <f>C19/$B$7</f>
        <v/>
      </c>
      <c r="C52" s="19">
        <f>D19/$B$7</f>
        <v/>
      </c>
      <c r="D52" s="19">
        <f>E19/$B$7</f>
        <v/>
      </c>
      <c r="E52" s="19">
        <f>F19/$B$7</f>
        <v/>
      </c>
      <c r="F52" s="19">
        <f>G19/$B$7</f>
        <v/>
      </c>
      <c r="G52" s="19">
        <f>H19/$B$7</f>
        <v/>
      </c>
      <c r="H52" s="19">
        <f>I19/$B$7</f>
        <v/>
      </c>
      <c r="I52" s="19">
        <f>SUM(B52:H52)</f>
        <v/>
      </c>
    </row>
    <row r="53">
      <c r="A53" s="10">
        <f>A20</f>
        <v/>
      </c>
      <c r="B53" s="19">
        <f>C20/$B$7</f>
        <v/>
      </c>
      <c r="C53" s="19">
        <f>D20/$B$7</f>
        <v/>
      </c>
      <c r="D53" s="19">
        <f>E20/$B$7</f>
        <v/>
      </c>
      <c r="E53" s="19">
        <f>F20/$B$7</f>
        <v/>
      </c>
      <c r="F53" s="19">
        <f>G20/$B$7</f>
        <v/>
      </c>
      <c r="G53" s="19">
        <f>H20/$B$7</f>
        <v/>
      </c>
      <c r="H53" s="19">
        <f>I20/$B$7</f>
        <v/>
      </c>
      <c r="I53" s="19">
        <f>SUM(B53:H53)</f>
        <v/>
      </c>
    </row>
    <row r="54">
      <c r="A54" s="10">
        <f>A21</f>
        <v/>
      </c>
      <c r="B54" s="19">
        <f>C21/$B$7</f>
        <v/>
      </c>
      <c r="C54" s="19">
        <f>D21/$B$7</f>
        <v/>
      </c>
      <c r="D54" s="19">
        <f>E21/$B$7</f>
        <v/>
      </c>
      <c r="E54" s="19">
        <f>F21/$B$7</f>
        <v/>
      </c>
      <c r="F54" s="19">
        <f>G21/$B$7</f>
        <v/>
      </c>
      <c r="G54" s="19">
        <f>H21/$B$7</f>
        <v/>
      </c>
      <c r="H54" s="19">
        <f>I21/$B$7</f>
        <v/>
      </c>
      <c r="I54" s="19">
        <f>SUM(B54:H54)</f>
        <v/>
      </c>
    </row>
    <row r="55">
      <c r="A55" s="10">
        <f>A22</f>
        <v/>
      </c>
      <c r="B55" s="19">
        <f>C22/$B$7</f>
        <v/>
      </c>
      <c r="C55" s="19">
        <f>D22/$B$7</f>
        <v/>
      </c>
      <c r="D55" s="19">
        <f>E22/$B$7</f>
        <v/>
      </c>
      <c r="E55" s="19">
        <f>F22/$B$7</f>
        <v/>
      </c>
      <c r="F55" s="19">
        <f>G22/$B$7</f>
        <v/>
      </c>
      <c r="G55" s="19">
        <f>H22/$B$7</f>
        <v/>
      </c>
      <c r="H55" s="19">
        <f>I22/$B$7</f>
        <v/>
      </c>
      <c r="I55" s="19">
        <f>SUM(B55:H55)</f>
        <v/>
      </c>
    </row>
    <row r="56">
      <c r="A56" s="10">
        <f>A23</f>
        <v/>
      </c>
      <c r="B56" s="19">
        <f>C23/$B$7</f>
        <v/>
      </c>
      <c r="C56" s="19">
        <f>D23/$B$7</f>
        <v/>
      </c>
      <c r="D56" s="19">
        <f>E23/$B$7</f>
        <v/>
      </c>
      <c r="E56" s="19">
        <f>F23/$B$7</f>
        <v/>
      </c>
      <c r="F56" s="19">
        <f>G23/$B$7</f>
        <v/>
      </c>
      <c r="G56" s="19">
        <f>H23/$B$7</f>
        <v/>
      </c>
      <c r="H56" s="19">
        <f>I23/$B$7</f>
        <v/>
      </c>
      <c r="I56" s="19">
        <f>SUM(B56:H56)</f>
        <v/>
      </c>
    </row>
    <row r="57">
      <c r="A57" s="10">
        <f>A24</f>
        <v/>
      </c>
      <c r="B57" s="19">
        <f>C24/$B$7</f>
        <v/>
      </c>
      <c r="C57" s="19">
        <f>D24/$B$7</f>
        <v/>
      </c>
      <c r="D57" s="19">
        <f>E24/$B$7</f>
        <v/>
      </c>
      <c r="E57" s="19">
        <f>F24/$B$7</f>
        <v/>
      </c>
      <c r="F57" s="19">
        <f>G24/$B$7</f>
        <v/>
      </c>
      <c r="G57" s="19">
        <f>H24/$B$7</f>
        <v/>
      </c>
      <c r="H57" s="19">
        <f>I24/$B$7</f>
        <v/>
      </c>
      <c r="I57" s="19">
        <f>SUM(B57:H57)</f>
        <v/>
      </c>
    </row>
    <row r="58">
      <c r="A58" s="10">
        <f>A25</f>
        <v/>
      </c>
      <c r="B58" s="19">
        <f>C25/$B$7</f>
        <v/>
      </c>
      <c r="C58" s="19">
        <f>D25/$B$7</f>
        <v/>
      </c>
      <c r="D58" s="19">
        <f>E25/$B$7</f>
        <v/>
      </c>
      <c r="E58" s="19">
        <f>F25/$B$7</f>
        <v/>
      </c>
      <c r="F58" s="19">
        <f>G25/$B$7</f>
        <v/>
      </c>
      <c r="G58" s="19">
        <f>H25/$B$7</f>
        <v/>
      </c>
      <c r="H58" s="19">
        <f>I25/$B$7</f>
        <v/>
      </c>
      <c r="I58" s="19">
        <f>SUM(B58:H58)</f>
        <v/>
      </c>
    </row>
    <row r="59">
      <c r="A59" s="10">
        <f>A26</f>
        <v/>
      </c>
      <c r="B59" s="19">
        <f>C26/$B$7</f>
        <v/>
      </c>
      <c r="C59" s="19">
        <f>D26/$B$7</f>
        <v/>
      </c>
      <c r="D59" s="19">
        <f>E26/$B$7</f>
        <v/>
      </c>
      <c r="E59" s="19">
        <f>F26/$B$7</f>
        <v/>
      </c>
      <c r="F59" s="19">
        <f>G26/$B$7</f>
        <v/>
      </c>
      <c r="G59" s="19">
        <f>H26/$B$7</f>
        <v/>
      </c>
      <c r="H59" s="19">
        <f>I26/$B$7</f>
        <v/>
      </c>
      <c r="I59" s="19">
        <f>SUM(B59:H59)</f>
        <v/>
      </c>
    </row>
    <row r="60">
      <c r="A60" s="10">
        <f>A27</f>
        <v/>
      </c>
      <c r="B60" s="19">
        <f>C27/$B$7</f>
        <v/>
      </c>
      <c r="C60" s="19">
        <f>D27/$B$7</f>
        <v/>
      </c>
      <c r="D60" s="19">
        <f>E27/$B$7</f>
        <v/>
      </c>
      <c r="E60" s="19">
        <f>F27/$B$7</f>
        <v/>
      </c>
      <c r="F60" s="19">
        <f>G27/$B$7</f>
        <v/>
      </c>
      <c r="G60" s="19">
        <f>H27/$B$7</f>
        <v/>
      </c>
      <c r="H60" s="19">
        <f>I27/$B$7</f>
        <v/>
      </c>
      <c r="I60" s="19">
        <f>SUM(B60:H60)</f>
        <v/>
      </c>
    </row>
    <row r="61">
      <c r="A61" s="10">
        <f>A28</f>
        <v/>
      </c>
      <c r="B61" s="19">
        <f>C28/$B$7</f>
        <v/>
      </c>
      <c r="C61" s="19">
        <f>D28/$B$7</f>
        <v/>
      </c>
      <c r="D61" s="19">
        <f>E28/$B$7</f>
        <v/>
      </c>
      <c r="E61" s="19">
        <f>F28/$B$7</f>
        <v/>
      </c>
      <c r="F61" s="19">
        <f>G28/$B$7</f>
        <v/>
      </c>
      <c r="G61" s="19">
        <f>H28/$B$7</f>
        <v/>
      </c>
      <c r="H61" s="19">
        <f>I28/$B$7</f>
        <v/>
      </c>
      <c r="I61" s="19">
        <f>SUM(B61:H61)</f>
        <v/>
      </c>
    </row>
    <row r="62">
      <c r="A62" s="10">
        <f>A29</f>
        <v/>
      </c>
      <c r="B62" s="19">
        <f>C29/$B$7</f>
        <v/>
      </c>
      <c r="C62" s="19">
        <f>D29/$B$7</f>
        <v/>
      </c>
      <c r="D62" s="19">
        <f>E29/$B$7</f>
        <v/>
      </c>
      <c r="E62" s="19">
        <f>F29/$B$7</f>
        <v/>
      </c>
      <c r="F62" s="19">
        <f>G29/$B$7</f>
        <v/>
      </c>
      <c r="G62" s="19">
        <f>H29/$B$7</f>
        <v/>
      </c>
      <c r="H62" s="19">
        <f>I29/$B$7</f>
        <v/>
      </c>
      <c r="I62" s="19">
        <f>SUM(B62:H62)</f>
        <v/>
      </c>
    </row>
    <row r="63">
      <c r="A63" s="10">
        <f>A30</f>
        <v/>
      </c>
      <c r="B63" s="19">
        <f>C30/$B$7</f>
        <v/>
      </c>
      <c r="C63" s="19">
        <f>D30/$B$7</f>
        <v/>
      </c>
      <c r="D63" s="19">
        <f>E30/$B$7</f>
        <v/>
      </c>
      <c r="E63" s="19">
        <f>F30/$B$7</f>
        <v/>
      </c>
      <c r="F63" s="19">
        <f>G30/$B$7</f>
        <v/>
      </c>
      <c r="G63" s="19">
        <f>H30/$B$7</f>
        <v/>
      </c>
      <c r="H63" s="19">
        <f>I30/$B$7</f>
        <v/>
      </c>
      <c r="I63" s="19">
        <f>SUM(B63:H63)</f>
        <v/>
      </c>
    </row>
    <row r="64">
      <c r="A64" s="10">
        <f>A31</f>
        <v/>
      </c>
      <c r="B64" s="19">
        <f>C31/$B$7</f>
        <v/>
      </c>
      <c r="C64" s="19">
        <f>D31/$B$7</f>
        <v/>
      </c>
      <c r="D64" s="19">
        <f>E31/$B$7</f>
        <v/>
      </c>
      <c r="E64" s="19">
        <f>F31/$B$7</f>
        <v/>
      </c>
      <c r="F64" s="19">
        <f>G31/$B$7</f>
        <v/>
      </c>
      <c r="G64" s="19">
        <f>H31/$B$7</f>
        <v/>
      </c>
      <c r="H64" s="19">
        <f>I31/$B$7</f>
        <v/>
      </c>
      <c r="I64" s="19">
        <f>SUM(B64:H64)</f>
        <v/>
      </c>
    </row>
    <row r="65">
      <c r="A65" s="10">
        <f>A32</f>
        <v/>
      </c>
      <c r="B65" s="19">
        <f>C32/$B$7</f>
        <v/>
      </c>
      <c r="C65" s="19">
        <f>D32/$B$7</f>
        <v/>
      </c>
      <c r="D65" s="19">
        <f>E32/$B$7</f>
        <v/>
      </c>
      <c r="E65" s="19">
        <f>F32/$B$7</f>
        <v/>
      </c>
      <c r="F65" s="19">
        <f>G32/$B$7</f>
        <v/>
      </c>
      <c r="G65" s="19">
        <f>H32/$B$7</f>
        <v/>
      </c>
      <c r="H65" s="19">
        <f>I32/$B$7</f>
        <v/>
      </c>
      <c r="I65" s="19">
        <f>SUM(B65:H65)</f>
        <v/>
      </c>
    </row>
    <row r="66">
      <c r="A66" s="10">
        <f>A33</f>
        <v/>
      </c>
      <c r="B66" s="19">
        <f>C33/$B$7</f>
        <v/>
      </c>
      <c r="C66" s="19">
        <f>D33/$B$7</f>
        <v/>
      </c>
      <c r="D66" s="19">
        <f>E33/$B$7</f>
        <v/>
      </c>
      <c r="E66" s="19">
        <f>F33/$B$7</f>
        <v/>
      </c>
      <c r="F66" s="19">
        <f>G33/$B$7</f>
        <v/>
      </c>
      <c r="G66" s="19">
        <f>H33/$B$7</f>
        <v/>
      </c>
      <c r="H66" s="19">
        <f>I33/$B$7</f>
        <v/>
      </c>
      <c r="I66" s="19">
        <f>SUM(B66:H66)</f>
        <v/>
      </c>
    </row>
    <row r="67">
      <c r="A67" s="10">
        <f>A34</f>
        <v/>
      </c>
      <c r="B67" s="19">
        <f>C34/$B$7</f>
        <v/>
      </c>
      <c r="C67" s="19">
        <f>D34/$B$7</f>
        <v/>
      </c>
      <c r="D67" s="19">
        <f>E34/$B$7</f>
        <v/>
      </c>
      <c r="E67" s="19">
        <f>F34/$B$7</f>
        <v/>
      </c>
      <c r="F67" s="19">
        <f>G34/$B$7</f>
        <v/>
      </c>
      <c r="G67" s="19">
        <f>H34/$B$7</f>
        <v/>
      </c>
      <c r="H67" s="19">
        <f>I34/$B$7</f>
        <v/>
      </c>
      <c r="I67" s="19">
        <f>SUM(B67:H67)</f>
        <v/>
      </c>
    </row>
    <row r="68">
      <c r="A68" s="10">
        <f>A35</f>
        <v/>
      </c>
      <c r="B68" s="19">
        <f>C35/$B$7</f>
        <v/>
      </c>
      <c r="C68" s="19">
        <f>D35/$B$7</f>
        <v/>
      </c>
      <c r="D68" s="19">
        <f>E35/$B$7</f>
        <v/>
      </c>
      <c r="E68" s="19">
        <f>F35/$B$7</f>
        <v/>
      </c>
      <c r="F68" s="19">
        <f>G35/$B$7</f>
        <v/>
      </c>
      <c r="G68" s="19">
        <f>H35/$B$7</f>
        <v/>
      </c>
      <c r="H68" s="19">
        <f>I35/$B$7</f>
        <v/>
      </c>
      <c r="I68" s="19">
        <f>SUM(B68:H68)</f>
        <v/>
      </c>
    </row>
    <row r="69">
      <c r="A69" s="10">
        <f>A36</f>
        <v/>
      </c>
      <c r="B69" s="19">
        <f>C36/$B$7</f>
        <v/>
      </c>
      <c r="C69" s="19">
        <f>D36/$B$7</f>
        <v/>
      </c>
      <c r="D69" s="19">
        <f>E36/$B$7</f>
        <v/>
      </c>
      <c r="E69" s="19">
        <f>F36/$B$7</f>
        <v/>
      </c>
      <c r="F69" s="19">
        <f>G36/$B$7</f>
        <v/>
      </c>
      <c r="G69" s="19">
        <f>H36/$B$7</f>
        <v/>
      </c>
      <c r="H69" s="19">
        <f>I36/$B$7</f>
        <v/>
      </c>
      <c r="I69" s="19">
        <f>SUM(B69:H69)</f>
        <v/>
      </c>
    </row>
    <row r="70">
      <c r="A70" s="10">
        <f>A37</f>
        <v/>
      </c>
      <c r="B70" s="19">
        <f>C37/$B$7</f>
        <v/>
      </c>
      <c r="C70" s="19">
        <f>D37/$B$7</f>
        <v/>
      </c>
      <c r="D70" s="19">
        <f>E37/$B$7</f>
        <v/>
      </c>
      <c r="E70" s="19">
        <f>F37/$B$7</f>
        <v/>
      </c>
      <c r="F70" s="19">
        <f>G37/$B$7</f>
        <v/>
      </c>
      <c r="G70" s="19">
        <f>H37/$B$7</f>
        <v/>
      </c>
      <c r="H70" s="19">
        <f>I37/$B$7</f>
        <v/>
      </c>
      <c r="I70" s="19">
        <f>SUM(B70:H70)</f>
        <v/>
      </c>
    </row>
    <row r="71">
      <c r="A71" s="14" t="inlineStr">
        <is>
          <t>合計</t>
        </is>
      </c>
      <c r="B71" s="20">
        <f>SUM(B45:B70)</f>
        <v/>
      </c>
      <c r="C71" s="20">
        <f>SUM(C45:C70)</f>
        <v/>
      </c>
      <c r="D71" s="20">
        <f>SUM(D45:D70)</f>
        <v/>
      </c>
      <c r="E71" s="20">
        <f>SUM(E45:E70)</f>
        <v/>
      </c>
      <c r="F71" s="20">
        <f>SUM(F45:F70)</f>
        <v/>
      </c>
      <c r="G71" s="20">
        <f>SUM(G45:G70)</f>
        <v/>
      </c>
      <c r="H71" s="20">
        <f>SUM(H45:H70)</f>
        <v/>
      </c>
      <c r="I71" s="20">
        <f>SUM(I45:I70)</f>
        <v/>
      </c>
    </row>
    <row r="73">
      <c r="A73" s="6" t="inlineStr">
        <is>
          <t>■ 実績(時間)と 予測との比較</t>
        </is>
      </c>
    </row>
    <row r="74">
      <c r="A74" s="5" t="inlineStr">
        <is>
          <t>この案件の実績はまだ1行もありません。着手後に実績が入ると、ここに 月 × 行程グループ の実績と予測との差分が並びます。</t>
        </is>
      </c>
    </row>
    <row r="76">
      <c r="A76" s="6" t="inlineStr">
        <is>
          <t>■ マイルストーン(予測)</t>
        </is>
      </c>
    </row>
    <row r="77">
      <c r="A77" s="8" t="inlineStr">
        <is>
          <t>マイルストーン名</t>
        </is>
      </c>
      <c r="B77" s="8" t="inlineStr">
        <is>
          <t>予測日付</t>
        </is>
      </c>
      <c r="C77" s="8" t="inlineStr">
        <is>
          <t>位置t</t>
        </is>
      </c>
      <c r="D77" s="8" t="inlineStr">
        <is>
          <t>根拠</t>
        </is>
      </c>
    </row>
    <row r="78">
      <c r="A78" s="10" t="inlineStr">
        <is>
          <t>プロトタイプ</t>
        </is>
      </c>
      <c r="B78" s="10" t="inlineStr">
        <is>
          <t>2026-12-22</t>
        </is>
      </c>
      <c r="C78" s="21" t="n">
        <v>0.22</v>
      </c>
      <c r="D78" s="10" t="inlineStr">
        <is>
          <t>学習(n=5)</t>
        </is>
      </c>
    </row>
    <row r="79">
      <c r="A79" s="10" t="inlineStr">
        <is>
          <t>α版</t>
        </is>
      </c>
      <c r="B79" s="10" t="inlineStr">
        <is>
          <t>2027-07-16</t>
        </is>
      </c>
      <c r="C79" s="21" t="n">
        <v>0.48</v>
      </c>
      <c r="D79" s="10" t="inlineStr">
        <is>
          <t>指定</t>
        </is>
      </c>
    </row>
    <row r="80">
      <c r="A80" s="10" t="inlineStr">
        <is>
          <t>β版</t>
        </is>
      </c>
      <c r="B80" s="10" t="inlineStr">
        <is>
          <t>2028-02-28</t>
        </is>
      </c>
      <c r="C80" s="21" t="n">
        <v>0.767</v>
      </c>
      <c r="D80" s="10" t="inlineStr">
        <is>
          <t>学習(n=10)</t>
        </is>
      </c>
    </row>
    <row r="81">
      <c r="A81" s="10" t="inlineStr">
        <is>
          <t>マスターアップ</t>
        </is>
      </c>
      <c r="B81" s="10" t="inlineStr">
        <is>
          <t>2028-06-30</t>
        </is>
      </c>
      <c r="C81" s="21" t="n">
        <v>0.922</v>
      </c>
      <c r="D81" s="10" t="inlineStr">
        <is>
          <t>学習(n=10)</t>
        </is>
      </c>
    </row>
    <row r="83">
      <c r="A83" s="5" t="inlineStr">
        <is>
          <t>・行程グループ間の総量は学習した工数比率で配分しています。</t>
        </is>
      </c>
    </row>
    <row r="84">
      <c r="A84" s="5" t="inlineStr">
        <is>
          <t>・指定されたマイルストーンで時間軸を固定: α版</t>
        </is>
      </c>
    </row>
    <row r="85">
      <c r="A85" s="5" t="inlineStr">
        <is>
          <t>・この予測が依拠した案件は「条件」シートを参照(→ 条件)</t>
        </is>
      </c>
    </row>
  </sheetData>
  <printOptions horizontalCentered="0"/>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M395"/>
  <sheetViews>
    <sheetView workbookViewId="0">
      <selection activeCell="A1" sqref="A1"/>
    </sheetView>
  </sheetViews>
  <sheetFormatPr baseColWidth="8" defaultRowHeight="15"/>
  <cols>
    <col width="13" customWidth="1" min="1" max="1"/>
    <col width="26" customWidth="1" min="2" max="2"/>
    <col width="18" customWidth="1" min="3" max="3"/>
    <col width="11" customWidth="1" min="4" max="4"/>
    <col width="11.4" customWidth="1" min="5" max="5"/>
    <col width="11" customWidth="1" min="6" max="6"/>
    <col width="11" customWidth="1" min="7" max="7"/>
    <col width="13.3" customWidth="1" min="8" max="8"/>
    <col width="13" customWidth="1" min="9" max="9"/>
    <col width="13" customWidth="1" min="10" max="10"/>
    <col width="13" customWidth="1" min="11" max="11"/>
    <col width="13" customWidth="1" min="12" max="12"/>
    <col width="13" customWidth="1" min="13" max="13"/>
  </cols>
  <sheetData>
    <row r="1">
      <c r="A1" s="1" t="inlineStr">
        <is>
          <t>学習カーブ</t>
        </is>
      </c>
    </row>
    <row r="2">
      <c r="A2" s="5" t="inlineStr">
        <is>
          <t>横軸は正準時間軸(0=開始, 1=終了)。位置合わせ ON のとき、背骨マイルストーンが全案件で同じ位置に来るよう変換した後の軸。</t>
        </is>
      </c>
    </row>
    <row r="3">
      <c r="A3" s="5" t="inlineStr">
        <is>
          <t>背骨マイルストーン: α版, β版, マスターアップ   正準位置: α版=0.496, β版=0.767, マスターアップ=0.922</t>
        </is>
      </c>
    </row>
    <row r="5">
      <c r="A5" s="6" t="inlineStr">
        <is>
          <t>■ 累積消化率 F(t):平均カーブ vs 各案件</t>
        </is>
      </c>
    </row>
    <row r="6">
      <c r="A6" s="7" t="inlineStr">
        <is>
          <t>t</t>
        </is>
      </c>
      <c r="B6" s="8" t="inlineStr">
        <is>
          <t>平均(位置合わせあり)</t>
        </is>
      </c>
      <c r="C6" s="8" t="inlineStr">
        <is>
          <t>平均(位置合わせなし)</t>
        </is>
      </c>
      <c r="D6" s="8" t="inlineStr">
        <is>
          <t>PJ-2019-A</t>
        </is>
      </c>
      <c r="E6" s="8" t="inlineStr">
        <is>
          <t>PJ-2020-B</t>
        </is>
      </c>
      <c r="F6" s="8" t="inlineStr">
        <is>
          <t>PJ-2020-C</t>
        </is>
      </c>
      <c r="G6" s="8" t="inlineStr">
        <is>
          <t>PJ-2021-D</t>
        </is>
      </c>
      <c r="H6" s="8" t="inlineStr">
        <is>
          <t>PJ-2021-E</t>
        </is>
      </c>
      <c r="I6" s="8" t="inlineStr">
        <is>
          <t>PJ-2022-F</t>
        </is>
      </c>
      <c r="J6" s="8" t="inlineStr">
        <is>
          <t>PJ-2022-G</t>
        </is>
      </c>
      <c r="K6" s="8" t="inlineStr">
        <is>
          <t>PJ-2023-H</t>
        </is>
      </c>
      <c r="L6" s="8" t="inlineStr">
        <is>
          <t>PJ-2023-I</t>
        </is>
      </c>
      <c r="M6" s="8" t="inlineStr">
        <is>
          <t>PJ-2024-J</t>
        </is>
      </c>
    </row>
    <row r="7">
      <c r="A7" s="10" t="n">
        <v>0.005</v>
      </c>
      <c r="B7" s="21" t="n">
        <v>0.002298382821151546</v>
      </c>
      <c r="C7" s="21" t="n">
        <v>0.002347186320876969</v>
      </c>
      <c r="D7" s="21" t="n">
        <v>0.002042999345208909</v>
      </c>
      <c r="E7" s="21" t="n">
        <v>0.002719379113675854</v>
      </c>
      <c r="F7" s="21" t="n">
        <v>0.001574025377902674</v>
      </c>
      <c r="G7" s="21" t="n">
        <v>0.002028335865510203</v>
      </c>
      <c r="H7" s="21" t="n">
        <v>0.002296913053320514</v>
      </c>
      <c r="I7" s="21" t="n">
        <v>0.002664039896986118</v>
      </c>
      <c r="J7" s="21" t="n">
        <v>0.001896985825112394</v>
      </c>
      <c r="K7" s="21" t="n">
        <v>0.002274483202560572</v>
      </c>
      <c r="L7" s="21" t="n">
        <v>0.001485827510544274</v>
      </c>
      <c r="M7" s="21" t="n">
        <v>0.003674467464596401</v>
      </c>
    </row>
    <row r="8">
      <c r="A8" s="10" t="n">
        <v>0.015</v>
      </c>
      <c r="B8" s="21" t="n">
        <v>0.004585271575072958</v>
      </c>
      <c r="C8" s="21" t="n">
        <v>0.004694372641753938</v>
      </c>
      <c r="D8" s="21" t="n">
        <v>0.004146086906453375</v>
      </c>
      <c r="E8" s="21" t="n">
        <v>0.005378327580381132</v>
      </c>
      <c r="F8" s="21" t="n">
        <v>0.00318947247627647</v>
      </c>
      <c r="G8" s="21" t="n">
        <v>0.003997014793799518</v>
      </c>
      <c r="H8" s="21" t="n">
        <v>0.004547887845574617</v>
      </c>
      <c r="I8" s="21" t="n">
        <v>0.005328079793972236</v>
      </c>
      <c r="J8" s="21" t="n">
        <v>0.003793971650224787</v>
      </c>
      <c r="K8" s="21" t="n">
        <v>0.004596351471841157</v>
      </c>
      <c r="L8" s="21" t="n">
        <v>0.002936278175599398</v>
      </c>
      <c r="M8" s="21" t="n">
        <v>0.007348934929192802</v>
      </c>
    </row>
    <row r="9">
      <c r="A9" s="10" t="n">
        <v>0.025</v>
      </c>
      <c r="B9" s="21" t="n">
        <v>0.006978462526152219</v>
      </c>
      <c r="C9" s="21" t="n">
        <v>0.007102283897226464</v>
      </c>
      <c r="D9" s="21" t="n">
        <v>0.006189086251662285</v>
      </c>
      <c r="E9" s="21" t="n">
        <v>0.008097706694056985</v>
      </c>
      <c r="F9" s="21" t="n">
        <v>0.004763497854179143</v>
      </c>
      <c r="G9" s="21" t="n">
        <v>0.006025350659309722</v>
      </c>
      <c r="H9" s="21" t="n">
        <v>0.007853318374689824</v>
      </c>
      <c r="I9" s="21" t="n">
        <v>0.007913765576341113</v>
      </c>
      <c r="J9" s="21" t="n">
        <v>0.005743651526034748</v>
      </c>
      <c r="K9" s="21" t="n">
        <v>0.006870834674401729</v>
      </c>
      <c r="L9" s="21" t="n">
        <v>0.004422105686143671</v>
      </c>
      <c r="M9" s="21" t="n">
        <v>0.01111761950826603</v>
      </c>
    </row>
    <row r="10">
      <c r="A10" s="10" t="n">
        <v>0.035</v>
      </c>
      <c r="B10" s="21" t="n">
        <v>0.009648086776403384</v>
      </c>
      <c r="C10" s="21" t="n">
        <v>0.009901669342493325</v>
      </c>
      <c r="D10" s="21" t="n">
        <v>0.009626732516979892</v>
      </c>
      <c r="E10" s="21" t="n">
        <v>0.01075665516076226</v>
      </c>
      <c r="F10" s="21" t="n">
        <v>0.006815661227240949</v>
      </c>
      <c r="G10" s="21" t="n">
        <v>0.008053686524819925</v>
      </c>
      <c r="H10" s="21" t="n">
        <v>0.01155095014439186</v>
      </c>
      <c r="I10" s="21" t="n">
        <v>0.01057780547332723</v>
      </c>
      <c r="J10" s="21" t="n">
        <v>0.007640637351147141</v>
      </c>
      <c r="K10" s="21" t="n">
        <v>0.009192702943682313</v>
      </c>
      <c r="L10" s="21" t="n">
        <v>0.005872556351198796</v>
      </c>
      <c r="M10" s="21" t="n">
        <v>0.01569268872690513</v>
      </c>
    </row>
    <row r="11">
      <c r="A11" s="10" t="n">
        <v>0.045</v>
      </c>
      <c r="B11" s="21" t="n">
        <v>0.01275341558018427</v>
      </c>
      <c r="C11" s="21" t="n">
        <v>0.01293271305260672</v>
      </c>
      <c r="D11" s="21" t="n">
        <v>0.01329026743142047</v>
      </c>
      <c r="E11" s="21" t="n">
        <v>0.01347603427443812</v>
      </c>
      <c r="F11" s="21" t="n">
        <v>0.009528013138038636</v>
      </c>
      <c r="G11" s="21" t="n">
        <v>0.01002236545310924</v>
      </c>
      <c r="H11" s="21" t="n">
        <v>0.01583284489217794</v>
      </c>
      <c r="I11" s="21" t="n">
        <v>0.01324184537031335</v>
      </c>
      <c r="J11" s="21" t="n">
        <v>0.01061307163628116</v>
      </c>
      <c r="K11" s="21" t="n">
        <v>0.01285602599062815</v>
      </c>
      <c r="L11" s="21" t="n">
        <v>0.00735838386174307</v>
      </c>
      <c r="M11" s="21" t="n">
        <v>0.02103970230615225</v>
      </c>
    </row>
    <row r="12">
      <c r="A12" s="10" t="n">
        <v>0.055</v>
      </c>
      <c r="B12" s="21" t="n">
        <v>0.01608720589978478</v>
      </c>
      <c r="C12" s="21" t="n">
        <v>0.01637202378552682</v>
      </c>
      <c r="D12" s="21" t="n">
        <v>0.01706155337275637</v>
      </c>
      <c r="E12" s="21" t="n">
        <v>0.0161349827411434</v>
      </c>
      <c r="F12" s="21" t="n">
        <v>0.01217081756394408</v>
      </c>
      <c r="G12" s="21" t="n">
        <v>0.01205070131861944</v>
      </c>
      <c r="H12" s="21" t="n">
        <v>0.0203240660242471</v>
      </c>
      <c r="I12" s="21" t="n">
        <v>0.01590588526729947</v>
      </c>
      <c r="J12" s="21" t="n">
        <v>0.01394398874142238</v>
      </c>
      <c r="K12" s="21" t="n">
        <v>0.01696876669082656</v>
      </c>
      <c r="L12" s="21" t="n">
        <v>0.009804618087609115</v>
      </c>
      <c r="M12" s="21" t="n">
        <v>0.02638671588539937</v>
      </c>
    </row>
    <row r="13">
      <c r="A13" s="10" t="n">
        <v>0.065</v>
      </c>
      <c r="B13" s="21" t="n">
        <v>0.01982552193162886</v>
      </c>
      <c r="C13" s="21" t="n">
        <v>0.02034813718974574</v>
      </c>
      <c r="D13" s="21" t="n">
        <v>0.0210641091687901</v>
      </c>
      <c r="E13" s="21" t="n">
        <v>0.01976657672891911</v>
      </c>
      <c r="F13" s="21" t="n">
        <v>0.01488316947474176</v>
      </c>
      <c r="G13" s="21" t="n">
        <v>0.01407903718412965</v>
      </c>
      <c r="H13" s="21" t="n">
        <v>0.02522301655804556</v>
      </c>
      <c r="I13" s="21" t="n">
        <v>0.01963277342024523</v>
      </c>
      <c r="J13" s="21" t="n">
        <v>0.0172749058465636</v>
      </c>
      <c r="K13" s="21" t="n">
        <v>0.02099757390734746</v>
      </c>
      <c r="L13" s="21" t="n">
        <v>0.0128957635580056</v>
      </c>
      <c r="M13" s="21" t="n">
        <v>0.03237747982668585</v>
      </c>
    </row>
    <row r="14">
      <c r="A14" s="10" t="n">
        <v>0.075</v>
      </c>
      <c r="B14" s="21" t="n">
        <v>0.02407741573326941</v>
      </c>
      <c r="C14" s="21" t="n">
        <v>0.02475118188136381</v>
      </c>
      <c r="D14" s="21" t="n">
        <v>0.0253680168595733</v>
      </c>
      <c r="E14" s="21" t="n">
        <v>0.02443239791864409</v>
      </c>
      <c r="F14" s="21" t="n">
        <v>0.01809182521539168</v>
      </c>
      <c r="G14" s="21" t="n">
        <v>0.01646450031002901</v>
      </c>
      <c r="H14" s="21" t="n">
        <v>0.03063766323162132</v>
      </c>
      <c r="I14" s="21" t="n">
        <v>0.02457921805838511</v>
      </c>
      <c r="J14" s="21" t="n">
        <v>0.02069834842684764</v>
      </c>
      <c r="K14" s="21" t="n">
        <v>0.02511031460754588</v>
      </c>
      <c r="L14" s="21" t="n">
        <v>0.01606230282036297</v>
      </c>
      <c r="M14" s="21" t="n">
        <v>0.03937109761762363</v>
      </c>
    </row>
    <row r="15">
      <c r="A15" s="10" t="n">
        <v>0.08500000000000001</v>
      </c>
      <c r="B15" s="21" t="n">
        <v>0.02861536844516407</v>
      </c>
      <c r="C15" s="21" t="n">
        <v>0.0294214920102304</v>
      </c>
      <c r="D15" s="21" t="n">
        <v>0.02979851007067365</v>
      </c>
      <c r="E15" s="21" t="n">
        <v>0.02920426049904462</v>
      </c>
      <c r="F15" s="21" t="n">
        <v>0.02134898249730541</v>
      </c>
      <c r="G15" s="21" t="n">
        <v>0.02039737917045868</v>
      </c>
      <c r="H15" s="21" t="n">
        <v>0.03620894446740192</v>
      </c>
      <c r="I15" s="21" t="n">
        <v>0.02952566269652499</v>
      </c>
      <c r="J15" s="21" t="n">
        <v>0.02407893241452898</v>
      </c>
      <c r="K15" s="21" t="n">
        <v>0.03018007951734972</v>
      </c>
      <c r="L15" s="21" t="n">
        <v>0.01915344829075945</v>
      </c>
      <c r="M15" s="21" t="n">
        <v>0.04636471540856141</v>
      </c>
    </row>
    <row r="16">
      <c r="A16" s="10" t="n">
        <v>0.095</v>
      </c>
      <c r="B16" s="21" t="n">
        <v>0.03342044357610604</v>
      </c>
      <c r="C16" s="21" t="n">
        <v>0.03417156336056627</v>
      </c>
      <c r="D16" s="21" t="n">
        <v>0.03441977671833486</v>
      </c>
      <c r="E16" s="21" t="n">
        <v>0.03387008168876959</v>
      </c>
      <c r="F16" s="21" t="n">
        <v>0.02469185444453267</v>
      </c>
      <c r="G16" s="21" t="n">
        <v>0.0244494361781741</v>
      </c>
      <c r="H16" s="21" t="n">
        <v>0.04327938798895495</v>
      </c>
      <c r="I16" s="21" t="n">
        <v>0.03447210733466487</v>
      </c>
      <c r="J16" s="21" t="n">
        <v>0.02830385340539243</v>
      </c>
      <c r="K16" s="21" t="n">
        <v>0.03524984442715357</v>
      </c>
      <c r="L16" s="21" t="n">
        <v>0.02231998755311682</v>
      </c>
      <c r="M16" s="21" t="n">
        <v>0.0533583331994992</v>
      </c>
    </row>
    <row r="17">
      <c r="A17" s="10" t="n">
        <v>0.105</v>
      </c>
      <c r="B17" s="21" t="n">
        <v>0.03853604511987747</v>
      </c>
      <c r="C17" s="21" t="n">
        <v>0.03919841264287654</v>
      </c>
      <c r="D17" s="21" t="n">
        <v>0.0397759002203294</v>
      </c>
      <c r="E17" s="21" t="n">
        <v>0.03864194426917013</v>
      </c>
      <c r="F17" s="21" t="n">
        <v>0.02816206816199233</v>
      </c>
      <c r="G17" s="21" t="n">
        <v>0.02850149318588952</v>
      </c>
      <c r="H17" s="21" t="n">
        <v>0.05034983151050797</v>
      </c>
      <c r="I17" s="21" t="n">
        <v>0.03941855197280476</v>
      </c>
      <c r="J17" s="21" t="n">
        <v>0.03252877439625588</v>
      </c>
      <c r="K17" s="21" t="n">
        <v>0.040425229439245</v>
      </c>
      <c r="L17" s="21" t="n">
        <v>0.02596878089781867</v>
      </c>
      <c r="M17" s="21" t="n">
        <v>0.06196865115553368</v>
      </c>
    </row>
    <row r="18">
      <c r="A18" s="10" t="n">
        <v>0.115</v>
      </c>
      <c r="B18" s="21" t="n">
        <v>0.04370415595127668</v>
      </c>
      <c r="C18" s="21" t="n">
        <v>0.0447172515001668</v>
      </c>
      <c r="D18" s="21" t="n">
        <v>0.04497899162226696</v>
      </c>
      <c r="E18" s="21" t="n">
        <v>0.0433077654588951</v>
      </c>
      <c r="F18" s="21" t="n">
        <v>0.03184533831499793</v>
      </c>
      <c r="G18" s="21" t="n">
        <v>0.03243437204631919</v>
      </c>
      <c r="H18" s="21" t="n">
        <v>0.05732980893656678</v>
      </c>
      <c r="I18" s="21" t="n">
        <v>0.04421951294511699</v>
      </c>
      <c r="J18" s="21" t="n">
        <v>0.03675369538711933</v>
      </c>
      <c r="K18" s="21" t="n">
        <v>0.04549499434904885</v>
      </c>
      <c r="L18" s="21" t="n">
        <v>0.0304722418950811</v>
      </c>
      <c r="M18" s="21" t="n">
        <v>0.07071407171671627</v>
      </c>
    </row>
    <row r="19">
      <c r="A19" s="10" t="n">
        <v>0.125</v>
      </c>
      <c r="B19" s="21" t="n">
        <v>0.04907354048530062</v>
      </c>
      <c r="C19" s="21" t="n">
        <v>0.05037022328860273</v>
      </c>
      <c r="D19" s="21" t="n">
        <v>0.05020135392658048</v>
      </c>
      <c r="E19" s="21" t="n">
        <v>0.04860538050785001</v>
      </c>
      <c r="F19" s="21" t="n">
        <v>0.03562553662992473</v>
      </c>
      <c r="G19" s="21" t="n">
        <v>0.03648642905403461</v>
      </c>
      <c r="H19" s="21" t="n">
        <v>0.06416033606148393</v>
      </c>
      <c r="I19" s="21" t="n">
        <v>0.04916595758325688</v>
      </c>
      <c r="J19" s="21" t="n">
        <v>0.04109597529439565</v>
      </c>
      <c r="K19" s="21" t="n">
        <v>0.05144125274610449</v>
      </c>
      <c r="L19" s="21" t="n">
        <v>0.03508554340447189</v>
      </c>
      <c r="M19" s="21" t="n">
        <v>0.07945949227789886</v>
      </c>
    </row>
    <row r="20">
      <c r="A20" s="10" t="n">
        <v>0.135</v>
      </c>
      <c r="B20" s="21" t="n">
        <v>0.05492822168599389</v>
      </c>
      <c r="C20" s="21" t="n">
        <v>0.05627115898361993</v>
      </c>
      <c r="D20" s="21" t="n">
        <v>0.05623195901173339</v>
      </c>
      <c r="E20" s="21" t="n">
        <v>0.05519715547940028</v>
      </c>
      <c r="F20" s="21" t="n">
        <v>0.03930880678293033</v>
      </c>
      <c r="G20" s="21" t="n">
        <v>0.04053848606175003</v>
      </c>
      <c r="H20" s="21" t="n">
        <v>0.07158173947702608</v>
      </c>
      <c r="I20" s="21" t="n">
        <v>0.05566649641779634</v>
      </c>
      <c r="J20" s="21" t="n">
        <v>0.04578748898094683</v>
      </c>
      <c r="K20" s="21" t="n">
        <v>0.0574847524579684</v>
      </c>
      <c r="L20" s="21" t="n">
        <v>0.03958900440173432</v>
      </c>
      <c r="M20" s="21" t="n">
        <v>0.08868218481058354</v>
      </c>
    </row>
    <row r="21">
      <c r="A21" s="10" t="n">
        <v>0.145</v>
      </c>
      <c r="B21" s="21" t="n">
        <v>0.0609726900932868</v>
      </c>
      <c r="C21" s="21" t="n">
        <v>0.06253277749296786</v>
      </c>
      <c r="D21" s="21" t="n">
        <v>0.06209026109445336</v>
      </c>
      <c r="E21" s="21" t="n">
        <v>0.06164244656269388</v>
      </c>
      <c r="F21" s="21" t="n">
        <v>0.04318815632284039</v>
      </c>
      <c r="G21" s="21" t="n">
        <v>0.0444713649221797</v>
      </c>
      <c r="H21" s="21" t="n">
        <v>0.07921560302333133</v>
      </c>
      <c r="I21" s="21" t="n">
        <v>0.06256994856251347</v>
      </c>
      <c r="J21" s="21" t="n">
        <v>0.05089648034258705</v>
      </c>
      <c r="K21" s="21" t="n">
        <v>0.06365415841382947</v>
      </c>
      <c r="L21" s="21" t="n">
        <v>0.04420230591112511</v>
      </c>
      <c r="M21" s="21" t="n">
        <v>0.09871245130573274</v>
      </c>
    </row>
    <row r="22">
      <c r="A22" s="10" t="n">
        <v>0.155</v>
      </c>
      <c r="B22" s="21" t="n">
        <v>0.06706020811893638</v>
      </c>
      <c r="C22" s="21" t="n">
        <v>0.06888199675833609</v>
      </c>
      <c r="D22" s="21" t="n">
        <v>0.06812086617960628</v>
      </c>
      <c r="E22" s="21" t="n">
        <v>0.06823422153424415</v>
      </c>
      <c r="F22" s="21" t="n">
        <v>0.04718077397358036</v>
      </c>
      <c r="G22" s="21" t="n">
        <v>0.04869839311085902</v>
      </c>
      <c r="H22" s="21" t="n">
        <v>0.08685090643111923</v>
      </c>
      <c r="I22" s="21" t="n">
        <v>0.0694734007072306</v>
      </c>
      <c r="J22" s="21" t="n">
        <v>0.05600547170422727</v>
      </c>
      <c r="K22" s="21" t="n">
        <v>0.06969765812569338</v>
      </c>
      <c r="L22" s="21" t="n">
        <v>0.0488156074205159</v>
      </c>
      <c r="M22" s="21" t="n">
        <v>0.1084919611385032</v>
      </c>
    </row>
    <row r="23">
      <c r="A23" s="10" t="n">
        <v>0.165</v>
      </c>
      <c r="B23" s="21" t="n">
        <v>0.07352240726877729</v>
      </c>
      <c r="C23" s="21" t="n">
        <v>0.07531686909644451</v>
      </c>
      <c r="D23" s="21" t="n">
        <v>0.07447846083494869</v>
      </c>
      <c r="E23" s="21" t="n">
        <v>0.07467951261753775</v>
      </c>
      <c r="F23" s="21" t="n">
        <v>0.0510710168127629</v>
      </c>
      <c r="G23" s="21" t="n">
        <v>0.05473345683616523</v>
      </c>
      <c r="H23" s="21" t="n">
        <v>0.09487006280844637</v>
      </c>
      <c r="I23" s="21" t="n">
        <v>0.07617381014180899</v>
      </c>
      <c r="J23" s="21" t="n">
        <v>0.06111446306586749</v>
      </c>
      <c r="K23" s="21" t="n">
        <v>0.0766155149675376</v>
      </c>
      <c r="L23" s="21" t="n">
        <v>0.05456222172866273</v>
      </c>
      <c r="M23" s="21" t="n">
        <v>0.1182714709712737</v>
      </c>
    </row>
    <row r="24">
      <c r="A24" s="10" t="n">
        <v>0.175</v>
      </c>
      <c r="B24" s="21" t="n">
        <v>0.07997579477783974</v>
      </c>
      <c r="C24" s="21" t="n">
        <v>0.08188747920359946</v>
      </c>
      <c r="D24" s="21" t="n">
        <v>0.08118119053709334</v>
      </c>
      <c r="E24" s="21" t="n">
        <v>0.08127128758908801</v>
      </c>
      <c r="F24" s="21" t="n">
        <v>0.05527065469092327</v>
      </c>
      <c r="G24" s="21" t="n">
        <v>0.06076852056147144</v>
      </c>
      <c r="H24" s="21" t="n">
        <v>0.1030045637463949</v>
      </c>
      <c r="I24" s="21" t="n">
        <v>0.08307726228652612</v>
      </c>
      <c r="J24" s="21" t="n">
        <v>0.06636537085421992</v>
      </c>
      <c r="K24" s="21" t="n">
        <v>0.08368546160874983</v>
      </c>
      <c r="L24" s="21" t="n">
        <v>0.06058667023959796</v>
      </c>
      <c r="M24" s="21" t="n">
        <v>0.12599421305813</v>
      </c>
    </row>
    <row r="25">
      <c r="A25" s="10" t="n">
        <v>0.185</v>
      </c>
      <c r="B25" s="21" t="n">
        <v>0.08652496593252364</v>
      </c>
      <c r="C25" s="21" t="n">
        <v>0.0884580893107544</v>
      </c>
      <c r="D25" s="21" t="n">
        <v>0.08769241367631958</v>
      </c>
      <c r="E25" s="21" t="n">
        <v>0.08771657867238161</v>
      </c>
      <c r="F25" s="21" t="n">
        <v>0.05986659266767</v>
      </c>
      <c r="G25" s="21" t="n">
        <v>0.06662608241250394</v>
      </c>
      <c r="H25" s="21" t="n">
        <v>0.1118476098424465</v>
      </c>
      <c r="I25" s="21" t="n">
        <v>0.08998071443124325</v>
      </c>
      <c r="J25" s="21" t="n">
        <v>0.07193942062723226</v>
      </c>
      <c r="K25" s="21" t="n">
        <v>0.09075540824996206</v>
      </c>
      <c r="L25" s="21" t="n">
        <v>0.06646767950027284</v>
      </c>
      <c r="M25" s="21" t="n">
        <v>0.1339149741728544</v>
      </c>
    </row>
    <row r="26">
      <c r="A26" s="10" t="n">
        <v>0.195</v>
      </c>
      <c r="B26" s="21" t="n">
        <v>0.0932148719916229</v>
      </c>
      <c r="C26" s="21" t="n">
        <v>0.09518287425057105</v>
      </c>
      <c r="D26" s="21" t="n">
        <v>0.09412127055131803</v>
      </c>
      <c r="E26" s="21" t="n">
        <v>0.09517445929448812</v>
      </c>
      <c r="F26" s="21" t="n">
        <v>0.0643446860809104</v>
      </c>
      <c r="G26" s="21" t="n">
        <v>0.07266114613781015</v>
      </c>
      <c r="H26" s="21" t="n">
        <v>0.120513795016577</v>
      </c>
      <c r="I26" s="21" t="n">
        <v>0.09716250079471817</v>
      </c>
      <c r="J26" s="21" t="n">
        <v>0.07760648208251902</v>
      </c>
      <c r="K26" s="21" t="n">
        <v>0.09797264544619955</v>
      </c>
      <c r="L26" s="21" t="n">
        <v>0.07249212801120808</v>
      </c>
      <c r="M26" s="21" t="n">
        <v>0.1416377162597107</v>
      </c>
    </row>
    <row r="27">
      <c r="A27" s="10" t="n">
        <v>0.205</v>
      </c>
      <c r="B27" s="21" t="n">
        <v>0.09993616585528672</v>
      </c>
      <c r="C27" s="21" t="n">
        <v>0.1025266287979806</v>
      </c>
      <c r="D27" s="21" t="n">
        <v>0.1006798592910641</v>
      </c>
      <c r="E27" s="21" t="n">
        <v>0.1027745579118567</v>
      </c>
      <c r="F27" s="21" t="n">
        <v>0.06894062405765713</v>
      </c>
      <c r="G27" s="21" t="n">
        <v>0.07869620986311636</v>
      </c>
      <c r="H27" s="21" t="n">
        <v>0.128333127690664</v>
      </c>
      <c r="I27" s="21" t="n">
        <v>0.1046979128855699</v>
      </c>
      <c r="J27" s="21" t="n">
        <v>0.08327354353780579</v>
      </c>
      <c r="K27" s="21" t="n">
        <v>0.1054604222205729</v>
      </c>
      <c r="L27" s="21" t="n">
        <v>0.07851657652214332</v>
      </c>
      <c r="M27" s="21" t="n">
        <v>0.1492879402278147</v>
      </c>
    </row>
    <row r="28">
      <c r="A28" s="10" t="n">
        <v>0.215</v>
      </c>
      <c r="B28" s="21" t="n">
        <v>0.1068081655630215</v>
      </c>
      <c r="C28" s="21" t="n">
        <v>0.1100555827351187</v>
      </c>
      <c r="D28" s="21" t="n">
        <v>0.1070510597811031</v>
      </c>
      <c r="E28" s="21" t="n">
        <v>0.1105473860432564</v>
      </c>
      <c r="F28" s="21" t="n">
        <v>0.0741949906243341</v>
      </c>
      <c r="G28" s="21" t="n">
        <v>0.08455377171414886</v>
      </c>
      <c r="H28" s="21" t="n">
        <v>0.1360634418063193</v>
      </c>
      <c r="I28" s="21" t="n">
        <v>0.1124616707973566</v>
      </c>
      <c r="J28" s="21" t="n">
        <v>0.08894060499309256</v>
      </c>
      <c r="K28" s="21" t="n">
        <v>0.1135307292720144</v>
      </c>
      <c r="L28" s="21" t="n">
        <v>0.08510668154523768</v>
      </c>
      <c r="M28" s="21" t="n">
        <v>0.1568975540494174</v>
      </c>
    </row>
    <row r="29">
      <c r="A29" s="10" t="n">
        <v>0.225</v>
      </c>
      <c r="B29" s="21" t="n">
        <v>0.1139697291581635</v>
      </c>
      <c r="C29" s="21" t="n">
        <v>0.1179829684083894</v>
      </c>
      <c r="D29" s="21" t="n">
        <v>0.1142005770781111</v>
      </c>
      <c r="E29" s="21" t="n">
        <v>0.118147484660625</v>
      </c>
      <c r="F29" s="21" t="n">
        <v>0.07944935719101107</v>
      </c>
      <c r="G29" s="21" t="n">
        <v>0.09058883543945508</v>
      </c>
      <c r="H29" s="21" t="n">
        <v>0.1443341987924542</v>
      </c>
      <c r="I29" s="21" t="n">
        <v>0.1202254287091432</v>
      </c>
      <c r="J29" s="21" t="n">
        <v>0.09527489790025508</v>
      </c>
      <c r="K29" s="21" t="n">
        <v>0.121436336179549</v>
      </c>
      <c r="L29" s="21" t="n">
        <v>0.09269860489941599</v>
      </c>
      <c r="M29" s="21" t="n">
        <v>0.164702286174138</v>
      </c>
    </row>
    <row r="30">
      <c r="A30" s="10" t="n">
        <v>0.235</v>
      </c>
      <c r="B30" s="21" t="n">
        <v>0.1214651450974825</v>
      </c>
      <c r="C30" s="21" t="n">
        <v>0.1260853073675792</v>
      </c>
      <c r="D30" s="21" t="n">
        <v>0.122580934662841</v>
      </c>
      <c r="E30" s="21" t="n">
        <v>0.1259203127920247</v>
      </c>
      <c r="F30" s="21" t="n">
        <v>0.08484199656207428</v>
      </c>
      <c r="G30" s="21" t="n">
        <v>0.09719704967669915</v>
      </c>
      <c r="H30" s="21" t="n">
        <v>0.1527374597712183</v>
      </c>
      <c r="I30" s="21" t="n">
        <v>0.1279891866209298</v>
      </c>
      <c r="J30" s="21" t="n">
        <v>0.1027772864367659</v>
      </c>
      <c r="K30" s="21" t="n">
        <v>0.1295066432309905</v>
      </c>
      <c r="L30" s="21" t="n">
        <v>0.1001097681737329</v>
      </c>
      <c r="M30" s="21" t="n">
        <v>0.1724042283608461</v>
      </c>
    </row>
    <row r="31">
      <c r="A31" s="10" t="n">
        <v>0.245</v>
      </c>
      <c r="B31" s="21" t="n">
        <v>0.1291645065710156</v>
      </c>
      <c r="C31" s="21" t="n">
        <v>0.1342542861686819</v>
      </c>
      <c r="D31" s="21" t="n">
        <v>0.130961292247571</v>
      </c>
      <c r="E31" s="21" t="n">
        <v>0.1335204114093932</v>
      </c>
      <c r="F31" s="21" t="n">
        <v>0.08993957071455562</v>
      </c>
      <c r="G31" s="21" t="n">
        <v>0.1051561634048371</v>
      </c>
      <c r="H31" s="21" t="n">
        <v>0.1613236412127979</v>
      </c>
      <c r="I31" s="21" t="n">
        <v>0.1357529445327165</v>
      </c>
      <c r="J31" s="21" t="n">
        <v>0.1102796749732767</v>
      </c>
      <c r="K31" s="21" t="n">
        <v>0.1378164825352318</v>
      </c>
      <c r="L31" s="21" t="n">
        <v>0.1077016915279112</v>
      </c>
      <c r="M31" s="21" t="n">
        <v>0.1805282430737504</v>
      </c>
    </row>
    <row r="32">
      <c r="A32" s="10" t="n">
        <v>0.255</v>
      </c>
      <c r="B32" s="21" t="n">
        <v>0.1370312487930793</v>
      </c>
      <c r="C32" s="21" t="n">
        <v>0.1427012555329003</v>
      </c>
      <c r="D32" s="21" t="n">
        <v>0.1396916430140602</v>
      </c>
      <c r="E32" s="21" t="n">
        <v>0.1417304918704676</v>
      </c>
      <c r="F32" s="21" t="n">
        <v>0.0948434601200894</v>
      </c>
      <c r="G32" s="21" t="n">
        <v>0.1133564623974641</v>
      </c>
      <c r="H32" s="21" t="n">
        <v>0.1699243639972136</v>
      </c>
      <c r="I32" s="21" t="n">
        <v>0.1432883566235682</v>
      </c>
      <c r="J32" s="21" t="n">
        <v>0.1177820635097875</v>
      </c>
      <c r="K32" s="21" t="n">
        <v>0.1468771589586048</v>
      </c>
      <c r="L32" s="21" t="n">
        <v>0.1152936148820895</v>
      </c>
      <c r="M32" s="21" t="n">
        <v>0.1886522577866547</v>
      </c>
    </row>
    <row r="33">
      <c r="A33" s="10" t="n">
        <v>0.265</v>
      </c>
      <c r="B33" s="21" t="n">
        <v>0.1451535611282101</v>
      </c>
      <c r="C33" s="21" t="n">
        <v>0.1513282679879288</v>
      </c>
      <c r="D33" s="21" t="n">
        <v>0.1489518532475617</v>
      </c>
      <c r="E33" s="21" t="n">
        <v>0.1505330343944414</v>
      </c>
      <c r="F33" s="21" t="n">
        <v>0.09987639924682144</v>
      </c>
      <c r="G33" s="21" t="n">
        <v>0.1215567613900911</v>
      </c>
      <c r="H33" s="21" t="n">
        <v>0.1784173313855545</v>
      </c>
      <c r="I33" s="21" t="n">
        <v>0.152209627346776</v>
      </c>
      <c r="J33" s="21" t="n">
        <v>0.1252844520462983</v>
      </c>
      <c r="K33" s="21" t="n">
        <v>0.1557529236182356</v>
      </c>
      <c r="L33" s="21" t="n">
        <v>0.1229043654459601</v>
      </c>
      <c r="M33" s="21" t="n">
        <v>0.1969845805691206</v>
      </c>
    </row>
    <row r="34">
      <c r="A34" s="10" t="n">
        <v>0.275</v>
      </c>
      <c r="B34" s="21" t="n">
        <v>0.1538541316096692</v>
      </c>
      <c r="C34" s="21" t="n">
        <v>0.1604418816067472</v>
      </c>
      <c r="D34" s="21" t="n">
        <v>0.158484422605578</v>
      </c>
      <c r="E34" s="21" t="n">
        <v>0.159535634703051</v>
      </c>
      <c r="F34" s="21" t="n">
        <v>0.1054497336194387</v>
      </c>
      <c r="G34" s="21" t="n">
        <v>0.1297570603827181</v>
      </c>
      <c r="H34" s="21" t="n">
        <v>0.187477047452923</v>
      </c>
      <c r="I34" s="21" t="n">
        <v>0.1619411570379786</v>
      </c>
      <c r="J34" s="21" t="n">
        <v>0.1345861092953854</v>
      </c>
      <c r="K34" s="21" t="n">
        <v>0.1646286882778663</v>
      </c>
      <c r="L34" s="21" t="n">
        <v>0.1315441220702951</v>
      </c>
      <c r="M34" s="21" t="n">
        <v>0.2058554024590684</v>
      </c>
    </row>
    <row r="35">
      <c r="A35" s="10" t="n">
        <v>0.285</v>
      </c>
      <c r="B35" s="21" t="n">
        <v>0.162862991171838</v>
      </c>
      <c r="C35" s="21" t="n">
        <v>0.1699415040065609</v>
      </c>
      <c r="D35" s="21" t="n">
        <v>0.1677446328390795</v>
      </c>
      <c r="E35" s="21" t="n">
        <v>0.1685382350116607</v>
      </c>
      <c r="F35" s="21" t="n">
        <v>0.1131801684415471</v>
      </c>
      <c r="G35" s="21" t="n">
        <v>0.1377161741108561</v>
      </c>
      <c r="H35" s="21" t="n">
        <v>0.1965367635202914</v>
      </c>
      <c r="I35" s="21" t="n">
        <v>0.1716726867291812</v>
      </c>
      <c r="J35" s="21" t="n">
        <v>0.1448157018850502</v>
      </c>
      <c r="K35" s="21" t="n">
        <v>0.1739800246726509</v>
      </c>
      <c r="L35" s="21" t="n">
        <v>0.1399781702035746</v>
      </c>
      <c r="M35" s="21" t="n">
        <v>0.2150196128828548</v>
      </c>
    </row>
    <row r="36">
      <c r="A36" s="10" t="n">
        <v>0.295</v>
      </c>
      <c r="B36" s="21" t="n">
        <v>0.1721379109327866</v>
      </c>
      <c r="C36" s="21" t="n">
        <v>0.1796871011961134</v>
      </c>
      <c r="D36" s="21" t="n">
        <v>0.1775480273300928</v>
      </c>
      <c r="E36" s="21" t="n">
        <v>0.1773407775356345</v>
      </c>
      <c r="F36" s="21" t="n">
        <v>0.1211140357589741</v>
      </c>
      <c r="G36" s="21" t="n">
        <v>0.1459164731034831</v>
      </c>
      <c r="H36" s="21" t="n">
        <v>0.2061775999108234</v>
      </c>
      <c r="I36" s="21" t="n">
        <v>0.1814042164203838</v>
      </c>
      <c r="J36" s="21" t="n">
        <v>0.155045294474715</v>
      </c>
      <c r="K36" s="21" t="n">
        <v>0.1842509571950571</v>
      </c>
      <c r="L36" s="21" t="n">
        <v>0.1486179268279096</v>
      </c>
      <c r="M36" s="21" t="n">
        <v>0.2241838233066411</v>
      </c>
    </row>
    <row r="37">
      <c r="A37" s="10" t="n">
        <v>0.305</v>
      </c>
      <c r="B37" s="21" t="n">
        <v>0.181390139802287</v>
      </c>
      <c r="C37" s="21" t="n">
        <v>0.1900526422325501</v>
      </c>
      <c r="D37" s="21" t="n">
        <v>0.1871370966536622</v>
      </c>
      <c r="E37" s="21" t="n">
        <v>0.1863433778442441</v>
      </c>
      <c r="F37" s="21" t="n">
        <v>0.1288444705810825</v>
      </c>
      <c r="G37" s="21" t="n">
        <v>0.1541167720961101</v>
      </c>
      <c r="H37" s="21" t="n">
        <v>0.2157032783803675</v>
      </c>
      <c r="I37" s="21" t="n">
        <v>0.1908495246500804</v>
      </c>
      <c r="J37" s="21" t="n">
        <v>0.1652748870643798</v>
      </c>
      <c r="K37" s="21" t="n">
        <v>0.1947358674783468</v>
      </c>
      <c r="L37" s="21" t="n">
        <v>0.1572576834522446</v>
      </c>
      <c r="M37" s="21" t="n">
        <v>0.2334857282655776</v>
      </c>
    </row>
    <row r="38">
      <c r="A38" s="10" t="n">
        <v>0.315</v>
      </c>
      <c r="B38" s="21" t="n">
        <v>0.1910277440609701</v>
      </c>
      <c r="C38" s="21" t="n">
        <v>0.2004670238531654</v>
      </c>
      <c r="D38" s="21" t="n">
        <v>0.1967261659772315</v>
      </c>
      <c r="E38" s="21" t="n">
        <v>0.195145920368218</v>
      </c>
      <c r="F38" s="21" t="n">
        <v>0.1405085181308738</v>
      </c>
      <c r="G38" s="21" t="n">
        <v>0.1624301285374506</v>
      </c>
      <c r="H38" s="21" t="n">
        <v>0.2258816783689135</v>
      </c>
      <c r="I38" s="21" t="n">
        <v>0.200581054341283</v>
      </c>
      <c r="J38" s="21" t="n">
        <v>0.1755044796540446</v>
      </c>
      <c r="K38" s="21" t="n">
        <v>0.205006800000753</v>
      </c>
      <c r="L38" s="21" t="n">
        <v>0.165691731585524</v>
      </c>
      <c r="M38" s="21" t="n">
        <v>0.2423789298641546</v>
      </c>
    </row>
    <row r="39">
      <c r="A39" s="10" t="n">
        <v>0.325</v>
      </c>
      <c r="B39" s="21" t="n">
        <v>0.2014168428914964</v>
      </c>
      <c r="C39" s="21" t="n">
        <v>0.2108814054737806</v>
      </c>
      <c r="D39" s="21" t="n">
        <v>0.2069964594396566</v>
      </c>
      <c r="E39" s="21" t="n">
        <v>0.2049916583987877</v>
      </c>
      <c r="F39" s="21" t="n">
        <v>0.1533013404111908</v>
      </c>
      <c r="G39" s="21" t="n">
        <v>0.1730392779798546</v>
      </c>
      <c r="H39" s="21" t="n">
        <v>0.2361606851686361</v>
      </c>
      <c r="I39" s="21" t="n">
        <v>0.2103125840324856</v>
      </c>
      <c r="J39" s="21" t="n">
        <v>0.1874249962759301</v>
      </c>
      <c r="K39" s="21" t="n">
        <v>0.2154917102840427</v>
      </c>
      <c r="L39" s="21" t="n">
        <v>0.1750792217251639</v>
      </c>
      <c r="M39" s="21" t="n">
        <v>0.2512721314627316</v>
      </c>
    </row>
    <row r="40">
      <c r="A40" s="10" t="n">
        <v>0.335</v>
      </c>
      <c r="B40" s="21" t="n">
        <v>0.2119005829395281</v>
      </c>
      <c r="C40" s="21" t="n">
        <v>0.2219849299508976</v>
      </c>
      <c r="D40" s="21" t="n">
        <v>0.2173395593964219</v>
      </c>
      <c r="E40" s="21" t="n">
        <v>0.214824702582935</v>
      </c>
      <c r="F40" s="21" t="n">
        <v>0.1660941626915079</v>
      </c>
      <c r="G40" s="21" t="n">
        <v>0.1836484274222586</v>
      </c>
      <c r="H40" s="21" t="n">
        <v>0.2462272328294501</v>
      </c>
      <c r="I40" s="21" t="n">
        <v>0.2208691394082092</v>
      </c>
      <c r="J40" s="21" t="n">
        <v>0.1992372036334163</v>
      </c>
      <c r="K40" s="21" t="n">
        <v>0.2262830511424565</v>
      </c>
      <c r="L40" s="21" t="n">
        <v>0.1844713034249276</v>
      </c>
      <c r="M40" s="21" t="n">
        <v>0.2601653330613087</v>
      </c>
    </row>
    <row r="41">
      <c r="A41" s="10" t="n">
        <v>0.345</v>
      </c>
      <c r="B41" s="21" t="n">
        <v>0.2225842095293222</v>
      </c>
      <c r="C41" s="21" t="n">
        <v>0.2336251950238009</v>
      </c>
      <c r="D41" s="21" t="n">
        <v>0.2279868681754449</v>
      </c>
      <c r="E41" s="21" t="n">
        <v>0.2248812250439948</v>
      </c>
      <c r="F41" s="21" t="n">
        <v>0.17946268192285</v>
      </c>
      <c r="G41" s="21" t="n">
        <v>0.1939455430575331</v>
      </c>
      <c r="H41" s="21" t="n">
        <v>0.2564930107774145</v>
      </c>
      <c r="I41" s="21" t="n">
        <v>0.2312219758908791</v>
      </c>
      <c r="J41" s="21" t="n">
        <v>0.2110494109909024</v>
      </c>
      <c r="K41" s="21" t="n">
        <v>0.2372992116020872</v>
      </c>
      <c r="L41" s="21" t="n">
        <v>0.1940924602881001</v>
      </c>
      <c r="M41" s="21" t="n">
        <v>0.2697564727045402</v>
      </c>
    </row>
    <row r="42">
      <c r="A42" s="10" t="n">
        <v>0.355</v>
      </c>
      <c r="B42" s="21" t="n">
        <v>0.2333452921947627</v>
      </c>
      <c r="C42" s="21" t="n">
        <v>0.2453832948278588</v>
      </c>
      <c r="D42" s="21" t="n">
        <v>0.2386183976329188</v>
      </c>
      <c r="E42" s="21" t="n">
        <v>0.2347142692281421</v>
      </c>
      <c r="F42" s="21" t="n">
        <v>0.1930812916448613</v>
      </c>
      <c r="G42" s="21" t="n">
        <v>0.2045546924999371</v>
      </c>
      <c r="H42" s="21" t="n">
        <v>0.2667098205444837</v>
      </c>
      <c r="I42" s="21" t="n">
        <v>0.2418885346912055</v>
      </c>
      <c r="J42" s="21" t="n">
        <v>0.2228616183483886</v>
      </c>
      <c r="K42" s="21" t="n">
        <v>0.248090552460501</v>
      </c>
      <c r="L42" s="21" t="n">
        <v>0.2037136171512727</v>
      </c>
      <c r="M42" s="21" t="n">
        <v>0.2796988086952836</v>
      </c>
    </row>
    <row r="43">
      <c r="A43" s="10" t="n">
        <v>0.365</v>
      </c>
      <c r="B43" s="21" t="n">
        <v>0.2441729945986035</v>
      </c>
      <c r="C43" s="21" t="n">
        <v>0.2575771122433765</v>
      </c>
      <c r="D43" s="21" t="n">
        <v>0.2496152711246237</v>
      </c>
      <c r="E43" s="21" t="n">
        <v>0.2447707916892019</v>
      </c>
      <c r="F43" s="21" t="n">
        <v>0.2066999013668726</v>
      </c>
      <c r="G43" s="21" t="n">
        <v>0.2151638419423411</v>
      </c>
      <c r="H43" s="21" t="n">
        <v>0.2768315744309913</v>
      </c>
      <c r="I43" s="21" t="n">
        <v>0.252555093491532</v>
      </c>
      <c r="J43" s="21" t="n">
        <v>0.2353211789556156</v>
      </c>
      <c r="K43" s="21" t="n">
        <v>0.2588818933189148</v>
      </c>
      <c r="L43" s="21" t="n">
        <v>0.2131056988510364</v>
      </c>
      <c r="M43" s="21" t="n">
        <v>0.2893925862862584</v>
      </c>
    </row>
    <row r="44">
      <c r="A44" s="10" t="n">
        <v>0.375</v>
      </c>
      <c r="B44" s="21" t="n">
        <v>0.2554357616121651</v>
      </c>
      <c r="C44" s="21" t="n">
        <v>0.2700396703905892</v>
      </c>
      <c r="D44" s="21" t="n">
        <v>0.2609355820719669</v>
      </c>
      <c r="E44" s="21" t="n">
        <v>0.2546038358733492</v>
      </c>
      <c r="F44" s="21" t="n">
        <v>0.2206768955552526</v>
      </c>
      <c r="G44" s="21" t="n">
        <v>0.2257729913847451</v>
      </c>
      <c r="H44" s="21" t="n">
        <v>0.2867814684233949</v>
      </c>
      <c r="I44" s="21" t="n">
        <v>0.2632216522918585</v>
      </c>
      <c r="J44" s="21" t="n">
        <v>0.2496389641150898</v>
      </c>
      <c r="K44" s="21" t="n">
        <v>0.2705373033792651</v>
      </c>
      <c r="L44" s="21" t="n">
        <v>0.2236343207017613</v>
      </c>
      <c r="M44" s="21" t="n">
        <v>0.2993546705825506</v>
      </c>
    </row>
    <row r="45">
      <c r="A45" s="10" t="n">
        <v>0.385</v>
      </c>
      <c r="B45" s="21" t="n">
        <v>0.2669212730263417</v>
      </c>
      <c r="C45" s="21" t="n">
        <v>0.2825921469076009</v>
      </c>
      <c r="D45" s="21" t="n">
        <v>0.2720438817281135</v>
      </c>
      <c r="E45" s="21" t="n">
        <v>0.2657595364940097</v>
      </c>
      <c r="F45" s="21" t="n">
        <v>0.2348758300175681</v>
      </c>
      <c r="G45" s="21" t="n">
        <v>0.2360701070200196</v>
      </c>
      <c r="H45" s="21" t="n">
        <v>0.2976676019005563</v>
      </c>
      <c r="I45" s="21" t="n">
        <v>0.2738882110921849</v>
      </c>
      <c r="J45" s="21" t="n">
        <v>0.2635697821080916</v>
      </c>
      <c r="K45" s="21" t="n">
        <v>0.2820105104784466</v>
      </c>
      <c r="L45" s="21" t="n">
        <v>0.2347175871510541</v>
      </c>
      <c r="M45" s="21" t="n">
        <v>0.3095716462488943</v>
      </c>
    </row>
    <row r="46">
      <c r="A46" s="10" t="n">
        <v>0.395</v>
      </c>
      <c r="B46" s="21" t="n">
        <v>0.2788446779260309</v>
      </c>
      <c r="C46" s="21" t="n">
        <v>0.2957375405264048</v>
      </c>
      <c r="D46" s="21" t="n">
        <v>0.2841441758265487</v>
      </c>
      <c r="E46" s="21" t="n">
        <v>0.2780107726292788</v>
      </c>
      <c r="F46" s="21" t="n">
        <v>0.2492820233157066</v>
      </c>
      <c r="G46" s="21" t="n">
        <v>0.2469276925920646</v>
      </c>
      <c r="H46" s="21" t="n">
        <v>0.3085537353777177</v>
      </c>
      <c r="I46" s="21" t="n">
        <v>0.2852197570869398</v>
      </c>
      <c r="J46" s="21" t="n">
        <v>0.2775006001010935</v>
      </c>
      <c r="K46" s="21" t="n">
        <v>0.2937227427255276</v>
      </c>
      <c r="L46" s="21" t="n">
        <v>0.2460711771722809</v>
      </c>
      <c r="M46" s="21" t="n">
        <v>0.3200505956502724</v>
      </c>
    </row>
    <row r="47">
      <c r="A47" s="10" t="n">
        <v>0.405</v>
      </c>
      <c r="B47" s="21" t="n">
        <v>0.291241638851747</v>
      </c>
      <c r="C47" s="21" t="n">
        <v>0.3092698448982674</v>
      </c>
      <c r="D47" s="21" t="n">
        <v>0.2958987472364571</v>
      </c>
      <c r="E47" s="21" t="n">
        <v>0.2905404459494402</v>
      </c>
      <c r="F47" s="21" t="n">
        <v>0.2640673269637961</v>
      </c>
      <c r="G47" s="21" t="n">
        <v>0.2603524515037326</v>
      </c>
      <c r="H47" s="21" t="n">
        <v>0.3201809350915924</v>
      </c>
      <c r="I47" s="21" t="n">
        <v>0.2984460176881041</v>
      </c>
      <c r="J47" s="21" t="n">
        <v>0.2914314180940954</v>
      </c>
      <c r="K47" s="21" t="n">
        <v>0.305195949824709</v>
      </c>
      <c r="L47" s="21" t="n">
        <v>0.2574247671935078</v>
      </c>
      <c r="M47" s="21" t="n">
        <v>0.3303250690447024</v>
      </c>
    </row>
    <row r="48">
      <c r="A48" s="10" t="n">
        <v>0.415</v>
      </c>
      <c r="B48" s="21" t="n">
        <v>0.3040938022870283</v>
      </c>
      <c r="C48" s="21" t="n">
        <v>0.3226933093579022</v>
      </c>
      <c r="D48" s="21" t="n">
        <v>0.3079990413348923</v>
      </c>
      <c r="E48" s="21" t="n">
        <v>0.3030701192696017</v>
      </c>
      <c r="F48" s="21" t="n">
        <v>0.2795499039083914</v>
      </c>
      <c r="G48" s="21" t="n">
        <v>0.2733823645650574</v>
      </c>
      <c r="H48" s="21" t="n">
        <v>0.3322084839333449</v>
      </c>
      <c r="I48" s="21" t="n">
        <v>0.3116722782892684</v>
      </c>
      <c r="J48" s="21" t="n">
        <v>0.3062119665077198</v>
      </c>
      <c r="K48" s="21" t="n">
        <v>0.3184728868896158</v>
      </c>
      <c r="L48" s="21" t="n">
        <v>0.2685080336428006</v>
      </c>
      <c r="M48" s="21" t="n">
        <v>0.3416632504087296</v>
      </c>
    </row>
    <row r="49">
      <c r="A49" s="10" t="n">
        <v>0.425</v>
      </c>
      <c r="B49" s="21" t="n">
        <v>0.3177913174990092</v>
      </c>
      <c r="C49" s="21" t="n">
        <v>0.3358116265978426</v>
      </c>
      <c r="D49" s="21" t="n">
        <v>0.3222850522637423</v>
      </c>
      <c r="E49" s="21" t="n">
        <v>0.3153213554048707</v>
      </c>
      <c r="F49" s="21" t="n">
        <v>0.2978334544074653</v>
      </c>
      <c r="G49" s="21" t="n">
        <v>0.2868071234767254</v>
      </c>
      <c r="H49" s="21" t="n">
        <v>0.3453393375087103</v>
      </c>
      <c r="I49" s="21" t="n">
        <v>0.3248985388904326</v>
      </c>
      <c r="J49" s="21" t="n">
        <v>0.321958843738241</v>
      </c>
      <c r="K49" s="21" t="n">
        <v>0.3320919748818154</v>
      </c>
      <c r="L49" s="21" t="n">
        <v>0.2803101798286314</v>
      </c>
      <c r="M49" s="21" t="n">
        <v>0.3530014317727569</v>
      </c>
    </row>
    <row r="50">
      <c r="A50" s="10" t="n">
        <v>0.435</v>
      </c>
      <c r="B50" s="21" t="n">
        <v>0.3319166676822759</v>
      </c>
      <c r="C50" s="21" t="n">
        <v>0.3494049849347041</v>
      </c>
      <c r="D50" s="21" t="n">
        <v>0.3366477734810451</v>
      </c>
      <c r="E50" s="21" t="n">
        <v>0.3278510287250322</v>
      </c>
      <c r="F50" s="21" t="n">
        <v>0.3156481959193835</v>
      </c>
      <c r="G50" s="21" t="n">
        <v>0.3002318823883934</v>
      </c>
      <c r="H50" s="21" t="n">
        <v>0.3593370733747716</v>
      </c>
      <c r="I50" s="21" t="n">
        <v>0.3381247994915969</v>
      </c>
      <c r="J50" s="21" t="n">
        <v>0.3372801296922615</v>
      </c>
      <c r="K50" s="21" t="n">
        <v>0.3459947938738525</v>
      </c>
      <c r="L50" s="21" t="n">
        <v>0.2959911469651151</v>
      </c>
      <c r="M50" s="21" t="n">
        <v>0.3646303357358618</v>
      </c>
    </row>
    <row r="51">
      <c r="A51" s="10" t="n">
        <v>0.445</v>
      </c>
      <c r="B51" s="21" t="n">
        <v>0.3460433806508657</v>
      </c>
      <c r="C51" s="21" t="n">
        <v>0.3631229475728032</v>
      </c>
      <c r="D51" s="21" t="n">
        <v>0.3514329276753274</v>
      </c>
      <c r="E51" s="21" t="n">
        <v>0.3401022648603012</v>
      </c>
      <c r="F51" s="21" t="n">
        <v>0.3334629374313017</v>
      </c>
      <c r="G51" s="21" t="n">
        <v>0.3132617954497183</v>
      </c>
      <c r="H51" s="21" t="n">
        <v>0.3730483336175641</v>
      </c>
      <c r="I51" s="21" t="n">
        <v>0.3509620524280211</v>
      </c>
      <c r="J51" s="21" t="n">
        <v>0.3526014156462821</v>
      </c>
      <c r="K51" s="21" t="n">
        <v>0.3596138818660521</v>
      </c>
      <c r="L51" s="21" t="n">
        <v>0.3120545767146837</v>
      </c>
      <c r="M51" s="21" t="n">
        <v>0.3770440165301058</v>
      </c>
    </row>
    <row r="52">
      <c r="A52" s="10" t="n">
        <v>0.455</v>
      </c>
      <c r="B52" s="21" t="n">
        <v>0.3615881853795907</v>
      </c>
      <c r="C52" s="21" t="n">
        <v>0.3766470388064692</v>
      </c>
      <c r="D52" s="21" t="n">
        <v>0.3672971993510927</v>
      </c>
      <c r="E52" s="21" t="n">
        <v>0.3579341170453696</v>
      </c>
      <c r="F52" s="21" t="n">
        <v>0.3540032548705951</v>
      </c>
      <c r="G52" s="21" t="n">
        <v>0.3266865543613863</v>
      </c>
      <c r="H52" s="21" t="n">
        <v>0.3870227805338126</v>
      </c>
      <c r="I52" s="21" t="n">
        <v>0.3641883130291854</v>
      </c>
      <c r="J52" s="21" t="n">
        <v>0.367994555024265</v>
      </c>
      <c r="K52" s="21" t="n">
        <v>0.3754096350597383</v>
      </c>
      <c r="L52" s="21" t="n">
        <v>0.3281180064642523</v>
      </c>
      <c r="M52" s="21" t="n">
        <v>0.3902058708410224</v>
      </c>
    </row>
    <row r="53">
      <c r="A53" s="10" t="n">
        <v>0.465</v>
      </c>
      <c r="B53" s="21" t="n">
        <v>0.377562304707788</v>
      </c>
      <c r="C53" s="21" t="n">
        <v>0.3895255820390868</v>
      </c>
      <c r="D53" s="21" t="n">
        <v>0.3843673216343396</v>
      </c>
      <c r="E53" s="21" t="n">
        <v>0.3760177499320363</v>
      </c>
      <c r="F53" s="21" t="n">
        <v>0.3746765678401248</v>
      </c>
      <c r="G53" s="21" t="n">
        <v>0.3401113132730543</v>
      </c>
      <c r="H53" s="21" t="n">
        <v>0.4010492333710811</v>
      </c>
      <c r="I53" s="21" t="n">
        <v>0.3781654020472507</v>
      </c>
      <c r="J53" s="21" t="n">
        <v>0.3846092026096089</v>
      </c>
      <c r="K53" s="21" t="n">
        <v>0.3918681243544116</v>
      </c>
      <c r="L53" s="21" t="n">
        <v>0.3437989736007359</v>
      </c>
      <c r="M53" s="21" t="n">
        <v>0.4033677251519389</v>
      </c>
    </row>
    <row r="54">
      <c r="A54" s="10" t="n">
        <v>0.475</v>
      </c>
      <c r="B54" s="21" t="n">
        <v>0.3937680689967195</v>
      </c>
      <c r="C54" s="21" t="n">
        <v>0.4018007535947364</v>
      </c>
      <c r="D54" s="21" t="n">
        <v>0.4009497261380651</v>
      </c>
      <c r="E54" s="21" t="n">
        <v>0.3945123744752182</v>
      </c>
      <c r="F54" s="21" t="n">
        <v>0.3953498808096544</v>
      </c>
      <c r="G54" s="21" t="n">
        <v>0.3532321708403716</v>
      </c>
      <c r="H54" s="21" t="n">
        <v>0.415381263881501</v>
      </c>
      <c r="I54" s="21" t="n">
        <v>0.3925015829168775</v>
      </c>
      <c r="J54" s="21" t="n">
        <v>0.4016853681834345</v>
      </c>
      <c r="K54" s="21" t="n">
        <v>0.4083266136490848</v>
      </c>
      <c r="L54" s="21" t="n">
        <v>0.3598624033503045</v>
      </c>
      <c r="M54" s="21" t="n">
        <v>0.4177285285586377</v>
      </c>
    </row>
    <row r="55">
      <c r="A55" s="10" t="n">
        <v>0.485</v>
      </c>
      <c r="B55" s="21" t="n">
        <v>0.4096519770999145</v>
      </c>
      <c r="C55" s="21" t="n">
        <v>0.4140046357591086</v>
      </c>
      <c r="D55" s="21" t="n">
        <v>0.4151325043291971</v>
      </c>
      <c r="E55" s="21" t="n">
        <v>0.4125960073618849</v>
      </c>
      <c r="F55" s="21" t="n">
        <v>0.4152705652161063</v>
      </c>
      <c r="G55" s="21" t="n">
        <v>0.3651477789724107</v>
      </c>
      <c r="H55" s="21" t="n">
        <v>0.4300057848105009</v>
      </c>
      <c r="I55" s="21" t="n">
        <v>0.4064161114079858</v>
      </c>
      <c r="J55" s="21" t="n">
        <v>0.4183000157687784</v>
      </c>
      <c r="K55" s="21" t="n">
        <v>0.4251279881373971</v>
      </c>
      <c r="L55" s="21" t="n">
        <v>0.377438406494655</v>
      </c>
      <c r="M55" s="21" t="n">
        <v>0.4327568917820314</v>
      </c>
    </row>
    <row r="56">
      <c r="A56" s="10" t="n">
        <v>0.495</v>
      </c>
      <c r="B56" s="21" t="n">
        <v>0.426337953161325</v>
      </c>
      <c r="C56" s="21" t="n">
        <v>0.4262174257163494</v>
      </c>
      <c r="D56" s="21" t="n">
        <v>0.4300347258226428</v>
      </c>
      <c r="E56" s="21" t="n">
        <v>0.4278026986529455</v>
      </c>
      <c r="F56" s="21" t="n">
        <v>0.4324688827291158</v>
      </c>
      <c r="G56" s="21" t="n">
        <v>0.3792298613102751</v>
      </c>
      <c r="H56" s="21" t="n">
        <v>0.4490581875235082</v>
      </c>
      <c r="I56" s="21" t="n">
        <v>0.4228605541702047</v>
      </c>
      <c r="J56" s="21" t="n">
        <v>0.4386068072619765</v>
      </c>
      <c r="K56" s="21" t="n">
        <v>0.4409443297121507</v>
      </c>
      <c r="L56" s="21" t="n">
        <v>0.3950917226385541</v>
      </c>
      <c r="M56" s="21" t="n">
        <v>0.4485559402989325</v>
      </c>
    </row>
    <row r="57">
      <c r="A57" s="10" t="n">
        <v>0.505</v>
      </c>
      <c r="B57" s="21" t="n">
        <v>0.4425530286772852</v>
      </c>
      <c r="C57" s="21" t="n">
        <v>0.4384924834995321</v>
      </c>
      <c r="D57" s="21" t="n">
        <v>0.4484025802215411</v>
      </c>
      <c r="E57" s="21" t="n">
        <v>0.4384884817223395</v>
      </c>
      <c r="F57" s="21" t="n">
        <v>0.4520669654764986</v>
      </c>
      <c r="G57" s="21" t="n">
        <v>0.395839496888269</v>
      </c>
      <c r="H57" s="21" t="n">
        <v>0.4624050828563695</v>
      </c>
      <c r="I57" s="21" t="n">
        <v>0.4414132588250158</v>
      </c>
      <c r="J57" s="21" t="n">
        <v>0.4569503832494292</v>
      </c>
      <c r="K57" s="21" t="n">
        <v>0.4552536562863322</v>
      </c>
      <c r="L57" s="21" t="n">
        <v>0.4104817931229791</v>
      </c>
      <c r="M57" s="21" t="n">
        <v>0.4649390058928468</v>
      </c>
    </row>
    <row r="58">
      <c r="A58" s="10" t="n">
        <v>0.515</v>
      </c>
      <c r="B58" s="21" t="n">
        <v>0.4580782505536805</v>
      </c>
      <c r="C58" s="21" t="n">
        <v>0.4508828938505348</v>
      </c>
      <c r="D58" s="21" t="n">
        <v>0.4639214344033896</v>
      </c>
      <c r="E58" s="21" t="n">
        <v>0.4491742647917334</v>
      </c>
      <c r="F58" s="21" t="n">
        <v>0.4697548678923055</v>
      </c>
      <c r="G58" s="21" t="n">
        <v>0.4124491324662629</v>
      </c>
      <c r="H58" s="21" t="n">
        <v>0.4763080988280999</v>
      </c>
      <c r="I58" s="21" t="n">
        <v>0.4603876158583454</v>
      </c>
      <c r="J58" s="21" t="n">
        <v>0.47265399171974</v>
      </c>
      <c r="K58" s="21" t="n">
        <v>0.4701592048011046</v>
      </c>
      <c r="L58" s="21" t="n">
        <v>0.4263245127392988</v>
      </c>
      <c r="M58" s="21" t="n">
        <v>0.4799033930414045</v>
      </c>
    </row>
    <row r="59">
      <c r="A59" s="10" t="n">
        <v>0.525</v>
      </c>
      <c r="B59" s="21" t="n">
        <v>0.4726395432628017</v>
      </c>
      <c r="C59" s="21" t="n">
        <v>0.4633143565406541</v>
      </c>
      <c r="D59" s="21" t="n">
        <v>0.4796887170943518</v>
      </c>
      <c r="E59" s="21" t="n">
        <v>0.4598600478611273</v>
      </c>
      <c r="F59" s="21" t="n">
        <v>0.4836931046899581</v>
      </c>
      <c r="G59" s="21" t="n">
        <v>0.4290587680442567</v>
      </c>
      <c r="H59" s="21" t="n">
        <v>0.4902111147998304</v>
      </c>
      <c r="I59" s="21" t="n">
        <v>0.4747081329816916</v>
      </c>
      <c r="J59" s="21" t="n">
        <v>0.4880720800360452</v>
      </c>
      <c r="K59" s="21" t="n">
        <v>0.4844685313752861</v>
      </c>
      <c r="L59" s="21" t="n">
        <v>0.4417145832237238</v>
      </c>
      <c r="M59" s="21" t="n">
        <v>0.4948677801899622</v>
      </c>
    </row>
    <row r="60">
      <c r="A60" s="10" t="n">
        <v>0.535</v>
      </c>
      <c r="B60" s="21" t="n">
        <v>0.487213411445214</v>
      </c>
      <c r="C60" s="21" t="n">
        <v>0.4757518620380794</v>
      </c>
      <c r="D60" s="21" t="n">
        <v>0.4933823913608701</v>
      </c>
      <c r="E60" s="21" t="n">
        <v>0.4727274934598056</v>
      </c>
      <c r="F60" s="21" t="n">
        <v>0.4976313414876107</v>
      </c>
      <c r="G60" s="21" t="n">
        <v>0.4456684036222506</v>
      </c>
      <c r="H60" s="21" t="n">
        <v>0.50476965156304</v>
      </c>
      <c r="I60" s="21" t="n">
        <v>0.4892534565518602</v>
      </c>
      <c r="J60" s="21" t="n">
        <v>0.5023782080296794</v>
      </c>
      <c r="K60" s="21" t="n">
        <v>0.4993740798900584</v>
      </c>
      <c r="L60" s="21" t="n">
        <v>0.4571046537081487</v>
      </c>
      <c r="M60" s="21" t="n">
        <v>0.5097942147959321</v>
      </c>
    </row>
    <row r="61">
      <c r="A61" s="10" t="n">
        <v>0.545</v>
      </c>
      <c r="B61" s="21" t="n">
        <v>0.5013365084390341</v>
      </c>
      <c r="C61" s="21" t="n">
        <v>0.4881126842123613</v>
      </c>
      <c r="D61" s="21" t="n">
        <v>0.5066519184496614</v>
      </c>
      <c r="E61" s="21" t="n">
        <v>0.4861143825178373</v>
      </c>
      <c r="F61" s="21" t="n">
        <v>0.5119178233458649</v>
      </c>
      <c r="G61" s="21" t="n">
        <v>0.4601183227710859</v>
      </c>
      <c r="H61" s="21" t="n">
        <v>0.5204544931676357</v>
      </c>
      <c r="I61" s="21" t="n">
        <v>0.5034755507093585</v>
      </c>
      <c r="J61" s="21" t="n">
        <v>0.5158211863171308</v>
      </c>
      <c r="K61" s="21" t="n">
        <v>0.5136834064642399</v>
      </c>
      <c r="L61" s="21" t="n">
        <v>0.4711057751594367</v>
      </c>
      <c r="M61" s="21" t="n">
        <v>0.5239426222788516</v>
      </c>
    </row>
    <row r="62">
      <c r="A62" s="10" t="n">
        <v>0.555</v>
      </c>
      <c r="B62" s="21" t="n">
        <v>0.5153352041089151</v>
      </c>
      <c r="C62" s="21" t="n">
        <v>0.5005561270921873</v>
      </c>
      <c r="D62" s="21" t="n">
        <v>0.5199977714534807</v>
      </c>
      <c r="E62" s="21" t="n">
        <v>0.499501271575869</v>
      </c>
      <c r="F62" s="21" t="n">
        <v>0.5259537404926371</v>
      </c>
      <c r="G62" s="21" t="n">
        <v>0.4741806005095595</v>
      </c>
      <c r="H62" s="21" t="n">
        <v>0.5355119411080476</v>
      </c>
      <c r="I62" s="21" t="n">
        <v>0.518020874279527</v>
      </c>
      <c r="J62" s="21" t="n">
        <v>0.5292641646045823</v>
      </c>
      <c r="K62" s="21" t="n">
        <v>0.5285889549790124</v>
      </c>
      <c r="L62" s="21" t="n">
        <v>0.4841767961027106</v>
      </c>
      <c r="M62" s="21" t="n">
        <v>0.538091029761771</v>
      </c>
    </row>
    <row r="63">
      <c r="A63" s="10" t="n">
        <v>0.5649999999999999</v>
      </c>
      <c r="B63" s="21" t="n">
        <v>0.5293626933826727</v>
      </c>
      <c r="C63" s="21" t="n">
        <v>0.5127183552743638</v>
      </c>
      <c r="D63" s="21" t="n">
        <v>0.5337001685569038</v>
      </c>
      <c r="E63" s="21" t="n">
        <v>0.5128881606339007</v>
      </c>
      <c r="F63" s="21" t="n">
        <v>0.5402761049281188</v>
      </c>
      <c r="G63" s="21" t="n">
        <v>0.488242878248033</v>
      </c>
      <c r="H63" s="21" t="n">
        <v>0.5511967827126433</v>
      </c>
      <c r="I63" s="21" t="n">
        <v>0.5322429684370252</v>
      </c>
      <c r="J63" s="21" t="n">
        <v>0.5426223272281603</v>
      </c>
      <c r="K63" s="21" t="n">
        <v>0.5428982815531939</v>
      </c>
      <c r="L63" s="21" t="n">
        <v>0.4972478170459845</v>
      </c>
      <c r="M63" s="21" t="n">
        <v>0.5522394372446905</v>
      </c>
    </row>
    <row r="64">
      <c r="A64" s="10" t="n">
        <v>0.575</v>
      </c>
      <c r="B64" s="21" t="n">
        <v>0.542827236127378</v>
      </c>
      <c r="C64" s="21" t="n">
        <v>0.5248368731224776</v>
      </c>
      <c r="D64" s="21" t="n">
        <v>0.5471195730179442</v>
      </c>
      <c r="E64" s="21" t="n">
        <v>0.5262750496919325</v>
      </c>
      <c r="F64" s="21" t="n">
        <v>0.5523566487313338</v>
      </c>
      <c r="G64" s="21" t="n">
        <v>0.5023051559865065</v>
      </c>
      <c r="H64" s="21" t="n">
        <v>0.5659903203716108</v>
      </c>
      <c r="I64" s="21" t="n">
        <v>0.545249920042539</v>
      </c>
      <c r="J64" s="21" t="n">
        <v>0.5557213215144549</v>
      </c>
      <c r="K64" s="21" t="n">
        <v>0.5574809304511567</v>
      </c>
      <c r="L64" s="21" t="n">
        <v>0.5107032797817076</v>
      </c>
      <c r="M64" s="21" t="n">
        <v>0.5650596141016464</v>
      </c>
    </row>
    <row r="65">
      <c r="A65" s="10" t="n">
        <v>0.585</v>
      </c>
      <c r="B65" s="21" t="n">
        <v>0.5557416783828639</v>
      </c>
      <c r="C65" s="21" t="n">
        <v>0.5371177594621895</v>
      </c>
      <c r="D65" s="21" t="n">
        <v>0.5603532635574209</v>
      </c>
      <c r="E65" s="21" t="n">
        <v>0.54017681909835</v>
      </c>
      <c r="F65" s="21" t="n">
        <v>0.5646837342448185</v>
      </c>
      <c r="G65" s="21" t="n">
        <v>0.5163674337249801</v>
      </c>
      <c r="H65" s="21" t="n">
        <v>0.5783762834581528</v>
      </c>
      <c r="I65" s="21" t="n">
        <v>0.5577364150604266</v>
      </c>
      <c r="J65" s="21" t="n">
        <v>0.5690628897690141</v>
      </c>
      <c r="K65" s="21" t="n">
        <v>0.5692070600908612</v>
      </c>
      <c r="L65" s="21" t="n">
        <v>0.5237743007249814</v>
      </c>
      <c r="M65" s="21" t="n">
        <v>0.5777050237709755</v>
      </c>
    </row>
    <row r="66">
      <c r="A66" s="10" t="n">
        <v>0.595</v>
      </c>
      <c r="B66" s="21" t="n">
        <v>0.5684204874621772</v>
      </c>
      <c r="C66" s="21" t="n">
        <v>0.5494349956209789</v>
      </c>
      <c r="D66" s="21" t="n">
        <v>0.5729029362859438</v>
      </c>
      <c r="E66" s="21" t="n">
        <v>0.5535637081563818</v>
      </c>
      <c r="F66" s="21" t="n">
        <v>0.576792457767059</v>
      </c>
      <c r="G66" s="21" t="n">
        <v>0.5302671662773899</v>
      </c>
      <c r="H66" s="21" t="n">
        <v>0.5902668080212332</v>
      </c>
      <c r="I66" s="21" t="n">
        <v>0.5705066940559934</v>
      </c>
      <c r="J66" s="21" t="n">
        <v>0.5810014170072555</v>
      </c>
      <c r="K66" s="21" t="n">
        <v>0.5814217784655534</v>
      </c>
      <c r="L66" s="21" t="n">
        <v>0.5372297634607045</v>
      </c>
      <c r="M66" s="21" t="n">
        <v>0.5903504334403047</v>
      </c>
    </row>
    <row r="67">
      <c r="A67" s="10" t="n">
        <v>0.605</v>
      </c>
      <c r="B67" s="21" t="n">
        <v>0.5807226277534467</v>
      </c>
      <c r="C67" s="21" t="n">
        <v>0.5627151062574832</v>
      </c>
      <c r="D67" s="21" t="n">
        <v>0.5846604198555876</v>
      </c>
      <c r="E67" s="21" t="n">
        <v>0.5669505972144135</v>
      </c>
      <c r="F67" s="21" t="n">
        <v>0.5889880687562944</v>
      </c>
      <c r="G67" s="21" t="n">
        <v>0.5428340283040771</v>
      </c>
      <c r="H67" s="21" t="n">
        <v>0.6026527711077753</v>
      </c>
      <c r="I67" s="21" t="n">
        <v>0.582993189073881</v>
      </c>
      <c r="J67" s="21" t="n">
        <v>0.5924138038643776</v>
      </c>
      <c r="K67" s="21" t="n">
        <v>0.593147908105258</v>
      </c>
      <c r="L67" s="21" t="n">
        <v>0.5502005117437153</v>
      </c>
      <c r="M67" s="21" t="n">
        <v>0.6023863815260636</v>
      </c>
    </row>
    <row r="68">
      <c r="A68" s="10" t="n">
        <v>0.615</v>
      </c>
      <c r="B68" s="21" t="n">
        <v>0.5930619572683946</v>
      </c>
      <c r="C68" s="21" t="n">
        <v>0.5768194473276255</v>
      </c>
      <c r="D68" s="21" t="n">
        <v>0.5970173774568071</v>
      </c>
      <c r="E68" s="21" t="n">
        <v>0.5803374862724453</v>
      </c>
      <c r="F68" s="21" t="n">
        <v>0.6014325697657182</v>
      </c>
      <c r="G68" s="21" t="n">
        <v>0.5554008903307643</v>
      </c>
      <c r="H68" s="21" t="n">
        <v>0.6145432956708556</v>
      </c>
      <c r="I68" s="21" t="n">
        <v>0.5957634680694478</v>
      </c>
      <c r="J68" s="21" t="n">
        <v>0.6038261907214997</v>
      </c>
      <c r="K68" s="21" t="n">
        <v>0.6053626264799502</v>
      </c>
      <c r="L68" s="21" t="n">
        <v>0.5627844940514258</v>
      </c>
      <c r="M68" s="21" t="n">
        <v>0.6142830241070065</v>
      </c>
    </row>
    <row r="69">
      <c r="A69" s="10" t="n">
        <v>0.625</v>
      </c>
      <c r="B69" s="21" t="n">
        <v>0.605399070241883</v>
      </c>
      <c r="C69" s="21" t="n">
        <v>0.5910467795931572</v>
      </c>
      <c r="D69" s="21" t="n">
        <v>0.6099903932122437</v>
      </c>
      <c r="E69" s="21" t="n">
        <v>0.5937243753304771</v>
      </c>
      <c r="F69" s="21" t="n">
        <v>0.6132240684141753</v>
      </c>
      <c r="G69" s="21" t="n">
        <v>0.5679677523574516</v>
      </c>
      <c r="H69" s="21" t="n">
        <v>0.626802610755003</v>
      </c>
      <c r="I69" s="21" t="n">
        <v>0.6082904920192356</v>
      </c>
      <c r="J69" s="21" t="n">
        <v>0.6153093425678381</v>
      </c>
      <c r="K69" s="21" t="n">
        <v>0.6170887561196547</v>
      </c>
      <c r="L69" s="21" t="n">
        <v>0.5757385934858337</v>
      </c>
      <c r="M69" s="21" t="n">
        <v>0.6261796666879494</v>
      </c>
    </row>
    <row r="70">
      <c r="A70" s="10" t="n">
        <v>0.635</v>
      </c>
      <c r="B70" s="21" t="n">
        <v>0.6176583229754867</v>
      </c>
      <c r="C70" s="21" t="n">
        <v>0.6052774779990424</v>
      </c>
      <c r="D70" s="21" t="n">
        <v>0.6226114652690116</v>
      </c>
      <c r="E70" s="21" t="n">
        <v>0.6071112643885088</v>
      </c>
      <c r="F70" s="21" t="n">
        <v>0.6248266687136445</v>
      </c>
      <c r="G70" s="21" t="n">
        <v>0.5805346143841388</v>
      </c>
      <c r="H70" s="21" t="n">
        <v>0.638439839313294</v>
      </c>
      <c r="I70" s="21" t="n">
        <v>0.6208294362431117</v>
      </c>
      <c r="J70" s="21" t="n">
        <v>0.627114151508653</v>
      </c>
      <c r="K70" s="21" t="n">
        <v>0.629303474494347</v>
      </c>
      <c r="L70" s="21" t="n">
        <v>0.5883225757935442</v>
      </c>
      <c r="M70" s="21" t="n">
        <v>0.6379714207204671</v>
      </c>
    </row>
    <row r="71">
      <c r="A71" s="10" t="n">
        <v>0.645</v>
      </c>
      <c r="B71" s="21" t="n">
        <v>0.6298329423891663</v>
      </c>
      <c r="C71" s="21" t="n">
        <v>0.6198120953614668</v>
      </c>
      <c r="D71" s="21" t="n">
        <v>0.6339319323475952</v>
      </c>
      <c r="E71" s="21" t="n">
        <v>0.6209438677389874</v>
      </c>
      <c r="F71" s="21" t="n">
        <v>0.6361972170071242</v>
      </c>
      <c r="G71" s="21" t="n">
        <v>0.593101476410826</v>
      </c>
      <c r="H71" s="21" t="n">
        <v>0.650561952394847</v>
      </c>
      <c r="I71" s="21" t="n">
        <v>0.6336533564720759</v>
      </c>
      <c r="J71" s="21" t="n">
        <v>0.6389189604494679</v>
      </c>
      <c r="K71" s="21" t="n">
        <v>0.6410296041340515</v>
      </c>
      <c r="L71" s="21" t="n">
        <v>0.6009065581012547</v>
      </c>
      <c r="M71" s="21" t="n">
        <v>0.6497069844591855</v>
      </c>
    </row>
    <row r="72">
      <c r="A72" s="10" t="n">
        <v>0.655</v>
      </c>
      <c r="B72" s="21" t="n">
        <v>0.642184850246204</v>
      </c>
      <c r="C72" s="21" t="n">
        <v>0.6340192607578706</v>
      </c>
      <c r="D72" s="21" t="n">
        <v>0.6457810584729561</v>
      </c>
      <c r="E72" s="21" t="n">
        <v>0.6347942996611637</v>
      </c>
      <c r="F72" s="21" t="n">
        <v>0.6477054463380761</v>
      </c>
      <c r="G72" s="21" t="n">
        <v>0.6057104507359909</v>
      </c>
      <c r="H72" s="21" t="n">
        <v>0.662199180953138</v>
      </c>
      <c r="I72" s="21" t="n">
        <v>0.646192300695952</v>
      </c>
      <c r="J72" s="21" t="n">
        <v>0.6509021579190631</v>
      </c>
      <c r="K72" s="21" t="n">
        <v>0.6536616533906603</v>
      </c>
      <c r="L72" s="21" t="n">
        <v>0.6138606575356625</v>
      </c>
      <c r="M72" s="21" t="n">
        <v>0.6617154682848508</v>
      </c>
    </row>
    <row r="73">
      <c r="A73" s="10" t="n">
        <v>0.665</v>
      </c>
      <c r="B73" s="21" t="n">
        <v>0.6547643104841758</v>
      </c>
      <c r="C73" s="21" t="n">
        <v>0.6482136722617213</v>
      </c>
      <c r="D73" s="21" t="n">
        <v>0.6583492744109276</v>
      </c>
      <c r="E73" s="21" t="n">
        <v>0.6486447315833401</v>
      </c>
      <c r="F73" s="21" t="n">
        <v>0.6594485374921089</v>
      </c>
      <c r="G73" s="21" t="n">
        <v>0.618519458478925</v>
      </c>
      <c r="H73" s="21" t="n">
        <v>0.6747150903315193</v>
      </c>
      <c r="I73" s="21" t="n">
        <v>0.6590721432877052</v>
      </c>
      <c r="J73" s="21" t="n">
        <v>0.6629955365387873</v>
      </c>
      <c r="K73" s="21" t="n">
        <v>0.6666397756761142</v>
      </c>
      <c r="L73" s="21" t="n">
        <v>0.6264446398433731</v>
      </c>
      <c r="M73" s="21" t="n">
        <v>0.6735088725246897</v>
      </c>
    </row>
    <row r="74">
      <c r="A74" s="10" t="n">
        <v>0.675</v>
      </c>
      <c r="B74" s="21" t="n">
        <v>0.6676495614826465</v>
      </c>
      <c r="C74" s="21" t="n">
        <v>0.6627742375500963</v>
      </c>
      <c r="D74" s="21" t="n">
        <v>0.6711387017616575</v>
      </c>
      <c r="E74" s="21" t="n">
        <v>0.6624951635055165</v>
      </c>
      <c r="F74" s="21" t="n">
        <v>0.6714353094483329</v>
      </c>
      <c r="G74" s="21" t="n">
        <v>0.631328466221859</v>
      </c>
      <c r="H74" s="21" t="n">
        <v>0.6877024776217926</v>
      </c>
      <c r="I74" s="21" t="n">
        <v>0.671918660506921</v>
      </c>
      <c r="J74" s="21" t="n">
        <v>0.6748690355472438</v>
      </c>
      <c r="K74" s="21" t="n">
        <v>0.6801586530567953</v>
      </c>
      <c r="L74" s="21" t="n">
        <v>0.6408312793039289</v>
      </c>
      <c r="M74" s="21" t="n">
        <v>0.6853574881519616</v>
      </c>
    </row>
    <row r="75">
      <c r="A75" s="10" t="n">
        <v>0.6850000000000001</v>
      </c>
      <c r="B75" s="21" t="n">
        <v>0.6809388888084159</v>
      </c>
      <c r="C75" s="21" t="n">
        <v>0.6774341677560766</v>
      </c>
      <c r="D75" s="21" t="n">
        <v>0.685009607130317</v>
      </c>
      <c r="E75" s="21" t="n">
        <v>0.6763455954276929</v>
      </c>
      <c r="F75" s="21" t="n">
        <v>0.6851723282076655</v>
      </c>
      <c r="G75" s="21" t="n">
        <v>0.644137473964793</v>
      </c>
      <c r="H75" s="21" t="n">
        <v>0.7012310060491607</v>
      </c>
      <c r="I75" s="21" t="n">
        <v>0.6850571440265734</v>
      </c>
      <c r="J75" s="21" t="n">
        <v>0.687690043192831</v>
      </c>
      <c r="K75" s="21" t="n">
        <v>0.6931367753422493</v>
      </c>
      <c r="L75" s="21" t="n">
        <v>0.6550947912974681</v>
      </c>
      <c r="M75" s="21" t="n">
        <v>0.6972061037792335</v>
      </c>
    </row>
    <row r="76">
      <c r="A76" s="10" t="n">
        <v>0.695</v>
      </c>
      <c r="B76" s="21" t="n">
        <v>0.6943609419407081</v>
      </c>
      <c r="C76" s="21" t="n">
        <v>0.6921146209956225</v>
      </c>
      <c r="D76" s="21" t="n">
        <v>0.6986441874942357</v>
      </c>
      <c r="E76" s="21" t="n">
        <v>0.6901960273498693</v>
      </c>
      <c r="F76" s="21" t="n">
        <v>0.6986346065918115</v>
      </c>
      <c r="G76" s="21" t="n">
        <v>0.6569464817077271</v>
      </c>
      <c r="H76" s="21" t="n">
        <v>0.7147595344765287</v>
      </c>
      <c r="I76" s="21" t="n">
        <v>0.6979036612457891</v>
      </c>
      <c r="J76" s="21" t="n">
        <v>0.7009961368556602</v>
      </c>
      <c r="K76" s="21" t="n">
        <v>0.7066556527229304</v>
      </c>
      <c r="L76" s="21" t="n">
        <v>0.6693583032910072</v>
      </c>
      <c r="M76" s="21" t="n">
        <v>0.7099945485656475</v>
      </c>
    </row>
    <row r="77">
      <c r="A77" s="10" t="n">
        <v>0.705</v>
      </c>
      <c r="B77" s="21" t="n">
        <v>0.7080379596643663</v>
      </c>
      <c r="C77" s="21" t="n">
        <v>0.7073897462042418</v>
      </c>
      <c r="D77" s="21" t="n">
        <v>0.7128515128922447</v>
      </c>
      <c r="E77" s="21" t="n">
        <v>0.7040464592720457</v>
      </c>
      <c r="F77" s="21" t="n">
        <v>0.7130062362684245</v>
      </c>
      <c r="G77" s="21" t="n">
        <v>0.6697554894506611</v>
      </c>
      <c r="H77" s="21" t="n">
        <v>0.727746921766802</v>
      </c>
      <c r="I77" s="21" t="n">
        <v>0.7110421447654415</v>
      </c>
      <c r="J77" s="21" t="n">
        <v>0.7143022305184894</v>
      </c>
      <c r="K77" s="21" t="n">
        <v>0.7196337750083843</v>
      </c>
      <c r="L77" s="21" t="n">
        <v>0.6840413303431798</v>
      </c>
      <c r="M77" s="21" t="n">
        <v>0.7239701459741356</v>
      </c>
    </row>
    <row r="78">
      <c r="A78" s="10" t="n">
        <v>0.715</v>
      </c>
      <c r="B78" s="21" t="n">
        <v>0.7223691221858636</v>
      </c>
      <c r="C78" s="21" t="n">
        <v>0.722727563216886</v>
      </c>
      <c r="D78" s="21" t="n">
        <v>0.7270588382902536</v>
      </c>
      <c r="E78" s="21" t="n">
        <v>0.7184296001143058</v>
      </c>
      <c r="F78" s="21" t="n">
        <v>0.7283111020837348</v>
      </c>
      <c r="G78" s="21" t="n">
        <v>0.6844617148355808</v>
      </c>
      <c r="H78" s="21" t="n">
        <v>0.7425616389009171</v>
      </c>
      <c r="I78" s="21" t="n">
        <v>0.72412502001944</v>
      </c>
      <c r="J78" s="21" t="n">
        <v>0.7289363690571158</v>
      </c>
      <c r="K78" s="21" t="n">
        <v>0.7331526523890655</v>
      </c>
      <c r="L78" s="21" t="n">
        <v>0.698304842336719</v>
      </c>
      <c r="M78" s="21" t="n">
        <v>0.7379457433826236</v>
      </c>
    </row>
    <row r="79">
      <c r="A79" s="10" t="n">
        <v>0.725</v>
      </c>
      <c r="B79" s="21" t="n">
        <v>0.7375661486582046</v>
      </c>
      <c r="C79" s="21" t="n">
        <v>0.7379371142030224</v>
      </c>
      <c r="D79" s="21" t="n">
        <v>0.7428622337488899</v>
      </c>
      <c r="E79" s="21" t="n">
        <v>0.7322800320364822</v>
      </c>
      <c r="F79" s="21" t="n">
        <v>0.7433098705827389</v>
      </c>
      <c r="G79" s="21" t="n">
        <v>0.7029986459468538</v>
      </c>
      <c r="H79" s="21" t="n">
        <v>0.7573648220124802</v>
      </c>
      <c r="I79" s="21" t="n">
        <v>0.7408088740608358</v>
      </c>
      <c r="J79" s="21" t="n">
        <v>0.7448511222974037</v>
      </c>
      <c r="K79" s="21" t="n">
        <v>0.7461307746745194</v>
      </c>
      <c r="L79" s="21" t="n">
        <v>0.7125683543302581</v>
      </c>
      <c r="M79" s="21" t="n">
        <v>0.7523616269662968</v>
      </c>
    </row>
    <row r="80">
      <c r="A80" s="10" t="n">
        <v>0.735</v>
      </c>
      <c r="B80" s="21" t="n">
        <v>0.7531634783582026</v>
      </c>
      <c r="C80" s="21" t="n">
        <v>0.7532852051140464</v>
      </c>
      <c r="D80" s="21" t="n">
        <v>0.7584614092665927</v>
      </c>
      <c r="E80" s="21" t="n">
        <v>0.7461304639586586</v>
      </c>
      <c r="F80" s="21" t="n">
        <v>0.7597915975211247</v>
      </c>
      <c r="G80" s="21" t="n">
        <v>0.7215355770581267</v>
      </c>
      <c r="H80" s="21" t="n">
        <v>0.7727848044203586</v>
      </c>
      <c r="I80" s="21" t="n">
        <v>0.7571219757902007</v>
      </c>
      <c r="J80" s="21" t="n">
        <v>0.7604765163878682</v>
      </c>
      <c r="K80" s="21" t="n">
        <v>0.7596496520552005</v>
      </c>
      <c r="L80" s="21" t="n">
        <v>0.727869140671892</v>
      </c>
      <c r="M80" s="21" t="n">
        <v>0.7679149165025313</v>
      </c>
    </row>
    <row r="81">
      <c r="A81" s="10" t="n">
        <v>0.745</v>
      </c>
      <c r="B81" s="21" t="n">
        <v>0.7690775813633636</v>
      </c>
      <c r="C81" s="21" t="n">
        <v>0.7687051985048914</v>
      </c>
      <c r="D81" s="21" t="n">
        <v>0.7751104355838202</v>
      </c>
      <c r="E81" s="21" t="n">
        <v>0.759980895880835</v>
      </c>
      <c r="F81" s="21" t="n">
        <v>0.7761633706637169</v>
      </c>
      <c r="G81" s="21" t="n">
        <v>0.7400725081693995</v>
      </c>
      <c r="H81" s="21" t="n">
        <v>0.7875879875319217</v>
      </c>
      <c r="I81" s="21" t="n">
        <v>0.7738058298315965</v>
      </c>
      <c r="J81" s="21" t="n">
        <v>0.7777342301722918</v>
      </c>
      <c r="K81" s="21" t="n">
        <v>0.7728398992102908</v>
      </c>
      <c r="L81" s="21" t="n">
        <v>0.7444664099811736</v>
      </c>
      <c r="M81" s="21" t="n">
        <v>0.7834682060387658</v>
      </c>
    </row>
    <row r="82">
      <c r="A82" s="10" t="n">
        <v>0.755</v>
      </c>
      <c r="B82" s="21" t="n">
        <v>0.7852744032230401</v>
      </c>
      <c r="C82" s="21" t="n">
        <v>0.7847316115770414</v>
      </c>
      <c r="D82" s="21" t="n">
        <v>0.7918927715285951</v>
      </c>
      <c r="E82" s="21" t="n">
        <v>0.7717583948660293</v>
      </c>
      <c r="F82" s="21" t="n">
        <v>0.793863078958853</v>
      </c>
      <c r="G82" s="21" t="n">
        <v>0.7586094392806724</v>
      </c>
      <c r="H82" s="21" t="n">
        <v>0.8023063597321615</v>
      </c>
      <c r="I82" s="21" t="n">
        <v>0.7901189315609614</v>
      </c>
      <c r="J82" s="21" t="n">
        <v>0.797006384772919</v>
      </c>
      <c r="K82" s="21" t="n">
        <v>0.7865797399968433</v>
      </c>
      <c r="L82" s="21" t="n">
        <v>0.7615518342701399</v>
      </c>
      <c r="M82" s="21" t="n">
        <v>0.7997706823218748</v>
      </c>
    </row>
    <row r="83">
      <c r="A83" s="10" t="n">
        <v>0.765</v>
      </c>
      <c r="B83" s="21" t="n">
        <v>0.8020879152470922</v>
      </c>
      <c r="C83" s="21" t="n">
        <v>0.8008545134366782</v>
      </c>
      <c r="D83" s="21" t="n">
        <v>0.8105547133166887</v>
      </c>
      <c r="E83" s="21" t="n">
        <v>0.7850593253363021</v>
      </c>
      <c r="F83" s="21" t="n">
        <v>0.8129370592718148</v>
      </c>
      <c r="G83" s="21" t="n">
        <v>0.7775493471552338</v>
      </c>
      <c r="H83" s="21" t="n">
        <v>0.8156477228662089</v>
      </c>
      <c r="I83" s="21" t="n">
        <v>0.8069564940058865</v>
      </c>
      <c r="J83" s="21" t="n">
        <v>0.8138257196971026</v>
      </c>
      <c r="K83" s="21" t="n">
        <v>0.8014187680463198</v>
      </c>
      <c r="L83" s="21" t="n">
        <v>0.7796135685184759</v>
      </c>
      <c r="M83" s="21" t="n">
        <v>0.818013524889343</v>
      </c>
    </row>
    <row r="84">
      <c r="A84" s="10" t="n">
        <v>0.775</v>
      </c>
      <c r="B84" s="21" t="n">
        <v>0.8187918591715349</v>
      </c>
      <c r="C84" s="21" t="n">
        <v>0.8170457060838983</v>
      </c>
      <c r="D84" s="21" t="n">
        <v>0.8261532675746085</v>
      </c>
      <c r="E84" s="21" t="n">
        <v>0.8039380653586248</v>
      </c>
      <c r="F84" s="21" t="n">
        <v>0.8281095436116708</v>
      </c>
      <c r="G84" s="21" t="n">
        <v>0.7949551897875529</v>
      </c>
      <c r="H84" s="21" t="n">
        <v>0.8328009040385557</v>
      </c>
      <c r="I84" s="21" t="n">
        <v>0.822839458290644</v>
      </c>
      <c r="J84" s="21" t="n">
        <v>0.8257394152683993</v>
      </c>
      <c r="K84" s="21" t="n">
        <v>0.8201049515160311</v>
      </c>
      <c r="L84" s="21" t="n">
        <v>0.8006042326449202</v>
      </c>
      <c r="M84" s="21" t="n">
        <v>0.8335866831786451</v>
      </c>
    </row>
    <row r="85">
      <c r="A85" s="10" t="n">
        <v>0.785</v>
      </c>
      <c r="B85" s="21" t="n">
        <v>0.8357323791609803</v>
      </c>
      <c r="C85" s="21" t="n">
        <v>0.8324071730832044</v>
      </c>
      <c r="D85" s="21" t="n">
        <v>0.8417518218325283</v>
      </c>
      <c r="E85" s="21" t="n">
        <v>0.8228168053809475</v>
      </c>
      <c r="F85" s="21" t="n">
        <v>0.8428485283989594</v>
      </c>
      <c r="G85" s="21" t="n">
        <v>0.8125925719624036</v>
      </c>
      <c r="H85" s="21" t="n">
        <v>0.8504305624656898</v>
      </c>
      <c r="I85" s="21" t="n">
        <v>0.8384169809545408</v>
      </c>
      <c r="J85" s="21" t="n">
        <v>0.8395431146062026</v>
      </c>
      <c r="K85" s="21" t="n">
        <v>0.8387911349857424</v>
      </c>
      <c r="L85" s="21" t="n">
        <v>0.8220830517510493</v>
      </c>
      <c r="M85" s="21" t="n">
        <v>0.8491598414679473</v>
      </c>
    </row>
    <row r="86">
      <c r="A86" s="10" t="n">
        <v>0.795</v>
      </c>
      <c r="B86" s="21" t="n">
        <v>0.8515441087507415</v>
      </c>
      <c r="C86" s="21" t="n">
        <v>0.8470941883620802</v>
      </c>
      <c r="D86" s="21" t="n">
        <v>0.8561358106377405</v>
      </c>
      <c r="E86" s="21" t="n">
        <v>0.8412664831300355</v>
      </c>
      <c r="F86" s="21" t="n">
        <v>0.8567582694577617</v>
      </c>
      <c r="G86" s="21" t="n">
        <v>0.8298841231142181</v>
      </c>
      <c r="H86" s="21" t="n">
        <v>0.8645467550746994</v>
      </c>
      <c r="I86" s="21" t="n">
        <v>0.8542999452392982</v>
      </c>
      <c r="J86" s="21" t="n">
        <v>0.8542780629046296</v>
      </c>
      <c r="K86" s="21" t="n">
        <v>0.8574773184554537</v>
      </c>
      <c r="L86" s="21" t="n">
        <v>0.8383314945495413</v>
      </c>
      <c r="M86" s="21" t="n">
        <v>0.8635245359372173</v>
      </c>
    </row>
    <row r="87">
      <c r="A87" s="10" t="n">
        <v>0.805</v>
      </c>
      <c r="B87" s="21" t="n">
        <v>0.8664148142814787</v>
      </c>
      <c r="C87" s="21" t="n">
        <v>0.8603775859091877</v>
      </c>
      <c r="D87" s="21" t="n">
        <v>0.8706671252753364</v>
      </c>
      <c r="E87" s="21" t="n">
        <v>0.8601452231523582</v>
      </c>
      <c r="F87" s="21" t="n">
        <v>0.8695457419016037</v>
      </c>
      <c r="G87" s="21" t="n">
        <v>0.8471756742660326</v>
      </c>
      <c r="H87" s="21" t="n">
        <v>0.8783016349899894</v>
      </c>
      <c r="I87" s="21" t="n">
        <v>0.8701829095240556</v>
      </c>
      <c r="J87" s="21" t="n">
        <v>0.8685796303707499</v>
      </c>
      <c r="K87" s="21" t="n">
        <v>0.8722915834886775</v>
      </c>
      <c r="L87" s="21" t="n">
        <v>0.8520822492693774</v>
      </c>
      <c r="M87" s="21" t="n">
        <v>0.8762042246269983</v>
      </c>
    </row>
    <row r="88">
      <c r="A88" s="10" t="n">
        <v>0.8149999999999999</v>
      </c>
      <c r="B88" s="21" t="n">
        <v>0.8804411150603776</v>
      </c>
      <c r="C88" s="21" t="n">
        <v>0.873103628537623</v>
      </c>
      <c r="D88" s="21" t="n">
        <v>0.8848160368961535</v>
      </c>
      <c r="E88" s="21" t="n">
        <v>0.8790239631746809</v>
      </c>
      <c r="F88" s="21" t="n">
        <v>0.8823332143454458</v>
      </c>
      <c r="G88" s="21" t="n">
        <v>0.8648130564408834</v>
      </c>
      <c r="H88" s="21" t="n">
        <v>0.8916847613940554</v>
      </c>
      <c r="I88" s="21" t="n">
        <v>0.8819090657904055</v>
      </c>
      <c r="J88" s="21" t="n">
        <v>0.883314578669177</v>
      </c>
      <c r="K88" s="21" t="n">
        <v>0.8829092638604701</v>
      </c>
      <c r="L88" s="21" t="n">
        <v>0.8658330039892135</v>
      </c>
      <c r="M88" s="21" t="n">
        <v>0.8888839133167793</v>
      </c>
    </row>
    <row r="89">
      <c r="A89" s="10" t="n">
        <v>0.825</v>
      </c>
      <c r="B89" s="21" t="n">
        <v>0.8927933171153573</v>
      </c>
      <c r="C89" s="21" t="n">
        <v>0.8858296711660584</v>
      </c>
      <c r="D89" s="21" t="n">
        <v>0.8960312869728678</v>
      </c>
      <c r="E89" s="21" t="n">
        <v>0.8911943595598979</v>
      </c>
      <c r="F89" s="21" t="n">
        <v>0.8954967889199891</v>
      </c>
      <c r="G89" s="21" t="n">
        <v>0.8781705047424349</v>
      </c>
      <c r="H89" s="21" t="n">
        <v>0.9023179452361711</v>
      </c>
      <c r="I89" s="21" t="n">
        <v>0.892785253758352</v>
      </c>
      <c r="J89" s="21" t="n">
        <v>0.898049526967604</v>
      </c>
      <c r="K89" s="21" t="n">
        <v>0.8935269442322626</v>
      </c>
      <c r="L89" s="21" t="n">
        <v>0.8792712415563261</v>
      </c>
      <c r="M89" s="21" t="n">
        <v>0.9019258788262683</v>
      </c>
    </row>
    <row r="90">
      <c r="A90" s="10" t="n">
        <v>0.835</v>
      </c>
      <c r="B90" s="21" t="n">
        <v>0.9034323725809807</v>
      </c>
      <c r="C90" s="21" t="n">
        <v>0.8976073110970867</v>
      </c>
      <c r="D90" s="21" t="n">
        <v>0.906890941710903</v>
      </c>
      <c r="E90" s="21" t="n">
        <v>0.9008634869152097</v>
      </c>
      <c r="F90" s="21" t="n">
        <v>0.9059691370177343</v>
      </c>
      <c r="G90" s="21" t="n">
        <v>0.8881766802456141</v>
      </c>
      <c r="H90" s="21" t="n">
        <v>0.9118258627218139</v>
      </c>
      <c r="I90" s="21" t="n">
        <v>0.9036614417262986</v>
      </c>
      <c r="J90" s="21" t="n">
        <v>0.9080768442532636</v>
      </c>
      <c r="K90" s="21" t="n">
        <v>0.9041446246040552</v>
      </c>
      <c r="L90" s="21" t="n">
        <v>0.8930219962761623</v>
      </c>
      <c r="M90" s="21" t="n">
        <v>0.9122599826488201</v>
      </c>
    </row>
    <row r="91">
      <c r="A91" s="10" t="n">
        <v>0.845</v>
      </c>
      <c r="B91" s="21" t="n">
        <v>0.9135077447451302</v>
      </c>
      <c r="C91" s="21" t="n">
        <v>0.9085781764201937</v>
      </c>
      <c r="D91" s="21" t="n">
        <v>0.9177505964489382</v>
      </c>
      <c r="E91" s="21" t="n">
        <v>0.9105326142705215</v>
      </c>
      <c r="F91" s="21" t="n">
        <v>0.9153342517325636</v>
      </c>
      <c r="G91" s="21" t="n">
        <v>0.8981828557487934</v>
      </c>
      <c r="H91" s="21" t="n">
        <v>0.9213337802074566</v>
      </c>
      <c r="I91" s="21" t="n">
        <v>0.9145376296942451</v>
      </c>
      <c r="J91" s="21" t="n">
        <v>0.916998812306264</v>
      </c>
      <c r="K91" s="21" t="n">
        <v>0.9147623049758478</v>
      </c>
      <c r="L91" s="21" t="n">
        <v>0.9043105651299082</v>
      </c>
      <c r="M91" s="21" t="n">
        <v>0.9216558525244802</v>
      </c>
    </row>
    <row r="92">
      <c r="A92" s="10" t="n">
        <v>0.855</v>
      </c>
      <c r="B92" s="21" t="n">
        <v>0.9228960579589925</v>
      </c>
      <c r="C92" s="21" t="n">
        <v>0.9191771472537263</v>
      </c>
      <c r="D92" s="21" t="n">
        <v>0.9266714071171014</v>
      </c>
      <c r="E92" s="21" t="n">
        <v>0.9202017416258332</v>
      </c>
      <c r="F92" s="21" t="n">
        <v>0.924974810997829</v>
      </c>
      <c r="G92" s="21" t="n">
        <v>0.9083891547620363</v>
      </c>
      <c r="H92" s="21" t="n">
        <v>0.9299116206625384</v>
      </c>
      <c r="I92" s="21" t="n">
        <v>0.9237105778342496</v>
      </c>
      <c r="J92" s="21" t="n">
        <v>0.9256583695341761</v>
      </c>
      <c r="K92" s="21" t="n">
        <v>0.9253799853476403</v>
      </c>
      <c r="L92" s="21" t="n">
        <v>0.9130831396714212</v>
      </c>
      <c r="M92" s="21" t="n">
        <v>0.9310517224001403</v>
      </c>
    </row>
    <row r="93">
      <c r="A93" s="10" t="n">
        <v>0.865</v>
      </c>
      <c r="B93" s="21" t="n">
        <v>0.9318478033970778</v>
      </c>
      <c r="C93" s="21" t="n">
        <v>0.9290126244144585</v>
      </c>
      <c r="D93" s="21" t="n">
        <v>0.9352169576427087</v>
      </c>
      <c r="E93" s="21" t="n">
        <v>0.9296511160867061</v>
      </c>
      <c r="F93" s="21" t="n">
        <v>0.9343399257126582</v>
      </c>
      <c r="G93" s="21" t="n">
        <v>0.9183953302652156</v>
      </c>
      <c r="H93" s="21" t="n">
        <v>0.9376999105247477</v>
      </c>
      <c r="I93" s="21" t="n">
        <v>0.9317092738360834</v>
      </c>
      <c r="J93" s="21" t="n">
        <v>0.9345803375871765</v>
      </c>
      <c r="K93" s="21" t="n">
        <v>0.9347069648417281</v>
      </c>
      <c r="L93" s="21" t="n">
        <v>0.9218557142129342</v>
      </c>
      <c r="M93" s="21" t="n">
        <v>0.9401882433393505</v>
      </c>
    </row>
    <row r="94">
      <c r="A94" s="10" t="n">
        <v>0.875</v>
      </c>
      <c r="B94" s="21" t="n">
        <v>0.9402529726194108</v>
      </c>
      <c r="C94" s="21" t="n">
        <v>0.9377497018974392</v>
      </c>
      <c r="D94" s="21" t="n">
        <v>0.9437625081683161</v>
      </c>
      <c r="E94" s="21" t="n">
        <v>0.9393202434420179</v>
      </c>
      <c r="F94" s="21" t="n">
        <v>0.942683612810989</v>
      </c>
      <c r="G94" s="21" t="n">
        <v>0.9282390152378167</v>
      </c>
      <c r="H94" s="21" t="n">
        <v>0.9457045417720182</v>
      </c>
      <c r="I94" s="21" t="n">
        <v>0.9397079698379172</v>
      </c>
      <c r="J94" s="21" t="n">
        <v>0.9432398948150886</v>
      </c>
      <c r="K94" s="21" t="n">
        <v>0.9419699941421136</v>
      </c>
      <c r="L94" s="21" t="n">
        <v>0.930428912060322</v>
      </c>
      <c r="M94" s="21" t="n">
        <v>0.9472749778835843</v>
      </c>
    </row>
    <row r="95">
      <c r="A95" s="10" t="n">
        <v>0.885</v>
      </c>
      <c r="B95" s="21" t="n">
        <v>0.9483464859984924</v>
      </c>
      <c r="C95" s="21" t="n">
        <v>0.9461157473642974</v>
      </c>
      <c r="D95" s="21" t="n">
        <v>0.9512987552568095</v>
      </c>
      <c r="E95" s="21" t="n">
        <v>0.9489893707973297</v>
      </c>
      <c r="F95" s="21" t="n">
        <v>0.9505789390699591</v>
      </c>
      <c r="G95" s="21" t="n">
        <v>0.9378533844610961</v>
      </c>
      <c r="H95" s="21" t="n">
        <v>0.952944190317859</v>
      </c>
      <c r="I95" s="21" t="n">
        <v>0.9477066658397509</v>
      </c>
      <c r="J95" s="21" t="n">
        <v>0.9509275122254471</v>
      </c>
      <c r="K95" s="21" t="n">
        <v>0.9494531152394804</v>
      </c>
      <c r="L95" s="21" t="n">
        <v>0.939201486601835</v>
      </c>
      <c r="M95" s="21" t="n">
        <v>0.9543617124278181</v>
      </c>
    </row>
    <row r="96">
      <c r="A96" s="10" t="n">
        <v>0.895</v>
      </c>
      <c r="B96" s="21" t="n">
        <v>0.955911855530255</v>
      </c>
      <c r="C96" s="21" t="n">
        <v>0.9541582162033743</v>
      </c>
      <c r="D96" s="21" t="n">
        <v>0.9584537064582102</v>
      </c>
      <c r="E96" s="21" t="n">
        <v>0.9549374146855449</v>
      </c>
      <c r="F96" s="21" t="n">
        <v>0.9584742653289291</v>
      </c>
      <c r="G96" s="21" t="n">
        <v>0.9472792366407818</v>
      </c>
      <c r="H96" s="21" t="n">
        <v>0.959933835129848</v>
      </c>
      <c r="I96" s="21" t="n">
        <v>0.9555342427871353</v>
      </c>
      <c r="J96" s="21" t="n">
        <v>0.9581824635496633</v>
      </c>
      <c r="K96" s="21" t="n">
        <v>0.9569362363368472</v>
      </c>
      <c r="L96" s="21" t="n">
        <v>0.9476244321892271</v>
      </c>
      <c r="M96" s="21" t="n">
        <v>0.9616509251018871</v>
      </c>
    </row>
    <row r="97">
      <c r="A97" s="10" t="n">
        <v>0.905</v>
      </c>
      <c r="B97" s="21" t="n">
        <v>0.9633788446345894</v>
      </c>
      <c r="C97" s="21" t="n">
        <v>0.9613121502476839</v>
      </c>
      <c r="D97" s="21" t="n">
        <v>0.9656086576596108</v>
      </c>
      <c r="E97" s="21" t="n">
        <v>0.9610237851758118</v>
      </c>
      <c r="F97" s="21" t="n">
        <v>0.9666018070661041</v>
      </c>
      <c r="G97" s="21" t="n">
        <v>0.9567050888204676</v>
      </c>
      <c r="H97" s="21" t="n">
        <v>0.9667345706225939</v>
      </c>
      <c r="I97" s="21" t="n">
        <v>0.9634205019352764</v>
      </c>
      <c r="J97" s="21" t="n">
        <v>0.9656572618837043</v>
      </c>
      <c r="K97" s="21" t="n">
        <v>0.964419357434214</v>
      </c>
      <c r="L97" s="21" t="n">
        <v>0.9557959976907576</v>
      </c>
      <c r="M97" s="21" t="n">
        <v>0.9679894831575803</v>
      </c>
    </row>
    <row r="98">
      <c r="A98" s="10" t="n">
        <v>0.915</v>
      </c>
      <c r="B98" s="21" t="n">
        <v>0.970440553852874</v>
      </c>
      <c r="C98" s="21" t="n">
        <v>0.9683247567545945</v>
      </c>
      <c r="D98" s="21" t="n">
        <v>0.9722702076601493</v>
      </c>
      <c r="E98" s="21" t="n">
        <v>0.9671101556660786</v>
      </c>
      <c r="F98" s="21" t="n">
        <v>0.9731339630077623</v>
      </c>
      <c r="G98" s="21" t="n">
        <v>0.966319458043747</v>
      </c>
      <c r="H98" s="21" t="n">
        <v>0.9729717168882996</v>
      </c>
      <c r="I98" s="21" t="n">
        <v>0.9713067610834175</v>
      </c>
      <c r="J98" s="21" t="n">
        <v>0.9729122132079204</v>
      </c>
      <c r="K98" s="21" t="n">
        <v>0.9719024785315808</v>
      </c>
      <c r="L98" s="21" t="n">
        <v>0.9637818457945261</v>
      </c>
      <c r="M98" s="21" t="n">
        <v>0.9730618963865123</v>
      </c>
    </row>
    <row r="99">
      <c r="A99" s="10" t="n">
        <v>0.925</v>
      </c>
      <c r="B99" s="21" t="n">
        <v>0.9770297449633746</v>
      </c>
      <c r="C99" s="21" t="n">
        <v>0.9751006164542335</v>
      </c>
      <c r="D99" s="21" t="n">
        <v>0.9788362606540693</v>
      </c>
      <c r="E99" s="21" t="n">
        <v>0.9740264857686545</v>
      </c>
      <c r="F99" s="21" t="n">
        <v>0.9787812302726429</v>
      </c>
      <c r="G99" s="21" t="n">
        <v>0.9740486568310892</v>
      </c>
      <c r="H99" s="21" t="n">
        <v>0.9787886069833999</v>
      </c>
      <c r="I99" s="21" t="n">
        <v>0.9778280907636111</v>
      </c>
      <c r="J99" s="21" t="n">
        <v>0.9790679294830129</v>
      </c>
      <c r="K99" s="21" t="n">
        <v>0.9782449742058698</v>
      </c>
      <c r="L99" s="21" t="n">
        <v>0.9717676938982945</v>
      </c>
      <c r="M99" s="21" t="n">
        <v>0.9791487922612307</v>
      </c>
    </row>
    <row r="100">
      <c r="A100" s="10" t="n">
        <v>0.9350000000000001</v>
      </c>
      <c r="B100" s="21" t="n">
        <v>0.9830050107055632</v>
      </c>
      <c r="C100" s="21" t="n">
        <v>0.9813508145105173</v>
      </c>
      <c r="D100" s="21" t="n">
        <v>0.9854023136479892</v>
      </c>
      <c r="E100" s="21" t="n">
        <v>0.9812194690753334</v>
      </c>
      <c r="F100" s="21" t="n">
        <v>0.9842402552953607</v>
      </c>
      <c r="G100" s="21" t="n">
        <v>0.9790527501334659</v>
      </c>
      <c r="H100" s="21" t="n">
        <v>0.9847585731336344</v>
      </c>
      <c r="I100" s="21" t="n">
        <v>0.9840461027842609</v>
      </c>
      <c r="J100" s="21" t="n">
        <v>0.9832404176572265</v>
      </c>
      <c r="K100" s="21" t="n">
        <v>0.9830370400670075</v>
      </c>
      <c r="L100" s="21" t="n">
        <v>0.9795678246043009</v>
      </c>
      <c r="M100" s="21" t="n">
        <v>0.9853190764206967</v>
      </c>
    </row>
    <row r="101">
      <c r="A101" s="10" t="n">
        <v>0.945</v>
      </c>
      <c r="B101" s="21" t="n">
        <v>0.9878509542964462</v>
      </c>
      <c r="C101" s="21" t="n">
        <v>0.9864002480525371</v>
      </c>
      <c r="D101" s="21" t="n">
        <v>0.9894963882981945</v>
      </c>
      <c r="E101" s="21" t="n">
        <v>0.9884124523820124</v>
      </c>
      <c r="F101" s="21" t="n">
        <v>0.9896992803180786</v>
      </c>
      <c r="G101" s="21" t="n">
        <v>0.9824986180768784</v>
      </c>
      <c r="H101" s="21" t="n">
        <v>0.9892623632860724</v>
      </c>
      <c r="I101" s="21" t="n">
        <v>0.989225225853584</v>
      </c>
      <c r="J101" s="21" t="n">
        <v>0.9860884512579592</v>
      </c>
      <c r="K101" s="21" t="n">
        <v>0.9879212610408595</v>
      </c>
      <c r="L101" s="21" t="n">
        <v>0.9865768674610972</v>
      </c>
      <c r="M101" s="21" t="n">
        <v>0.9889881609495846</v>
      </c>
    </row>
    <row r="102">
      <c r="A102" s="10" t="n">
        <v>0.955</v>
      </c>
      <c r="B102" s="21" t="n">
        <v>0.9911922587277279</v>
      </c>
      <c r="C102" s="21" t="n">
        <v>0.9902653412390274</v>
      </c>
      <c r="D102" s="21" t="n">
        <v>0.9930304003734173</v>
      </c>
      <c r="E102" s="21" t="n">
        <v>0.9912963700652626</v>
      </c>
      <c r="F102" s="21" t="n">
        <v>0.9931056441878797</v>
      </c>
      <c r="G102" s="21" t="n">
        <v>0.9860351667556438</v>
      </c>
      <c r="H102" s="21" t="n">
        <v>0.9927462049183043</v>
      </c>
      <c r="I102" s="21" t="n">
        <v>0.9914014117649291</v>
      </c>
      <c r="J102" s="21" t="n">
        <v>0.9888269451048176</v>
      </c>
      <c r="K102" s="21" t="n">
        <v>0.9928054820147115</v>
      </c>
      <c r="L102" s="21" t="n">
        <v>0.9892487706204997</v>
      </c>
      <c r="M102" s="21" t="n">
        <v>0.9926572454784726</v>
      </c>
    </row>
    <row r="103">
      <c r="A103" s="10" t="n">
        <v>0.965</v>
      </c>
      <c r="B103" s="21" t="n">
        <v>0.9940282890404322</v>
      </c>
      <c r="C103" s="21" t="n">
        <v>0.9935186263304279</v>
      </c>
      <c r="D103" s="21" t="n">
        <v>0.99656441244864</v>
      </c>
      <c r="E103" s="21" t="n">
        <v>0.9934618665083552</v>
      </c>
      <c r="F103" s="21" t="n">
        <v>0.9948442208709359</v>
      </c>
      <c r="G103" s="21" t="n">
        <v>0.9894810346990563</v>
      </c>
      <c r="H103" s="21" t="n">
        <v>0.9963193758231575</v>
      </c>
      <c r="I103" s="21" t="n">
        <v>0.9935245199711196</v>
      </c>
      <c r="J103" s="21" t="n">
        <v>0.9916749787055503</v>
      </c>
      <c r="K103" s="21" t="n">
        <v>0.9951906231463926</v>
      </c>
      <c r="L103" s="21" t="n">
        <v>0.9919206737799021</v>
      </c>
      <c r="M103" s="21" t="n">
        <v>0.996242941722613</v>
      </c>
    </row>
    <row r="104">
      <c r="A104" s="10" t="n">
        <v>0.975</v>
      </c>
      <c r="B104" s="21" t="n">
        <v>0.9960633019025855</v>
      </c>
      <c r="C104" s="21" t="n">
        <v>0.9957691401625591</v>
      </c>
      <c r="D104" s="21" t="n">
        <v>0.9977200191704612</v>
      </c>
      <c r="E104" s="21" t="n">
        <v>0.9956273629514478</v>
      </c>
      <c r="F104" s="21" t="n">
        <v>0.9965228466338868</v>
      </c>
      <c r="G104" s="21" t="n">
        <v>0.9930175833778218</v>
      </c>
      <c r="H104" s="21" t="n">
        <v>0.9978335008823412</v>
      </c>
      <c r="I104" s="21" t="n">
        <v>0.9957007058824647</v>
      </c>
      <c r="J104" s="21" t="n">
        <v>0.9944134725524088</v>
      </c>
      <c r="K104" s="21" t="n">
        <v>0.9968038951289317</v>
      </c>
      <c r="L104" s="21" t="n">
        <v>0.9945925769393046</v>
      </c>
      <c r="M104" s="21" t="n">
        <v>0.997654764196531</v>
      </c>
    </row>
    <row r="105">
      <c r="A105" s="10" t="n">
        <v>0.985</v>
      </c>
      <c r="B105" s="21" t="n">
        <v>0.9980312068007885</v>
      </c>
      <c r="C105" s="21" t="n">
        <v>0.9978845700812797</v>
      </c>
      <c r="D105" s="21" t="n">
        <v>0.998844393278179</v>
      </c>
      <c r="E105" s="21" t="n">
        <v>0.9978345035569076</v>
      </c>
      <c r="F105" s="21" t="n">
        <v>0.998261423316943</v>
      </c>
      <c r="G105" s="21" t="n">
        <v>0.9964634513212343</v>
      </c>
      <c r="H105" s="21" t="n">
        <v>0.9989167504411706</v>
      </c>
      <c r="I105" s="21" t="n">
        <v>0.9978238140886552</v>
      </c>
      <c r="J105" s="21" t="n">
        <v>0.9972615061531415</v>
      </c>
      <c r="K105" s="21" t="n">
        <v>0.9983867280174606</v>
      </c>
      <c r="L105" s="21" t="n">
        <v>0.9973280968405975</v>
      </c>
      <c r="M105" s="21" t="n">
        <v>0.9988139037315789</v>
      </c>
    </row>
    <row r="106">
      <c r="A106" s="10" t="n">
        <v>0.995</v>
      </c>
      <c r="B106" s="21" t="n">
        <v>0.9999999999999997</v>
      </c>
      <c r="C106" s="21" t="n">
        <v>1</v>
      </c>
      <c r="D106" s="21" t="n">
        <v>1</v>
      </c>
      <c r="E106" s="21" t="n">
        <v>1</v>
      </c>
      <c r="F106" s="21" t="n">
        <v>0.9999999999999992</v>
      </c>
      <c r="G106" s="21" t="n">
        <v>0.9999999999999997</v>
      </c>
      <c r="H106" s="21" t="n">
        <v>0.9999999999999999</v>
      </c>
      <c r="I106" s="21" t="n">
        <v>1</v>
      </c>
      <c r="J106" s="21" t="n">
        <v>0.9999999999999999</v>
      </c>
      <c r="K106" s="21" t="n">
        <v>0.9999999999999998</v>
      </c>
      <c r="L106" s="21" t="n">
        <v>1</v>
      </c>
      <c r="M106" s="21" t="n">
        <v>0.9999999999999999</v>
      </c>
    </row>
    <row r="130">
      <c r="A130" s="6" t="inlineStr">
        <is>
          <t>■ 工数密度(非累積):平均カーブ vs 各案件</t>
        </is>
      </c>
    </row>
    <row r="131">
      <c r="A131" s="5" t="inlineStr">
        <is>
          <t>上の累積カーブと同じデータを、累積せずに density として並べたもの。面積が1になるよう正規化しているので、案件規模によらず形だけを比べられる。山の位置・鋭さ・数の違いはこちらでしか見えない。</t>
        </is>
      </c>
    </row>
    <row r="133">
      <c r="A133" s="7" t="inlineStr">
        <is>
          <t>t</t>
        </is>
      </c>
      <c r="B133" s="8" t="inlineStr">
        <is>
          <t>平均(位置合わせあり)</t>
        </is>
      </c>
      <c r="C133" s="8" t="inlineStr">
        <is>
          <t>平均(位置合わせなし)</t>
        </is>
      </c>
      <c r="D133" s="8" t="inlineStr">
        <is>
          <t>PJ-2019-A</t>
        </is>
      </c>
      <c r="E133" s="8" t="inlineStr">
        <is>
          <t>PJ-2020-B</t>
        </is>
      </c>
      <c r="F133" s="8" t="inlineStr">
        <is>
          <t>PJ-2020-C</t>
        </is>
      </c>
      <c r="G133" s="8" t="inlineStr">
        <is>
          <t>PJ-2021-D</t>
        </is>
      </c>
      <c r="H133" s="8" t="inlineStr">
        <is>
          <t>PJ-2021-E</t>
        </is>
      </c>
      <c r="I133" s="8" t="inlineStr">
        <is>
          <t>PJ-2022-F</t>
        </is>
      </c>
      <c r="J133" s="8" t="inlineStr">
        <is>
          <t>PJ-2022-G</t>
        </is>
      </c>
      <c r="K133" s="8" t="inlineStr">
        <is>
          <t>PJ-2023-H</t>
        </is>
      </c>
      <c r="L133" s="8" t="inlineStr">
        <is>
          <t>PJ-2023-I</t>
        </is>
      </c>
      <c r="M133" s="8" t="inlineStr">
        <is>
          <t>PJ-2024-J</t>
        </is>
      </c>
    </row>
    <row r="134">
      <c r="A134" s="10" t="n">
        <v>0.005</v>
      </c>
      <c r="B134" s="21" t="n">
        <v>0.2298382821151546</v>
      </c>
      <c r="C134" s="21" t="n">
        <v>0.2347186320876969</v>
      </c>
      <c r="D134" s="21" t="n">
        <v>0.2042999345208909</v>
      </c>
      <c r="E134" s="21" t="n">
        <v>0.2719379113675853</v>
      </c>
      <c r="F134" s="21" t="n">
        <v>0.1574025377902674</v>
      </c>
      <c r="G134" s="21" t="n">
        <v>0.2028335865510204</v>
      </c>
      <c r="H134" s="21" t="n">
        <v>0.2296913053320514</v>
      </c>
      <c r="I134" s="21" t="n">
        <v>0.2664039896986118</v>
      </c>
      <c r="J134" s="21" t="n">
        <v>0.1896985825112394</v>
      </c>
      <c r="K134" s="21" t="n">
        <v>0.2274483202560572</v>
      </c>
      <c r="L134" s="21" t="n">
        <v>0.1485827510544274</v>
      </c>
      <c r="M134" s="21" t="n">
        <v>0.3674467464596401</v>
      </c>
    </row>
    <row r="135">
      <c r="A135" s="10" t="n">
        <v>0.015</v>
      </c>
      <c r="B135" s="21" t="n">
        <v>0.2286888753921413</v>
      </c>
      <c r="C135" s="21" t="n">
        <v>0.2347186320876969</v>
      </c>
      <c r="D135" s="21" t="n">
        <v>0.2103087561244466</v>
      </c>
      <c r="E135" s="21" t="n">
        <v>0.2658948466705279</v>
      </c>
      <c r="F135" s="21" t="n">
        <v>0.1615447098373797</v>
      </c>
      <c r="G135" s="21" t="n">
        <v>0.1968678928289315</v>
      </c>
      <c r="H135" s="21" t="n">
        <v>0.2250974792254103</v>
      </c>
      <c r="I135" s="21" t="n">
        <v>0.2664039896986118</v>
      </c>
      <c r="J135" s="21" t="n">
        <v>0.1896985825112394</v>
      </c>
      <c r="K135" s="21" t="n">
        <v>0.2321868269280584</v>
      </c>
      <c r="L135" s="21" t="n">
        <v>0.1450450665055124</v>
      </c>
      <c r="M135" s="21" t="n">
        <v>0.3674467464596401</v>
      </c>
    </row>
    <row r="136">
      <c r="A136" s="10" t="n">
        <v>0.025</v>
      </c>
      <c r="B136" s="21" t="n">
        <v>0.239319095107926</v>
      </c>
      <c r="C136" s="21" t="n">
        <v>0.2407911255472526</v>
      </c>
      <c r="D136" s="21" t="n">
        <v>0.2042999345208909</v>
      </c>
      <c r="E136" s="21" t="n">
        <v>0.2719379113675853</v>
      </c>
      <c r="F136" s="21" t="n">
        <v>0.1574025377902674</v>
      </c>
      <c r="G136" s="21" t="n">
        <v>0.2028335865510204</v>
      </c>
      <c r="H136" s="21" t="n">
        <v>0.3305430529115207</v>
      </c>
      <c r="I136" s="21" t="n">
        <v>0.2585685782368879</v>
      </c>
      <c r="J136" s="21" t="n">
        <v>0.194967987580996</v>
      </c>
      <c r="K136" s="21" t="n">
        <v>0.2274483202560572</v>
      </c>
      <c r="L136" s="21" t="n">
        <v>0.1485827510544274</v>
      </c>
      <c r="M136" s="21" t="n">
        <v>0.3768684579073232</v>
      </c>
    </row>
    <row r="137">
      <c r="A137" s="10" t="n">
        <v>0.035</v>
      </c>
      <c r="B137" s="21" t="n">
        <v>0.2669624250251165</v>
      </c>
      <c r="C137" s="21" t="n">
        <v>0.2799385445266862</v>
      </c>
      <c r="D137" s="21" t="n">
        <v>0.3437646265317608</v>
      </c>
      <c r="E137" s="21" t="n">
        <v>0.2658948466705279</v>
      </c>
      <c r="F137" s="21" t="n">
        <v>0.2052163373061806</v>
      </c>
      <c r="G137" s="21" t="n">
        <v>0.2028335865510204</v>
      </c>
      <c r="H137" s="21" t="n">
        <v>0.3697631769702033</v>
      </c>
      <c r="I137" s="21" t="n">
        <v>0.2664039896986118</v>
      </c>
      <c r="J137" s="21" t="n">
        <v>0.1896985825112394</v>
      </c>
      <c r="K137" s="21" t="n">
        <v>0.2321868269280584</v>
      </c>
      <c r="L137" s="21" t="n">
        <v>0.1450450665055124</v>
      </c>
      <c r="M137" s="21" t="n">
        <v>0.4575069218639095</v>
      </c>
    </row>
    <row r="138">
      <c r="A138" s="10" t="n">
        <v>0.045</v>
      </c>
      <c r="B138" s="21" t="n">
        <v>0.3105328803780883</v>
      </c>
      <c r="C138" s="21" t="n">
        <v>0.3031043710113397</v>
      </c>
      <c r="D138" s="21" t="n">
        <v>0.3663534914440583</v>
      </c>
      <c r="E138" s="21" t="n">
        <v>0.2719379113675853</v>
      </c>
      <c r="F138" s="21" t="n">
        <v>0.2712351910797688</v>
      </c>
      <c r="G138" s="21" t="n">
        <v>0.1968678928289315</v>
      </c>
      <c r="H138" s="21" t="n">
        <v>0.4281894747786082</v>
      </c>
      <c r="I138" s="21" t="n">
        <v>0.2664039896986118</v>
      </c>
      <c r="J138" s="21" t="n">
        <v>0.2972434285134016</v>
      </c>
      <c r="K138" s="21" t="n">
        <v>0.3663323046945831</v>
      </c>
      <c r="L138" s="21" t="n">
        <v>0.1485827510544274</v>
      </c>
      <c r="M138" s="21" t="n">
        <v>0.5347013579247119</v>
      </c>
    </row>
    <row r="139">
      <c r="A139" s="10" t="n">
        <v>0.055</v>
      </c>
      <c r="B139" s="21" t="n">
        <v>0.3333790319600513</v>
      </c>
      <c r="C139" s="21" t="n">
        <v>0.3439310732920093</v>
      </c>
      <c r="D139" s="21" t="n">
        <v>0.3771285941335894</v>
      </c>
      <c r="E139" s="21" t="n">
        <v>0.2658948466705279</v>
      </c>
      <c r="F139" s="21" t="n">
        <v>0.264280442590544</v>
      </c>
      <c r="G139" s="21" t="n">
        <v>0.2028335865510204</v>
      </c>
      <c r="H139" s="21" t="n">
        <v>0.4491221132069158</v>
      </c>
      <c r="I139" s="21" t="n">
        <v>0.2664039896986118</v>
      </c>
      <c r="J139" s="21" t="n">
        <v>0.3330917105141223</v>
      </c>
      <c r="K139" s="21" t="n">
        <v>0.4112740700198417</v>
      </c>
      <c r="L139" s="21" t="n">
        <v>0.2446234225866045</v>
      </c>
      <c r="M139" s="21" t="n">
        <v>0.5347013579247119</v>
      </c>
    </row>
    <row r="140">
      <c r="A140" s="10" t="n">
        <v>0.065</v>
      </c>
      <c r="B140" s="21" t="n">
        <v>0.3738316031844081</v>
      </c>
      <c r="C140" s="21" t="n">
        <v>0.3976113404218926</v>
      </c>
      <c r="D140" s="21" t="n">
        <v>0.4002555796033733</v>
      </c>
      <c r="E140" s="21" t="n">
        <v>0.3631593987775714</v>
      </c>
      <c r="F140" s="21" t="n">
        <v>0.2712351910797688</v>
      </c>
      <c r="G140" s="21" t="n">
        <v>0.2028335865510204</v>
      </c>
      <c r="H140" s="21" t="n">
        <v>0.4898950533798461</v>
      </c>
      <c r="I140" s="21" t="n">
        <v>0.372688815294576</v>
      </c>
      <c r="J140" s="21" t="n">
        <v>0.3330917105141223</v>
      </c>
      <c r="K140" s="21" t="n">
        <v>0.4028807216520898</v>
      </c>
      <c r="L140" s="21" t="n">
        <v>0.3091145470396482</v>
      </c>
      <c r="M140" s="21" t="n">
        <v>0.5990763941286482</v>
      </c>
    </row>
    <row r="141">
      <c r="A141" s="10" t="n">
        <v>0.075</v>
      </c>
      <c r="B141" s="21" t="n">
        <v>0.4251893801640546</v>
      </c>
      <c r="C141" s="21" t="n">
        <v>0.440304469161807</v>
      </c>
      <c r="D141" s="21" t="n">
        <v>0.4303907690783198</v>
      </c>
      <c r="E141" s="21" t="n">
        <v>0.4665821189724971</v>
      </c>
      <c r="F141" s="21" t="n">
        <v>0.3208655740649921</v>
      </c>
      <c r="G141" s="21" t="n">
        <v>0.238546312589936</v>
      </c>
      <c r="H141" s="21" t="n">
        <v>0.5414646673575756</v>
      </c>
      <c r="I141" s="21" t="n">
        <v>0.4946444638139881</v>
      </c>
      <c r="J141" s="21" t="n">
        <v>0.3423442580284035</v>
      </c>
      <c r="K141" s="21" t="n">
        <v>0.4112740700198417</v>
      </c>
      <c r="L141" s="21" t="n">
        <v>0.3166539262357373</v>
      </c>
      <c r="M141" s="21" t="n">
        <v>0.6993617790937784</v>
      </c>
    </row>
    <row r="142">
      <c r="A142" s="10" t="n">
        <v>0.08500000000000001</v>
      </c>
      <c r="B142" s="21" t="n">
        <v>0.4537952711894667</v>
      </c>
      <c r="C142" s="21" t="n">
        <v>0.4670310128866589</v>
      </c>
      <c r="D142" s="21" t="n">
        <v>0.4430493211100351</v>
      </c>
      <c r="E142" s="21" t="n">
        <v>0.4771862580400538</v>
      </c>
      <c r="F142" s="21" t="n">
        <v>0.3257157281913734</v>
      </c>
      <c r="G142" s="21" t="n">
        <v>0.3932878860429671</v>
      </c>
      <c r="H142" s="21" t="n">
        <v>0.5571281235780606</v>
      </c>
      <c r="I142" s="21" t="n">
        <v>0.4946444638139881</v>
      </c>
      <c r="J142" s="21" t="n">
        <v>0.3380583987681347</v>
      </c>
      <c r="K142" s="21" t="n">
        <v>0.5069764909803847</v>
      </c>
      <c r="L142" s="21" t="n">
        <v>0.3091145470396482</v>
      </c>
      <c r="M142" s="21" t="n">
        <v>0.6993617790937784</v>
      </c>
    </row>
    <row r="143">
      <c r="A143" s="10" t="n">
        <v>0.095</v>
      </c>
      <c r="B143" s="21" t="n">
        <v>0.4805075130941962</v>
      </c>
      <c r="C143" s="21" t="n">
        <v>0.4750071350335864</v>
      </c>
      <c r="D143" s="21" t="n">
        <v>0.4621266647661209</v>
      </c>
      <c r="E143" s="21" t="n">
        <v>0.4665821189724971</v>
      </c>
      <c r="F143" s="21" t="n">
        <v>0.3342871947227253</v>
      </c>
      <c r="G143" s="21" t="n">
        <v>0.4052057007715419</v>
      </c>
      <c r="H143" s="21" t="n">
        <v>0.7070443521553023</v>
      </c>
      <c r="I143" s="21" t="n">
        <v>0.4946444638139881</v>
      </c>
      <c r="J143" s="21" t="n">
        <v>0.4224920990863446</v>
      </c>
      <c r="K143" s="21" t="n">
        <v>0.5069764909803847</v>
      </c>
      <c r="L143" s="21" t="n">
        <v>0.3166539262357373</v>
      </c>
      <c r="M143" s="21" t="n">
        <v>0.6993617790937784</v>
      </c>
    </row>
    <row r="144">
      <c r="A144" s="10" t="n">
        <v>0.105</v>
      </c>
      <c r="B144" s="21" t="n">
        <v>0.5115601543771435</v>
      </c>
      <c r="C144" s="21" t="n">
        <v>0.5026849282310273</v>
      </c>
      <c r="D144" s="21" t="n">
        <v>0.5356123501994547</v>
      </c>
      <c r="E144" s="21" t="n">
        <v>0.4771862580400538</v>
      </c>
      <c r="F144" s="21" t="n">
        <v>0.3470213717459664</v>
      </c>
      <c r="G144" s="21" t="n">
        <v>0.4052057007715419</v>
      </c>
      <c r="H144" s="21" t="n">
        <v>0.7070443521553023</v>
      </c>
      <c r="I144" s="21" t="n">
        <v>0.4946444638139881</v>
      </c>
      <c r="J144" s="21" t="n">
        <v>0.4224920990863446</v>
      </c>
      <c r="K144" s="21" t="n">
        <v>0.5175385012091427</v>
      </c>
      <c r="L144" s="21" t="n">
        <v>0.3648793344701845</v>
      </c>
      <c r="M144" s="21" t="n">
        <v>0.861031795603449</v>
      </c>
    </row>
    <row r="145">
      <c r="A145" s="10" t="n">
        <v>0.115</v>
      </c>
      <c r="B145" s="21" t="n">
        <v>0.5168110831399213</v>
      </c>
      <c r="C145" s="21" t="n">
        <v>0.5518838857290257</v>
      </c>
      <c r="D145" s="21" t="n">
        <v>0.5203091401937561</v>
      </c>
      <c r="E145" s="21" t="n">
        <v>0.4665821189724971</v>
      </c>
      <c r="F145" s="21" t="n">
        <v>0.3683270153005597</v>
      </c>
      <c r="G145" s="21" t="n">
        <v>0.3932878860429671</v>
      </c>
      <c r="H145" s="21" t="n">
        <v>0.6979977426058808</v>
      </c>
      <c r="I145" s="21" t="n">
        <v>0.4800960972312238</v>
      </c>
      <c r="J145" s="21" t="n">
        <v>0.4224920990863446</v>
      </c>
      <c r="K145" s="21" t="n">
        <v>0.5069764909803847</v>
      </c>
      <c r="L145" s="21" t="n">
        <v>0.4503460997262435</v>
      </c>
      <c r="M145" s="21" t="n">
        <v>0.8745420561182592</v>
      </c>
    </row>
    <row r="146">
      <c r="A146" s="10" t="n">
        <v>0.125</v>
      </c>
      <c r="B146" s="21" t="n">
        <v>0.5369384534023935</v>
      </c>
      <c r="C146" s="21" t="n">
        <v>0.5652971788435933</v>
      </c>
      <c r="D146" s="21" t="n">
        <v>0.5222362304313514</v>
      </c>
      <c r="E146" s="21" t="n">
        <v>0.5297615048954907</v>
      </c>
      <c r="F146" s="21" t="n">
        <v>0.3780198314926796</v>
      </c>
      <c r="G146" s="21" t="n">
        <v>0.4052057007715419</v>
      </c>
      <c r="H146" s="21" t="n">
        <v>0.6830527124917152</v>
      </c>
      <c r="I146" s="21" t="n">
        <v>0.4946444638139881</v>
      </c>
      <c r="J146" s="21" t="n">
        <v>0.434227990727632</v>
      </c>
      <c r="K146" s="21" t="n">
        <v>0.5946258397055639</v>
      </c>
      <c r="L146" s="21" t="n">
        <v>0.4613301509390787</v>
      </c>
      <c r="M146" s="21" t="n">
        <v>0.8745420561182592</v>
      </c>
    </row>
    <row r="147">
      <c r="A147" s="10" t="n">
        <v>0.135</v>
      </c>
      <c r="B147" s="21" t="n">
        <v>0.5854681200693267</v>
      </c>
      <c r="C147" s="21" t="n">
        <v>0.5900935695017201</v>
      </c>
      <c r="D147" s="21" t="n">
        <v>0.6030605085152915</v>
      </c>
      <c r="E147" s="21" t="n">
        <v>0.659177497155027</v>
      </c>
      <c r="F147" s="21" t="n">
        <v>0.3683270153005597</v>
      </c>
      <c r="G147" s="21" t="n">
        <v>0.4052057007715419</v>
      </c>
      <c r="H147" s="21" t="n">
        <v>0.7421403415542155</v>
      </c>
      <c r="I147" s="21" t="n">
        <v>0.650053883453946</v>
      </c>
      <c r="J147" s="21" t="n">
        <v>0.4691513686551187</v>
      </c>
      <c r="K147" s="21" t="n">
        <v>0.6043499711863908</v>
      </c>
      <c r="L147" s="21" t="n">
        <v>0.4503460997262435</v>
      </c>
      <c r="M147" s="21" t="n">
        <v>0.9222692532684682</v>
      </c>
    </row>
    <row r="148">
      <c r="A148" s="10" t="n">
        <v>0.145</v>
      </c>
      <c r="B148" s="21" t="n">
        <v>0.6044468407292921</v>
      </c>
      <c r="C148" s="21" t="n">
        <v>0.6261618509347932</v>
      </c>
      <c r="D148" s="21" t="n">
        <v>0.5858302082719975</v>
      </c>
      <c r="E148" s="21" t="n">
        <v>0.6445291083293598</v>
      </c>
      <c r="F148" s="21" t="n">
        <v>0.3879349539910067</v>
      </c>
      <c r="G148" s="21" t="n">
        <v>0.3932878860429671</v>
      </c>
      <c r="H148" s="21" t="n">
        <v>0.7633863546305251</v>
      </c>
      <c r="I148" s="21" t="n">
        <v>0.6903452144717126</v>
      </c>
      <c r="J148" s="21" t="n">
        <v>0.5108991361640217</v>
      </c>
      <c r="K148" s="21" t="n">
        <v>0.6169405955861073</v>
      </c>
      <c r="L148" s="21" t="n">
        <v>0.4613301509390787</v>
      </c>
      <c r="M148" s="21" t="n">
        <v>1.003026649514919</v>
      </c>
    </row>
    <row r="149">
      <c r="A149" s="10" t="n">
        <v>0.155</v>
      </c>
      <c r="B149" s="21" t="n">
        <v>0.6087518025649574</v>
      </c>
      <c r="C149" s="21" t="n">
        <v>0.6349219265368234</v>
      </c>
      <c r="D149" s="21" t="n">
        <v>0.6030605085152915</v>
      </c>
      <c r="E149" s="21" t="n">
        <v>0.659177497155027</v>
      </c>
      <c r="F149" s="21" t="n">
        <v>0.3992617650739972</v>
      </c>
      <c r="G149" s="21" t="n">
        <v>0.4227028188679313</v>
      </c>
      <c r="H149" s="21" t="n">
        <v>0.7635303407787896</v>
      </c>
      <c r="I149" s="21" t="n">
        <v>0.6903452144717126</v>
      </c>
      <c r="J149" s="21" t="n">
        <v>0.5108991361640217</v>
      </c>
      <c r="K149" s="21" t="n">
        <v>0.6043499711863908</v>
      </c>
      <c r="L149" s="21" t="n">
        <v>0.4613301509390787</v>
      </c>
      <c r="M149" s="21" t="n">
        <v>0.9779509832770462</v>
      </c>
    </row>
    <row r="150">
      <c r="A150" s="10" t="n">
        <v>0.165</v>
      </c>
      <c r="B150" s="21" t="n">
        <v>0.6462199149840898</v>
      </c>
      <c r="C150" s="21" t="n">
        <v>0.6434872338108418</v>
      </c>
      <c r="D150" s="21" t="n">
        <v>0.6357594655342411</v>
      </c>
      <c r="E150" s="21" t="n">
        <v>0.6445291083293598</v>
      </c>
      <c r="F150" s="21" t="n">
        <v>0.3890242839182537</v>
      </c>
      <c r="G150" s="21" t="n">
        <v>0.6035063725306213</v>
      </c>
      <c r="H150" s="21" t="n">
        <v>0.8019156377327138</v>
      </c>
      <c r="I150" s="21" t="n">
        <v>0.6700409434578387</v>
      </c>
      <c r="J150" s="21" t="n">
        <v>0.5108991361640217</v>
      </c>
      <c r="K150" s="21" t="n">
        <v>0.6917856841844224</v>
      </c>
      <c r="L150" s="21" t="n">
        <v>0.5746614308146829</v>
      </c>
      <c r="M150" s="21" t="n">
        <v>0.9779509832770462</v>
      </c>
    </row>
    <row r="151">
      <c r="A151" s="10" t="n">
        <v>0.175</v>
      </c>
      <c r="B151" s="21" t="n">
        <v>0.6453387509062454</v>
      </c>
      <c r="C151" s="21" t="n">
        <v>0.6570610107154938</v>
      </c>
      <c r="D151" s="21" t="n">
        <v>0.6702729702144656</v>
      </c>
      <c r="E151" s="21" t="n">
        <v>0.659177497155027</v>
      </c>
      <c r="F151" s="21" t="n">
        <v>0.4199637878160363</v>
      </c>
      <c r="G151" s="21" t="n">
        <v>0.6035063725306213</v>
      </c>
      <c r="H151" s="21" t="n">
        <v>0.8134500937948557</v>
      </c>
      <c r="I151" s="21" t="n">
        <v>0.6903452144717126</v>
      </c>
      <c r="J151" s="21" t="n">
        <v>0.5250907788352445</v>
      </c>
      <c r="K151" s="21" t="n">
        <v>0.706994664121223</v>
      </c>
      <c r="L151" s="21" t="n">
        <v>0.6024448510935234</v>
      </c>
      <c r="M151" s="21" t="n">
        <v>0.7722742086856326</v>
      </c>
    </row>
    <row r="152">
      <c r="A152" s="10" t="n">
        <v>0.185</v>
      </c>
      <c r="B152" s="21" t="n">
        <v>0.6549171154683902</v>
      </c>
      <c r="C152" s="21" t="n">
        <v>0.6570610107154938</v>
      </c>
      <c r="D152" s="21" t="n">
        <v>0.6511223139226239</v>
      </c>
      <c r="E152" s="21" t="n">
        <v>0.6445291083293598</v>
      </c>
      <c r="F152" s="21" t="n">
        <v>0.4595937976746735</v>
      </c>
      <c r="G152" s="21" t="n">
        <v>0.58575618510325</v>
      </c>
      <c r="H152" s="21" t="n">
        <v>0.8843046096051561</v>
      </c>
      <c r="I152" s="21" t="n">
        <v>0.6903452144717126</v>
      </c>
      <c r="J152" s="21" t="n">
        <v>0.5574049773012337</v>
      </c>
      <c r="K152" s="21" t="n">
        <v>0.706994664121223</v>
      </c>
      <c r="L152" s="21" t="n">
        <v>0.5881009260674872</v>
      </c>
      <c r="M152" s="21" t="n">
        <v>0.7920761114724437</v>
      </c>
    </row>
    <row r="153">
      <c r="A153" s="10" t="n">
        <v>0.195</v>
      </c>
      <c r="B153" s="21" t="n">
        <v>0.6689906059099269</v>
      </c>
      <c r="C153" s="21" t="n">
        <v>0.672478493981665</v>
      </c>
      <c r="D153" s="21" t="n">
        <v>0.6428856874998452</v>
      </c>
      <c r="E153" s="21" t="n">
        <v>0.7457880622106512</v>
      </c>
      <c r="F153" s="21" t="n">
        <v>0.4478093413240408</v>
      </c>
      <c r="G153" s="21" t="n">
        <v>0.6035063725306213</v>
      </c>
      <c r="H153" s="21" t="n">
        <v>0.866618517413053</v>
      </c>
      <c r="I153" s="21" t="n">
        <v>0.7181786363474912</v>
      </c>
      <c r="J153" s="21" t="n">
        <v>0.5667061455286762</v>
      </c>
      <c r="K153" s="21" t="n">
        <v>0.7217237196237485</v>
      </c>
      <c r="L153" s="21" t="n">
        <v>0.6024448510935234</v>
      </c>
      <c r="M153" s="21" t="n">
        <v>0.7722742086856326</v>
      </c>
    </row>
    <row r="154">
      <c r="A154" s="10" t="n">
        <v>0.205</v>
      </c>
      <c r="B154" s="21" t="n">
        <v>0.672129386366382</v>
      </c>
      <c r="C154" s="21" t="n">
        <v>0.7343754547409505</v>
      </c>
      <c r="D154" s="21" t="n">
        <v>0.6558588739746029</v>
      </c>
      <c r="E154" s="21" t="n">
        <v>0.7600098617368587</v>
      </c>
      <c r="F154" s="21" t="n">
        <v>0.4595937976746735</v>
      </c>
      <c r="G154" s="21" t="n">
        <v>0.6035063725306213</v>
      </c>
      <c r="H154" s="21" t="n">
        <v>0.7819332674086993</v>
      </c>
      <c r="I154" s="21" t="n">
        <v>0.7535412090851744</v>
      </c>
      <c r="J154" s="21" t="n">
        <v>0.5667061455286762</v>
      </c>
      <c r="K154" s="21" t="n">
        <v>0.7487776774373386</v>
      </c>
      <c r="L154" s="21" t="n">
        <v>0.6024448510935234</v>
      </c>
      <c r="M154" s="21" t="n">
        <v>0.7650223968103962</v>
      </c>
    </row>
    <row r="155">
      <c r="A155" s="10" t="n">
        <v>0.215</v>
      </c>
      <c r="B155" s="21" t="n">
        <v>0.6871999707734757</v>
      </c>
      <c r="C155" s="21" t="n">
        <v>0.7528953937138175</v>
      </c>
      <c r="D155" s="21" t="n">
        <v>0.6371200490038997</v>
      </c>
      <c r="E155" s="21" t="n">
        <v>0.7772828131399691</v>
      </c>
      <c r="F155" s="21" t="n">
        <v>0.5254366566676969</v>
      </c>
      <c r="G155" s="21" t="n">
        <v>0.58575618510325</v>
      </c>
      <c r="H155" s="21" t="n">
        <v>0.7730314115655291</v>
      </c>
      <c r="I155" s="21" t="n">
        <v>0.7763757911786645</v>
      </c>
      <c r="J155" s="21" t="n">
        <v>0.5667061455286762</v>
      </c>
      <c r="K155" s="21" t="n">
        <v>0.8070307051441504</v>
      </c>
      <c r="L155" s="21" t="n">
        <v>0.659010502309436</v>
      </c>
      <c r="M155" s="21" t="n">
        <v>0.7609613821602637</v>
      </c>
    </row>
    <row r="156">
      <c r="A156" s="10" t="n">
        <v>0.225</v>
      </c>
      <c r="B156" s="21" t="n">
        <v>0.7161563595141993</v>
      </c>
      <c r="C156" s="21" t="n">
        <v>0.7927385673270653</v>
      </c>
      <c r="D156" s="21" t="n">
        <v>0.7149517297008066</v>
      </c>
      <c r="E156" s="21" t="n">
        <v>0.7600098617368587</v>
      </c>
      <c r="F156" s="21" t="n">
        <v>0.5254366566676969</v>
      </c>
      <c r="G156" s="21" t="n">
        <v>0.6035063725306213</v>
      </c>
      <c r="H156" s="21" t="n">
        <v>0.8270756986134898</v>
      </c>
      <c r="I156" s="21" t="n">
        <v>0.7763757911786645</v>
      </c>
      <c r="J156" s="21" t="n">
        <v>0.6334292907162516</v>
      </c>
      <c r="K156" s="21" t="n">
        <v>0.7905606907534536</v>
      </c>
      <c r="L156" s="21" t="n">
        <v>0.7591923354178316</v>
      </c>
      <c r="M156" s="21" t="n">
        <v>0.7804732124720652</v>
      </c>
    </row>
    <row r="157">
      <c r="A157" s="10" t="n">
        <v>0.235</v>
      </c>
      <c r="B157" s="21" t="n">
        <v>0.7495415939319026</v>
      </c>
      <c r="C157" s="21" t="n">
        <v>0.8102338959189841</v>
      </c>
      <c r="D157" s="21" t="n">
        <v>0.8380357584729927</v>
      </c>
      <c r="E157" s="21" t="n">
        <v>0.7772828131399691</v>
      </c>
      <c r="F157" s="21" t="n">
        <v>0.5392639371063206</v>
      </c>
      <c r="G157" s="21" t="n">
        <v>0.6608214237244068</v>
      </c>
      <c r="H157" s="21" t="n">
        <v>0.8403260978764093</v>
      </c>
      <c r="I157" s="21" t="n">
        <v>0.7763757911786645</v>
      </c>
      <c r="J157" s="21" t="n">
        <v>0.750238853651081</v>
      </c>
      <c r="K157" s="21" t="n">
        <v>0.8070307051441504</v>
      </c>
      <c r="L157" s="21" t="n">
        <v>0.7411163274316926</v>
      </c>
      <c r="M157" s="21" t="n">
        <v>0.7701942186708063</v>
      </c>
    </row>
    <row r="158">
      <c r="A158" s="10" t="n">
        <v>0.245</v>
      </c>
      <c r="B158" s="21" t="n">
        <v>0.769936147353304</v>
      </c>
      <c r="C158" s="21" t="n">
        <v>0.8168978801102684</v>
      </c>
      <c r="D158" s="21" t="n">
        <v>0.8380357584729927</v>
      </c>
      <c r="E158" s="21" t="n">
        <v>0.7600098617368587</v>
      </c>
      <c r="F158" s="21" t="n">
        <v>0.5097574152481336</v>
      </c>
      <c r="G158" s="21" t="n">
        <v>0.7959113728137969</v>
      </c>
      <c r="H158" s="21" t="n">
        <v>0.8586181441579571</v>
      </c>
      <c r="I158" s="21" t="n">
        <v>0.7763757911786645</v>
      </c>
      <c r="J158" s="21" t="n">
        <v>0.750238853651081</v>
      </c>
      <c r="K158" s="21" t="n">
        <v>0.8309839304241284</v>
      </c>
      <c r="L158" s="21" t="n">
        <v>0.7591923354178316</v>
      </c>
      <c r="M158" s="21" t="n">
        <v>0.8124014712904298</v>
      </c>
    </row>
    <row r="159">
      <c r="A159" s="10" t="n">
        <v>0.255</v>
      </c>
      <c r="B159" s="21" t="n">
        <v>0.7866742222063707</v>
      </c>
      <c r="C159" s="21" t="n">
        <v>0.8446969364218441</v>
      </c>
      <c r="D159" s="21" t="n">
        <v>0.8730350766489231</v>
      </c>
      <c r="E159" s="21" t="n">
        <v>0.8210080461074332</v>
      </c>
      <c r="F159" s="21" t="n">
        <v>0.4903889405533786</v>
      </c>
      <c r="G159" s="21" t="n">
        <v>0.8200298992626998</v>
      </c>
      <c r="H159" s="21" t="n">
        <v>0.8600722784415791</v>
      </c>
      <c r="I159" s="21" t="n">
        <v>0.7535412090851744</v>
      </c>
      <c r="J159" s="21" t="n">
        <v>0.750238853651081</v>
      </c>
      <c r="K159" s="21" t="n">
        <v>0.906067642337304</v>
      </c>
      <c r="L159" s="21" t="n">
        <v>0.7591923354178316</v>
      </c>
      <c r="M159" s="21" t="n">
        <v>0.8124014712904298</v>
      </c>
    </row>
    <row r="160">
      <c r="A160" s="10" t="n">
        <v>0.265</v>
      </c>
      <c r="B160" s="21" t="n">
        <v>0.8122312335130872</v>
      </c>
      <c r="C160" s="21" t="n">
        <v>0.8627012455028499</v>
      </c>
      <c r="D160" s="21" t="n">
        <v>0.9260210233501525</v>
      </c>
      <c r="E160" s="21" t="n">
        <v>0.8802542523973849</v>
      </c>
      <c r="F160" s="21" t="n">
        <v>0.5032939126732043</v>
      </c>
      <c r="G160" s="21" t="n">
        <v>0.8200298992626998</v>
      </c>
      <c r="H160" s="21" t="n">
        <v>0.8492967388340847</v>
      </c>
      <c r="I160" s="21" t="n">
        <v>0.8921270723207787</v>
      </c>
      <c r="J160" s="21" t="n">
        <v>0.750238853651081</v>
      </c>
      <c r="K160" s="21" t="n">
        <v>0.8875764659630734</v>
      </c>
      <c r="L160" s="21" t="n">
        <v>0.7610750563870583</v>
      </c>
      <c r="M160" s="21" t="n">
        <v>0.8332322782465947</v>
      </c>
    </row>
    <row r="161">
      <c r="A161" s="10" t="n">
        <v>0.275</v>
      </c>
      <c r="B161" s="21" t="n">
        <v>0.870057048145911</v>
      </c>
      <c r="C161" s="21" t="n">
        <v>0.911361361881836</v>
      </c>
      <c r="D161" s="21" t="n">
        <v>0.9532569358016276</v>
      </c>
      <c r="E161" s="21" t="n">
        <v>0.9002600308609618</v>
      </c>
      <c r="F161" s="21" t="n">
        <v>0.5573334372617242</v>
      </c>
      <c r="G161" s="21" t="n">
        <v>0.8200298992626998</v>
      </c>
      <c r="H161" s="21" t="n">
        <v>0.9059716067368457</v>
      </c>
      <c r="I161" s="21" t="n">
        <v>0.9731529691202584</v>
      </c>
      <c r="J161" s="21" t="n">
        <v>0.930165724908705</v>
      </c>
      <c r="K161" s="21" t="n">
        <v>0.8875764659630734</v>
      </c>
      <c r="L161" s="21" t="n">
        <v>0.8639756624335021</v>
      </c>
      <c r="M161" s="21" t="n">
        <v>0.8870821889947805</v>
      </c>
    </row>
    <row r="162">
      <c r="A162" s="10" t="n">
        <v>0.285</v>
      </c>
      <c r="B162" s="21" t="n">
        <v>0.9008859562168797</v>
      </c>
      <c r="C162" s="21" t="n">
        <v>0.9499622399813714</v>
      </c>
      <c r="D162" s="21" t="n">
        <v>0.9260210233501525</v>
      </c>
      <c r="E162" s="21" t="n">
        <v>0.9002600308609618</v>
      </c>
      <c r="F162" s="21" t="n">
        <v>0.773043482210838</v>
      </c>
      <c r="G162" s="21" t="n">
        <v>0.7959113728137969</v>
      </c>
      <c r="H162" s="21" t="n">
        <v>0.9059716067368457</v>
      </c>
      <c r="I162" s="21" t="n">
        <v>0.9731529691202584</v>
      </c>
      <c r="J162" s="21" t="n">
        <v>1.02295925896648</v>
      </c>
      <c r="K162" s="21" t="n">
        <v>0.9351336394784597</v>
      </c>
      <c r="L162" s="21" t="n">
        <v>0.8434048133279425</v>
      </c>
      <c r="M162" s="21" t="n">
        <v>0.9164210423786324</v>
      </c>
    </row>
    <row r="163">
      <c r="A163" s="10" t="n">
        <v>0.295</v>
      </c>
      <c r="B163" s="21" t="n">
        <v>0.9274919760948592</v>
      </c>
      <c r="C163" s="21" t="n">
        <v>0.9745597189552443</v>
      </c>
      <c r="D163" s="21" t="n">
        <v>0.9803394491013301</v>
      </c>
      <c r="E163" s="21" t="n">
        <v>0.8802542523973849</v>
      </c>
      <c r="F163" s="21" t="n">
        <v>0.7933867317427021</v>
      </c>
      <c r="G163" s="21" t="n">
        <v>0.8200298992626998</v>
      </c>
      <c r="H163" s="21" t="n">
        <v>0.9640836390531975</v>
      </c>
      <c r="I163" s="21" t="n">
        <v>0.9731529691202584</v>
      </c>
      <c r="J163" s="21" t="n">
        <v>1.02295925896648</v>
      </c>
      <c r="K163" s="21" t="n">
        <v>1.027093252240621</v>
      </c>
      <c r="L163" s="21" t="n">
        <v>0.8639756624335021</v>
      </c>
      <c r="M163" s="21" t="n">
        <v>0.9164210423786324</v>
      </c>
    </row>
    <row r="164">
      <c r="A164" s="10" t="n">
        <v>0.305</v>
      </c>
      <c r="B164" s="21" t="n">
        <v>0.9252228869500398</v>
      </c>
      <c r="C164" s="21" t="n">
        <v>1.036554103643679</v>
      </c>
      <c r="D164" s="21" t="n">
        <v>0.9589069323569344</v>
      </c>
      <c r="E164" s="21" t="n">
        <v>0.9002600308609618</v>
      </c>
      <c r="F164" s="21" t="n">
        <v>0.773043482210838</v>
      </c>
      <c r="G164" s="21" t="n">
        <v>0.8200298992626998</v>
      </c>
      <c r="H164" s="21" t="n">
        <v>0.9525678469544095</v>
      </c>
      <c r="I164" s="21" t="n">
        <v>0.9445308229696626</v>
      </c>
      <c r="J164" s="21" t="n">
        <v>1.02295925896648</v>
      </c>
      <c r="K164" s="21" t="n">
        <v>1.048491028328967</v>
      </c>
      <c r="L164" s="21" t="n">
        <v>0.8639756624335021</v>
      </c>
      <c r="M164" s="21" t="n">
        <v>0.9301904958936488</v>
      </c>
    </row>
    <row r="165">
      <c r="A165" s="10" t="n">
        <v>0.315</v>
      </c>
      <c r="B165" s="21" t="n">
        <v>0.9637604258683071</v>
      </c>
      <c r="C165" s="21" t="n">
        <v>1.041438162061523</v>
      </c>
      <c r="D165" s="21" t="n">
        <v>0.9589069323569344</v>
      </c>
      <c r="E165" s="21" t="n">
        <v>0.8802542523973849</v>
      </c>
      <c r="F165" s="21" t="n">
        <v>1.166404754979132</v>
      </c>
      <c r="G165" s="21" t="n">
        <v>0.8313356441340474</v>
      </c>
      <c r="H165" s="21" t="n">
        <v>1.017839998854598</v>
      </c>
      <c r="I165" s="21" t="n">
        <v>0.9731529691202584</v>
      </c>
      <c r="J165" s="21" t="n">
        <v>1.02295925896648</v>
      </c>
      <c r="K165" s="21" t="n">
        <v>1.027093252240621</v>
      </c>
      <c r="L165" s="21" t="n">
        <v>0.8434048133279425</v>
      </c>
      <c r="M165" s="21" t="n">
        <v>0.8893201598577036</v>
      </c>
    </row>
    <row r="166">
      <c r="A166" s="10" t="n">
        <v>0.325</v>
      </c>
      <c r="B166" s="21" t="n">
        <v>1.038909883052627</v>
      </c>
      <c r="C166" s="21" t="n">
        <v>1.041438162061523</v>
      </c>
      <c r="D166" s="21" t="n">
        <v>1.02702934624251</v>
      </c>
      <c r="E166" s="21" t="n">
        <v>0.9845738030569734</v>
      </c>
      <c r="F166" s="21" t="n">
        <v>1.279282228031706</v>
      </c>
      <c r="G166" s="21" t="n">
        <v>1.060914944240402</v>
      </c>
      <c r="H166" s="21" t="n">
        <v>1.027900679972265</v>
      </c>
      <c r="I166" s="21" t="n">
        <v>0.9731529691202584</v>
      </c>
      <c r="J166" s="21" t="n">
        <v>1.192051662188558</v>
      </c>
      <c r="K166" s="21" t="n">
        <v>1.048491028328967</v>
      </c>
      <c r="L166" s="21" t="n">
        <v>0.9387490139639831</v>
      </c>
      <c r="M166" s="21" t="n">
        <v>0.8893201598577036</v>
      </c>
    </row>
    <row r="167">
      <c r="A167" s="10" t="n">
        <v>0.335</v>
      </c>
      <c r="B167" s="21" t="n">
        <v>1.048374004803174</v>
      </c>
      <c r="C167" s="21" t="n">
        <v>1.110352447711706</v>
      </c>
      <c r="D167" s="21" t="n">
        <v>1.034309995676525</v>
      </c>
      <c r="E167" s="21" t="n">
        <v>0.9833044184147328</v>
      </c>
      <c r="F167" s="21" t="n">
        <v>1.279282228031706</v>
      </c>
      <c r="G167" s="21" t="n">
        <v>1.060914944240402</v>
      </c>
      <c r="H167" s="21" t="n">
        <v>1.006654766081394</v>
      </c>
      <c r="I167" s="21" t="n">
        <v>1.055655537572366</v>
      </c>
      <c r="J167" s="21" t="n">
        <v>1.181220735748615</v>
      </c>
      <c r="K167" s="21" t="n">
        <v>1.079134085841377</v>
      </c>
      <c r="L167" s="21" t="n">
        <v>0.9392081699763712</v>
      </c>
      <c r="M167" s="21" t="n">
        <v>0.8893201598577036</v>
      </c>
    </row>
    <row r="168">
      <c r="A168" s="10" t="n">
        <v>0.345</v>
      </c>
      <c r="B168" s="21" t="n">
        <v>1.068362658979407</v>
      </c>
      <c r="C168" s="21" t="n">
        <v>1.16402650729033</v>
      </c>
      <c r="D168" s="21" t="n">
        <v>1.064730877902305</v>
      </c>
      <c r="E168" s="21" t="n">
        <v>1.005652246105977</v>
      </c>
      <c r="F168" s="21" t="n">
        <v>1.336851923134214</v>
      </c>
      <c r="G168" s="21" t="n">
        <v>1.029711563527449</v>
      </c>
      <c r="H168" s="21" t="n">
        <v>1.026577794796445</v>
      </c>
      <c r="I168" s="21" t="n">
        <v>1.035283648266981</v>
      </c>
      <c r="J168" s="21" t="n">
        <v>1.181220735748615</v>
      </c>
      <c r="K168" s="21" t="n">
        <v>1.101616045963073</v>
      </c>
      <c r="L168" s="21" t="n">
        <v>0.9621156863172583</v>
      </c>
      <c r="M168" s="21" t="n">
        <v>0.9591139643231515</v>
      </c>
    </row>
    <row r="169">
      <c r="A169" s="10" t="n">
        <v>0.355</v>
      </c>
      <c r="B169" s="21" t="n">
        <v>1.07610826654405</v>
      </c>
      <c r="C169" s="21" t="n">
        <v>1.175809980405787</v>
      </c>
      <c r="D169" s="21" t="n">
        <v>1.06315294574739</v>
      </c>
      <c r="E169" s="21" t="n">
        <v>0.9833044184147328</v>
      </c>
      <c r="F169" s="21" t="n">
        <v>1.361860972201127</v>
      </c>
      <c r="G169" s="21" t="n">
        <v>1.060914944240402</v>
      </c>
      <c r="H169" s="21" t="n">
        <v>1.021680976706912</v>
      </c>
      <c r="I169" s="21" t="n">
        <v>1.066655880032648</v>
      </c>
      <c r="J169" s="21" t="n">
        <v>1.181220735748615</v>
      </c>
      <c r="K169" s="21" t="n">
        <v>1.079134085841377</v>
      </c>
      <c r="L169" s="21" t="n">
        <v>0.9621156863172583</v>
      </c>
      <c r="M169" s="21" t="n">
        <v>0.9942335990743407</v>
      </c>
    </row>
    <row r="170">
      <c r="A170" s="10" t="n">
        <v>0.365</v>
      </c>
      <c r="B170" s="21" t="n">
        <v>1.082770240384084</v>
      </c>
      <c r="C170" s="21" t="n">
        <v>1.219381741551771</v>
      </c>
      <c r="D170" s="21" t="n">
        <v>1.099687349170486</v>
      </c>
      <c r="E170" s="21" t="n">
        <v>1.005652246105977</v>
      </c>
      <c r="F170" s="21" t="n">
        <v>1.361860972201127</v>
      </c>
      <c r="G170" s="21" t="n">
        <v>1.060914944240402</v>
      </c>
      <c r="H170" s="21" t="n">
        <v>1.01217538865076</v>
      </c>
      <c r="I170" s="21" t="n">
        <v>1.066655880032648</v>
      </c>
      <c r="J170" s="21" t="n">
        <v>1.245956060722706</v>
      </c>
      <c r="K170" s="21" t="n">
        <v>1.079134085841377</v>
      </c>
      <c r="L170" s="21" t="n">
        <v>0.9392081699763712</v>
      </c>
      <c r="M170" s="21" t="n">
        <v>0.9693777590974821</v>
      </c>
    </row>
    <row r="171">
      <c r="A171" s="10" t="n">
        <v>0.375</v>
      </c>
      <c r="B171" s="21" t="n">
        <v>1.126276701356155</v>
      </c>
      <c r="C171" s="21" t="n">
        <v>1.246255814721272</v>
      </c>
      <c r="D171" s="21" t="n">
        <v>1.132031094734324</v>
      </c>
      <c r="E171" s="21" t="n">
        <v>0.9833044184147328</v>
      </c>
      <c r="F171" s="21" t="n">
        <v>1.397699418837999</v>
      </c>
      <c r="G171" s="21" t="n">
        <v>1.060914944240402</v>
      </c>
      <c r="H171" s="21" t="n">
        <v>0.99498939924036</v>
      </c>
      <c r="I171" s="21" t="n">
        <v>1.066655880032648</v>
      </c>
      <c r="J171" s="21" t="n">
        <v>1.431778515947416</v>
      </c>
      <c r="K171" s="21" t="n">
        <v>1.165541006035039</v>
      </c>
      <c r="L171" s="21" t="n">
        <v>1.05286218507248</v>
      </c>
      <c r="M171" s="21" t="n">
        <v>0.9962084296292176</v>
      </c>
    </row>
    <row r="172">
      <c r="A172" s="10" t="n">
        <v>0.385</v>
      </c>
      <c r="B172" s="21" t="n">
        <v>1.148551141417665</v>
      </c>
      <c r="C172" s="21" t="n">
        <v>1.255247651701171</v>
      </c>
      <c r="D172" s="21" t="n">
        <v>1.110829965614656</v>
      </c>
      <c r="E172" s="21" t="n">
        <v>1.115570062066053</v>
      </c>
      <c r="F172" s="21" t="n">
        <v>1.419893446231554</v>
      </c>
      <c r="G172" s="21" t="n">
        <v>1.029711563527449</v>
      </c>
      <c r="H172" s="21" t="n">
        <v>1.088613347716143</v>
      </c>
      <c r="I172" s="21" t="n">
        <v>1.066655880032648</v>
      </c>
      <c r="J172" s="21" t="n">
        <v>1.393081799300188</v>
      </c>
      <c r="K172" s="21" t="n">
        <v>1.147320709918141</v>
      </c>
      <c r="L172" s="21" t="n">
        <v>1.108326644929285</v>
      </c>
      <c r="M172" s="21" t="n">
        <v>1.021697566634365</v>
      </c>
    </row>
    <row r="173">
      <c r="A173" s="10" t="n">
        <v>0.395</v>
      </c>
      <c r="B173" s="21" t="n">
        <v>1.192340489968919</v>
      </c>
      <c r="C173" s="21" t="n">
        <v>1.314539361880386</v>
      </c>
      <c r="D173" s="21" t="n">
        <v>1.210029409843514</v>
      </c>
      <c r="E173" s="21" t="n">
        <v>1.2251236135269</v>
      </c>
      <c r="F173" s="21" t="n">
        <v>1.44061932981385</v>
      </c>
      <c r="G173" s="21" t="n">
        <v>1.085758557204496</v>
      </c>
      <c r="H173" s="21" t="n">
        <v>1.088613347716143</v>
      </c>
      <c r="I173" s="21" t="n">
        <v>1.133154599475486</v>
      </c>
      <c r="J173" s="21" t="n">
        <v>1.393081799300188</v>
      </c>
      <c r="K173" s="21" t="n">
        <v>1.171223224708102</v>
      </c>
      <c r="L173" s="21" t="n">
        <v>1.135359002122682</v>
      </c>
      <c r="M173" s="21" t="n">
        <v>1.04789494013781</v>
      </c>
    </row>
    <row r="174">
      <c r="A174" s="10" t="n">
        <v>0.405</v>
      </c>
      <c r="B174" s="21" t="n">
        <v>1.239696092571608</v>
      </c>
      <c r="C174" s="21" t="n">
        <v>1.353230437186258</v>
      </c>
      <c r="D174" s="21" t="n">
        <v>1.175457140990842</v>
      </c>
      <c r="E174" s="21" t="n">
        <v>1.252967332016148</v>
      </c>
      <c r="F174" s="21" t="n">
        <v>1.478530364808951</v>
      </c>
      <c r="G174" s="21" t="n">
        <v>1.342475891166799</v>
      </c>
      <c r="H174" s="21" t="n">
        <v>1.162719971387468</v>
      </c>
      <c r="I174" s="21" t="n">
        <v>1.32262606011643</v>
      </c>
      <c r="J174" s="21" t="n">
        <v>1.393081799300188</v>
      </c>
      <c r="K174" s="21" t="n">
        <v>1.147320709918141</v>
      </c>
      <c r="L174" s="21" t="n">
        <v>1.135359002122682</v>
      </c>
      <c r="M174" s="21" t="n">
        <v>1.027447339442999</v>
      </c>
    </row>
    <row r="175">
      <c r="A175" s="10" t="n">
        <v>0.415</v>
      </c>
      <c r="B175" s="21" t="n">
        <v>1.285216343528135</v>
      </c>
      <c r="C175" s="21" t="n">
        <v>1.342346445963488</v>
      </c>
      <c r="D175" s="21" t="n">
        <v>1.210029409843514</v>
      </c>
      <c r="E175" s="21" t="n">
        <v>1.252967332016148</v>
      </c>
      <c r="F175" s="21" t="n">
        <v>1.548257694459524</v>
      </c>
      <c r="G175" s="21" t="n">
        <v>1.302991306132481</v>
      </c>
      <c r="H175" s="21" t="n">
        <v>1.202754884175248</v>
      </c>
      <c r="I175" s="21" t="n">
        <v>1.32262606011643</v>
      </c>
      <c r="J175" s="21" t="n">
        <v>1.478054841362442</v>
      </c>
      <c r="K175" s="21" t="n">
        <v>1.32769370649068</v>
      </c>
      <c r="L175" s="21" t="n">
        <v>1.108326644929285</v>
      </c>
      <c r="M175" s="21" t="n">
        <v>1.133818136402727</v>
      </c>
    </row>
    <row r="176">
      <c r="A176" s="10" t="n">
        <v>0.425</v>
      </c>
      <c r="B176" s="21" t="n">
        <v>1.369751521198095</v>
      </c>
      <c r="C176" s="21" t="n">
        <v>1.31183172399404</v>
      </c>
      <c r="D176" s="21" t="n">
        <v>1.428601092885003</v>
      </c>
      <c r="E176" s="21" t="n">
        <v>1.2251236135269</v>
      </c>
      <c r="F176" s="21" t="n">
        <v>1.828355049907393</v>
      </c>
      <c r="G176" s="21" t="n">
        <v>1.342475891166799</v>
      </c>
      <c r="H176" s="21" t="n">
        <v>1.313085357536542</v>
      </c>
      <c r="I176" s="21" t="n">
        <v>1.32262606011643</v>
      </c>
      <c r="J176" s="21" t="n">
        <v>1.574687723052115</v>
      </c>
      <c r="K176" s="21" t="n">
        <v>1.361908799219961</v>
      </c>
      <c r="L176" s="21" t="n">
        <v>1.18021461858308</v>
      </c>
      <c r="M176" s="21" t="n">
        <v>1.133818136402727</v>
      </c>
    </row>
    <row r="177">
      <c r="A177" s="10" t="n">
        <v>0.435</v>
      </c>
      <c r="B177" s="21" t="n">
        <v>1.412535018326667</v>
      </c>
      <c r="C177" s="21" t="n">
        <v>1.359335833686147</v>
      </c>
      <c r="D177" s="21" t="n">
        <v>1.436272121730281</v>
      </c>
      <c r="E177" s="21" t="n">
        <v>1.252967332016148</v>
      </c>
      <c r="F177" s="21" t="n">
        <v>1.781474151191819</v>
      </c>
      <c r="G177" s="21" t="n">
        <v>1.342475891166799</v>
      </c>
      <c r="H177" s="21" t="n">
        <v>1.399773586606131</v>
      </c>
      <c r="I177" s="21" t="n">
        <v>1.32262606011643</v>
      </c>
      <c r="J177" s="21" t="n">
        <v>1.532128595402057</v>
      </c>
      <c r="K177" s="21" t="n">
        <v>1.390281899203711</v>
      </c>
      <c r="L177" s="21" t="n">
        <v>1.568096713648363</v>
      </c>
      <c r="M177" s="21" t="n">
        <v>1.162890396310489</v>
      </c>
    </row>
    <row r="178">
      <c r="A178" s="10" t="n">
        <v>0.445</v>
      </c>
      <c r="B178" s="21" t="n">
        <v>1.412671296858983</v>
      </c>
      <c r="C178" s="21" t="n">
        <v>1.371796263809903</v>
      </c>
      <c r="D178" s="21" t="n">
        <v>1.478515419428231</v>
      </c>
      <c r="E178" s="21" t="n">
        <v>1.2251236135269</v>
      </c>
      <c r="F178" s="21" t="n">
        <v>1.781474151191819</v>
      </c>
      <c r="G178" s="21" t="n">
        <v>1.302991306132481</v>
      </c>
      <c r="H178" s="21" t="n">
        <v>1.37112602427925</v>
      </c>
      <c r="I178" s="21" t="n">
        <v>1.283725293642417</v>
      </c>
      <c r="J178" s="21" t="n">
        <v>1.532128595402057</v>
      </c>
      <c r="K178" s="21" t="n">
        <v>1.361908799219961</v>
      </c>
      <c r="L178" s="21" t="n">
        <v>1.60634297495686</v>
      </c>
      <c r="M178" s="21" t="n">
        <v>1.241368079424404</v>
      </c>
    </row>
    <row r="179">
      <c r="A179" s="10" t="n">
        <v>0.455</v>
      </c>
      <c r="B179" s="21" t="n">
        <v>1.554480472872501</v>
      </c>
      <c r="C179" s="21" t="n">
        <v>1.352409123366605</v>
      </c>
      <c r="D179" s="21" t="n">
        <v>1.586427167576524</v>
      </c>
      <c r="E179" s="21" t="n">
        <v>1.783185218506846</v>
      </c>
      <c r="F179" s="21" t="n">
        <v>2.054031743929349</v>
      </c>
      <c r="G179" s="21" t="n">
        <v>1.342475891166799</v>
      </c>
      <c r="H179" s="21" t="n">
        <v>1.397444691624847</v>
      </c>
      <c r="I179" s="21" t="n">
        <v>1.32262606011643</v>
      </c>
      <c r="J179" s="21" t="n">
        <v>1.539313937798298</v>
      </c>
      <c r="K179" s="21" t="n">
        <v>1.579575319368619</v>
      </c>
      <c r="L179" s="21" t="n">
        <v>1.60634297495686</v>
      </c>
      <c r="M179" s="21" t="n">
        <v>1.316185431091657</v>
      </c>
    </row>
    <row r="180">
      <c r="A180" s="10" t="n">
        <v>0.465</v>
      </c>
      <c r="B180" s="21" t="n">
        <v>1.597411932819727</v>
      </c>
      <c r="C180" s="21" t="n">
        <v>1.287854323261758</v>
      </c>
      <c r="D180" s="21" t="n">
        <v>1.707012228324687</v>
      </c>
      <c r="E180" s="21" t="n">
        <v>1.808363288666668</v>
      </c>
      <c r="F180" s="21" t="n">
        <v>2.067331296952964</v>
      </c>
      <c r="G180" s="21" t="n">
        <v>1.342475891166799</v>
      </c>
      <c r="H180" s="21" t="n">
        <v>1.402645283726858</v>
      </c>
      <c r="I180" s="21" t="n">
        <v>1.397708901806537</v>
      </c>
      <c r="J180" s="21" t="n">
        <v>1.661464758534387</v>
      </c>
      <c r="K180" s="21" t="n">
        <v>1.645848929467325</v>
      </c>
      <c r="L180" s="21" t="n">
        <v>1.568096713648363</v>
      </c>
      <c r="M180" s="21" t="n">
        <v>1.316185431091657</v>
      </c>
    </row>
    <row r="181">
      <c r="A181" s="10" t="n">
        <v>0.475</v>
      </c>
      <c r="B181" s="21" t="n">
        <v>1.620576428893148</v>
      </c>
      <c r="C181" s="21" t="n">
        <v>1.227517155564969</v>
      </c>
      <c r="D181" s="21" t="n">
        <v>1.658240450372554</v>
      </c>
      <c r="E181" s="21" t="n">
        <v>1.849462454318183</v>
      </c>
      <c r="F181" s="21" t="n">
        <v>2.067331296952964</v>
      </c>
      <c r="G181" s="21" t="n">
        <v>1.312085756731733</v>
      </c>
      <c r="H181" s="21" t="n">
        <v>1.43320305104199</v>
      </c>
      <c r="I181" s="21" t="n">
        <v>1.433618086962676</v>
      </c>
      <c r="J181" s="21" t="n">
        <v>1.707616557382565</v>
      </c>
      <c r="K181" s="21" t="n">
        <v>1.645848929467325</v>
      </c>
      <c r="L181" s="21" t="n">
        <v>1.60634297495686</v>
      </c>
      <c r="M181" s="21" t="n">
        <v>1.436080340669876</v>
      </c>
    </row>
    <row r="182">
      <c r="A182" s="10" t="n">
        <v>0.485</v>
      </c>
      <c r="B182" s="21" t="n">
        <v>1.588390810319507</v>
      </c>
      <c r="C182" s="21" t="n">
        <v>1.220388216437216</v>
      </c>
      <c r="D182" s="21" t="n">
        <v>1.418277819113201</v>
      </c>
      <c r="E182" s="21" t="n">
        <v>1.808363288666668</v>
      </c>
      <c r="F182" s="21" t="n">
        <v>1.992068440645195</v>
      </c>
      <c r="G182" s="21" t="n">
        <v>1.191560813203909</v>
      </c>
      <c r="H182" s="21" t="n">
        <v>1.462452092899989</v>
      </c>
      <c r="I182" s="21" t="n">
        <v>1.391452849110832</v>
      </c>
      <c r="J182" s="21" t="n">
        <v>1.661464758534387</v>
      </c>
      <c r="K182" s="21" t="n">
        <v>1.680137448831228</v>
      </c>
      <c r="L182" s="21" t="n">
        <v>1.757600314435049</v>
      </c>
      <c r="M182" s="21" t="n">
        <v>1.502836322339373</v>
      </c>
    </row>
    <row r="183">
      <c r="A183" s="10" t="n">
        <v>0.495</v>
      </c>
      <c r="B183" s="21" t="n">
        <v>1.66859760614105</v>
      </c>
      <c r="C183" s="21" t="n">
        <v>1.221278995724078</v>
      </c>
      <c r="D183" s="21" t="n">
        <v>1.490222149344571</v>
      </c>
      <c r="E183" s="21" t="n">
        <v>1.520669129106061</v>
      </c>
      <c r="F183" s="21" t="n">
        <v>1.719831751300943</v>
      </c>
      <c r="G183" s="21" t="n">
        <v>1.408208233786438</v>
      </c>
      <c r="H183" s="21" t="n">
        <v>1.905240271300732</v>
      </c>
      <c r="I183" s="21" t="n">
        <v>1.644444276221893</v>
      </c>
      <c r="J183" s="21" t="n">
        <v>2.030679149319806</v>
      </c>
      <c r="K183" s="21" t="n">
        <v>1.581634157475357</v>
      </c>
      <c r="L183" s="21" t="n">
        <v>1.765331614389916</v>
      </c>
      <c r="M183" s="21" t="n">
        <v>1.57990485169011</v>
      </c>
    </row>
    <row r="184">
      <c r="A184" s="10" t="n">
        <v>0.505</v>
      </c>
      <c r="B184" s="21" t="n">
        <v>1.621507551596016</v>
      </c>
      <c r="C184" s="21" t="n">
        <v>1.227505778318269</v>
      </c>
      <c r="D184" s="21" t="n">
        <v>1.83678543988982</v>
      </c>
      <c r="E184" s="21" t="n">
        <v>1.068578306939393</v>
      </c>
      <c r="F184" s="21" t="n">
        <v>1.959808274738285</v>
      </c>
      <c r="G184" s="21" t="n">
        <v>1.660963557799388</v>
      </c>
      <c r="H184" s="21" t="n">
        <v>1.334689533286124</v>
      </c>
      <c r="I184" s="21" t="n">
        <v>1.85527046548111</v>
      </c>
      <c r="J184" s="21" t="n">
        <v>1.834357598745266</v>
      </c>
      <c r="K184" s="21" t="n">
        <v>1.430932657418148</v>
      </c>
      <c r="L184" s="21" t="n">
        <v>1.53900704844249</v>
      </c>
      <c r="M184" s="21" t="n">
        <v>1.638306559391421</v>
      </c>
    </row>
    <row r="185">
      <c r="A185" s="10" t="n">
        <v>0.515</v>
      </c>
      <c r="B185" s="21" t="n">
        <v>1.552522187639531</v>
      </c>
      <c r="C185" s="21" t="n">
        <v>1.239041035100275</v>
      </c>
      <c r="D185" s="21" t="n">
        <v>1.55188541818485</v>
      </c>
      <c r="E185" s="21" t="n">
        <v>1.068578306939393</v>
      </c>
      <c r="F185" s="21" t="n">
        <v>1.768790241580688</v>
      </c>
      <c r="G185" s="21" t="n">
        <v>1.660963557799388</v>
      </c>
      <c r="H185" s="21" t="n">
        <v>1.390301597173046</v>
      </c>
      <c r="I185" s="21" t="n">
        <v>1.897435703332953</v>
      </c>
      <c r="J185" s="21" t="n">
        <v>1.570360847031082</v>
      </c>
      <c r="K185" s="21" t="n">
        <v>1.490554851477238</v>
      </c>
      <c r="L185" s="21" t="n">
        <v>1.584271961631975</v>
      </c>
      <c r="M185" s="21" t="n">
        <v>1.496438714855775</v>
      </c>
    </row>
    <row r="186">
      <c r="A186" s="10" t="n">
        <v>0.525</v>
      </c>
      <c r="B186" s="21" t="n">
        <v>1.45612927091212</v>
      </c>
      <c r="C186" s="21" t="n">
        <v>1.243146269011923</v>
      </c>
      <c r="D186" s="21" t="n">
        <v>1.57672826909622</v>
      </c>
      <c r="E186" s="21" t="n">
        <v>1.068578306939393</v>
      </c>
      <c r="F186" s="21" t="n">
        <v>1.393823679765263</v>
      </c>
      <c r="G186" s="21" t="n">
        <v>1.660963557799388</v>
      </c>
      <c r="H186" s="21" t="n">
        <v>1.390301597173046</v>
      </c>
      <c r="I186" s="21" t="n">
        <v>1.432051712334622</v>
      </c>
      <c r="J186" s="21" t="n">
        <v>1.541808831630517</v>
      </c>
      <c r="K186" s="21" t="n">
        <v>1.430932657418148</v>
      </c>
      <c r="L186" s="21" t="n">
        <v>1.53900704844249</v>
      </c>
      <c r="M186" s="21" t="n">
        <v>1.496438714855775</v>
      </c>
    </row>
    <row r="187">
      <c r="A187" s="10" t="n">
        <v>0.535</v>
      </c>
      <c r="B187" s="21" t="n">
        <v>1.457386818241226</v>
      </c>
      <c r="C187" s="21" t="n">
        <v>1.243750549742534</v>
      </c>
      <c r="D187" s="21" t="n">
        <v>1.369367426651837</v>
      </c>
      <c r="E187" s="21" t="n">
        <v>1.286744559867831</v>
      </c>
      <c r="F187" s="21" t="n">
        <v>1.393823679765263</v>
      </c>
      <c r="G187" s="21" t="n">
        <v>1.660963557799388</v>
      </c>
      <c r="H187" s="21" t="n">
        <v>1.455853676320958</v>
      </c>
      <c r="I187" s="21" t="n">
        <v>1.454532357016862</v>
      </c>
      <c r="J187" s="21" t="n">
        <v>1.430612799363413</v>
      </c>
      <c r="K187" s="21" t="n">
        <v>1.490554851477238</v>
      </c>
      <c r="L187" s="21" t="n">
        <v>1.53900704844249</v>
      </c>
      <c r="M187" s="21" t="n">
        <v>1.492643460596992</v>
      </c>
    </row>
    <row r="188">
      <c r="A188" s="10" t="n">
        <v>0.545</v>
      </c>
      <c r="B188" s="21" t="n">
        <v>1.412309699382016</v>
      </c>
      <c r="C188" s="21" t="n">
        <v>1.236082217428194</v>
      </c>
      <c r="D188" s="21" t="n">
        <v>1.326952708879123</v>
      </c>
      <c r="E188" s="21" t="n">
        <v>1.338688905803173</v>
      </c>
      <c r="F188" s="21" t="n">
        <v>1.428648185825421</v>
      </c>
      <c r="G188" s="21" t="n">
        <v>1.444991914883532</v>
      </c>
      <c r="H188" s="21" t="n">
        <v>1.568484160459566</v>
      </c>
      <c r="I188" s="21" t="n">
        <v>1.42220941574982</v>
      </c>
      <c r="J188" s="21" t="n">
        <v>1.344297828745147</v>
      </c>
      <c r="K188" s="21" t="n">
        <v>1.430932657418148</v>
      </c>
      <c r="L188" s="21" t="n">
        <v>1.400112145128806</v>
      </c>
      <c r="M188" s="21" t="n">
        <v>1.414840748291945</v>
      </c>
    </row>
    <row r="189">
      <c r="A189" s="10" t="n">
        <v>0.555</v>
      </c>
      <c r="B189" s="21" t="n">
        <v>1.399869566988101</v>
      </c>
      <c r="C189" s="21" t="n">
        <v>1.244344287982604</v>
      </c>
      <c r="D189" s="21" t="n">
        <v>1.334585300381929</v>
      </c>
      <c r="E189" s="21" t="n">
        <v>1.338688905803173</v>
      </c>
      <c r="F189" s="21" t="n">
        <v>1.403591714677216</v>
      </c>
      <c r="G189" s="21" t="n">
        <v>1.406227773847352</v>
      </c>
      <c r="H189" s="21" t="n">
        <v>1.505744794041183</v>
      </c>
      <c r="I189" s="21" t="n">
        <v>1.454532357016862</v>
      </c>
      <c r="J189" s="21" t="n">
        <v>1.344297828745147</v>
      </c>
      <c r="K189" s="21" t="n">
        <v>1.490554851477238</v>
      </c>
      <c r="L189" s="21" t="n">
        <v>1.307102094327388</v>
      </c>
      <c r="M189" s="21" t="n">
        <v>1.414840748291945</v>
      </c>
    </row>
    <row r="190">
      <c r="A190" s="10" t="n">
        <v>0.5649999999999999</v>
      </c>
      <c r="B190" s="21" t="n">
        <v>1.402748927375769</v>
      </c>
      <c r="C190" s="21" t="n">
        <v>1.216222818217648</v>
      </c>
      <c r="D190" s="21" t="n">
        <v>1.370239710342318</v>
      </c>
      <c r="E190" s="21" t="n">
        <v>1.338688905803173</v>
      </c>
      <c r="F190" s="21" t="n">
        <v>1.432236443548179</v>
      </c>
      <c r="G190" s="21" t="n">
        <v>1.406227773847352</v>
      </c>
      <c r="H190" s="21" t="n">
        <v>1.568484160459566</v>
      </c>
      <c r="I190" s="21" t="n">
        <v>1.42220941574982</v>
      </c>
      <c r="J190" s="21" t="n">
        <v>1.335816262357801</v>
      </c>
      <c r="K190" s="21" t="n">
        <v>1.430932657418148</v>
      </c>
      <c r="L190" s="21" t="n">
        <v>1.307102094327388</v>
      </c>
      <c r="M190" s="21" t="n">
        <v>1.414840748291945</v>
      </c>
    </row>
    <row r="191">
      <c r="A191" s="10" t="n">
        <v>0.575</v>
      </c>
      <c r="B191" s="21" t="n">
        <v>1.346454274470534</v>
      </c>
      <c r="C191" s="21" t="n">
        <v>1.211851784811378</v>
      </c>
      <c r="D191" s="21" t="n">
        <v>1.341940446104036</v>
      </c>
      <c r="E191" s="21" t="n">
        <v>1.338688905803173</v>
      </c>
      <c r="F191" s="21" t="n">
        <v>1.208054380321503</v>
      </c>
      <c r="G191" s="21" t="n">
        <v>1.406227773847352</v>
      </c>
      <c r="H191" s="21" t="n">
        <v>1.479353765896754</v>
      </c>
      <c r="I191" s="21" t="n">
        <v>1.300695160551375</v>
      </c>
      <c r="J191" s="21" t="n">
        <v>1.309899428629457</v>
      </c>
      <c r="K191" s="21" t="n">
        <v>1.458264889796276</v>
      </c>
      <c r="L191" s="21" t="n">
        <v>1.345546273572311</v>
      </c>
      <c r="M191" s="21" t="n">
        <v>1.28201768569559</v>
      </c>
    </row>
    <row r="192">
      <c r="A192" s="10" t="n">
        <v>0.585</v>
      </c>
      <c r="B192" s="21" t="n">
        <v>1.291444225548593</v>
      </c>
      <c r="C192" s="21" t="n">
        <v>1.228088633971191</v>
      </c>
      <c r="D192" s="21" t="n">
        <v>1.323369053947664</v>
      </c>
      <c r="E192" s="21" t="n">
        <v>1.390176940641757</v>
      </c>
      <c r="F192" s="21" t="n">
        <v>1.232708551348472</v>
      </c>
      <c r="G192" s="21" t="n">
        <v>1.406227773847352</v>
      </c>
      <c r="H192" s="21" t="n">
        <v>1.238596308654207</v>
      </c>
      <c r="I192" s="21" t="n">
        <v>1.248649501788758</v>
      </c>
      <c r="J192" s="21" t="n">
        <v>1.334156825455928</v>
      </c>
      <c r="K192" s="21" t="n">
        <v>1.172612963970458</v>
      </c>
      <c r="L192" s="21" t="n">
        <v>1.307102094327388</v>
      </c>
      <c r="M192" s="21" t="n">
        <v>1.264540966932912</v>
      </c>
    </row>
    <row r="193">
      <c r="A193" s="10" t="n">
        <v>0.595</v>
      </c>
      <c r="B193" s="21" t="n">
        <v>1.267880907931331</v>
      </c>
      <c r="C193" s="21" t="n">
        <v>1.231723615878933</v>
      </c>
      <c r="D193" s="21" t="n">
        <v>1.254967272852295</v>
      </c>
      <c r="E193" s="21" t="n">
        <v>1.338688905803173</v>
      </c>
      <c r="F193" s="21" t="n">
        <v>1.210872352224041</v>
      </c>
      <c r="G193" s="21" t="n">
        <v>1.389973255240979</v>
      </c>
      <c r="H193" s="21" t="n">
        <v>1.189052456308038</v>
      </c>
      <c r="I193" s="21" t="n">
        <v>1.277027899556684</v>
      </c>
      <c r="J193" s="21" t="n">
        <v>1.193852723824136</v>
      </c>
      <c r="K193" s="21" t="n">
        <v>1.221471837469227</v>
      </c>
      <c r="L193" s="21" t="n">
        <v>1.345546273572311</v>
      </c>
      <c r="M193" s="21" t="n">
        <v>1.264540966932912</v>
      </c>
    </row>
    <row r="194">
      <c r="A194" s="10" t="n">
        <v>0.605</v>
      </c>
      <c r="B194" s="21" t="n">
        <v>1.23021402912695</v>
      </c>
      <c r="C194" s="21" t="n">
        <v>1.328011063650434</v>
      </c>
      <c r="D194" s="21" t="n">
        <v>1.175748356964373</v>
      </c>
      <c r="E194" s="21" t="n">
        <v>1.338688905803173</v>
      </c>
      <c r="F194" s="21" t="n">
        <v>1.219561098923535</v>
      </c>
      <c r="G194" s="21" t="n">
        <v>1.25668620266872</v>
      </c>
      <c r="H194" s="21" t="n">
        <v>1.238596308654207</v>
      </c>
      <c r="I194" s="21" t="n">
        <v>1.248649501788758</v>
      </c>
      <c r="J194" s="21" t="n">
        <v>1.141238685712214</v>
      </c>
      <c r="K194" s="21" t="n">
        <v>1.172612963970458</v>
      </c>
      <c r="L194" s="21" t="n">
        <v>1.297074828301083</v>
      </c>
      <c r="M194" s="21" t="n">
        <v>1.203594808575897</v>
      </c>
    </row>
    <row r="195">
      <c r="A195" s="10" t="n">
        <v>0.615</v>
      </c>
      <c r="B195" s="21" t="n">
        <v>1.233932951494791</v>
      </c>
      <c r="C195" s="21" t="n">
        <v>1.41043410701422</v>
      </c>
      <c r="D195" s="21" t="n">
        <v>1.235695760121951</v>
      </c>
      <c r="E195" s="21" t="n">
        <v>1.338688905803173</v>
      </c>
      <c r="F195" s="21" t="n">
        <v>1.244450100942383</v>
      </c>
      <c r="G195" s="21" t="n">
        <v>1.25668620266872</v>
      </c>
      <c r="H195" s="21" t="n">
        <v>1.189052456308038</v>
      </c>
      <c r="I195" s="21" t="n">
        <v>1.277027899556684</v>
      </c>
      <c r="J195" s="21" t="n">
        <v>1.141238685712214</v>
      </c>
      <c r="K195" s="21" t="n">
        <v>1.221471837469227</v>
      </c>
      <c r="L195" s="21" t="n">
        <v>1.258398230771049</v>
      </c>
      <c r="M195" s="21" t="n">
        <v>1.189664258094293</v>
      </c>
    </row>
    <row r="196">
      <c r="A196" s="10" t="n">
        <v>0.625</v>
      </c>
      <c r="B196" s="21" t="n">
        <v>1.233711297348834</v>
      </c>
      <c r="C196" s="21" t="n">
        <v>1.422733226553179</v>
      </c>
      <c r="D196" s="21" t="n">
        <v>1.297301575543661</v>
      </c>
      <c r="E196" s="21" t="n">
        <v>1.338688905803173</v>
      </c>
      <c r="F196" s="21" t="n">
        <v>1.17914986484571</v>
      </c>
      <c r="G196" s="21" t="n">
        <v>1.25668620266872</v>
      </c>
      <c r="H196" s="21" t="n">
        <v>1.225931508414736</v>
      </c>
      <c r="I196" s="21" t="n">
        <v>1.252702394978782</v>
      </c>
      <c r="J196" s="21" t="n">
        <v>1.14831518463384</v>
      </c>
      <c r="K196" s="21" t="n">
        <v>1.172612963970458</v>
      </c>
      <c r="L196" s="21" t="n">
        <v>1.295409943440785</v>
      </c>
      <c r="M196" s="21" t="n">
        <v>1.189664258094293</v>
      </c>
    </row>
    <row r="197">
      <c r="A197" s="10" t="n">
        <v>0.635</v>
      </c>
      <c r="B197" s="21" t="n">
        <v>1.225925273360368</v>
      </c>
      <c r="C197" s="21" t="n">
        <v>1.423069840588519</v>
      </c>
      <c r="D197" s="21" t="n">
        <v>1.262107205676787</v>
      </c>
      <c r="E197" s="21" t="n">
        <v>1.338688905803173</v>
      </c>
      <c r="F197" s="21" t="n">
        <v>1.160260029946911</v>
      </c>
      <c r="G197" s="21" t="n">
        <v>1.25668620266872</v>
      </c>
      <c r="H197" s="21" t="n">
        <v>1.163722855829098</v>
      </c>
      <c r="I197" s="21" t="n">
        <v>1.253894422387613</v>
      </c>
      <c r="J197" s="21" t="n">
        <v>1.180480894081487</v>
      </c>
      <c r="K197" s="21" t="n">
        <v>1.221471837469227</v>
      </c>
      <c r="L197" s="21" t="n">
        <v>1.258398230771049</v>
      </c>
      <c r="M197" s="21" t="n">
        <v>1.179175403251767</v>
      </c>
    </row>
    <row r="198">
      <c r="A198" s="10" t="n">
        <v>0.645</v>
      </c>
      <c r="B198" s="21" t="n">
        <v>1.217461941367957</v>
      </c>
      <c r="C198" s="21" t="n">
        <v>1.453461736242432</v>
      </c>
      <c r="D198" s="21" t="n">
        <v>1.132046707858361</v>
      </c>
      <c r="E198" s="21" t="n">
        <v>1.383260335047851</v>
      </c>
      <c r="F198" s="21" t="n">
        <v>1.137054829347973</v>
      </c>
      <c r="G198" s="21" t="n">
        <v>1.25668620266872</v>
      </c>
      <c r="H198" s="21" t="n">
        <v>1.21221130815531</v>
      </c>
      <c r="I198" s="21" t="n">
        <v>1.282392022896422</v>
      </c>
      <c r="J198" s="21" t="n">
        <v>1.180480894081487</v>
      </c>
      <c r="K198" s="21" t="n">
        <v>1.172612963970458</v>
      </c>
      <c r="L198" s="21" t="n">
        <v>1.258398230771049</v>
      </c>
      <c r="M198" s="21" t="n">
        <v>1.173556373871843</v>
      </c>
    </row>
    <row r="199">
      <c r="A199" s="10" t="n">
        <v>0.655</v>
      </c>
      <c r="B199" s="21" t="n">
        <v>1.23519078570377</v>
      </c>
      <c r="C199" s="21" t="n">
        <v>1.42071653964039</v>
      </c>
      <c r="D199" s="21" t="n">
        <v>1.184912612536093</v>
      </c>
      <c r="E199" s="21" t="n">
        <v>1.385043192217638</v>
      </c>
      <c r="F199" s="21" t="n">
        <v>1.150822933095202</v>
      </c>
      <c r="G199" s="21" t="n">
        <v>1.260897432516492</v>
      </c>
      <c r="H199" s="21" t="n">
        <v>1.163722855829098</v>
      </c>
      <c r="I199" s="21" t="n">
        <v>1.253894422387613</v>
      </c>
      <c r="J199" s="21" t="n">
        <v>1.198319746959515</v>
      </c>
      <c r="K199" s="21" t="n">
        <v>1.263204925660872</v>
      </c>
      <c r="L199" s="21" t="n">
        <v>1.295409943440785</v>
      </c>
      <c r="M199" s="21" t="n">
        <v>1.200848382566537</v>
      </c>
    </row>
    <row r="200">
      <c r="A200" s="10" t="n">
        <v>0.665</v>
      </c>
      <c r="B200" s="21" t="n">
        <v>1.257946023797183</v>
      </c>
      <c r="C200" s="21" t="n">
        <v>1.419441150385073</v>
      </c>
      <c r="D200" s="21" t="n">
        <v>1.256821593797149</v>
      </c>
      <c r="E200" s="21" t="n">
        <v>1.385043192217638</v>
      </c>
      <c r="F200" s="21" t="n">
        <v>1.174309115403267</v>
      </c>
      <c r="G200" s="21" t="n">
        <v>1.280900774293408</v>
      </c>
      <c r="H200" s="21" t="n">
        <v>1.251590937838127</v>
      </c>
      <c r="I200" s="21" t="n">
        <v>1.287984259175323</v>
      </c>
      <c r="J200" s="21" t="n">
        <v>1.209337861972414</v>
      </c>
      <c r="K200" s="21" t="n">
        <v>1.297812228545393</v>
      </c>
      <c r="L200" s="21" t="n">
        <v>1.258398230771049</v>
      </c>
      <c r="M200" s="21" t="n">
        <v>1.179340423983883</v>
      </c>
    </row>
    <row r="201">
      <c r="A201" s="10" t="n">
        <v>0.675</v>
      </c>
      <c r="B201" s="21" t="n">
        <v>1.288525099847072</v>
      </c>
      <c r="C201" s="21" t="n">
        <v>1.456056528837498</v>
      </c>
      <c r="D201" s="21" t="n">
        <v>1.278942735072984</v>
      </c>
      <c r="E201" s="21" t="n">
        <v>1.385043192217638</v>
      </c>
      <c r="F201" s="21" t="n">
        <v>1.198677195622401</v>
      </c>
      <c r="G201" s="21" t="n">
        <v>1.280900774293408</v>
      </c>
      <c r="H201" s="21" t="n">
        <v>1.29873872902733</v>
      </c>
      <c r="I201" s="21" t="n">
        <v>1.284651721921567</v>
      </c>
      <c r="J201" s="21" t="n">
        <v>1.187349900845643</v>
      </c>
      <c r="K201" s="21" t="n">
        <v>1.351887738068118</v>
      </c>
      <c r="L201" s="21" t="n">
        <v>1.438663946055581</v>
      </c>
      <c r="M201" s="21" t="n">
        <v>1.184861562727196</v>
      </c>
    </row>
    <row r="202">
      <c r="A202" s="10" t="n">
        <v>0.6850000000000001</v>
      </c>
      <c r="B202" s="21" t="n">
        <v>1.328932732576937</v>
      </c>
      <c r="C202" s="21" t="n">
        <v>1.46599302059802</v>
      </c>
      <c r="D202" s="21" t="n">
        <v>1.387090536865954</v>
      </c>
      <c r="E202" s="21" t="n">
        <v>1.385043192217638</v>
      </c>
      <c r="F202" s="21" t="n">
        <v>1.373701875933266</v>
      </c>
      <c r="G202" s="21" t="n">
        <v>1.280900774293408</v>
      </c>
      <c r="H202" s="21" t="n">
        <v>1.352852842736802</v>
      </c>
      <c r="I202" s="21" t="n">
        <v>1.313848351965239</v>
      </c>
      <c r="J202" s="21" t="n">
        <v>1.282100764558721</v>
      </c>
      <c r="K202" s="21" t="n">
        <v>1.297812228545393</v>
      </c>
      <c r="L202" s="21" t="n">
        <v>1.426351199353913</v>
      </c>
      <c r="M202" s="21" t="n">
        <v>1.184861562727196</v>
      </c>
    </row>
    <row r="203">
      <c r="A203" s="10" t="n">
        <v>0.695</v>
      </c>
      <c r="B203" s="21" t="n">
        <v>1.342205313229218</v>
      </c>
      <c r="C203" s="21" t="n">
        <v>1.468045323954587</v>
      </c>
      <c r="D203" s="21" t="n">
        <v>1.363458036391875</v>
      </c>
      <c r="E203" s="21" t="n">
        <v>1.385043192217638</v>
      </c>
      <c r="F203" s="21" t="n">
        <v>1.3462278384146</v>
      </c>
      <c r="G203" s="21" t="n">
        <v>1.280900774293408</v>
      </c>
      <c r="H203" s="21" t="n">
        <v>1.352852842736802</v>
      </c>
      <c r="I203" s="21" t="n">
        <v>1.284651721921567</v>
      </c>
      <c r="J203" s="21" t="n">
        <v>1.330609366282925</v>
      </c>
      <c r="K203" s="21" t="n">
        <v>1.351887738068118</v>
      </c>
      <c r="L203" s="21" t="n">
        <v>1.426351199353913</v>
      </c>
      <c r="M203" s="21" t="n">
        <v>1.278844478641398</v>
      </c>
    </row>
    <row r="204">
      <c r="A204" s="10" t="n">
        <v>0.705</v>
      </c>
      <c r="B204" s="21" t="n">
        <v>1.36770177236583</v>
      </c>
      <c r="C204" s="21" t="n">
        <v>1.527512520861928</v>
      </c>
      <c r="D204" s="21" t="n">
        <v>1.4207325398009</v>
      </c>
      <c r="E204" s="21" t="n">
        <v>1.385043192217638</v>
      </c>
      <c r="F204" s="21" t="n">
        <v>1.437162967661303</v>
      </c>
      <c r="G204" s="21" t="n">
        <v>1.280900774293408</v>
      </c>
      <c r="H204" s="21" t="n">
        <v>1.29873872902733</v>
      </c>
      <c r="I204" s="21" t="n">
        <v>1.313848351965239</v>
      </c>
      <c r="J204" s="21" t="n">
        <v>1.330609366282925</v>
      </c>
      <c r="K204" s="21" t="n">
        <v>1.297812228545393</v>
      </c>
      <c r="L204" s="21" t="n">
        <v>1.468302705217263</v>
      </c>
      <c r="M204" s="21" t="n">
        <v>1.397559740848811</v>
      </c>
    </row>
    <row r="205">
      <c r="A205" s="10" t="n">
        <v>0.715</v>
      </c>
      <c r="B205" s="21" t="n">
        <v>1.433116252149723</v>
      </c>
      <c r="C205" s="21" t="n">
        <v>1.533781701264421</v>
      </c>
      <c r="D205" s="21" t="n">
        <v>1.4207325398009</v>
      </c>
      <c r="E205" s="21" t="n">
        <v>1.438314084226008</v>
      </c>
      <c r="F205" s="21" t="n">
        <v>1.530486581531028</v>
      </c>
      <c r="G205" s="21" t="n">
        <v>1.470622538491971</v>
      </c>
      <c r="H205" s="21" t="n">
        <v>1.481471713411503</v>
      </c>
      <c r="I205" s="21" t="n">
        <v>1.308287525399856</v>
      </c>
      <c r="J205" s="21" t="n">
        <v>1.463413853862639</v>
      </c>
      <c r="K205" s="21" t="n">
        <v>1.351887738068118</v>
      </c>
      <c r="L205" s="21" t="n">
        <v>1.426351199353913</v>
      </c>
      <c r="M205" s="21" t="n">
        <v>1.397559740848811</v>
      </c>
    </row>
    <row r="206">
      <c r="A206" s="10" t="n">
        <v>0.725</v>
      </c>
      <c r="B206" s="21" t="n">
        <v>1.519702647234103</v>
      </c>
      <c r="C206" s="21" t="n">
        <v>1.520955098613636</v>
      </c>
      <c r="D206" s="21" t="n">
        <v>1.580339545863629</v>
      </c>
      <c r="E206" s="21" t="n">
        <v>1.385043192217638</v>
      </c>
      <c r="F206" s="21" t="n">
        <v>1.499876849900408</v>
      </c>
      <c r="G206" s="21" t="n">
        <v>1.853693111127291</v>
      </c>
      <c r="H206" s="21" t="n">
        <v>1.48031831115632</v>
      </c>
      <c r="I206" s="21" t="n">
        <v>1.668385404139582</v>
      </c>
      <c r="J206" s="21" t="n">
        <v>1.591475324028791</v>
      </c>
      <c r="K206" s="21" t="n">
        <v>1.297812228545393</v>
      </c>
      <c r="L206" s="21" t="n">
        <v>1.426351199353913</v>
      </c>
      <c r="M206" s="21" t="n">
        <v>1.441588358367316</v>
      </c>
    </row>
    <row r="207">
      <c r="A207" s="10" t="n">
        <v>0.735</v>
      </c>
      <c r="B207" s="21" t="n">
        <v>1.559732969999809</v>
      </c>
      <c r="C207" s="21" t="n">
        <v>1.534809091102391</v>
      </c>
      <c r="D207" s="21" t="n">
        <v>1.559917551770272</v>
      </c>
      <c r="E207" s="21" t="n">
        <v>1.385043192217638</v>
      </c>
      <c r="F207" s="21" t="n">
        <v>1.648172693838581</v>
      </c>
      <c r="G207" s="21" t="n">
        <v>1.853693111127291</v>
      </c>
      <c r="H207" s="21" t="n">
        <v>1.541998240787833</v>
      </c>
      <c r="I207" s="21" t="n">
        <v>1.631310172936481</v>
      </c>
      <c r="J207" s="21" t="n">
        <v>1.56253940904645</v>
      </c>
      <c r="K207" s="21" t="n">
        <v>1.351887738068118</v>
      </c>
      <c r="L207" s="21" t="n">
        <v>1.530078634163388</v>
      </c>
      <c r="M207" s="21" t="n">
        <v>1.555328953623452</v>
      </c>
    </row>
    <row r="208">
      <c r="A208" s="10" t="n">
        <v>0.745</v>
      </c>
      <c r="B208" s="21" t="n">
        <v>1.591410300516096</v>
      </c>
      <c r="C208" s="21" t="n">
        <v>1.541999339084496</v>
      </c>
      <c r="D208" s="21" t="n">
        <v>1.664902631722751</v>
      </c>
      <c r="E208" s="21" t="n">
        <v>1.385043192217638</v>
      </c>
      <c r="F208" s="21" t="n">
        <v>1.63717731425922</v>
      </c>
      <c r="G208" s="21" t="n">
        <v>1.853693111127291</v>
      </c>
      <c r="H208" s="21" t="n">
        <v>1.48031831115632</v>
      </c>
      <c r="I208" s="21" t="n">
        <v>1.668385404139582</v>
      </c>
      <c r="J208" s="21" t="n">
        <v>1.725771378442361</v>
      </c>
      <c r="K208" s="21" t="n">
        <v>1.319024715509032</v>
      </c>
      <c r="L208" s="21" t="n">
        <v>1.659726930928161</v>
      </c>
      <c r="M208" s="21" t="n">
        <v>1.555328953623452</v>
      </c>
    </row>
    <row r="209">
      <c r="A209" s="10" t="n">
        <v>0.755</v>
      </c>
      <c r="B209" s="21" t="n">
        <v>1.619682185967649</v>
      </c>
      <c r="C209" s="21" t="n">
        <v>1.602641307215005</v>
      </c>
      <c r="D209" s="21" t="n">
        <v>1.678233594477482</v>
      </c>
      <c r="E209" s="21" t="n">
        <v>1.177749898519436</v>
      </c>
      <c r="F209" s="21" t="n">
        <v>1.769970829513614</v>
      </c>
      <c r="G209" s="21" t="n">
        <v>1.853693111127291</v>
      </c>
      <c r="H209" s="21" t="n">
        <v>1.471837220023972</v>
      </c>
      <c r="I209" s="21" t="n">
        <v>1.631310172936481</v>
      </c>
      <c r="J209" s="21" t="n">
        <v>1.927215460062715</v>
      </c>
      <c r="K209" s="21" t="n">
        <v>1.373984078655242</v>
      </c>
      <c r="L209" s="21" t="n">
        <v>1.708542428896636</v>
      </c>
      <c r="M209" s="21" t="n">
        <v>1.630247628310897</v>
      </c>
    </row>
    <row r="210">
      <c r="A210" s="10" t="n">
        <v>0.765</v>
      </c>
      <c r="B210" s="21" t="n">
        <v>1.681351202405208</v>
      </c>
      <c r="C210" s="21" t="n">
        <v>1.612290185963681</v>
      </c>
      <c r="D210" s="21" t="n">
        <v>1.866194178809369</v>
      </c>
      <c r="E210" s="21" t="n">
        <v>1.330093047027279</v>
      </c>
      <c r="F210" s="21" t="n">
        <v>1.907398031296178</v>
      </c>
      <c r="G210" s="21" t="n">
        <v>1.893990787456146</v>
      </c>
      <c r="H210" s="21" t="n">
        <v>1.334136313404749</v>
      </c>
      <c r="I210" s="21" t="n">
        <v>1.683756244492518</v>
      </c>
      <c r="J210" s="21" t="n">
        <v>1.681933492418369</v>
      </c>
      <c r="K210" s="21" t="n">
        <v>1.483902804947661</v>
      </c>
      <c r="L210" s="21" t="n">
        <v>1.806173424833586</v>
      </c>
      <c r="M210" s="21" t="n">
        <v>1.82428425674682</v>
      </c>
    </row>
    <row r="211">
      <c r="A211" s="10" t="n">
        <v>0.775</v>
      </c>
      <c r="B211" s="21" t="n">
        <v>1.670394392444258</v>
      </c>
      <c r="C211" s="21" t="n">
        <v>1.619119264722001</v>
      </c>
      <c r="D211" s="21" t="n">
        <v>1.559855425791978</v>
      </c>
      <c r="E211" s="21" t="n">
        <v>1.887874002232266</v>
      </c>
      <c r="F211" s="21" t="n">
        <v>1.517248433985596</v>
      </c>
      <c r="G211" s="21" t="n">
        <v>1.740584263231899</v>
      </c>
      <c r="H211" s="21" t="n">
        <v>1.715318117234677</v>
      </c>
      <c r="I211" s="21" t="n">
        <v>1.588296428475745</v>
      </c>
      <c r="J211" s="21" t="n">
        <v>1.191369557129678</v>
      </c>
      <c r="K211" s="21" t="n">
        <v>1.868618346971128</v>
      </c>
      <c r="L211" s="21" t="n">
        <v>2.099066412644438</v>
      </c>
      <c r="M211" s="21" t="n">
        <v>1.557315828930211</v>
      </c>
    </row>
    <row r="212">
      <c r="A212" s="10" t="n">
        <v>0.785</v>
      </c>
      <c r="B212" s="21" t="n">
        <v>1.694051998944548</v>
      </c>
      <c r="C212" s="21" t="n">
        <v>1.536146699930617</v>
      </c>
      <c r="D212" s="21" t="n">
        <v>1.559855425791978</v>
      </c>
      <c r="E212" s="21" t="n">
        <v>1.887874002232266</v>
      </c>
      <c r="F212" s="21" t="n">
        <v>1.473898478728864</v>
      </c>
      <c r="G212" s="21" t="n">
        <v>1.763738217485077</v>
      </c>
      <c r="H212" s="21" t="n">
        <v>1.762965842713418</v>
      </c>
      <c r="I212" s="21" t="n">
        <v>1.557752266389673</v>
      </c>
      <c r="J212" s="21" t="n">
        <v>1.380369933780324</v>
      </c>
      <c r="K212" s="21" t="n">
        <v>1.868618346971128</v>
      </c>
      <c r="L212" s="21" t="n">
        <v>2.147881910612913</v>
      </c>
      <c r="M212" s="21" t="n">
        <v>1.557315828930211</v>
      </c>
    </row>
    <row r="213">
      <c r="A213" s="10" t="n">
        <v>0.795</v>
      </c>
      <c r="B213" s="21" t="n">
        <v>1.581172958976117</v>
      </c>
      <c r="C213" s="21" t="n">
        <v>1.468701527887567</v>
      </c>
      <c r="D213" s="21" t="n">
        <v>1.438398880521216</v>
      </c>
      <c r="E213" s="21" t="n">
        <v>1.844967774908806</v>
      </c>
      <c r="F213" s="21" t="n">
        <v>1.390974105880228</v>
      </c>
      <c r="G213" s="21" t="n">
        <v>1.729155115181448</v>
      </c>
      <c r="H213" s="21" t="n">
        <v>1.411619260900949</v>
      </c>
      <c r="I213" s="21" t="n">
        <v>1.588296428475745</v>
      </c>
      <c r="J213" s="21" t="n">
        <v>1.473494829842702</v>
      </c>
      <c r="K213" s="21" t="n">
        <v>1.868618346971128</v>
      </c>
      <c r="L213" s="21" t="n">
        <v>1.624844279849189</v>
      </c>
      <c r="M213" s="21" t="n">
        <v>1.436469446927007</v>
      </c>
    </row>
    <row r="214">
      <c r="A214" s="10" t="n">
        <v>0.805</v>
      </c>
      <c r="B214" s="21" t="n">
        <v>1.487070553073721</v>
      </c>
      <c r="C214" s="21" t="n">
        <v>1.328339754710748</v>
      </c>
      <c r="D214" s="21" t="n">
        <v>1.453131463759597</v>
      </c>
      <c r="E214" s="21" t="n">
        <v>1.887874002232266</v>
      </c>
      <c r="F214" s="21" t="n">
        <v>1.278747244384205</v>
      </c>
      <c r="G214" s="21" t="n">
        <v>1.729155115181448</v>
      </c>
      <c r="H214" s="21" t="n">
        <v>1.375487991529006</v>
      </c>
      <c r="I214" s="21" t="n">
        <v>1.588296428475745</v>
      </c>
      <c r="J214" s="21" t="n">
        <v>1.430156746612034</v>
      </c>
      <c r="K214" s="21" t="n">
        <v>1.481426503322384</v>
      </c>
      <c r="L214" s="21" t="n">
        <v>1.375075471983617</v>
      </c>
      <c r="M214" s="21" t="n">
        <v>1.267968868978094</v>
      </c>
    </row>
    <row r="215">
      <c r="A215" s="10" t="n">
        <v>0.8149999999999999</v>
      </c>
      <c r="B215" s="21" t="n">
        <v>1.402630077889885</v>
      </c>
      <c r="C215" s="21" t="n">
        <v>1.272604262843532</v>
      </c>
      <c r="D215" s="21" t="n">
        <v>1.414891162081713</v>
      </c>
      <c r="E215" s="21" t="n">
        <v>1.887874002232266</v>
      </c>
      <c r="F215" s="21" t="n">
        <v>1.278747244384205</v>
      </c>
      <c r="G215" s="21" t="n">
        <v>1.763738217485077</v>
      </c>
      <c r="H215" s="21" t="n">
        <v>1.3383126404066</v>
      </c>
      <c r="I215" s="21" t="n">
        <v>1.172615626634988</v>
      </c>
      <c r="J215" s="21" t="n">
        <v>1.473494829842702</v>
      </c>
      <c r="K215" s="21" t="n">
        <v>1.061768037179255</v>
      </c>
      <c r="L215" s="21" t="n">
        <v>1.375075471983617</v>
      </c>
      <c r="M215" s="21" t="n">
        <v>1.267968868978094</v>
      </c>
    </row>
    <row r="216">
      <c r="A216" s="10" t="n">
        <v>0.825</v>
      </c>
      <c r="B216" s="21" t="n">
        <v>1.235220205497969</v>
      </c>
      <c r="C216" s="21" t="n">
        <v>1.272604262843532</v>
      </c>
      <c r="D216" s="21" t="n">
        <v>1.121525007671427</v>
      </c>
      <c r="E216" s="21" t="n">
        <v>1.217039638521701</v>
      </c>
      <c r="F216" s="21" t="n">
        <v>1.316357457454329</v>
      </c>
      <c r="G216" s="21" t="n">
        <v>1.33574483015515</v>
      </c>
      <c r="H216" s="21" t="n">
        <v>1.063318384211579</v>
      </c>
      <c r="I216" s="21" t="n">
        <v>1.087618796794653</v>
      </c>
      <c r="J216" s="21" t="n">
        <v>1.473494829842702</v>
      </c>
      <c r="K216" s="21" t="n">
        <v>1.061768037179255</v>
      </c>
      <c r="L216" s="21" t="n">
        <v>1.343823756711262</v>
      </c>
      <c r="M216" s="21" t="n">
        <v>1.304196550948896</v>
      </c>
    </row>
    <row r="217">
      <c r="A217" s="10" t="n">
        <v>0.835</v>
      </c>
      <c r="B217" s="21" t="n">
        <v>1.063905546562346</v>
      </c>
      <c r="C217" s="21" t="n">
        <v>1.177763993102834</v>
      </c>
      <c r="D217" s="21" t="n">
        <v>1.085965473803514</v>
      </c>
      <c r="E217" s="21" t="n">
        <v>0.9669127355311773</v>
      </c>
      <c r="F217" s="21" t="n">
        <v>1.04723480977452</v>
      </c>
      <c r="G217" s="21" t="n">
        <v>1.000617550317931</v>
      </c>
      <c r="H217" s="21" t="n">
        <v>0.9507917485642778</v>
      </c>
      <c r="I217" s="21" t="n">
        <v>1.087618796794653</v>
      </c>
      <c r="J217" s="21" t="n">
        <v>1.002731728565961</v>
      </c>
      <c r="K217" s="21" t="n">
        <v>1.061768037179255</v>
      </c>
      <c r="L217" s="21" t="n">
        <v>1.375075471983617</v>
      </c>
      <c r="M217" s="21" t="n">
        <v>1.033410382255179</v>
      </c>
    </row>
    <row r="218">
      <c r="A218" s="10" t="n">
        <v>0.845</v>
      </c>
      <c r="B218" s="21" t="n">
        <v>1.007537216414945</v>
      </c>
      <c r="C218" s="21" t="n">
        <v>1.097086532310698</v>
      </c>
      <c r="D218" s="21" t="n">
        <v>1.085965473803514</v>
      </c>
      <c r="E218" s="21" t="n">
        <v>0.9669127355311773</v>
      </c>
      <c r="F218" s="21" t="n">
        <v>0.9365114714829309</v>
      </c>
      <c r="G218" s="21" t="n">
        <v>1.000617550317931</v>
      </c>
      <c r="H218" s="21" t="n">
        <v>0.9507917485642778</v>
      </c>
      <c r="I218" s="21" t="n">
        <v>1.087618796794653</v>
      </c>
      <c r="J218" s="21" t="n">
        <v>0.8921968053000418</v>
      </c>
      <c r="K218" s="21" t="n">
        <v>1.061768037179255</v>
      </c>
      <c r="L218" s="21" t="n">
        <v>1.128856885374581</v>
      </c>
      <c r="M218" s="21" t="n">
        <v>0.9395869875660131</v>
      </c>
    </row>
    <row r="219">
      <c r="A219" s="10" t="n">
        <v>0.855</v>
      </c>
      <c r="B219" s="21" t="n">
        <v>0.9388313213862329</v>
      </c>
      <c r="C219" s="21" t="n">
        <v>1.059897083353272</v>
      </c>
      <c r="D219" s="21" t="n">
        <v>0.892081066816321</v>
      </c>
      <c r="E219" s="21" t="n">
        <v>0.9669127355311773</v>
      </c>
      <c r="F219" s="21" t="n">
        <v>0.9640559265265466</v>
      </c>
      <c r="G219" s="21" t="n">
        <v>1.02062990132429</v>
      </c>
      <c r="H219" s="21" t="n">
        <v>0.8577840455081805</v>
      </c>
      <c r="I219" s="21" t="n">
        <v>0.9172948140004433</v>
      </c>
      <c r="J219" s="21" t="n">
        <v>0.865955722791217</v>
      </c>
      <c r="K219" s="21" t="n">
        <v>1.061768037179255</v>
      </c>
      <c r="L219" s="21" t="n">
        <v>0.877257454151304</v>
      </c>
      <c r="M219" s="21" t="n">
        <v>0.9395869875660131</v>
      </c>
    </row>
    <row r="220">
      <c r="A220" s="10" t="n">
        <v>0.865</v>
      </c>
      <c r="B220" s="21" t="n">
        <v>0.8951745438085331</v>
      </c>
      <c r="C220" s="21" t="n">
        <v>0.9835477160732211</v>
      </c>
      <c r="D220" s="21" t="n">
        <v>0.8545550525607352</v>
      </c>
      <c r="E220" s="21" t="n">
        <v>0.9449374460872868</v>
      </c>
      <c r="F220" s="21" t="n">
        <v>0.9365114714829309</v>
      </c>
      <c r="G220" s="21" t="n">
        <v>1.000617550317931</v>
      </c>
      <c r="H220" s="21" t="n">
        <v>0.7788289862209264</v>
      </c>
      <c r="I220" s="21" t="n">
        <v>0.7998696001833835</v>
      </c>
      <c r="J220" s="21" t="n">
        <v>0.8921968053000418</v>
      </c>
      <c r="K220" s="21" t="n">
        <v>0.9326979494087834</v>
      </c>
      <c r="L220" s="21" t="n">
        <v>0.877257454151304</v>
      </c>
      <c r="M220" s="21" t="n">
        <v>0.9136520939210117</v>
      </c>
    </row>
    <row r="221">
      <c r="A221" s="10" t="n">
        <v>0.875</v>
      </c>
      <c r="B221" s="21" t="n">
        <v>0.8405169222332939</v>
      </c>
      <c r="C221" s="21" t="n">
        <v>0.8737077482980705</v>
      </c>
      <c r="D221" s="21" t="n">
        <v>0.8545550525607352</v>
      </c>
      <c r="E221" s="21" t="n">
        <v>0.9669127355311773</v>
      </c>
      <c r="F221" s="21" t="n">
        <v>0.8343687098330825</v>
      </c>
      <c r="G221" s="21" t="n">
        <v>0.9843684972601093</v>
      </c>
      <c r="H221" s="21" t="n">
        <v>0.8004631247270633</v>
      </c>
      <c r="I221" s="21" t="n">
        <v>0.7998696001833835</v>
      </c>
      <c r="J221" s="21" t="n">
        <v>0.865955722791217</v>
      </c>
      <c r="K221" s="21" t="n">
        <v>0.7263029300385431</v>
      </c>
      <c r="L221" s="21" t="n">
        <v>0.8573197847387742</v>
      </c>
      <c r="M221" s="21" t="n">
        <v>0.7086734544233783</v>
      </c>
    </row>
    <row r="222">
      <c r="A222" s="10" t="n">
        <v>0.885</v>
      </c>
      <c r="B222" s="21" t="n">
        <v>0.8093513379081646</v>
      </c>
      <c r="C222" s="21" t="n">
        <v>0.8366045466858096</v>
      </c>
      <c r="D222" s="21" t="n">
        <v>0.7536247088493483</v>
      </c>
      <c r="E222" s="21" t="n">
        <v>0.9669127355311773</v>
      </c>
      <c r="F222" s="21" t="n">
        <v>0.7895326258970051</v>
      </c>
      <c r="G222" s="21" t="n">
        <v>0.9614369223279413</v>
      </c>
      <c r="H222" s="21" t="n">
        <v>0.7239648545840771</v>
      </c>
      <c r="I222" s="21" t="n">
        <v>0.7998696001833835</v>
      </c>
      <c r="J222" s="21" t="n">
        <v>0.7687617410358496</v>
      </c>
      <c r="K222" s="21" t="n">
        <v>0.7483121097366807</v>
      </c>
      <c r="L222" s="21" t="n">
        <v>0.877257454151304</v>
      </c>
      <c r="M222" s="21" t="n">
        <v>0.7086734544233783</v>
      </c>
    </row>
    <row r="223">
      <c r="A223" s="10" t="n">
        <v>0.895</v>
      </c>
      <c r="B223" s="21" t="n">
        <v>0.7565369531762645</v>
      </c>
      <c r="C223" s="21" t="n">
        <v>0.8042468839076907</v>
      </c>
      <c r="D223" s="21" t="n">
        <v>0.7154951201400672</v>
      </c>
      <c r="E223" s="21" t="n">
        <v>0.5948043888215273</v>
      </c>
      <c r="F223" s="21" t="n">
        <v>0.7895326258970051</v>
      </c>
      <c r="G223" s="21" t="n">
        <v>0.9425852179685699</v>
      </c>
      <c r="H223" s="21" t="n">
        <v>0.6989644811988924</v>
      </c>
      <c r="I223" s="21" t="n">
        <v>0.7827576947384307</v>
      </c>
      <c r="J223" s="21" t="n">
        <v>0.7254951324216193</v>
      </c>
      <c r="K223" s="21" t="n">
        <v>0.7483121097366807</v>
      </c>
      <c r="L223" s="21" t="n">
        <v>0.8422945587392117</v>
      </c>
      <c r="M223" s="21" t="n">
        <v>0.7289212674069034</v>
      </c>
    </row>
    <row r="224">
      <c r="A224" s="10" t="n">
        <v>0.905</v>
      </c>
      <c r="B224" s="21" t="n">
        <v>0.7466989104334355</v>
      </c>
      <c r="C224" s="21" t="n">
        <v>0.7153934044309658</v>
      </c>
      <c r="D224" s="21" t="n">
        <v>0.7154951201400672</v>
      </c>
      <c r="E224" s="21" t="n">
        <v>0.6086370490266791</v>
      </c>
      <c r="F224" s="21" t="n">
        <v>0.8127541737175054</v>
      </c>
      <c r="G224" s="21" t="n">
        <v>0.9425852179685699</v>
      </c>
      <c r="H224" s="21" t="n">
        <v>0.680073549274598</v>
      </c>
      <c r="I224" s="21" t="n">
        <v>0.7886259148141141</v>
      </c>
      <c r="J224" s="21" t="n">
        <v>0.7474798334040926</v>
      </c>
      <c r="K224" s="21" t="n">
        <v>0.7483121097366807</v>
      </c>
      <c r="L224" s="21" t="n">
        <v>0.8171565501530534</v>
      </c>
      <c r="M224" s="21" t="n">
        <v>0.6338558055693144</v>
      </c>
    </row>
    <row r="225">
      <c r="A225" s="10" t="n">
        <v>0.915</v>
      </c>
      <c r="B225" s="21" t="n">
        <v>0.7061709218284542</v>
      </c>
      <c r="C225" s="21" t="n">
        <v>0.7012606506910657</v>
      </c>
      <c r="D225" s="21" t="n">
        <v>0.6661550000538493</v>
      </c>
      <c r="E225" s="21" t="n">
        <v>0.6086370490266791</v>
      </c>
      <c r="F225" s="21" t="n">
        <v>0.6532155941658258</v>
      </c>
      <c r="G225" s="21" t="n">
        <v>0.9614369223279413</v>
      </c>
      <c r="H225" s="21" t="n">
        <v>0.6237146265705669</v>
      </c>
      <c r="I225" s="21" t="n">
        <v>0.7886259148141141</v>
      </c>
      <c r="J225" s="21" t="n">
        <v>0.7254951324216193</v>
      </c>
      <c r="K225" s="21" t="n">
        <v>0.7483121097366807</v>
      </c>
      <c r="L225" s="21" t="n">
        <v>0.7985848103768477</v>
      </c>
      <c r="M225" s="21" t="n">
        <v>0.5072413228932062</v>
      </c>
    </row>
    <row r="226">
      <c r="A226" s="10" t="n">
        <v>0.925</v>
      </c>
      <c r="B226" s="21" t="n">
        <v>0.6589191110500625</v>
      </c>
      <c r="C226" s="21" t="n">
        <v>0.677585969963896</v>
      </c>
      <c r="D226" s="21" t="n">
        <v>0.6566052993920005</v>
      </c>
      <c r="E226" s="21" t="n">
        <v>0.6916330102575899</v>
      </c>
      <c r="F226" s="21" t="n">
        <v>0.5647267264880568</v>
      </c>
      <c r="G226" s="21" t="n">
        <v>0.7729198787342273</v>
      </c>
      <c r="H226" s="21" t="n">
        <v>0.5816890095100267</v>
      </c>
      <c r="I226" s="21" t="n">
        <v>0.6521329680193634</v>
      </c>
      <c r="J226" s="21" t="n">
        <v>0.615571627509253</v>
      </c>
      <c r="K226" s="21" t="n">
        <v>0.6342495674288869</v>
      </c>
      <c r="L226" s="21" t="n">
        <v>0.7985848103768477</v>
      </c>
      <c r="M226" s="21" t="n">
        <v>0.6086895874718475</v>
      </c>
    </row>
    <row r="227">
      <c r="A227" s="10" t="n">
        <v>0.9350000000000001</v>
      </c>
      <c r="B227" s="21" t="n">
        <v>0.5975265742188696</v>
      </c>
      <c r="C227" s="21" t="n">
        <v>0.6250198056283806</v>
      </c>
      <c r="D227" s="21" t="n">
        <v>0.6566052993920005</v>
      </c>
      <c r="E227" s="21" t="n">
        <v>0.7192983306678935</v>
      </c>
      <c r="F227" s="21" t="n">
        <v>0.545902502271788</v>
      </c>
      <c r="G227" s="21" t="n">
        <v>0.5004093302376762</v>
      </c>
      <c r="H227" s="21" t="n">
        <v>0.5969966150234485</v>
      </c>
      <c r="I227" s="21" t="n">
        <v>0.6218012020649745</v>
      </c>
      <c r="J227" s="21" t="n">
        <v>0.4172488174213556</v>
      </c>
      <c r="K227" s="21" t="n">
        <v>0.4792065861137803</v>
      </c>
      <c r="L227" s="21" t="n">
        <v>0.7800130706006418</v>
      </c>
      <c r="M227" s="21" t="n">
        <v>0.6170284159465929</v>
      </c>
    </row>
    <row r="228">
      <c r="A228" s="10" t="n">
        <v>0.945</v>
      </c>
      <c r="B228" s="21" t="n">
        <v>0.484594359088296</v>
      </c>
      <c r="C228" s="21" t="n">
        <v>0.5049433542019786</v>
      </c>
      <c r="D228" s="21" t="n">
        <v>0.4094074650205332</v>
      </c>
      <c r="E228" s="21" t="n">
        <v>0.7192983306678935</v>
      </c>
      <c r="F228" s="21" t="n">
        <v>0.545902502271788</v>
      </c>
      <c r="G228" s="21" t="n">
        <v>0.3445867943412487</v>
      </c>
      <c r="H228" s="21" t="n">
        <v>0.4503790152438104</v>
      </c>
      <c r="I228" s="21" t="n">
        <v>0.5179123069323133</v>
      </c>
      <c r="J228" s="21" t="n">
        <v>0.2848033600732715</v>
      </c>
      <c r="K228" s="21" t="n">
        <v>0.4884220973851992</v>
      </c>
      <c r="L228" s="21" t="n">
        <v>0.7009042856796293</v>
      </c>
      <c r="M228" s="21" t="n">
        <v>0.3669084528887899</v>
      </c>
    </row>
    <row r="229">
      <c r="A229" s="10" t="n">
        <v>0.955</v>
      </c>
      <c r="B229" s="21" t="n">
        <v>0.3341304431281685</v>
      </c>
      <c r="C229" s="21" t="n">
        <v>0.3865093186490346</v>
      </c>
      <c r="D229" s="21" t="n">
        <v>0.3534012075222757</v>
      </c>
      <c r="E229" s="21" t="n">
        <v>0.2883917683250269</v>
      </c>
      <c r="F229" s="21" t="n">
        <v>0.3406363869801124</v>
      </c>
      <c r="G229" s="21" t="n">
        <v>0.3536548678765448</v>
      </c>
      <c r="H229" s="21" t="n">
        <v>0.3483841632231919</v>
      </c>
      <c r="I229" s="21" t="n">
        <v>0.2176185911345154</v>
      </c>
      <c r="J229" s="21" t="n">
        <v>0.273849384685838</v>
      </c>
      <c r="K229" s="21" t="n">
        <v>0.4884220973851992</v>
      </c>
      <c r="L229" s="21" t="n">
        <v>0.2671903159402454</v>
      </c>
      <c r="M229" s="21" t="n">
        <v>0.3669084528887899</v>
      </c>
    </row>
    <row r="230">
      <c r="A230" s="10" t="n">
        <v>0.965</v>
      </c>
      <c r="B230" s="21" t="n">
        <v>0.2836030312704258</v>
      </c>
      <c r="C230" s="21" t="n">
        <v>0.3253285091400427</v>
      </c>
      <c r="D230" s="21" t="n">
        <v>0.3534012075222757</v>
      </c>
      <c r="E230" s="21" t="n">
        <v>0.216549644309264</v>
      </c>
      <c r="F230" s="21" t="n">
        <v>0.1738576683056267</v>
      </c>
      <c r="G230" s="21" t="n">
        <v>0.3445867943412487</v>
      </c>
      <c r="H230" s="21" t="n">
        <v>0.3573170904853251</v>
      </c>
      <c r="I230" s="21" t="n">
        <v>0.2123108206190394</v>
      </c>
      <c r="J230" s="21" t="n">
        <v>0.2848033600732715</v>
      </c>
      <c r="K230" s="21" t="n">
        <v>0.2385141131681137</v>
      </c>
      <c r="L230" s="21" t="n">
        <v>0.2671903159402454</v>
      </c>
      <c r="M230" s="21" t="n">
        <v>0.3585696244140447</v>
      </c>
    </row>
    <row r="231">
      <c r="A231" s="10" t="n">
        <v>0.975</v>
      </c>
      <c r="B231" s="21" t="n">
        <v>0.2035012862153359</v>
      </c>
      <c r="C231" s="21" t="n">
        <v>0.2250513832131256</v>
      </c>
      <c r="D231" s="21" t="n">
        <v>0.1155606721821083</v>
      </c>
      <c r="E231" s="21" t="n">
        <v>0.216549644309264</v>
      </c>
      <c r="F231" s="21" t="n">
        <v>0.1678625762950878</v>
      </c>
      <c r="G231" s="21" t="n">
        <v>0.3536548678765448</v>
      </c>
      <c r="H231" s="21" t="n">
        <v>0.1514125059183645</v>
      </c>
      <c r="I231" s="21" t="n">
        <v>0.2176185911345154</v>
      </c>
      <c r="J231" s="21" t="n">
        <v>0.273849384685838</v>
      </c>
      <c r="K231" s="21" t="n">
        <v>0.1613271982539087</v>
      </c>
      <c r="L231" s="21" t="n">
        <v>0.2671903159402454</v>
      </c>
      <c r="M231" s="21" t="n">
        <v>0.1411822473918072</v>
      </c>
    </row>
    <row r="232">
      <c r="A232" s="10" t="n">
        <v>0.985</v>
      </c>
      <c r="B232" s="21" t="n">
        <v>0.1967904898202934</v>
      </c>
      <c r="C232" s="21" t="n">
        <v>0.2115429918720563</v>
      </c>
      <c r="D232" s="21" t="n">
        <v>0.1124374107717811</v>
      </c>
      <c r="E232" s="21" t="n">
        <v>0.2207140605459806</v>
      </c>
      <c r="F232" s="21" t="n">
        <v>0.1738576683056267</v>
      </c>
      <c r="G232" s="21" t="n">
        <v>0.3445867943412487</v>
      </c>
      <c r="H232" s="21" t="n">
        <v>0.1083249558829335</v>
      </c>
      <c r="I232" s="21" t="n">
        <v>0.2123108206190394</v>
      </c>
      <c r="J232" s="21" t="n">
        <v>0.2848033600732715</v>
      </c>
      <c r="K232" s="21" t="n">
        <v>0.1582832888528916</v>
      </c>
      <c r="L232" s="21" t="n">
        <v>0.2735519901292989</v>
      </c>
      <c r="M232" s="21" t="n">
        <v>0.1159139535047882</v>
      </c>
    </row>
    <row r="233">
      <c r="A233" s="10" t="n">
        <v>0.995</v>
      </c>
      <c r="B233" s="21" t="n">
        <v>0.1968793199211125</v>
      </c>
      <c r="C233" s="21" t="n">
        <v>0.2115429918720563</v>
      </c>
      <c r="D233" s="21" t="n">
        <v>0.1155606721821083</v>
      </c>
      <c r="E233" s="21" t="n">
        <v>0.216549644309264</v>
      </c>
      <c r="F233" s="21" t="n">
        <v>0.1738576683056267</v>
      </c>
      <c r="G233" s="21" t="n">
        <v>0.3536548678765448</v>
      </c>
      <c r="H233" s="21" t="n">
        <v>0.1083249558829335</v>
      </c>
      <c r="I233" s="21" t="n">
        <v>0.2176185911345154</v>
      </c>
      <c r="J233" s="21" t="n">
        <v>0.273849384685838</v>
      </c>
      <c r="K233" s="21" t="n">
        <v>0.1613271982539087</v>
      </c>
      <c r="L233" s="21" t="n">
        <v>0.2671903159402454</v>
      </c>
      <c r="M233" s="21" t="n">
        <v>0.1186096268421088</v>
      </c>
    </row>
    <row r="257">
      <c r="A257" s="6" t="inlineStr">
        <is>
          <t>■ 行程グループ別 平均カーブ(密度・面積1)</t>
        </is>
      </c>
    </row>
    <row r="258">
      <c r="A258" s="5" t="inlineStr">
        <is>
          <t>各行程グループが正準時間軸のどこで消化されるか。山が立つ位置がマイルストーン直前に来ていれば位置合わせが効いている。</t>
        </is>
      </c>
    </row>
    <row r="259">
      <c r="A259" s="7" t="inlineStr">
        <is>
          <t>t</t>
        </is>
      </c>
      <c r="B259" s="8" t="inlineStr">
        <is>
          <t>企画・プリプロ</t>
        </is>
      </c>
      <c r="C259" s="8" t="inlineStr">
        <is>
          <t>ゲームデザイン・シナリオ</t>
        </is>
      </c>
      <c r="D259" s="8" t="inlineStr">
        <is>
          <t>プログラム</t>
        </is>
      </c>
      <c r="E259" s="8" t="inlineStr">
        <is>
          <t>アート</t>
        </is>
      </c>
      <c r="F259" s="8" t="inlineStr">
        <is>
          <t>サウンド</t>
        </is>
      </c>
      <c r="G259" s="8" t="inlineStr">
        <is>
          <t>QA・デバッグ</t>
        </is>
      </c>
      <c r="H259" s="8" t="inlineStr">
        <is>
          <t>PM・運営</t>
        </is>
      </c>
    </row>
    <row r="260">
      <c r="A260" s="10" t="n">
        <v>0.005</v>
      </c>
      <c r="B260" s="21" t="n">
        <v>2.603245376176093</v>
      </c>
      <c r="C260" s="21" t="n">
        <v>0.2885778009662788</v>
      </c>
      <c r="D260" s="21" t="n">
        <v>0.03256219305680366</v>
      </c>
      <c r="E260" s="21" t="n">
        <v>0.006018151270048862</v>
      </c>
      <c r="F260" s="21" t="n">
        <v>0</v>
      </c>
      <c r="G260" s="21" t="n">
        <v>0</v>
      </c>
      <c r="H260" s="21" t="n">
        <v>0.2411014367876252</v>
      </c>
    </row>
    <row r="261">
      <c r="A261" s="10" t="n">
        <v>0.015</v>
      </c>
      <c r="B261" s="21" t="n">
        <v>2.592559153347537</v>
      </c>
      <c r="C261" s="21" t="n">
        <v>0.2866367828450471</v>
      </c>
      <c r="D261" s="21" t="n">
        <v>0.03219732969417156</v>
      </c>
      <c r="E261" s="21" t="n">
        <v>0.005917004907068036</v>
      </c>
      <c r="F261" s="21" t="n">
        <v>0</v>
      </c>
      <c r="G261" s="21" t="n">
        <v>0</v>
      </c>
      <c r="H261" s="21" t="n">
        <v>0.239609950461576</v>
      </c>
    </row>
    <row r="262">
      <c r="A262" s="10" t="n">
        <v>0.025</v>
      </c>
      <c r="B262" s="21" t="n">
        <v>2.670930403447422</v>
      </c>
      <c r="C262" s="21" t="n">
        <v>0.3103559793382611</v>
      </c>
      <c r="D262" s="21" t="n">
        <v>0.03628551813330168</v>
      </c>
      <c r="E262" s="21" t="n">
        <v>0.007310034825580967</v>
      </c>
      <c r="F262" s="21" t="n">
        <v>0</v>
      </c>
      <c r="G262" s="21" t="n">
        <v>0</v>
      </c>
      <c r="H262" s="21" t="n">
        <v>0.2590443082379668</v>
      </c>
    </row>
    <row r="263">
      <c r="A263" s="10" t="n">
        <v>0.035</v>
      </c>
      <c r="B263" s="21" t="n">
        <v>2.832394513796606</v>
      </c>
      <c r="C263" s="21" t="n">
        <v>0.3808714362757543</v>
      </c>
      <c r="D263" s="21" t="n">
        <v>0.05034990520824251</v>
      </c>
      <c r="E263" s="21" t="n">
        <v>0.0131795892076657</v>
      </c>
      <c r="F263" s="21" t="n">
        <v>0</v>
      </c>
      <c r="G263" s="21" t="n">
        <v>0</v>
      </c>
      <c r="H263" s="21" t="n">
        <v>0.3116320634489848</v>
      </c>
    </row>
    <row r="264">
      <c r="A264" s="10" t="n">
        <v>0.045</v>
      </c>
      <c r="B264" s="21" t="n">
        <v>3.059595469736535</v>
      </c>
      <c r="C264" s="21" t="n">
        <v>0.4994868352709388</v>
      </c>
      <c r="D264" s="21" t="n">
        <v>0.07462456436568528</v>
      </c>
      <c r="E264" s="21" t="n">
        <v>0.02600591207201352</v>
      </c>
      <c r="F264" s="21" t="n">
        <v>0</v>
      </c>
      <c r="G264" s="21" t="n">
        <v>0</v>
      </c>
      <c r="H264" s="21" t="n">
        <v>0.3829006139375969</v>
      </c>
    </row>
    <row r="265">
      <c r="A265" s="10" t="n">
        <v>0.055</v>
      </c>
      <c r="B265" s="21" t="n">
        <v>3.164800007712388</v>
      </c>
      <c r="C265" s="21" t="n">
        <v>0.5649176011283097</v>
      </c>
      <c r="D265" s="21" t="n">
        <v>0.08841654440883445</v>
      </c>
      <c r="E265" s="21" t="n">
        <v>0.03426677218127701</v>
      </c>
      <c r="F265" s="21" t="n">
        <v>0</v>
      </c>
      <c r="G265" s="21" t="n">
        <v>0</v>
      </c>
      <c r="H265" s="21" t="n">
        <v>0.4168355830552013</v>
      </c>
    </row>
    <row r="266">
      <c r="A266" s="10" t="n">
        <v>0.065</v>
      </c>
      <c r="B266" s="21" t="n">
        <v>3.255539377920162</v>
      </c>
      <c r="C266" s="21" t="n">
        <v>0.6894077151288205</v>
      </c>
      <c r="D266" s="21" t="n">
        <v>0.1253702936532019</v>
      </c>
      <c r="E266" s="21" t="n">
        <v>0.05433964213412755</v>
      </c>
      <c r="F266" s="21" t="n">
        <v>0.0005102754886593113</v>
      </c>
      <c r="G266" s="21" t="n">
        <v>0</v>
      </c>
      <c r="H266" s="21" t="n">
        <v>0.4778979446982435</v>
      </c>
    </row>
    <row r="267">
      <c r="A267" s="10" t="n">
        <v>0.075</v>
      </c>
      <c r="B267" s="21" t="n">
        <v>3.351294388558331</v>
      </c>
      <c r="C267" s="21" t="n">
        <v>0.8448062976955353</v>
      </c>
      <c r="D267" s="21" t="n">
        <v>0.1747896995264648</v>
      </c>
      <c r="E267" s="21" t="n">
        <v>0.08178966589966273</v>
      </c>
      <c r="F267" s="21" t="n">
        <v>0.001658395338142762</v>
      </c>
      <c r="G267" s="21" t="n">
        <v>0</v>
      </c>
      <c r="H267" s="21" t="n">
        <v>0.5595108654329574</v>
      </c>
    </row>
    <row r="268">
      <c r="A268" s="10" t="n">
        <v>0.08500000000000001</v>
      </c>
      <c r="B268" s="21" t="n">
        <v>3.314003800036443</v>
      </c>
      <c r="C268" s="21" t="n">
        <v>0.9438609781324315</v>
      </c>
      <c r="D268" s="21" t="n">
        <v>0.2114195981913103</v>
      </c>
      <c r="E268" s="21" t="n">
        <v>0.1030876688764007</v>
      </c>
      <c r="F268" s="21" t="n">
        <v>0.001969761450816735</v>
      </c>
      <c r="G268" s="21" t="n">
        <v>0</v>
      </c>
      <c r="H268" s="21" t="n">
        <v>0.6074401663403355</v>
      </c>
    </row>
    <row r="269">
      <c r="A269" s="10" t="n">
        <v>0.095</v>
      </c>
      <c r="B269" s="21" t="n">
        <v>3.385735749381961</v>
      </c>
      <c r="C269" s="21" t="n">
        <v>1.019362441178373</v>
      </c>
      <c r="D269" s="21" t="n">
        <v>0.2367434673805726</v>
      </c>
      <c r="E269" s="21" t="n">
        <v>0.1162809154242219</v>
      </c>
      <c r="F269" s="21" t="n">
        <v>0.003819184312581742</v>
      </c>
      <c r="G269" s="21" t="n">
        <v>0</v>
      </c>
      <c r="H269" s="21" t="n">
        <v>0.6424665848347645</v>
      </c>
    </row>
    <row r="270">
      <c r="A270" s="10" t="n">
        <v>0.105</v>
      </c>
      <c r="B270" s="21" t="n">
        <v>3.420158951344924</v>
      </c>
      <c r="C270" s="21" t="n">
        <v>1.098481679019644</v>
      </c>
      <c r="D270" s="21" t="n">
        <v>0.2723814042997869</v>
      </c>
      <c r="E270" s="21" t="n">
        <v>0.1397063795082993</v>
      </c>
      <c r="F270" s="21" t="n">
        <v>0.007660667228402671</v>
      </c>
      <c r="G270" s="21" t="n">
        <v>0</v>
      </c>
      <c r="H270" s="21" t="n">
        <v>0.6822354902626936</v>
      </c>
    </row>
    <row r="271">
      <c r="A271" s="10" t="n">
        <v>0.115</v>
      </c>
      <c r="B271" s="21" t="n">
        <v>3.262751826358094</v>
      </c>
      <c r="C271" s="21" t="n">
        <v>1.126102577952593</v>
      </c>
      <c r="D271" s="21" t="n">
        <v>0.2968073147193313</v>
      </c>
      <c r="E271" s="21" t="n">
        <v>0.1567305835772394</v>
      </c>
      <c r="F271" s="21" t="n">
        <v>0.009184434654877071</v>
      </c>
      <c r="G271" s="21" t="n">
        <v>0</v>
      </c>
      <c r="H271" s="21" t="n">
        <v>0.6874937286560077</v>
      </c>
    </row>
    <row r="272">
      <c r="A272" s="10" t="n">
        <v>0.125</v>
      </c>
      <c r="B272" s="21" t="n">
        <v>3.283434836505926</v>
      </c>
      <c r="C272" s="21" t="n">
        <v>1.162149382196352</v>
      </c>
      <c r="D272" s="21" t="n">
        <v>0.3168766593532349</v>
      </c>
      <c r="E272" s="21" t="n">
        <v>0.1778399637487205</v>
      </c>
      <c r="F272" s="21" t="n">
        <v>0.01364178240727201</v>
      </c>
      <c r="G272" s="21" t="n">
        <v>0</v>
      </c>
      <c r="H272" s="21" t="n">
        <v>0.727103859637428</v>
      </c>
    </row>
    <row r="273">
      <c r="A273" s="10" t="n">
        <v>0.135</v>
      </c>
      <c r="B273" s="21" t="n">
        <v>3.127701128622232</v>
      </c>
      <c r="C273" s="21" t="n">
        <v>1.28102402759572</v>
      </c>
      <c r="D273" s="21" t="n">
        <v>0.3827394147050058</v>
      </c>
      <c r="E273" s="21" t="n">
        <v>0.2440020918295745</v>
      </c>
      <c r="F273" s="21" t="n">
        <v>0.03453029490440292</v>
      </c>
      <c r="G273" s="21" t="n">
        <v>0.0002199846875615769</v>
      </c>
      <c r="H273" s="21" t="n">
        <v>0.8204710417107165</v>
      </c>
    </row>
    <row r="274">
      <c r="A274" s="10" t="n">
        <v>0.145</v>
      </c>
      <c r="B274" s="21" t="n">
        <v>3.046000070070348</v>
      </c>
      <c r="C274" s="21" t="n">
        <v>1.317542241930445</v>
      </c>
      <c r="D274" s="21" t="n">
        <v>0.4138815682314947</v>
      </c>
      <c r="E274" s="21" t="n">
        <v>0.2717384321112287</v>
      </c>
      <c r="F274" s="21" t="n">
        <v>0.04316774239684515</v>
      </c>
      <c r="G274" s="21" t="n">
        <v>0.0004888548612479489</v>
      </c>
      <c r="H274" s="21" t="n">
        <v>0.8626737579185858</v>
      </c>
    </row>
    <row r="275">
      <c r="A275" s="10" t="n">
        <v>0.155</v>
      </c>
      <c r="B275" s="21" t="n">
        <v>3.019603080414402</v>
      </c>
      <c r="C275" s="21" t="n">
        <v>1.324029672059184</v>
      </c>
      <c r="D275" s="21" t="n">
        <v>0.4229599271531388</v>
      </c>
      <c r="E275" s="21" t="n">
        <v>0.2784351267985903</v>
      </c>
      <c r="F275" s="21" t="n">
        <v>0.04539065593413068</v>
      </c>
      <c r="G275" s="21" t="n">
        <v>0.000512501584952469</v>
      </c>
      <c r="H275" s="21" t="n">
        <v>0.8724891263782384</v>
      </c>
    </row>
    <row r="276">
      <c r="A276" s="10" t="n">
        <v>0.165</v>
      </c>
      <c r="B276" s="21" t="n">
        <v>2.762960558946386</v>
      </c>
      <c r="C276" s="21" t="n">
        <v>1.411381029657274</v>
      </c>
      <c r="D276" s="21" t="n">
        <v>0.4995014515004269</v>
      </c>
      <c r="E276" s="21" t="n">
        <v>0.3438735376046868</v>
      </c>
      <c r="F276" s="21" t="n">
        <v>0.07393929677059016</v>
      </c>
      <c r="G276" s="21" t="n">
        <v>0.0008831385690548973</v>
      </c>
      <c r="H276" s="21" t="n">
        <v>0.9003690301291256</v>
      </c>
    </row>
    <row r="277">
      <c r="A277" s="10" t="n">
        <v>0.175</v>
      </c>
      <c r="B277" s="21" t="n">
        <v>2.625018773505807</v>
      </c>
      <c r="C277" s="21" t="n">
        <v>1.400902553323089</v>
      </c>
      <c r="D277" s="21" t="n">
        <v>0.5139211764734546</v>
      </c>
      <c r="E277" s="21" t="n">
        <v>0.361316566835058</v>
      </c>
      <c r="F277" s="21" t="n">
        <v>0.08074245295758065</v>
      </c>
      <c r="G277" s="21" t="n">
        <v>0.001489340041531276</v>
      </c>
      <c r="H277" s="21" t="n">
        <v>0.895096182024412</v>
      </c>
    </row>
    <row r="278">
      <c r="A278" s="10" t="n">
        <v>0.185</v>
      </c>
      <c r="B278" s="21" t="n">
        <v>2.529721554616038</v>
      </c>
      <c r="C278" s="21" t="n">
        <v>1.439613070327769</v>
      </c>
      <c r="D278" s="21" t="n">
        <v>0.5349692575456381</v>
      </c>
      <c r="E278" s="21" t="n">
        <v>0.3808617978915619</v>
      </c>
      <c r="F278" s="21" t="n">
        <v>0.08757267925256461</v>
      </c>
      <c r="G278" s="21" t="n">
        <v>0.001982389836683723</v>
      </c>
      <c r="H278" s="21" t="n">
        <v>0.8828772078417082</v>
      </c>
    </row>
    <row r="279">
      <c r="A279" s="10" t="n">
        <v>0.195</v>
      </c>
      <c r="B279" s="21" t="n">
        <v>2.393243968795189</v>
      </c>
      <c r="C279" s="21" t="n">
        <v>1.455299937539742</v>
      </c>
      <c r="D279" s="21" t="n">
        <v>0.5693386085198991</v>
      </c>
      <c r="E279" s="21" t="n">
        <v>0.4117995301069533</v>
      </c>
      <c r="F279" s="21" t="n">
        <v>0.1034616106254119</v>
      </c>
      <c r="G279" s="21" t="n">
        <v>0.002906889564702182</v>
      </c>
      <c r="H279" s="21" t="n">
        <v>0.905357485527312</v>
      </c>
    </row>
    <row r="280">
      <c r="A280" s="10" t="n">
        <v>0.205</v>
      </c>
      <c r="B280" s="21" t="n">
        <v>2.178679520367135</v>
      </c>
      <c r="C280" s="21" t="n">
        <v>1.419052770555204</v>
      </c>
      <c r="D280" s="21" t="n">
        <v>0.5985279447932358</v>
      </c>
      <c r="E280" s="21" t="n">
        <v>0.4503688074580093</v>
      </c>
      <c r="F280" s="21" t="n">
        <v>0.1308827269158626</v>
      </c>
      <c r="G280" s="21" t="n">
        <v>0.004895162134299946</v>
      </c>
      <c r="H280" s="21" t="n">
        <v>0.906269324997004</v>
      </c>
    </row>
    <row r="281">
      <c r="A281" s="10" t="n">
        <v>0.215</v>
      </c>
      <c r="B281" s="21" t="n">
        <v>2.136360053139238</v>
      </c>
      <c r="C281" s="21" t="n">
        <v>1.424298692874612</v>
      </c>
      <c r="D281" s="21" t="n">
        <v>0.6244872645471817</v>
      </c>
      <c r="E281" s="21" t="n">
        <v>0.477615116961295</v>
      </c>
      <c r="F281" s="21" t="n">
        <v>0.1472796719938793</v>
      </c>
      <c r="G281" s="21" t="n">
        <v>0.006182021552756219</v>
      </c>
      <c r="H281" s="21" t="n">
        <v>0.9196459195686683</v>
      </c>
    </row>
    <row r="282">
      <c r="A282" s="10" t="n">
        <v>0.225</v>
      </c>
      <c r="B282" s="21" t="n">
        <v>2.134384493837593</v>
      </c>
      <c r="C282" s="21" t="n">
        <v>1.456106196951026</v>
      </c>
      <c r="D282" s="21" t="n">
        <v>0.6674576124676169</v>
      </c>
      <c r="E282" s="21" t="n">
        <v>0.5080054652433459</v>
      </c>
      <c r="F282" s="21" t="n">
        <v>0.1608074825703986</v>
      </c>
      <c r="G282" s="21" t="n">
        <v>0.007768202559797249</v>
      </c>
      <c r="H282" s="21" t="n">
        <v>0.9731983104501857</v>
      </c>
    </row>
    <row r="283">
      <c r="A283" s="10" t="n">
        <v>0.235</v>
      </c>
      <c r="B283" s="21" t="n">
        <v>2.117419073025899</v>
      </c>
      <c r="C283" s="21" t="n">
        <v>1.504400356682758</v>
      </c>
      <c r="D283" s="21" t="n">
        <v>0.7144227463956451</v>
      </c>
      <c r="E283" s="21" t="n">
        <v>0.5422217795592732</v>
      </c>
      <c r="F283" s="21" t="n">
        <v>0.1777622965430611</v>
      </c>
      <c r="G283" s="21" t="n">
        <v>0.0099060324832951</v>
      </c>
      <c r="H283" s="21" t="n">
        <v>1.043536297875114</v>
      </c>
    </row>
    <row r="284">
      <c r="A284" s="10" t="n">
        <v>0.245</v>
      </c>
      <c r="B284" s="21" t="n">
        <v>1.996783660825308</v>
      </c>
      <c r="C284" s="21" t="n">
        <v>1.524783562005541</v>
      </c>
      <c r="D284" s="21" t="n">
        <v>0.7481928579877872</v>
      </c>
      <c r="E284" s="21" t="n">
        <v>0.5838654170574825</v>
      </c>
      <c r="F284" s="21" t="n">
        <v>0.2048886772397565</v>
      </c>
      <c r="G284" s="21" t="n">
        <v>0.01424508138774307</v>
      </c>
      <c r="H284" s="21" t="n">
        <v>1.07898240264157</v>
      </c>
    </row>
    <row r="285">
      <c r="A285" s="10" t="n">
        <v>0.255</v>
      </c>
      <c r="B285" s="21" t="n">
        <v>1.929218439938669</v>
      </c>
      <c r="C285" s="21" t="n">
        <v>1.521052413233229</v>
      </c>
      <c r="D285" s="21" t="n">
        <v>0.7748342065906635</v>
      </c>
      <c r="E285" s="21" t="n">
        <v>0.6200375916846463</v>
      </c>
      <c r="F285" s="21" t="n">
        <v>0.2229231685537016</v>
      </c>
      <c r="G285" s="21" t="n">
        <v>0.01758694084347995</v>
      </c>
      <c r="H285" s="21" t="n">
        <v>1.110979029607995</v>
      </c>
    </row>
    <row r="286">
      <c r="A286" s="10" t="n">
        <v>0.265</v>
      </c>
      <c r="B286" s="21" t="n">
        <v>1.807406822657383</v>
      </c>
      <c r="C286" s="21" t="n">
        <v>1.551589442723456</v>
      </c>
      <c r="D286" s="21" t="n">
        <v>0.8065064627432965</v>
      </c>
      <c r="E286" s="21" t="n">
        <v>0.6793724036076064</v>
      </c>
      <c r="F286" s="21" t="n">
        <v>0.2581041181348286</v>
      </c>
      <c r="G286" s="21" t="n">
        <v>0.02314985359877706</v>
      </c>
      <c r="H286" s="21" t="n">
        <v>1.129100137783308</v>
      </c>
    </row>
    <row r="287">
      <c r="A287" s="10" t="n">
        <v>0.275</v>
      </c>
      <c r="B287" s="21" t="n">
        <v>1.72825546831923</v>
      </c>
      <c r="C287" s="21" t="n">
        <v>1.643792027144428</v>
      </c>
      <c r="D287" s="21" t="n">
        <v>0.8626889614677224</v>
      </c>
      <c r="E287" s="21" t="n">
        <v>0.7831667755606387</v>
      </c>
      <c r="F287" s="21" t="n">
        <v>0.3034376059482978</v>
      </c>
      <c r="G287" s="21" t="n">
        <v>0.0294084916922608</v>
      </c>
      <c r="H287" s="21" t="n">
        <v>1.174631359162416</v>
      </c>
    </row>
    <row r="288">
      <c r="A288" s="10" t="n">
        <v>0.285</v>
      </c>
      <c r="B288" s="21" t="n">
        <v>1.712823734864253</v>
      </c>
      <c r="C288" s="21" t="n">
        <v>1.69972858593007</v>
      </c>
      <c r="D288" s="21" t="n">
        <v>0.9035672881561877</v>
      </c>
      <c r="E288" s="21" t="n">
        <v>0.8212271291343286</v>
      </c>
      <c r="F288" s="21" t="n">
        <v>0.3205864585801245</v>
      </c>
      <c r="G288" s="21" t="n">
        <v>0.03169108323487997</v>
      </c>
      <c r="H288" s="21" t="n">
        <v>1.197476852510351</v>
      </c>
    </row>
    <row r="289">
      <c r="A289" s="10" t="n">
        <v>0.295</v>
      </c>
      <c r="B289" s="21" t="n">
        <v>1.619444332888746</v>
      </c>
      <c r="C289" s="21" t="n">
        <v>1.720704916122832</v>
      </c>
      <c r="D289" s="21" t="n">
        <v>0.9515848241443723</v>
      </c>
      <c r="E289" s="21" t="n">
        <v>0.8613916701681641</v>
      </c>
      <c r="F289" s="21" t="n">
        <v>0.3561122346127042</v>
      </c>
      <c r="G289" s="21" t="n">
        <v>0.03724108661336085</v>
      </c>
      <c r="H289" s="21" t="n">
        <v>1.235821586201452</v>
      </c>
    </row>
    <row r="290">
      <c r="A290" s="10" t="n">
        <v>0.305</v>
      </c>
      <c r="B290" s="21" t="n">
        <v>1.592699612739214</v>
      </c>
      <c r="C290" s="21" t="n">
        <v>1.705717871279218</v>
      </c>
      <c r="D290" s="21" t="n">
        <v>0.9544703710830317</v>
      </c>
      <c r="E290" s="21" t="n">
        <v>0.8614322477612895</v>
      </c>
      <c r="F290" s="21" t="n">
        <v>0.3613002023448875</v>
      </c>
      <c r="G290" s="21" t="n">
        <v>0.03888190957181833</v>
      </c>
      <c r="H290" s="21" t="n">
        <v>1.23430471372313</v>
      </c>
    </row>
    <row r="291">
      <c r="A291" s="10" t="n">
        <v>0.315</v>
      </c>
      <c r="B291" s="21" t="n">
        <v>1.580989184636383</v>
      </c>
      <c r="C291" s="21" t="n">
        <v>1.748715565591971</v>
      </c>
      <c r="D291" s="21" t="n">
        <v>1.009062060329813</v>
      </c>
      <c r="E291" s="21" t="n">
        <v>0.907426050623778</v>
      </c>
      <c r="F291" s="21" t="n">
        <v>0.390474798740466</v>
      </c>
      <c r="G291" s="21" t="n">
        <v>0.04428408138317719</v>
      </c>
      <c r="H291" s="21" t="n">
        <v>1.284654791954458</v>
      </c>
    </row>
    <row r="292">
      <c r="A292" s="10" t="n">
        <v>0.325</v>
      </c>
      <c r="B292" s="21" t="n">
        <v>1.413573249215569</v>
      </c>
      <c r="C292" s="21" t="n">
        <v>1.779265530518726</v>
      </c>
      <c r="D292" s="21" t="n">
        <v>1.136686658623269</v>
      </c>
      <c r="E292" s="21" t="n">
        <v>1.029453048577737</v>
      </c>
      <c r="F292" s="21" t="n">
        <v>0.5130498175322947</v>
      </c>
      <c r="G292" s="21" t="n">
        <v>0.06404729830542741</v>
      </c>
      <c r="H292" s="21" t="n">
        <v>1.315096130920145</v>
      </c>
    </row>
    <row r="293">
      <c r="A293" s="10" t="n">
        <v>0.335</v>
      </c>
      <c r="B293" s="21" t="n">
        <v>1.266612967396234</v>
      </c>
      <c r="C293" s="21" t="n">
        <v>1.706256323577577</v>
      </c>
      <c r="D293" s="21" t="n">
        <v>1.169558548023483</v>
      </c>
      <c r="E293" s="21" t="n">
        <v>1.081008926003288</v>
      </c>
      <c r="F293" s="21" t="n">
        <v>0.5790960117060889</v>
      </c>
      <c r="G293" s="21" t="n">
        <v>0.07837479135913385</v>
      </c>
      <c r="H293" s="21" t="n">
        <v>1.281186853976137</v>
      </c>
    </row>
    <row r="294">
      <c r="A294" s="10" t="n">
        <v>0.345</v>
      </c>
      <c r="B294" s="21" t="n">
        <v>1.236233599312333</v>
      </c>
      <c r="C294" s="21" t="n">
        <v>1.715662963425223</v>
      </c>
      <c r="D294" s="21" t="n">
        <v>1.18150664274753</v>
      </c>
      <c r="E294" s="21" t="n">
        <v>1.127722013452592</v>
      </c>
      <c r="F294" s="21" t="n">
        <v>0.6138910438414786</v>
      </c>
      <c r="G294" s="21" t="n">
        <v>0.08418788696020434</v>
      </c>
      <c r="H294" s="21" t="n">
        <v>1.302786780358764</v>
      </c>
    </row>
    <row r="295">
      <c r="A295" s="10" t="n">
        <v>0.355</v>
      </c>
      <c r="B295" s="21" t="n">
        <v>1.172981720463127</v>
      </c>
      <c r="C295" s="21" t="n">
        <v>1.707109561868073</v>
      </c>
      <c r="D295" s="21" t="n">
        <v>1.177027021715315</v>
      </c>
      <c r="E295" s="21" t="n">
        <v>1.166218309905337</v>
      </c>
      <c r="F295" s="21" t="n">
        <v>0.6448779325483447</v>
      </c>
      <c r="G295" s="21" t="n">
        <v>0.09017270750850216</v>
      </c>
      <c r="H295" s="21" t="n">
        <v>1.312329673732573</v>
      </c>
    </row>
    <row r="296">
      <c r="A296" s="10" t="n">
        <v>0.365</v>
      </c>
      <c r="B296" s="21" t="n">
        <v>1.138307555708159</v>
      </c>
      <c r="C296" s="21" t="n">
        <v>1.696228030530488</v>
      </c>
      <c r="D296" s="21" t="n">
        <v>1.17584039559431</v>
      </c>
      <c r="E296" s="21" t="n">
        <v>1.195083821689227</v>
      </c>
      <c r="F296" s="21" t="n">
        <v>0.657583132797966</v>
      </c>
      <c r="G296" s="21" t="n">
        <v>0.09631171855928246</v>
      </c>
      <c r="H296" s="21" t="n">
        <v>1.321695807540997</v>
      </c>
    </row>
    <row r="297">
      <c r="A297" s="10" t="n">
        <v>0.375</v>
      </c>
      <c r="B297" s="21" t="n">
        <v>1.069477991495559</v>
      </c>
      <c r="C297" s="21" t="n">
        <v>1.740268137830049</v>
      </c>
      <c r="D297" s="21" t="n">
        <v>1.228217000748605</v>
      </c>
      <c r="E297" s="21" t="n">
        <v>1.262404166110599</v>
      </c>
      <c r="F297" s="21" t="n">
        <v>0.7203721383055371</v>
      </c>
      <c r="G297" s="21" t="n">
        <v>0.113364267756918</v>
      </c>
      <c r="H297" s="21" t="n">
        <v>1.370717040891641</v>
      </c>
    </row>
    <row r="298">
      <c r="A298" s="10" t="n">
        <v>0.385</v>
      </c>
      <c r="B298" s="21" t="n">
        <v>0.9489447127383572</v>
      </c>
      <c r="C298" s="21" t="n">
        <v>1.728680775816564</v>
      </c>
      <c r="D298" s="21" t="n">
        <v>1.285234169537701</v>
      </c>
      <c r="E298" s="21" t="n">
        <v>1.293526465139615</v>
      </c>
      <c r="F298" s="21" t="n">
        <v>0.7805516348806321</v>
      </c>
      <c r="G298" s="21" t="n">
        <v>0.1297988789425475</v>
      </c>
      <c r="H298" s="21" t="n">
        <v>1.388876966775624</v>
      </c>
    </row>
    <row r="299">
      <c r="A299" s="10" t="n">
        <v>0.395</v>
      </c>
      <c r="B299" s="21" t="n">
        <v>0.8744634687037279</v>
      </c>
      <c r="C299" s="21" t="n">
        <v>1.793399559604729</v>
      </c>
      <c r="D299" s="21" t="n">
        <v>1.353455089496885</v>
      </c>
      <c r="E299" s="21" t="n">
        <v>1.339480830625226</v>
      </c>
      <c r="F299" s="21" t="n">
        <v>0.8573032881319328</v>
      </c>
      <c r="G299" s="21" t="n">
        <v>0.1471586857804132</v>
      </c>
      <c r="H299" s="21" t="n">
        <v>1.429283360801187</v>
      </c>
    </row>
    <row r="300">
      <c r="A300" s="10" t="n">
        <v>0.405</v>
      </c>
      <c r="B300" s="21" t="n">
        <v>0.8104095372491089</v>
      </c>
      <c r="C300" s="21" t="n">
        <v>1.848909950298115</v>
      </c>
      <c r="D300" s="21" t="n">
        <v>1.443615394044777</v>
      </c>
      <c r="E300" s="21" t="n">
        <v>1.38068179511587</v>
      </c>
      <c r="F300" s="21" t="n">
        <v>0.9160178053159905</v>
      </c>
      <c r="G300" s="21" t="n">
        <v>0.1699792041396598</v>
      </c>
      <c r="H300" s="21" t="n">
        <v>1.45517972464993</v>
      </c>
    </row>
    <row r="301">
      <c r="A301" s="10" t="n">
        <v>0.415</v>
      </c>
      <c r="B301" s="21" t="n">
        <v>0.7438693873305613</v>
      </c>
      <c r="C301" s="21" t="n">
        <v>1.895054190289287</v>
      </c>
      <c r="D301" s="21" t="n">
        <v>1.563414841282409</v>
      </c>
      <c r="E301" s="21" t="n">
        <v>1.397527621603504</v>
      </c>
      <c r="F301" s="21" t="n">
        <v>0.9928944785408798</v>
      </c>
      <c r="G301" s="21" t="n">
        <v>0.191703918768369</v>
      </c>
      <c r="H301" s="21" t="n">
        <v>1.440353265554764</v>
      </c>
    </row>
    <row r="302">
      <c r="A302" s="10" t="n">
        <v>0.425</v>
      </c>
      <c r="B302" s="21" t="n">
        <v>0.6802193038040156</v>
      </c>
      <c r="C302" s="21" t="n">
        <v>1.990398270015447</v>
      </c>
      <c r="D302" s="21" t="n">
        <v>1.747461223482288</v>
      </c>
      <c r="E302" s="21" t="n">
        <v>1.459805921257819</v>
      </c>
      <c r="F302" s="21" t="n">
        <v>1.077162366336057</v>
      </c>
      <c r="G302" s="21" t="n">
        <v>0.2174808234850534</v>
      </c>
      <c r="H302" s="21" t="n">
        <v>1.432813625290896</v>
      </c>
    </row>
    <row r="303">
      <c r="A303" s="10" t="n">
        <v>0.435</v>
      </c>
      <c r="B303" s="21" t="n">
        <v>0.6589630467791983</v>
      </c>
      <c r="C303" s="21" t="n">
        <v>2.02735415029919</v>
      </c>
      <c r="D303" s="21" t="n">
        <v>1.844422517201293</v>
      </c>
      <c r="E303" s="21" t="n">
        <v>1.491671259287039</v>
      </c>
      <c r="F303" s="21" t="n">
        <v>1.123822328178584</v>
      </c>
      <c r="G303" s="21" t="n">
        <v>0.2259310714189883</v>
      </c>
      <c r="H303" s="21" t="n">
        <v>1.425658153750229</v>
      </c>
    </row>
    <row r="304">
      <c r="A304" s="10" t="n">
        <v>0.445</v>
      </c>
      <c r="B304" s="21" t="n">
        <v>0.6481377277015526</v>
      </c>
      <c r="C304" s="21" t="n">
        <v>2.019037721379393</v>
      </c>
      <c r="D304" s="21" t="n">
        <v>1.848061072343583</v>
      </c>
      <c r="E304" s="21" t="n">
        <v>1.498584134875936</v>
      </c>
      <c r="F304" s="21" t="n">
        <v>1.126871584532836</v>
      </c>
      <c r="G304" s="21" t="n">
        <v>0.2286482404253264</v>
      </c>
      <c r="H304" s="21" t="n">
        <v>1.396668191765567</v>
      </c>
    </row>
    <row r="305">
      <c r="A305" s="10" t="n">
        <v>0.455</v>
      </c>
      <c r="B305" s="21" t="n">
        <v>0.5754600817528484</v>
      </c>
      <c r="C305" s="21" t="n">
        <v>2.126240291217396</v>
      </c>
      <c r="D305" s="21" t="n">
        <v>2.135842811480092</v>
      </c>
      <c r="E305" s="21" t="n">
        <v>1.623205065795901</v>
      </c>
      <c r="F305" s="21" t="n">
        <v>1.253631843040733</v>
      </c>
      <c r="G305" s="21" t="n">
        <v>0.2763114097891975</v>
      </c>
      <c r="H305" s="21" t="n">
        <v>1.445581555214482</v>
      </c>
    </row>
    <row r="306">
      <c r="A306" s="10" t="n">
        <v>0.465</v>
      </c>
      <c r="B306" s="21" t="n">
        <v>0.492787470936039</v>
      </c>
      <c r="C306" s="21" t="n">
        <v>2.172785383838964</v>
      </c>
      <c r="D306" s="21" t="n">
        <v>2.266596691747981</v>
      </c>
      <c r="E306" s="21" t="n">
        <v>1.630828199538783</v>
      </c>
      <c r="F306" s="21" t="n">
        <v>1.287054621629179</v>
      </c>
      <c r="G306" s="21" t="n">
        <v>0.3019321045772129</v>
      </c>
      <c r="H306" s="21" t="n">
        <v>1.420889532267875</v>
      </c>
    </row>
    <row r="307">
      <c r="A307" s="10" t="n">
        <v>0.475</v>
      </c>
      <c r="B307" s="21" t="n">
        <v>0.4654744307251606</v>
      </c>
      <c r="C307" s="21" t="n">
        <v>2.221979107284302</v>
      </c>
      <c r="D307" s="21" t="n">
        <v>2.322304714022145</v>
      </c>
      <c r="E307" s="21" t="n">
        <v>1.623255087653953</v>
      </c>
      <c r="F307" s="21" t="n">
        <v>1.328670094942401</v>
      </c>
      <c r="G307" s="21" t="n">
        <v>0.3224069631007938</v>
      </c>
      <c r="H307" s="21" t="n">
        <v>1.439404595268312</v>
      </c>
    </row>
    <row r="308">
      <c r="A308" s="10" t="n">
        <v>0.485</v>
      </c>
      <c r="B308" s="21" t="n">
        <v>0.3974635352305038</v>
      </c>
      <c r="C308" s="21" t="n">
        <v>2.162118535584752</v>
      </c>
      <c r="D308" s="21" t="n">
        <v>2.296305333797118</v>
      </c>
      <c r="E308" s="21" t="n">
        <v>1.573392285349311</v>
      </c>
      <c r="F308" s="21" t="n">
        <v>1.317458483278743</v>
      </c>
      <c r="G308" s="21" t="n">
        <v>0.3549258813149308</v>
      </c>
      <c r="H308" s="21" t="n">
        <v>1.400004124431163</v>
      </c>
    </row>
    <row r="309">
      <c r="A309" s="10" t="n">
        <v>0.495</v>
      </c>
      <c r="B309" s="21" t="n">
        <v>0.3646494709641212</v>
      </c>
      <c r="C309" s="21" t="n">
        <v>2.222344154883702</v>
      </c>
      <c r="D309" s="21" t="n">
        <v>2.446133714550584</v>
      </c>
      <c r="E309" s="21" t="n">
        <v>1.63600287779713</v>
      </c>
      <c r="F309" s="21" t="n">
        <v>1.4016678565888</v>
      </c>
      <c r="G309" s="21" t="n">
        <v>0.4254367840340678</v>
      </c>
      <c r="H309" s="21" t="n">
        <v>1.416208609374018</v>
      </c>
    </row>
    <row r="310">
      <c r="A310" s="10" t="n">
        <v>0.505</v>
      </c>
      <c r="B310" s="21" t="n">
        <v>0.3323557734372598</v>
      </c>
      <c r="C310" s="21" t="n">
        <v>2.103708507656584</v>
      </c>
      <c r="D310" s="21" t="n">
        <v>2.381149673910986</v>
      </c>
      <c r="E310" s="21" t="n">
        <v>1.597302191407318</v>
      </c>
      <c r="F310" s="21" t="n">
        <v>1.406151166868687</v>
      </c>
      <c r="G310" s="21" t="n">
        <v>0.4351242155508925</v>
      </c>
      <c r="H310" s="21" t="n">
        <v>1.370496737928451</v>
      </c>
    </row>
    <row r="311">
      <c r="A311" s="10" t="n">
        <v>0.515</v>
      </c>
      <c r="B311" s="21" t="n">
        <v>0.2997605870946181</v>
      </c>
      <c r="C311" s="21" t="n">
        <v>1.949179755419972</v>
      </c>
      <c r="D311" s="21" t="n">
        <v>2.250790037432752</v>
      </c>
      <c r="E311" s="21" t="n">
        <v>1.570207557526798</v>
      </c>
      <c r="F311" s="21" t="n">
        <v>1.397874883286524</v>
      </c>
      <c r="G311" s="21" t="n">
        <v>0.4434689147652384</v>
      </c>
      <c r="H311" s="21" t="n">
        <v>1.296438987623356</v>
      </c>
    </row>
    <row r="312">
      <c r="A312" s="10" t="n">
        <v>0.525</v>
      </c>
      <c r="B312" s="21" t="n">
        <v>0.2631242414868266</v>
      </c>
      <c r="C312" s="21" t="n">
        <v>1.770974220772285</v>
      </c>
      <c r="D312" s="21" t="n">
        <v>2.084434432631787</v>
      </c>
      <c r="E312" s="21" t="n">
        <v>1.504827871817035</v>
      </c>
      <c r="F312" s="21" t="n">
        <v>1.336074230006857</v>
      </c>
      <c r="G312" s="21" t="n">
        <v>0.4416423482888283</v>
      </c>
      <c r="H312" s="21" t="n">
        <v>1.236954209156446</v>
      </c>
    </row>
    <row r="313">
      <c r="A313" s="10" t="n">
        <v>0.535</v>
      </c>
      <c r="B313" s="21" t="n">
        <v>0.2417014716702754</v>
      </c>
      <c r="C313" s="21" t="n">
        <v>1.703942953270921</v>
      </c>
      <c r="D313" s="21" t="n">
        <v>1.991512834626929</v>
      </c>
      <c r="E313" s="21" t="n">
        <v>1.573057220284829</v>
      </c>
      <c r="F313" s="21" t="n">
        <v>1.421242913329738</v>
      </c>
      <c r="G313" s="21" t="n">
        <v>0.4955818781315936</v>
      </c>
      <c r="H313" s="21" t="n">
        <v>1.331977395912104</v>
      </c>
    </row>
    <row r="314">
      <c r="A314" s="10" t="n">
        <v>0.545</v>
      </c>
      <c r="B314" s="21" t="n">
        <v>0.200050733801704</v>
      </c>
      <c r="C314" s="21" t="n">
        <v>1.50564999423779</v>
      </c>
      <c r="D314" s="21" t="n">
        <v>1.839806404175603</v>
      </c>
      <c r="E314" s="21" t="n">
        <v>1.602472096798494</v>
      </c>
      <c r="F314" s="21" t="n">
        <v>1.54372110284283</v>
      </c>
      <c r="G314" s="21" t="n">
        <v>0.5603143400641364</v>
      </c>
      <c r="H314" s="21" t="n">
        <v>1.350363307118818</v>
      </c>
    </row>
    <row r="315">
      <c r="A315" s="10" t="n">
        <v>0.555</v>
      </c>
      <c r="B315" s="21" t="n">
        <v>0.1886994591290399</v>
      </c>
      <c r="C315" s="21" t="n">
        <v>1.439611274688971</v>
      </c>
      <c r="D315" s="21" t="n">
        <v>1.804863698927724</v>
      </c>
      <c r="E315" s="21" t="n">
        <v>1.614598454325772</v>
      </c>
      <c r="F315" s="21" t="n">
        <v>1.589412971370665</v>
      </c>
      <c r="G315" s="21" t="n">
        <v>0.5737147886117939</v>
      </c>
      <c r="H315" s="21" t="n">
        <v>1.325867289737315</v>
      </c>
    </row>
    <row r="316">
      <c r="A316" s="10" t="n">
        <v>0.5649999999999999</v>
      </c>
      <c r="B316" s="21" t="n">
        <v>0.1804708429713367</v>
      </c>
      <c r="C316" s="21" t="n">
        <v>1.408419960178671</v>
      </c>
      <c r="D316" s="21" t="n">
        <v>1.815610529365017</v>
      </c>
      <c r="E316" s="21" t="n">
        <v>1.621265115709811</v>
      </c>
      <c r="F316" s="21" t="n">
        <v>1.610583348326724</v>
      </c>
      <c r="G316" s="21" t="n">
        <v>0.5874905759276039</v>
      </c>
      <c r="H316" s="21" t="n">
        <v>1.312348105693119</v>
      </c>
    </row>
    <row r="317">
      <c r="A317" s="10" t="n">
        <v>0.575</v>
      </c>
      <c r="B317" s="21" t="n">
        <v>0.1543816142003413</v>
      </c>
      <c r="C317" s="21" t="n">
        <v>1.275133828471094</v>
      </c>
      <c r="D317" s="21" t="n">
        <v>1.680401306634494</v>
      </c>
      <c r="E317" s="21" t="n">
        <v>1.584136535323195</v>
      </c>
      <c r="F317" s="21" t="n">
        <v>1.65397610183792</v>
      </c>
      <c r="G317" s="21" t="n">
        <v>0.6471777615623888</v>
      </c>
      <c r="H317" s="21" t="n">
        <v>1.322868167238926</v>
      </c>
    </row>
    <row r="318">
      <c r="A318" s="10" t="n">
        <v>0.585</v>
      </c>
      <c r="B318" s="21" t="n">
        <v>0.1339236648596486</v>
      </c>
      <c r="C318" s="21" t="n">
        <v>1.135700186475302</v>
      </c>
      <c r="D318" s="21" t="n">
        <v>1.542673524078518</v>
      </c>
      <c r="E318" s="21" t="n">
        <v>1.557418330790519</v>
      </c>
      <c r="F318" s="21" t="n">
        <v>1.707939506643369</v>
      </c>
      <c r="G318" s="21" t="n">
        <v>0.703576247639544</v>
      </c>
      <c r="H318" s="21" t="n">
        <v>1.320751271738757</v>
      </c>
    </row>
    <row r="319">
      <c r="A319" s="10" t="n">
        <v>0.595</v>
      </c>
      <c r="B319" s="21" t="n">
        <v>0.1282571098757881</v>
      </c>
      <c r="C319" s="21" t="n">
        <v>1.084887209375945</v>
      </c>
      <c r="D319" s="21" t="n">
        <v>1.481982213063338</v>
      </c>
      <c r="E319" s="21" t="n">
        <v>1.547573429695155</v>
      </c>
      <c r="F319" s="21" t="n">
        <v>1.719003266536153</v>
      </c>
      <c r="G319" s="21" t="n">
        <v>0.7236780325644179</v>
      </c>
      <c r="H319" s="21" t="n">
        <v>1.317469262818864</v>
      </c>
    </row>
    <row r="320">
      <c r="A320" s="10" t="n">
        <v>0.605</v>
      </c>
      <c r="B320" s="21" t="n">
        <v>0.1097239232758972</v>
      </c>
      <c r="C320" s="21" t="n">
        <v>0.9657685434710773</v>
      </c>
      <c r="D320" s="21" t="n">
        <v>1.383717245147984</v>
      </c>
      <c r="E320" s="21" t="n">
        <v>1.549147918982965</v>
      </c>
      <c r="F320" s="21" t="n">
        <v>1.741985817431511</v>
      </c>
      <c r="G320" s="21" t="n">
        <v>0.7618312774014003</v>
      </c>
      <c r="H320" s="21" t="n">
        <v>1.297879811981787</v>
      </c>
    </row>
    <row r="321">
      <c r="A321" s="10" t="n">
        <v>0.615</v>
      </c>
      <c r="B321" s="21" t="n">
        <v>0.1008003190615823</v>
      </c>
      <c r="C321" s="21" t="n">
        <v>0.9132616833987344</v>
      </c>
      <c r="D321" s="21" t="n">
        <v>1.377957419049932</v>
      </c>
      <c r="E321" s="21" t="n">
        <v>1.572424030395949</v>
      </c>
      <c r="F321" s="21" t="n">
        <v>1.758659727471666</v>
      </c>
      <c r="G321" s="21" t="n">
        <v>0.7978856949447874</v>
      </c>
      <c r="H321" s="21" t="n">
        <v>1.290336079001352</v>
      </c>
    </row>
    <row r="322">
      <c r="A322" s="10" t="n">
        <v>0.625</v>
      </c>
      <c r="B322" s="21" t="n">
        <v>0.08681690779535844</v>
      </c>
      <c r="C322" s="21" t="n">
        <v>0.8482081183043046</v>
      </c>
      <c r="D322" s="21" t="n">
        <v>1.340353500989752</v>
      </c>
      <c r="E322" s="21" t="n">
        <v>1.6004549135482</v>
      </c>
      <c r="F322" s="21" t="n">
        <v>1.82160652325421</v>
      </c>
      <c r="G322" s="21" t="n">
        <v>0.8636178577912361</v>
      </c>
      <c r="H322" s="21" t="n">
        <v>1.27699851555183</v>
      </c>
    </row>
    <row r="323">
      <c r="A323" s="10" t="n">
        <v>0.635</v>
      </c>
      <c r="B323" s="21" t="n">
        <v>0.07813519699612533</v>
      </c>
      <c r="C323" s="21" t="n">
        <v>0.8009816346397146</v>
      </c>
      <c r="D323" s="21" t="n">
        <v>1.298721276318402</v>
      </c>
      <c r="E323" s="21" t="n">
        <v>1.608054441259203</v>
      </c>
      <c r="F323" s="21" t="n">
        <v>1.85617055939593</v>
      </c>
      <c r="G323" s="21" t="n">
        <v>0.9220550525952329</v>
      </c>
      <c r="H323" s="21" t="n">
        <v>1.255290989100464</v>
      </c>
    </row>
    <row r="324">
      <c r="A324" s="10" t="n">
        <v>0.645</v>
      </c>
      <c r="B324" s="21" t="n">
        <v>0.06335139560735388</v>
      </c>
      <c r="C324" s="21" t="n">
        <v>0.6990985712780959</v>
      </c>
      <c r="D324" s="21" t="n">
        <v>1.250278454019695</v>
      </c>
      <c r="E324" s="21" t="n">
        <v>1.603639082171303</v>
      </c>
      <c r="F324" s="21" t="n">
        <v>1.941848159674627</v>
      </c>
      <c r="G324" s="21" t="n">
        <v>1.068755484710445</v>
      </c>
      <c r="H324" s="21" t="n">
        <v>1.195338321718646</v>
      </c>
    </row>
    <row r="325">
      <c r="A325" s="10" t="n">
        <v>0.655</v>
      </c>
      <c r="B325" s="21" t="n">
        <v>0.05500259687853028</v>
      </c>
      <c r="C325" s="21" t="n">
        <v>0.6761956521861348</v>
      </c>
      <c r="D325" s="21" t="n">
        <v>1.254843309717836</v>
      </c>
      <c r="E325" s="21" t="n">
        <v>1.623043007813778</v>
      </c>
      <c r="F325" s="21" t="n">
        <v>1.961016047953184</v>
      </c>
      <c r="G325" s="21" t="n">
        <v>1.17195778871436</v>
      </c>
      <c r="H325" s="21" t="n">
        <v>1.185663187639689</v>
      </c>
    </row>
    <row r="326">
      <c r="A326" s="10" t="n">
        <v>0.665</v>
      </c>
      <c r="B326" s="21" t="n">
        <v>0.04080086532124544</v>
      </c>
      <c r="C326" s="21" t="n">
        <v>0.6072872324128354</v>
      </c>
      <c r="D326" s="21" t="n">
        <v>1.243296624272104</v>
      </c>
      <c r="E326" s="21" t="n">
        <v>1.632524255563349</v>
      </c>
      <c r="F326" s="21" t="n">
        <v>2.078227403724354</v>
      </c>
      <c r="G326" s="21" t="n">
        <v>1.384420231952636</v>
      </c>
      <c r="H326" s="21" t="n">
        <v>1.169437219547599</v>
      </c>
    </row>
    <row r="327">
      <c r="A327" s="10" t="n">
        <v>0.675</v>
      </c>
      <c r="B327" s="21" t="n">
        <v>0.03008065727350508</v>
      </c>
      <c r="C327" s="21" t="n">
        <v>0.5477832090093311</v>
      </c>
      <c r="D327" s="21" t="n">
        <v>1.243698592327984</v>
      </c>
      <c r="E327" s="21" t="n">
        <v>1.647114200348083</v>
      </c>
      <c r="F327" s="21" t="n">
        <v>2.148147104434349</v>
      </c>
      <c r="G327" s="21" t="n">
        <v>1.6192727771946</v>
      </c>
      <c r="H327" s="21" t="n">
        <v>1.164220685871232</v>
      </c>
    </row>
    <row r="328">
      <c r="A328" s="10" t="n">
        <v>0.6850000000000001</v>
      </c>
      <c r="B328" s="21" t="n">
        <v>0.0248739490180222</v>
      </c>
      <c r="C328" s="21" t="n">
        <v>0.5306700372885131</v>
      </c>
      <c r="D328" s="21" t="n">
        <v>1.270565903729271</v>
      </c>
      <c r="E328" s="21" t="n">
        <v>1.687733780166786</v>
      </c>
      <c r="F328" s="21" t="n">
        <v>2.216013027138349</v>
      </c>
      <c r="G328" s="21" t="n">
        <v>1.771558713654266</v>
      </c>
      <c r="H328" s="21" t="n">
        <v>1.163414262020187</v>
      </c>
    </row>
    <row r="329">
      <c r="A329" s="10" t="n">
        <v>0.695</v>
      </c>
      <c r="B329" s="21" t="n">
        <v>0.02289538417493766</v>
      </c>
      <c r="C329" s="21" t="n">
        <v>0.5245097262222203</v>
      </c>
      <c r="D329" s="21" t="n">
        <v>1.268725715542932</v>
      </c>
      <c r="E329" s="21" t="n">
        <v>1.699033486928286</v>
      </c>
      <c r="F329" s="21" t="n">
        <v>2.223030217207448</v>
      </c>
      <c r="G329" s="21" t="n">
        <v>1.860627752209216</v>
      </c>
      <c r="H329" s="21" t="n">
        <v>1.151455437372237</v>
      </c>
    </row>
    <row r="330">
      <c r="A330" s="10" t="n">
        <v>0.705</v>
      </c>
      <c r="B330" s="21" t="n">
        <v>0.01980350591746749</v>
      </c>
      <c r="C330" s="21" t="n">
        <v>0.5099612241796001</v>
      </c>
      <c r="D330" s="21" t="n">
        <v>1.2757841484593</v>
      </c>
      <c r="E330" s="21" t="n">
        <v>1.70220074931272</v>
      </c>
      <c r="F330" s="21" t="n">
        <v>2.235531346352349</v>
      </c>
      <c r="G330" s="21" t="n">
        <v>2.038131977344992</v>
      </c>
      <c r="H330" s="21" t="n">
        <v>1.15958086705199</v>
      </c>
    </row>
    <row r="331">
      <c r="A331" s="10" t="n">
        <v>0.715</v>
      </c>
      <c r="B331" s="21" t="n">
        <v>0.0174299598679563</v>
      </c>
      <c r="C331" s="21" t="n">
        <v>0.4920409348816278</v>
      </c>
      <c r="D331" s="21" t="n">
        <v>1.305334236315523</v>
      </c>
      <c r="E331" s="21" t="n">
        <v>1.768834488385049</v>
      </c>
      <c r="F331" s="21" t="n">
        <v>2.323361812841262</v>
      </c>
      <c r="G331" s="21" t="n">
        <v>2.296922069198914</v>
      </c>
      <c r="H331" s="21" t="n">
        <v>1.1837220234323</v>
      </c>
    </row>
    <row r="332">
      <c r="A332" s="10" t="n">
        <v>0.725</v>
      </c>
      <c r="B332" s="21" t="n">
        <v>0.01290873827556827</v>
      </c>
      <c r="C332" s="21" t="n">
        <v>0.4336949377782711</v>
      </c>
      <c r="D332" s="21" t="n">
        <v>1.376874482045803</v>
      </c>
      <c r="E332" s="21" t="n">
        <v>1.85640878298805</v>
      </c>
      <c r="F332" s="21" t="n">
        <v>2.38283007286114</v>
      </c>
      <c r="G332" s="21" t="n">
        <v>2.65463563982068</v>
      </c>
      <c r="H332" s="21" t="n">
        <v>1.14074651930634</v>
      </c>
    </row>
    <row r="333">
      <c r="A333" s="10" t="n">
        <v>0.735</v>
      </c>
      <c r="B333" s="21" t="n">
        <v>0.01082751981441834</v>
      </c>
      <c r="C333" s="21" t="n">
        <v>0.4189862845643338</v>
      </c>
      <c r="D333" s="21" t="n">
        <v>1.420687500448514</v>
      </c>
      <c r="E333" s="21" t="n">
        <v>1.889556732864461</v>
      </c>
      <c r="F333" s="21" t="n">
        <v>2.47082403629236</v>
      </c>
      <c r="G333" s="21" t="n">
        <v>2.786542750385325</v>
      </c>
      <c r="H333" s="21" t="n">
        <v>1.112656834387896</v>
      </c>
    </row>
    <row r="334">
      <c r="A334" s="10" t="n">
        <v>0.745</v>
      </c>
      <c r="B334" s="21" t="n">
        <v>0.005680532136652038</v>
      </c>
      <c r="C334" s="21" t="n">
        <v>0.365895837144919</v>
      </c>
      <c r="D334" s="21" t="n">
        <v>1.412862638207218</v>
      </c>
      <c r="E334" s="21" t="n">
        <v>1.94051733876025</v>
      </c>
      <c r="F334" s="21" t="n">
        <v>2.455470180645809</v>
      </c>
      <c r="G334" s="21" t="n">
        <v>3.008908524539812</v>
      </c>
      <c r="H334" s="21" t="n">
        <v>1.057299059995383</v>
      </c>
    </row>
    <row r="335">
      <c r="A335" s="10" t="n">
        <v>0.755</v>
      </c>
      <c r="B335" s="21" t="n">
        <v>0.00263844758384302</v>
      </c>
      <c r="C335" s="21" t="n">
        <v>0.3372916454677004</v>
      </c>
      <c r="D335" s="21" t="n">
        <v>1.42547040015179</v>
      </c>
      <c r="E335" s="21" t="n">
        <v>1.972955901231181</v>
      </c>
      <c r="F335" s="21" t="n">
        <v>2.46259896272774</v>
      </c>
      <c r="G335" s="21" t="n">
        <v>3.155494475626562</v>
      </c>
      <c r="H335" s="21" t="n">
        <v>1.039166049393981</v>
      </c>
    </row>
    <row r="336">
      <c r="A336" s="10" t="n">
        <v>0.765</v>
      </c>
      <c r="B336" s="21" t="n">
        <v>0.0006009521872781642</v>
      </c>
      <c r="C336" s="21" t="n">
        <v>0.314104428010009</v>
      </c>
      <c r="D336" s="21" t="n">
        <v>1.479124518347614</v>
      </c>
      <c r="E336" s="21" t="n">
        <v>2.011609067999275</v>
      </c>
      <c r="F336" s="21" t="n">
        <v>2.496856273979275</v>
      </c>
      <c r="G336" s="21" t="n">
        <v>3.423313670052336</v>
      </c>
      <c r="H336" s="21" t="n">
        <v>1.052867790065003</v>
      </c>
    </row>
    <row r="337">
      <c r="A337" s="10" t="n">
        <v>0.775</v>
      </c>
      <c r="B337" s="21" t="n">
        <v>0.0007726528122147824</v>
      </c>
      <c r="C337" s="21" t="n">
        <v>0.2947207436159383</v>
      </c>
      <c r="D337" s="21" t="n">
        <v>1.457738388138633</v>
      </c>
      <c r="E337" s="21" t="n">
        <v>1.97528234158519</v>
      </c>
      <c r="F337" s="21" t="n">
        <v>2.445589934235255</v>
      </c>
      <c r="G337" s="21" t="n">
        <v>3.499685248504977</v>
      </c>
      <c r="H337" s="21" t="n">
        <v>1.058339901103527</v>
      </c>
    </row>
    <row r="338">
      <c r="A338" s="10" t="n">
        <v>0.785</v>
      </c>
      <c r="B338" s="21" t="n">
        <v>0.0007941153903318596</v>
      </c>
      <c r="C338" s="21" t="n">
        <v>0.2922869716169946</v>
      </c>
      <c r="D338" s="21" t="n">
        <v>1.479903605303819</v>
      </c>
      <c r="E338" s="21" t="n">
        <v>1.991831551509065</v>
      </c>
      <c r="F338" s="21" t="n">
        <v>2.493768973939488</v>
      </c>
      <c r="G338" s="21" t="n">
        <v>3.576797325138313</v>
      </c>
      <c r="H338" s="21" t="n">
        <v>1.06526245303277</v>
      </c>
    </row>
    <row r="339">
      <c r="A339" s="10" t="n">
        <v>0.795</v>
      </c>
      <c r="B339" s="21" t="n">
        <v>0.000150238046819541</v>
      </c>
      <c r="C339" s="21" t="n">
        <v>0.2581062398654141</v>
      </c>
      <c r="D339" s="21" t="n">
        <v>1.35696074747263</v>
      </c>
      <c r="E339" s="21" t="n">
        <v>1.876172158438787</v>
      </c>
      <c r="F339" s="21" t="n">
        <v>2.367607104747507</v>
      </c>
      <c r="G339" s="21" t="n">
        <v>3.326928083756915</v>
      </c>
      <c r="H339" s="21" t="n">
        <v>1.049250205353267</v>
      </c>
    </row>
    <row r="340">
      <c r="A340" s="10" t="n">
        <v>0.805</v>
      </c>
      <c r="B340" s="21" t="n">
        <v>0</v>
      </c>
      <c r="C340" s="21" t="n">
        <v>0.2339232021320379</v>
      </c>
      <c r="D340" s="21" t="n">
        <v>1.251682335095329</v>
      </c>
      <c r="E340" s="21" t="n">
        <v>1.762770948738365</v>
      </c>
      <c r="F340" s="21" t="n">
        <v>2.281054706877614</v>
      </c>
      <c r="G340" s="21" t="n">
        <v>3.160985923599857</v>
      </c>
      <c r="H340" s="21" t="n">
        <v>1.019073930115675</v>
      </c>
    </row>
    <row r="341">
      <c r="A341" s="10" t="n">
        <v>0.8149999999999999</v>
      </c>
      <c r="B341" s="21" t="n">
        <v>0</v>
      </c>
      <c r="C341" s="21" t="n">
        <v>0.216735434525826</v>
      </c>
      <c r="D341" s="21" t="n">
        <v>1.17018364931088</v>
      </c>
      <c r="E341" s="21" t="n">
        <v>1.636909902228518</v>
      </c>
      <c r="F341" s="21" t="n">
        <v>2.216299560099594</v>
      </c>
      <c r="G341" s="21" t="n">
        <v>3.032417108062158</v>
      </c>
      <c r="H341" s="21" t="n">
        <v>0.986927214547321</v>
      </c>
    </row>
    <row r="342">
      <c r="A342" s="10" t="n">
        <v>0.825</v>
      </c>
      <c r="B342" s="21" t="n">
        <v>0</v>
      </c>
      <c r="C342" s="21" t="n">
        <v>0.1816996959856077</v>
      </c>
      <c r="D342" s="21" t="n">
        <v>1.008565043091113</v>
      </c>
      <c r="E342" s="21" t="n">
        <v>1.386733522946091</v>
      </c>
      <c r="F342" s="21" t="n">
        <v>2.011280865386568</v>
      </c>
      <c r="G342" s="21" t="n">
        <v>2.798858255733952</v>
      </c>
      <c r="H342" s="21" t="n">
        <v>0.9364512524102638</v>
      </c>
    </row>
    <row r="343">
      <c r="A343" s="10" t="n">
        <v>0.835</v>
      </c>
      <c r="B343" s="21" t="n">
        <v>0</v>
      </c>
      <c r="C343" s="21" t="n">
        <v>0.1471932528008187</v>
      </c>
      <c r="D343" s="21" t="n">
        <v>0.8326659356429933</v>
      </c>
      <c r="E343" s="21" t="n">
        <v>1.147655304465744</v>
      </c>
      <c r="F343" s="21" t="n">
        <v>1.75698715506109</v>
      </c>
      <c r="G343" s="21" t="n">
        <v>2.554019837375781</v>
      </c>
      <c r="H343" s="21" t="n">
        <v>0.8932638878452658</v>
      </c>
    </row>
    <row r="344">
      <c r="A344" s="10" t="n">
        <v>0.845</v>
      </c>
      <c r="B344" s="21" t="n">
        <v>0</v>
      </c>
      <c r="C344" s="21" t="n">
        <v>0.1362231746801906</v>
      </c>
      <c r="D344" s="21" t="n">
        <v>0.7778434640606915</v>
      </c>
      <c r="E344" s="21" t="n">
        <v>1.060910820026336</v>
      </c>
      <c r="F344" s="21" t="n">
        <v>1.651277872088024</v>
      </c>
      <c r="G344" s="21" t="n">
        <v>2.493500013063873</v>
      </c>
      <c r="H344" s="21" t="n">
        <v>0.8758092813696935</v>
      </c>
    </row>
    <row r="345">
      <c r="A345" s="10" t="n">
        <v>0.855</v>
      </c>
      <c r="B345" s="21" t="n">
        <v>0</v>
      </c>
      <c r="C345" s="21" t="n">
        <v>0.1166052136011235</v>
      </c>
      <c r="D345" s="21" t="n">
        <v>0.7009844379718562</v>
      </c>
      <c r="E345" s="21" t="n">
        <v>0.946667580464831</v>
      </c>
      <c r="F345" s="21" t="n">
        <v>1.509476527424827</v>
      </c>
      <c r="G345" s="21" t="n">
        <v>2.47039622646964</v>
      </c>
      <c r="H345" s="21" t="n">
        <v>0.8548400714020497</v>
      </c>
    </row>
    <row r="346">
      <c r="A346" s="10" t="n">
        <v>0.865</v>
      </c>
      <c r="B346" s="21" t="n">
        <v>0</v>
      </c>
      <c r="C346" s="21" t="n">
        <v>0.104391421889004</v>
      </c>
      <c r="D346" s="21" t="n">
        <v>0.643503492845667</v>
      </c>
      <c r="E346" s="21" t="n">
        <v>0.8750510338748057</v>
      </c>
      <c r="F346" s="21" t="n">
        <v>1.404967176507703</v>
      </c>
      <c r="G346" s="21" t="n">
        <v>2.481610446337088</v>
      </c>
      <c r="H346" s="21" t="n">
        <v>0.8315525232059532</v>
      </c>
    </row>
    <row r="347">
      <c r="A347" s="10" t="n">
        <v>0.875</v>
      </c>
      <c r="B347" s="21" t="n">
        <v>0</v>
      </c>
      <c r="C347" s="21" t="n">
        <v>0.08839365024055024</v>
      </c>
      <c r="D347" s="21" t="n">
        <v>0.5562537074522008</v>
      </c>
      <c r="E347" s="21" t="n">
        <v>0.7589871392500902</v>
      </c>
      <c r="F347" s="21" t="n">
        <v>1.248070182762054</v>
      </c>
      <c r="G347" s="21" t="n">
        <v>2.601370584054798</v>
      </c>
      <c r="H347" s="21" t="n">
        <v>0.7949933625376113</v>
      </c>
    </row>
    <row r="348">
      <c r="A348" s="10" t="n">
        <v>0.885</v>
      </c>
      <c r="B348" s="21" t="n">
        <v>0</v>
      </c>
      <c r="C348" s="21" t="n">
        <v>0.06967651889732229</v>
      </c>
      <c r="D348" s="21" t="n">
        <v>0.4804423789698936</v>
      </c>
      <c r="E348" s="21" t="n">
        <v>0.645850527550376</v>
      </c>
      <c r="F348" s="21" t="n">
        <v>1.062239375638184</v>
      </c>
      <c r="G348" s="21" t="n">
        <v>2.870048559054232</v>
      </c>
      <c r="H348" s="21" t="n">
        <v>0.7797182278677292</v>
      </c>
    </row>
    <row r="349">
      <c r="A349" s="10" t="n">
        <v>0.895</v>
      </c>
      <c r="B349" s="21" t="n">
        <v>0</v>
      </c>
      <c r="C349" s="21" t="n">
        <v>0.05459920330097897</v>
      </c>
      <c r="D349" s="21" t="n">
        <v>0.4124597050472203</v>
      </c>
      <c r="E349" s="21" t="n">
        <v>0.5362770414961824</v>
      </c>
      <c r="F349" s="21" t="n">
        <v>0.8927169868834798</v>
      </c>
      <c r="G349" s="21" t="n">
        <v>2.95200911753489</v>
      </c>
      <c r="H349" s="21" t="n">
        <v>0.7398396058779634</v>
      </c>
    </row>
    <row r="350">
      <c r="A350" s="10" t="n">
        <v>0.905</v>
      </c>
      <c r="B350" s="21" t="n">
        <v>0</v>
      </c>
      <c r="C350" s="21" t="n">
        <v>0.04139674039844299</v>
      </c>
      <c r="D350" s="21" t="n">
        <v>0.3762010004764612</v>
      </c>
      <c r="E350" s="21" t="n">
        <v>0.4667054459112114</v>
      </c>
      <c r="F350" s="21" t="n">
        <v>0.7991643289426467</v>
      </c>
      <c r="G350" s="21" t="n">
        <v>3.166941351401311</v>
      </c>
      <c r="H350" s="21" t="n">
        <v>0.7161285667853354</v>
      </c>
    </row>
    <row r="351">
      <c r="A351" s="10" t="n">
        <v>0.915</v>
      </c>
      <c r="B351" s="21" t="n">
        <v>0</v>
      </c>
      <c r="C351" s="21" t="n">
        <v>0.02936108151994144</v>
      </c>
      <c r="D351" s="21" t="n">
        <v>0.3227794723207905</v>
      </c>
      <c r="E351" s="21" t="n">
        <v>0.3887316881286224</v>
      </c>
      <c r="F351" s="21" t="n">
        <v>0.6968308069750208</v>
      </c>
      <c r="G351" s="21" t="n">
        <v>3.235136488594749</v>
      </c>
      <c r="H351" s="21" t="n">
        <v>0.6323167617998887</v>
      </c>
    </row>
    <row r="352">
      <c r="A352" s="10" t="n">
        <v>0.925</v>
      </c>
      <c r="B352" s="21" t="n">
        <v>0</v>
      </c>
      <c r="C352" s="21" t="n">
        <v>0.02321491532200342</v>
      </c>
      <c r="D352" s="21" t="n">
        <v>0.2891150093774609</v>
      </c>
      <c r="E352" s="21" t="n">
        <v>0.338217959392753</v>
      </c>
      <c r="F352" s="21" t="n">
        <v>0.6339198035636875</v>
      </c>
      <c r="G352" s="21" t="n">
        <v>3.112858409696651</v>
      </c>
      <c r="H352" s="21" t="n">
        <v>0.5825811954100041</v>
      </c>
    </row>
    <row r="353">
      <c r="A353" s="10" t="n">
        <v>0.9350000000000001</v>
      </c>
      <c r="B353" s="21" t="n">
        <v>0</v>
      </c>
      <c r="C353" s="21" t="n">
        <v>0.01858895541625813</v>
      </c>
      <c r="D353" s="21" t="n">
        <v>0.2531365035783762</v>
      </c>
      <c r="E353" s="21" t="n">
        <v>0.2858471568693851</v>
      </c>
      <c r="F353" s="21" t="n">
        <v>0.5571196993158205</v>
      </c>
      <c r="G353" s="21" t="n">
        <v>2.89322882974418</v>
      </c>
      <c r="H353" s="21" t="n">
        <v>0.5377236029047647</v>
      </c>
    </row>
    <row r="354">
      <c r="A354" s="10" t="n">
        <v>0.945</v>
      </c>
      <c r="B354" s="21" t="n">
        <v>0</v>
      </c>
      <c r="C354" s="21" t="n">
        <v>0.01003381886107308</v>
      </c>
      <c r="D354" s="21" t="n">
        <v>0.1940794544255121</v>
      </c>
      <c r="E354" s="21" t="n">
        <v>0.2178263054543217</v>
      </c>
      <c r="F354" s="21" t="n">
        <v>0.4230534588394215</v>
      </c>
      <c r="G354" s="21" t="n">
        <v>2.396859511751753</v>
      </c>
      <c r="H354" s="21" t="n">
        <v>0.4774018288612371</v>
      </c>
    </row>
    <row r="355">
      <c r="A355" s="10" t="n">
        <v>0.955</v>
      </c>
      <c r="B355" s="21" t="n">
        <v>0</v>
      </c>
      <c r="C355" s="21" t="n">
        <v>0.001949460107342503</v>
      </c>
      <c r="D355" s="21" t="n">
        <v>0.120637239442323</v>
      </c>
      <c r="E355" s="21" t="n">
        <v>0.1355735901595134</v>
      </c>
      <c r="F355" s="21" t="n">
        <v>0.2624168022382583</v>
      </c>
      <c r="G355" s="21" t="n">
        <v>1.712861044246525</v>
      </c>
      <c r="H355" s="21" t="n">
        <v>0.3620943902035652</v>
      </c>
    </row>
    <row r="356">
      <c r="A356" s="10" t="n">
        <v>0.965</v>
      </c>
      <c r="B356" s="21" t="n">
        <v>0</v>
      </c>
      <c r="C356" s="21" t="n">
        <v>0.0001076355202957537</v>
      </c>
      <c r="D356" s="21" t="n">
        <v>0.09599852072291838</v>
      </c>
      <c r="E356" s="21" t="n">
        <v>0.1072392777141356</v>
      </c>
      <c r="F356" s="21" t="n">
        <v>0.2060382288935369</v>
      </c>
      <c r="G356" s="21" t="n">
        <v>1.4846529623041</v>
      </c>
      <c r="H356" s="21" t="n">
        <v>0.32363065991882</v>
      </c>
    </row>
    <row r="357">
      <c r="A357" s="10" t="n">
        <v>0.975</v>
      </c>
      <c r="B357" s="21" t="n">
        <v>0</v>
      </c>
      <c r="C357" s="21" t="n">
        <v>0</v>
      </c>
      <c r="D357" s="21" t="n">
        <v>0.06608947585137932</v>
      </c>
      <c r="E357" s="21" t="n">
        <v>0.06883169892648641</v>
      </c>
      <c r="F357" s="21" t="n">
        <v>0.132767207255014</v>
      </c>
      <c r="G357" s="21" t="n">
        <v>1.085581886230317</v>
      </c>
      <c r="H357" s="21" t="n">
        <v>0.2517699572973204</v>
      </c>
    </row>
    <row r="358">
      <c r="A358" s="10" t="n">
        <v>0.985</v>
      </c>
      <c r="B358" s="21" t="n">
        <v>0</v>
      </c>
      <c r="C358" s="21" t="n">
        <v>0</v>
      </c>
      <c r="D358" s="21" t="n">
        <v>0.06380094527284523</v>
      </c>
      <c r="E358" s="21" t="n">
        <v>0.06566575717583215</v>
      </c>
      <c r="F358" s="21" t="n">
        <v>0.1267448391456149</v>
      </c>
      <c r="G358" s="21" t="n">
        <v>1.051564814841969</v>
      </c>
      <c r="H358" s="21" t="n">
        <v>0.245635446869064</v>
      </c>
    </row>
    <row r="359">
      <c r="A359" s="10" t="n">
        <v>0.995</v>
      </c>
      <c r="B359" s="21" t="n">
        <v>0</v>
      </c>
      <c r="C359" s="21" t="n">
        <v>0</v>
      </c>
      <c r="D359" s="21" t="n">
        <v>0.06383253092427298</v>
      </c>
      <c r="E359" s="21" t="n">
        <v>0.06566861388684601</v>
      </c>
      <c r="F359" s="21" t="n">
        <v>0.1266665007158401</v>
      </c>
      <c r="G359" s="21" t="n">
        <v>1.052091448831319</v>
      </c>
      <c r="H359" s="21" t="n">
        <v>0.2458461385154048</v>
      </c>
    </row>
    <row r="383">
      <c r="A383" s="6" t="inlineStr">
        <is>
          <t>■ 案件ごとのワープ(実位置 → 正準位置)</t>
        </is>
      </c>
    </row>
    <row r="384">
      <c r="A384" s="8" t="inlineStr">
        <is>
          <t>案件ID</t>
        </is>
      </c>
      <c r="B384" s="8" t="inlineStr">
        <is>
          <t>名称</t>
        </is>
      </c>
      <c r="C384" s="8" t="inlineStr">
        <is>
          <t>種別</t>
        </is>
      </c>
      <c r="D384" s="8" t="inlineStr">
        <is>
          <t>期間(月)</t>
        </is>
      </c>
      <c r="E384" s="8" t="inlineStr">
        <is>
          <t>プロトタイプ</t>
        </is>
      </c>
      <c r="F384" s="8" t="inlineStr">
        <is>
          <t>α版</t>
        </is>
      </c>
      <c r="G384" s="8" t="inlineStr">
        <is>
          <t>β版</t>
        </is>
      </c>
      <c r="H384" s="8" t="inlineStr">
        <is>
          <t>マスターアップ</t>
        </is>
      </c>
    </row>
    <row r="385">
      <c r="A385" s="10" t="inlineStr">
        <is>
          <t>PJ-2019-A</t>
        </is>
      </c>
      <c r="B385" s="10" t="inlineStr">
        <is>
          <t>蒼穹のレガリア</t>
        </is>
      </c>
      <c r="C385" s="10" t="inlineStr">
        <is>
          <t>新規タイトル開発</t>
        </is>
      </c>
      <c r="D385" s="10" t="n">
        <v>36</v>
      </c>
      <c r="E385" s="21" t="n">
        <v>0.202</v>
      </c>
      <c r="F385" s="21" t="n">
        <v>0.426</v>
      </c>
      <c r="G385" s="21" t="n">
        <v>0.784</v>
      </c>
      <c r="H385" s="21" t="n">
        <v>0.929</v>
      </c>
    </row>
    <row r="386">
      <c r="A386" s="10" t="inlineStr">
        <is>
          <t>PJ-2020-B</t>
        </is>
      </c>
      <c r="B386" s="10" t="inlineStr">
        <is>
          <t>ブレイブフロンティア外伝</t>
        </is>
      </c>
      <c r="C386" s="10" t="inlineStr">
        <is>
          <t>大型アップデート</t>
        </is>
      </c>
      <c r="D386" s="10" t="n">
        <v>14</v>
      </c>
      <c r="E386" s="21" t="n">
        <v/>
      </c>
      <c r="F386" s="21" t="n">
        <v>0.552</v>
      </c>
      <c r="G386" s="21" t="n">
        <v>0.729</v>
      </c>
      <c r="H386" s="21" t="n">
        <v>0.899</v>
      </c>
    </row>
    <row r="387">
      <c r="A387" s="10" t="inlineStr">
        <is>
          <t>PJ-2020-C</t>
        </is>
      </c>
      <c r="B387" s="10" t="inlineStr">
        <is>
          <t>クロノスギア</t>
        </is>
      </c>
      <c r="C387" s="10" t="inlineStr">
        <is>
          <t>新規タイトル開発</t>
        </is>
      </c>
      <c r="D387" s="10" t="n">
        <v>30</v>
      </c>
      <c r="E387" s="21" t="n">
        <v>0.287</v>
      </c>
      <c r="F387" s="21" t="n">
        <v>0.475</v>
      </c>
      <c r="G387" s="21" t="n">
        <v>0.8110000000000001</v>
      </c>
      <c r="H387" s="21" t="n">
        <v>0.944</v>
      </c>
    </row>
    <row r="388">
      <c r="A388" s="10" t="inlineStr">
        <is>
          <t>PJ-2021-D</t>
        </is>
      </c>
      <c r="B388" s="10" t="inlineStr">
        <is>
          <t>蒼穹のレガリア HD Edition</t>
        </is>
      </c>
      <c r="C388" s="10" t="inlineStr">
        <is>
          <t>移植・リマスター</t>
        </is>
      </c>
      <c r="D388" s="10" t="n">
        <v>15</v>
      </c>
      <c r="E388" s="21" t="n">
        <v/>
      </c>
      <c r="F388" s="21" t="n">
        <v>0.418</v>
      </c>
      <c r="G388" s="21" t="n">
        <v>0.73</v>
      </c>
      <c r="H388" s="21" t="n">
        <v>0.925</v>
      </c>
    </row>
    <row r="389">
      <c r="A389" s="10" t="inlineStr">
        <is>
          <t>PJ-2021-E</t>
        </is>
      </c>
      <c r="B389" s="10" t="inlineStr">
        <is>
          <t>シャドウヴェイル</t>
        </is>
      </c>
      <c r="C389" s="10" t="inlineStr">
        <is>
          <t>新規タイトル開発</t>
        </is>
      </c>
      <c r="D389" s="10" t="n">
        <v>36</v>
      </c>
      <c r="E389" s="21" t="n">
        <v>0.246</v>
      </c>
      <c r="F389" s="21" t="n">
        <v>0.616</v>
      </c>
      <c r="G389" s="21" t="n">
        <v>0.782</v>
      </c>
      <c r="H389" s="21" t="n">
        <v>0.924</v>
      </c>
    </row>
    <row r="390">
      <c r="A390" s="10" t="inlineStr">
        <is>
          <t>PJ-2022-F</t>
        </is>
      </c>
      <c r="B390" s="10" t="inlineStr">
        <is>
          <t>ネオンハーツ Season2</t>
        </is>
      </c>
      <c r="C390" s="10" t="inlineStr">
        <is>
          <t>大型アップデート</t>
        </is>
      </c>
      <c r="D390" s="10" t="n">
        <v>18</v>
      </c>
      <c r="E390" s="21" t="n">
        <v/>
      </c>
      <c r="F390" s="21" t="n">
        <v>0.419</v>
      </c>
      <c r="G390" s="21" t="n">
        <v>0.72</v>
      </c>
      <c r="H390" s="21" t="n">
        <v>0.921</v>
      </c>
    </row>
    <row r="391">
      <c r="A391" s="10" t="inlineStr">
        <is>
          <t>PJ-2022-G</t>
        </is>
      </c>
      <c r="B391" s="10" t="inlineStr">
        <is>
          <t>ギルドマスターズ</t>
        </is>
      </c>
      <c r="C391" s="10" t="inlineStr">
        <is>
          <t>新規タイトル開発</t>
        </is>
      </c>
      <c r="D391" s="10" t="n">
        <v>24</v>
      </c>
      <c r="E391" s="21" t="n">
        <v>0.232</v>
      </c>
      <c r="F391" s="21" t="n">
        <v>0.449</v>
      </c>
      <c r="G391" s="21" t="n">
        <v>0.82</v>
      </c>
      <c r="H391" s="21" t="n">
        <v>0.951</v>
      </c>
    </row>
    <row r="392">
      <c r="A392" s="10" t="inlineStr">
        <is>
          <t>PJ-2023-H</t>
        </is>
      </c>
      <c r="B392" s="10" t="inlineStr">
        <is>
          <t>クロノスギア:蒼き遺産</t>
        </is>
      </c>
      <c r="C392" s="10" t="inlineStr">
        <is>
          <t>大型アップデート</t>
        </is>
      </c>
      <c r="D392" s="10" t="n">
        <v>20</v>
      </c>
      <c r="E392" s="21" t="n">
        <v/>
      </c>
      <c r="F392" s="21" t="n">
        <v>0.6</v>
      </c>
      <c r="G392" s="21" t="n">
        <v>0.766</v>
      </c>
      <c r="H392" s="21" t="n">
        <v>0.898</v>
      </c>
    </row>
    <row r="393">
      <c r="A393" s="10" t="inlineStr">
        <is>
          <t>PJ-2023-I</t>
        </is>
      </c>
      <c r="B393" s="10" t="inlineStr">
        <is>
          <t>ブレイブフロンティア Remaster</t>
        </is>
      </c>
      <c r="C393" s="10" t="inlineStr">
        <is>
          <t>移植・リマスター</t>
        </is>
      </c>
      <c r="D393" s="10" t="n">
        <v>18</v>
      </c>
      <c r="E393" s="21" t="n">
        <v/>
      </c>
      <c r="F393" s="21" t="n">
        <v>0.515</v>
      </c>
      <c r="G393" s="21" t="n">
        <v>0.749</v>
      </c>
      <c r="H393" s="21" t="n">
        <v>0.918</v>
      </c>
    </row>
    <row r="394">
      <c r="A394" s="10" t="inlineStr">
        <is>
          <t>PJ-2024-J</t>
        </is>
      </c>
      <c r="B394" s="10" t="inlineStr">
        <is>
          <t>オーヴァーロード・サーガ</t>
        </is>
      </c>
      <c r="C394" s="10" t="inlineStr">
        <is>
          <t>新規タイトル開発</t>
        </is>
      </c>
      <c r="D394" s="10" t="n">
        <v>30</v>
      </c>
      <c r="E394" s="21" t="n">
        <v>0.169</v>
      </c>
      <c r="F394" s="21" t="n">
        <v>0.486</v>
      </c>
      <c r="G394" s="21" t="n">
        <v>0.778</v>
      </c>
      <c r="H394" s="21" t="n">
        <v>0.915</v>
      </c>
    </row>
    <row r="395">
      <c r="A395" s="10" t="inlineStr">
        <is>
          <t>(正準位置)</t>
        </is>
      </c>
      <c r="B395" s="10" t="inlineStr"/>
      <c r="C395" s="10" t="inlineStr"/>
      <c r="D395" s="10" t="n"/>
      <c r="E395" s="21" t="n"/>
      <c r="F395" s="21" t="n">
        <v>0.496</v>
      </c>
      <c r="G395" s="21" t="n">
        <v>0.767</v>
      </c>
      <c r="H395" s="21" t="n">
        <v>0.922</v>
      </c>
    </row>
  </sheetData>
  <printOptions horizontalCentered="0"/>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K78"/>
  <sheetViews>
    <sheetView workbookViewId="0">
      <selection activeCell="A1" sqref="A1"/>
    </sheetView>
  </sheetViews>
  <sheetFormatPr baseColWidth="8" defaultRowHeight="15"/>
  <cols>
    <col width="26" customWidth="1" min="1" max="1"/>
    <col width="12" customWidth="1" min="2" max="2"/>
    <col width="8" customWidth="1" min="3" max="3"/>
    <col width="11" customWidth="1" min="4" max="4"/>
    <col width="11" customWidth="1" min="5" max="5"/>
    <col width="15" customWidth="1" min="6" max="6"/>
    <col width="15" customWidth="1" min="7" max="7"/>
    <col width="15" customWidth="1" min="8" max="8"/>
    <col width="15" customWidth="1" min="9" max="9"/>
    <col width="15" customWidth="1" min="10" max="10"/>
    <col width="11" customWidth="1" min="11" max="11"/>
  </cols>
  <sheetData>
    <row r="1">
      <c r="A1" s="1" t="inlineStr">
        <is>
          <t>実行条件</t>
        </is>
      </c>
    </row>
    <row r="2">
      <c r="A2" s="5" t="inlineStr">
        <is>
          <t>パラメータを変えて何度も回す段階では、「この結果はどの設定で出したか」を追えないと結果の比較ができなくなる。</t>
        </is>
      </c>
    </row>
    <row r="4">
      <c r="A4" s="6" t="inlineStr">
        <is>
          <t>■ パラメータ</t>
        </is>
      </c>
    </row>
    <row r="5">
      <c r="A5" s="8" t="inlineStr">
        <is>
          <t>項目</t>
        </is>
      </c>
      <c r="B5" s="8" t="inlineStr">
        <is>
          <t>値</t>
        </is>
      </c>
    </row>
    <row r="6">
      <c r="A6" s="10" t="inlineStr">
        <is>
          <t>実行日時</t>
        </is>
      </c>
      <c r="B6" s="10" t="inlineStr">
        <is>
          <t>2026-09-03 00:32:33</t>
        </is>
      </c>
    </row>
    <row r="7">
      <c r="A7" s="10" t="inlineStr">
        <is>
          <t>予測対象</t>
        </is>
      </c>
      <c r="B7" s="10" t="inlineStr">
        <is>
          <t>PJ-2026-K  蒼穹のレガリア II</t>
        </is>
      </c>
    </row>
    <row r="8">
      <c r="A8" s="10" t="inlineStr">
        <is>
          <t>マスタ</t>
        </is>
      </c>
      <c r="B8" s="10" t="inlineStr">
        <is>
          <t>/home/user/Man-hour-forecasting/data/master.xlsx</t>
        </is>
      </c>
    </row>
    <row r="9">
      <c r="A9" s="10" t="inlineStr">
        <is>
          <t>実績データ</t>
        </is>
      </c>
      <c r="B9" s="10" t="inlineStr">
        <is>
          <t>/home/user/Man-hour-forecasting/data/actuals.csv</t>
        </is>
      </c>
    </row>
    <row r="10">
      <c r="A10" s="10" t="inlineStr">
        <is>
          <t>集約軸</t>
        </is>
      </c>
      <c r="B10" s="10" t="inlineStr">
        <is>
          <t>行程グループ</t>
        </is>
      </c>
    </row>
    <row r="11">
      <c r="A11" s="10" t="inlineStr">
        <is>
          <t>位置合わせ</t>
        </is>
      </c>
      <c r="B11" s="10" t="inlineStr">
        <is>
          <t>ON</t>
        </is>
      </c>
    </row>
    <row r="12">
      <c r="A12" s="10" t="inlineStr">
        <is>
          <t>背骨マイルストーン</t>
        </is>
      </c>
      <c r="B12" s="10" t="inlineStr">
        <is>
          <t>α版, β版, マスターアップ</t>
        </is>
      </c>
    </row>
    <row r="13">
      <c r="A13" s="10" t="inlineStr">
        <is>
          <t>背骨最小カバー率</t>
        </is>
      </c>
      <c r="B13" s="10" t="n">
        <v>0.6</v>
      </c>
    </row>
    <row r="14">
      <c r="A14" s="10" t="inlineStr">
        <is>
          <t>カーブ復元</t>
        </is>
      </c>
      <c r="B14" s="10" t="inlineStr">
        <is>
          <t>月内均等</t>
        </is>
      </c>
    </row>
    <row r="15">
      <c r="A15" s="10" t="inlineStr">
        <is>
          <t>カーブ解像度</t>
        </is>
      </c>
      <c r="B15" s="10" t="n">
        <v>100</v>
      </c>
    </row>
    <row r="16">
      <c r="A16" s="10" t="inlineStr">
        <is>
          <t>人月換算係数</t>
        </is>
      </c>
      <c r="B16" s="10" t="n">
        <v>160</v>
      </c>
    </row>
    <row r="17">
      <c r="A17" s="10" t="inlineStr">
        <is>
          <t>学習案件数</t>
        </is>
      </c>
      <c r="B17" s="10" t="n">
        <v>10</v>
      </c>
    </row>
    <row r="18">
      <c r="A18" s="10" t="inlineStr">
        <is>
          <t>総量の根拠</t>
        </is>
      </c>
      <c r="B18" s="10" t="inlineStr">
        <is>
          <t>契約人月 + 学習比率</t>
        </is>
      </c>
    </row>
    <row r="19">
      <c r="A19" s="10" t="inlineStr">
        <is>
          <t>予測した行程グループ</t>
        </is>
      </c>
      <c r="B19" s="10" t="inlineStr">
        <is>
          <t>企画・プリプロ, ゲームデザイン・シナリオ, プログラム, アート, サウンド, QA・デバッグ, PM・運営</t>
        </is>
      </c>
    </row>
    <row r="20">
      <c r="A20" s="10" t="inlineStr">
        <is>
          <t>除外した行程グループ</t>
        </is>
      </c>
      <c r="B20" s="10" t="inlineStr">
        <is>
          <t>(なし)</t>
        </is>
      </c>
    </row>
    <row r="21">
      <c r="A21" s="10" t="inlineStr">
        <is>
          <t>実装範囲</t>
        </is>
      </c>
      <c r="B21" s="10" t="inlineStr">
        <is>
          <t>実装順序 1〜2(素朴版 + マイルストーン位置合わせ) + 見積もりによる総量指定</t>
        </is>
      </c>
    </row>
    <row r="22">
      <c r="A22" s="10" t="inlineStr">
        <is>
          <t>未使用パラメータ</t>
        </is>
      </c>
      <c r="B22" s="10" t="inlineStr">
        <is>
          <t>k=3.0, タグ重み係数=0.5 (実装順序 3・4 で使用予定)</t>
        </is>
      </c>
    </row>
    <row r="24">
      <c r="A24" s="6" t="inlineStr">
        <is>
          <t>■ 人月換算</t>
        </is>
      </c>
    </row>
    <row r="25">
      <c r="A25" s="2" t="inlineStr">
        <is>
          <t>換算係数</t>
        </is>
      </c>
      <c r="B25" s="4" t="n">
        <v>160</v>
      </c>
      <c r="C25" s="2" t="inlineStr">
        <is>
          <t>時間 / 人月</t>
        </is>
      </c>
    </row>
    <row r="26">
      <c r="A26" s="5" t="inlineStr">
        <is>
          <t>人月の定義は組織によって揺れる。この係数を明記しないまま数字が独り歩きすると議論が噛み合わなくなる(設計書 4-3)。</t>
        </is>
      </c>
    </row>
    <row r="28">
      <c r="A28" s="6" t="inlineStr">
        <is>
          <t>■ 学習に使用した案件と重み</t>
        </is>
      </c>
    </row>
    <row r="29">
      <c r="A29" s="5" t="inlineStr">
        <is>
          <t>第1版(素朴版+位置合わせ)では全案件の重みを 1.0 で固定している。種別・タグによる重み付けは実装順序 3・4 で導入する。</t>
        </is>
      </c>
    </row>
    <row r="30">
      <c r="A30" s="8" t="inlineStr">
        <is>
          <t>案件ID</t>
        </is>
      </c>
      <c r="B30" s="8" t="inlineStr">
        <is>
          <t>名称</t>
        </is>
      </c>
      <c r="C30" s="8" t="inlineStr">
        <is>
          <t>種別</t>
        </is>
      </c>
      <c r="D30" s="8" t="inlineStr">
        <is>
          <t>重み</t>
        </is>
      </c>
      <c r="E30" s="8" t="inlineStr">
        <is>
          <t>契約人月</t>
        </is>
      </c>
      <c r="F30" s="8" t="inlineStr">
        <is>
          <t>実績人月</t>
        </is>
      </c>
      <c r="G30" s="8" t="inlineStr">
        <is>
          <t>乖離率(%)</t>
        </is>
      </c>
      <c r="H30" s="8" t="inlineStr">
        <is>
          <t>期間(月)</t>
        </is>
      </c>
      <c r="I30" s="8" t="inlineStr">
        <is>
          <t>マイルストーン数</t>
        </is>
      </c>
    </row>
    <row r="31">
      <c r="A31" s="10" t="inlineStr">
        <is>
          <t>PJ-2019-A</t>
        </is>
      </c>
      <c r="B31" s="10" t="inlineStr">
        <is>
          <t>蒼穹のレガリア</t>
        </is>
      </c>
      <c r="C31" s="10" t="inlineStr">
        <is>
          <t>新規タイトル開発</t>
        </is>
      </c>
      <c r="D31" s="22" t="n">
        <v>1</v>
      </c>
      <c r="E31" s="12" t="n">
        <v>2400</v>
      </c>
      <c r="F31" s="12" t="n">
        <v>2399.9</v>
      </c>
      <c r="G31" s="10" t="n">
        <v>-0</v>
      </c>
      <c r="H31" s="10" t="n">
        <v>36</v>
      </c>
      <c r="I31" s="10" t="n">
        <v>4</v>
      </c>
    </row>
    <row r="32">
      <c r="A32" s="10" t="inlineStr">
        <is>
          <t>PJ-2020-B</t>
        </is>
      </c>
      <c r="B32" s="10" t="inlineStr">
        <is>
          <t>ブレイブフロンティア外伝</t>
        </is>
      </c>
      <c r="C32" s="10" t="inlineStr">
        <is>
          <t>大型アップデート</t>
        </is>
      </c>
      <c r="D32" s="22" t="n">
        <v>1</v>
      </c>
      <c r="E32" s="12" t="n">
        <v>620</v>
      </c>
      <c r="F32" s="12" t="n">
        <v>628.7</v>
      </c>
      <c r="G32" s="10" t="n">
        <v>1.4</v>
      </c>
      <c r="H32" s="10" t="n">
        <v>14</v>
      </c>
      <c r="I32" s="10" t="n">
        <v>3</v>
      </c>
    </row>
    <row r="33">
      <c r="A33" s="10" t="inlineStr">
        <is>
          <t>PJ-2020-C</t>
        </is>
      </c>
      <c r="B33" s="10" t="inlineStr">
        <is>
          <t>クロノスギア</t>
        </is>
      </c>
      <c r="C33" s="10" t="inlineStr">
        <is>
          <t>新規タイトル開発</t>
        </is>
      </c>
      <c r="D33" s="22" t="n">
        <v>1</v>
      </c>
      <c r="E33" s="12" t="n">
        <v>1800</v>
      </c>
      <c r="F33" s="12" t="n">
        <v>1788.7</v>
      </c>
      <c r="G33" s="10" t="n">
        <v>-0.6</v>
      </c>
      <c r="H33" s="10" t="n">
        <v>30</v>
      </c>
      <c r="I33" s="10" t="n">
        <v>4</v>
      </c>
    </row>
    <row r="34">
      <c r="A34" s="10" t="inlineStr">
        <is>
          <t>PJ-2021-D</t>
        </is>
      </c>
      <c r="B34" s="10" t="inlineStr">
        <is>
          <t>蒼穹のレガリア HD Edition</t>
        </is>
      </c>
      <c r="C34" s="10" t="inlineStr">
        <is>
          <t>移植・リマスター</t>
        </is>
      </c>
      <c r="D34" s="22" t="n">
        <v>1</v>
      </c>
      <c r="E34" s="12" t="n">
        <v>520</v>
      </c>
      <c r="F34" s="12" t="n">
        <v>523.8</v>
      </c>
      <c r="G34" s="10" t="n">
        <v>0.7</v>
      </c>
      <c r="H34" s="10" t="n">
        <v>15</v>
      </c>
      <c r="I34" s="10" t="n">
        <v>3</v>
      </c>
    </row>
    <row r="35">
      <c r="A35" s="10" t="inlineStr">
        <is>
          <t>PJ-2021-E</t>
        </is>
      </c>
      <c r="B35" s="10" t="inlineStr">
        <is>
          <t>シャドウヴェイル</t>
        </is>
      </c>
      <c r="C35" s="10" t="inlineStr">
        <is>
          <t>新規タイトル開発</t>
        </is>
      </c>
      <c r="D35" s="22" t="n">
        <v>1</v>
      </c>
      <c r="E35" s="12" t="n">
        <v>2950</v>
      </c>
      <c r="F35" s="12" t="n">
        <v>2980.9</v>
      </c>
      <c r="G35" s="10" t="n">
        <v>1</v>
      </c>
      <c r="H35" s="10" t="n">
        <v>36</v>
      </c>
      <c r="I35" s="10" t="n">
        <v>4</v>
      </c>
    </row>
    <row r="36">
      <c r="A36" s="10" t="inlineStr">
        <is>
          <t>PJ-2022-F</t>
        </is>
      </c>
      <c r="B36" s="10" t="inlineStr">
        <is>
          <t>ネオンハーツ Season2</t>
        </is>
      </c>
      <c r="C36" s="10" t="inlineStr">
        <is>
          <t>大型アップデート</t>
        </is>
      </c>
      <c r="D36" s="22" t="n">
        <v>1</v>
      </c>
      <c r="E36" s="12" t="n">
        <v>880</v>
      </c>
      <c r="F36" s="12" t="n">
        <v>895.7</v>
      </c>
      <c r="G36" s="10" t="n">
        <v>1.8</v>
      </c>
      <c r="H36" s="10" t="n">
        <v>18</v>
      </c>
      <c r="I36" s="10" t="n">
        <v>3</v>
      </c>
    </row>
    <row r="37">
      <c r="A37" s="10" t="inlineStr">
        <is>
          <t>PJ-2022-G</t>
        </is>
      </c>
      <c r="B37" s="10" t="inlineStr">
        <is>
          <t>ギルドマスターズ</t>
        </is>
      </c>
      <c r="C37" s="10" t="inlineStr">
        <is>
          <t>新規タイトル開発</t>
        </is>
      </c>
      <c r="D37" s="22" t="n">
        <v>1</v>
      </c>
      <c r="E37" s="12" t="n">
        <v>1450</v>
      </c>
      <c r="F37" s="12" t="n">
        <v>1425</v>
      </c>
      <c r="G37" s="10" t="n">
        <v>-1.7</v>
      </c>
      <c r="H37" s="10" t="n">
        <v>24</v>
      </c>
      <c r="I37" s="10" t="n">
        <v>4</v>
      </c>
    </row>
    <row r="38">
      <c r="A38" s="10" t="inlineStr">
        <is>
          <t>PJ-2023-H</t>
        </is>
      </c>
      <c r="B38" s="10" t="inlineStr">
        <is>
          <t>クロノスギア:蒼き遺産</t>
        </is>
      </c>
      <c r="C38" s="10" t="inlineStr">
        <is>
          <t>大型アップデート</t>
        </is>
      </c>
      <c r="D38" s="22" t="n">
        <v>1</v>
      </c>
      <c r="E38" s="12" t="n">
        <v>1100</v>
      </c>
      <c r="F38" s="12" t="n">
        <v>1100.1</v>
      </c>
      <c r="G38" s="10" t="n">
        <v>0</v>
      </c>
      <c r="H38" s="10" t="n">
        <v>20</v>
      </c>
      <c r="I38" s="10" t="n">
        <v>3</v>
      </c>
    </row>
    <row r="39">
      <c r="A39" s="10" t="inlineStr">
        <is>
          <t>PJ-2023-I</t>
        </is>
      </c>
      <c r="B39" s="10" t="inlineStr">
        <is>
          <t>ブレイブフロンティア Remaster</t>
        </is>
      </c>
      <c r="C39" s="10" t="inlineStr">
        <is>
          <t>移植・リマスター</t>
        </is>
      </c>
      <c r="D39" s="22" t="n">
        <v>1</v>
      </c>
      <c r="E39" s="12" t="n">
        <v>700</v>
      </c>
      <c r="F39" s="12" t="n">
        <v>701.4</v>
      </c>
      <c r="G39" s="10" t="n">
        <v>0.2</v>
      </c>
      <c r="H39" s="10" t="n">
        <v>18</v>
      </c>
      <c r="I39" s="10" t="n">
        <v>3</v>
      </c>
    </row>
    <row r="40">
      <c r="A40" s="10" t="inlineStr">
        <is>
          <t>PJ-2024-J</t>
        </is>
      </c>
      <c r="B40" s="10" t="inlineStr">
        <is>
          <t>オーヴァーロード・サーガ</t>
        </is>
      </c>
      <c r="C40" s="10" t="inlineStr">
        <is>
          <t>新規タイトル開発</t>
        </is>
      </c>
      <c r="D40" s="22" t="n">
        <v>1</v>
      </c>
      <c r="E40" s="12" t="n">
        <v>2200</v>
      </c>
      <c r="F40" s="12" t="n">
        <v>2189.8</v>
      </c>
      <c r="G40" s="10" t="n">
        <v>-0.5</v>
      </c>
      <c r="H40" s="10" t="n">
        <v>30</v>
      </c>
      <c r="I40" s="10" t="n">
        <v>4</v>
      </c>
    </row>
    <row r="42">
      <c r="A42" s="6" t="inlineStr">
        <is>
          <t>■ 案件別 × 行程グループ 実績工数(人月)</t>
        </is>
      </c>
    </row>
    <row r="43">
      <c r="A43" s="5" t="inlineStr">
        <is>
          <t>予測と同じ集計(phase_map に載る行程・契約期間内)での実績合計。0 はその案件がその業務を行っていないことを示す。最下行は全案件の合計で、その構成比が学習値そのものではない点に注意(学習は案件ごとの構成比を平均するため、規模の大きい案件に引っ張られない)。</t>
        </is>
      </c>
    </row>
    <row r="45">
      <c r="A45" s="8" t="inlineStr">
        <is>
          <t>案件ID</t>
        </is>
      </c>
      <c r="B45" s="8" t="inlineStr">
        <is>
          <t>名称</t>
        </is>
      </c>
      <c r="C45" s="8" t="inlineStr">
        <is>
          <t>期間(月)</t>
        </is>
      </c>
      <c r="D45" s="8" t="inlineStr">
        <is>
          <t>企画・プリプロ</t>
        </is>
      </c>
      <c r="E45" s="8" t="inlineStr">
        <is>
          <t>ゲームデザイン・シナリオ</t>
        </is>
      </c>
      <c r="F45" s="8" t="inlineStr">
        <is>
          <t>プログラム</t>
        </is>
      </c>
      <c r="G45" s="8" t="inlineStr">
        <is>
          <t>アート</t>
        </is>
      </c>
      <c r="H45" s="8" t="inlineStr">
        <is>
          <t>サウンド</t>
        </is>
      </c>
      <c r="I45" s="8" t="inlineStr">
        <is>
          <t>QA・デバッグ</t>
        </is>
      </c>
      <c r="J45" s="8" t="inlineStr">
        <is>
          <t>PM・運営</t>
        </is>
      </c>
      <c r="K45" s="8" t="inlineStr">
        <is>
          <t>合計</t>
        </is>
      </c>
    </row>
    <row r="46">
      <c r="A46" s="10" t="inlineStr">
        <is>
          <t>PJ-2019-A</t>
        </is>
      </c>
      <c r="B46" s="10" t="inlineStr">
        <is>
          <t>蒼穹のレガリア</t>
        </is>
      </c>
      <c r="C46" s="10" t="n">
        <v>36</v>
      </c>
      <c r="D46" s="19" t="n">
        <v>197.9</v>
      </c>
      <c r="E46" s="19" t="n">
        <v>261.1</v>
      </c>
      <c r="F46" s="19" t="n">
        <v>627.7</v>
      </c>
      <c r="G46" s="19" t="n">
        <v>749.9</v>
      </c>
      <c r="H46" s="19" t="n">
        <v>128.7</v>
      </c>
      <c r="I46" s="19" t="n">
        <v>293.5</v>
      </c>
      <c r="J46" s="19" t="n">
        <v>141</v>
      </c>
      <c r="K46" s="19" t="n">
        <v>2399.9</v>
      </c>
    </row>
    <row r="47">
      <c r="A47" s="10" t="inlineStr">
        <is>
          <t>PJ-2020-B</t>
        </is>
      </c>
      <c r="B47" s="10" t="inlineStr">
        <is>
          <t>ブレイブフロンティア外伝</t>
        </is>
      </c>
      <c r="C47" s="10" t="n">
        <v>14</v>
      </c>
      <c r="D47" s="19" t="n">
        <v>37.5</v>
      </c>
      <c r="E47" s="19" t="n">
        <v>89.5</v>
      </c>
      <c r="F47" s="19" t="n">
        <v>143.7</v>
      </c>
      <c r="G47" s="19" t="n">
        <v>210.8</v>
      </c>
      <c r="H47" s="19" t="n">
        <v>23</v>
      </c>
      <c r="I47" s="19" t="n">
        <v>85.7</v>
      </c>
      <c r="J47" s="19" t="n">
        <v>38.6</v>
      </c>
      <c r="K47" s="19" t="n">
        <v>628.7</v>
      </c>
    </row>
    <row r="48">
      <c r="A48" s="10" t="inlineStr">
        <is>
          <t>PJ-2020-C</t>
        </is>
      </c>
      <c r="B48" s="10" t="inlineStr">
        <is>
          <t>クロノスギア</t>
        </is>
      </c>
      <c r="C48" s="10" t="n">
        <v>30</v>
      </c>
      <c r="D48" s="19" t="n">
        <v>140.9</v>
      </c>
      <c r="E48" s="19" t="n">
        <v>218.5</v>
      </c>
      <c r="F48" s="19" t="n">
        <v>479.2</v>
      </c>
      <c r="G48" s="19" t="n">
        <v>528.4</v>
      </c>
      <c r="H48" s="19" t="n">
        <v>96.7</v>
      </c>
      <c r="I48" s="19" t="n">
        <v>215.1</v>
      </c>
      <c r="J48" s="19" t="n">
        <v>109.9</v>
      </c>
      <c r="K48" s="19" t="n">
        <v>1788.7</v>
      </c>
    </row>
    <row r="49">
      <c r="A49" s="10" t="inlineStr">
        <is>
          <t>PJ-2021-D</t>
        </is>
      </c>
      <c r="B49" s="10" t="inlineStr">
        <is>
          <t>蒼穹のレガリア HD Edition</t>
        </is>
      </c>
      <c r="C49" s="10" t="n">
        <v>15</v>
      </c>
      <c r="D49" s="19" t="n">
        <v>20.9</v>
      </c>
      <c r="E49" s="19" t="n">
        <v>25.6</v>
      </c>
      <c r="F49" s="19" t="n">
        <v>209.2</v>
      </c>
      <c r="G49" s="19" t="n">
        <v>128.1</v>
      </c>
      <c r="H49" s="19" t="n">
        <v>16</v>
      </c>
      <c r="I49" s="19" t="n">
        <v>91.09999999999999</v>
      </c>
      <c r="J49" s="19" t="n">
        <v>32.9</v>
      </c>
      <c r="K49" s="19" t="n">
        <v>523.8</v>
      </c>
    </row>
    <row r="50">
      <c r="A50" s="10" t="inlineStr">
        <is>
          <t>PJ-2021-E</t>
        </is>
      </c>
      <c r="B50" s="10" t="inlineStr">
        <is>
          <t>シャドウヴェイル</t>
        </is>
      </c>
      <c r="C50" s="10" t="n">
        <v>36</v>
      </c>
      <c r="D50" s="19" t="n">
        <v>237.1</v>
      </c>
      <c r="E50" s="19" t="n">
        <v>379.6</v>
      </c>
      <c r="F50" s="19" t="n">
        <v>772.5</v>
      </c>
      <c r="G50" s="19" t="n">
        <v>943.2</v>
      </c>
      <c r="H50" s="19" t="n">
        <v>135</v>
      </c>
      <c r="I50" s="19" t="n">
        <v>336.5</v>
      </c>
      <c r="J50" s="19" t="n">
        <v>177</v>
      </c>
      <c r="K50" s="19" t="n">
        <v>2980.9</v>
      </c>
    </row>
    <row r="51">
      <c r="A51" s="10" t="inlineStr">
        <is>
          <t>PJ-2022-F</t>
        </is>
      </c>
      <c r="B51" s="10" t="inlineStr">
        <is>
          <t>ネオンハーツ Season2</t>
        </is>
      </c>
      <c r="C51" s="10" t="n">
        <v>18</v>
      </c>
      <c r="D51" s="19" t="n">
        <v>51.9</v>
      </c>
      <c r="E51" s="19" t="n">
        <v>127.4</v>
      </c>
      <c r="F51" s="19" t="n">
        <v>212.2</v>
      </c>
      <c r="G51" s="19" t="n">
        <v>295.2</v>
      </c>
      <c r="H51" s="19" t="n">
        <v>36.5</v>
      </c>
      <c r="I51" s="19" t="n">
        <v>119.1</v>
      </c>
      <c r="J51" s="19" t="n">
        <v>53.4</v>
      </c>
      <c r="K51" s="19" t="n">
        <v>895.7</v>
      </c>
    </row>
    <row r="52">
      <c r="A52" s="10" t="inlineStr">
        <is>
          <t>PJ-2022-G</t>
        </is>
      </c>
      <c r="B52" s="10" t="inlineStr">
        <is>
          <t>ギルドマスターズ</t>
        </is>
      </c>
      <c r="C52" s="10" t="n">
        <v>24</v>
      </c>
      <c r="D52" s="19" t="n">
        <v>106.5</v>
      </c>
      <c r="E52" s="19" t="n">
        <v>167.4</v>
      </c>
      <c r="F52" s="19" t="n">
        <v>387.2</v>
      </c>
      <c r="G52" s="19" t="n">
        <v>431.3</v>
      </c>
      <c r="H52" s="19" t="n">
        <v>71.40000000000001</v>
      </c>
      <c r="I52" s="19" t="n">
        <v>170.8</v>
      </c>
      <c r="J52" s="19" t="n">
        <v>90.40000000000001</v>
      </c>
      <c r="K52" s="19" t="n">
        <v>1425</v>
      </c>
    </row>
    <row r="53">
      <c r="A53" s="10" t="inlineStr">
        <is>
          <t>PJ-2023-H</t>
        </is>
      </c>
      <c r="B53" s="10" t="inlineStr">
        <is>
          <t>クロノスギア:蒼き遺産</t>
        </is>
      </c>
      <c r="C53" s="10" t="n">
        <v>20</v>
      </c>
      <c r="D53" s="19" t="n">
        <v>70.2</v>
      </c>
      <c r="E53" s="19" t="n">
        <v>166.5</v>
      </c>
      <c r="F53" s="19" t="n">
        <v>276.4</v>
      </c>
      <c r="G53" s="19" t="n">
        <v>331.5</v>
      </c>
      <c r="H53" s="19" t="n">
        <v>45.5</v>
      </c>
      <c r="I53" s="19" t="n">
        <v>141.1</v>
      </c>
      <c r="J53" s="19" t="n">
        <v>69</v>
      </c>
      <c r="K53" s="19" t="n">
        <v>1100.1</v>
      </c>
    </row>
    <row r="54">
      <c r="A54" s="10" t="inlineStr">
        <is>
          <t>PJ-2023-I</t>
        </is>
      </c>
      <c r="B54" s="10" t="inlineStr">
        <is>
          <t>ブレイブフロンティア Remaster</t>
        </is>
      </c>
      <c r="C54" s="10" t="n">
        <v>18</v>
      </c>
      <c r="D54" s="19" t="n">
        <v>26.4</v>
      </c>
      <c r="E54" s="19" t="n">
        <v>35.7</v>
      </c>
      <c r="F54" s="19" t="n">
        <v>283.6</v>
      </c>
      <c r="G54" s="19" t="n">
        <v>180.6</v>
      </c>
      <c r="H54" s="19" t="n">
        <v>20.6</v>
      </c>
      <c r="I54" s="19" t="n">
        <v>109.6</v>
      </c>
      <c r="J54" s="19" t="n">
        <v>44.8</v>
      </c>
      <c r="K54" s="19" t="n">
        <v>701.4</v>
      </c>
    </row>
    <row r="55">
      <c r="A55" s="10" t="inlineStr">
        <is>
          <t>PJ-2024-J</t>
        </is>
      </c>
      <c r="B55" s="10" t="inlineStr">
        <is>
          <t>オーヴァーロード・サーガ</t>
        </is>
      </c>
      <c r="C55" s="10" t="n">
        <v>30</v>
      </c>
      <c r="D55" s="19" t="n">
        <v>181</v>
      </c>
      <c r="E55" s="19" t="n">
        <v>266.2</v>
      </c>
      <c r="F55" s="19" t="n">
        <v>635.5</v>
      </c>
      <c r="G55" s="19" t="n">
        <v>604.8</v>
      </c>
      <c r="H55" s="19" t="n">
        <v>111.6</v>
      </c>
      <c r="I55" s="19" t="n">
        <v>244.4</v>
      </c>
      <c r="J55" s="19" t="n">
        <v>146.4</v>
      </c>
      <c r="K55" s="19" t="n">
        <v>2189.8</v>
      </c>
    </row>
    <row r="56">
      <c r="A56" s="10" t="inlineStr">
        <is>
          <t>合計</t>
        </is>
      </c>
      <c r="B56" s="10" t="inlineStr"/>
      <c r="C56" s="10" t="n"/>
      <c r="D56" s="19" t="n">
        <v>1070.3</v>
      </c>
      <c r="E56" s="19" t="n">
        <v>1737.5</v>
      </c>
      <c r="F56" s="19" t="n">
        <v>4027.2</v>
      </c>
      <c r="G56" s="19" t="n">
        <v>4403.8</v>
      </c>
      <c r="H56" s="19" t="n">
        <v>685</v>
      </c>
      <c r="I56" s="19" t="n">
        <v>1806.9</v>
      </c>
      <c r="J56" s="19" t="n">
        <v>903.4</v>
      </c>
      <c r="K56" s="19" t="n">
        <v>14634</v>
      </c>
    </row>
    <row r="57">
      <c r="A57" s="10" t="inlineStr">
        <is>
          <t>構成比</t>
        </is>
      </c>
      <c r="B57" s="10" t="inlineStr">
        <is>
          <t>(全案件の単純合計)</t>
        </is>
      </c>
      <c r="C57" s="10" t="n"/>
      <c r="D57" s="17" t="n">
        <v>0.0731</v>
      </c>
      <c r="E57" s="17" t="n">
        <v>0.1187</v>
      </c>
      <c r="F57" s="17" t="n">
        <v>0.2752</v>
      </c>
      <c r="G57" s="17" t="n">
        <v>0.3009</v>
      </c>
      <c r="H57" s="17" t="n">
        <v>0.0468</v>
      </c>
      <c r="I57" s="17" t="n">
        <v>0.1235</v>
      </c>
      <c r="J57" s="17" t="n">
        <v>0.0617</v>
      </c>
      <c r="K57" s="17" t="n">
        <v>1</v>
      </c>
    </row>
    <row r="59">
      <c r="A59" s="6" t="inlineStr">
        <is>
          <t>■ マイルストーン位置分布(学習値)</t>
        </is>
      </c>
    </row>
    <row r="60">
      <c r="A60" s="8" t="inlineStr">
        <is>
          <t>マイルストーン名</t>
        </is>
      </c>
      <c r="B60" s="8" t="inlineStr">
        <is>
          <t>平均位置</t>
        </is>
      </c>
      <c r="C60" s="8" t="inlineStr">
        <is>
          <t>標準偏差</t>
        </is>
      </c>
      <c r="D60" s="8" t="inlineStr">
        <is>
          <t>件数</t>
        </is>
      </c>
      <c r="E60" s="8" t="inlineStr">
        <is>
          <t>背骨</t>
        </is>
      </c>
    </row>
    <row r="61">
      <c r="A61" s="10" t="inlineStr">
        <is>
          <t>プロトタイプ</t>
        </is>
      </c>
      <c r="B61" s="21" t="n">
        <v>0.2271097213995016</v>
      </c>
      <c r="C61" s="21" t="n">
        <v>0.04463276400754754</v>
      </c>
      <c r="D61" s="10" t="n">
        <v>5</v>
      </c>
      <c r="E61" s="10" t="inlineStr"/>
    </row>
    <row r="62">
      <c r="A62" s="10" t="inlineStr">
        <is>
          <t>α版</t>
        </is>
      </c>
      <c r="B62" s="21" t="n">
        <v>0.4956694243815501</v>
      </c>
      <c r="C62" s="21" t="n">
        <v>0.07344228694062485</v>
      </c>
      <c r="D62" s="10" t="n">
        <v>10</v>
      </c>
      <c r="E62" s="10" t="inlineStr">
        <is>
          <t>○</t>
        </is>
      </c>
    </row>
    <row r="63">
      <c r="A63" s="10" t="inlineStr">
        <is>
          <t>β版</t>
        </is>
      </c>
      <c r="B63" s="21" t="n">
        <v>0.766982449080519</v>
      </c>
      <c r="C63" s="21" t="n">
        <v>0.03460823121678256</v>
      </c>
      <c r="D63" s="10" t="n">
        <v>10</v>
      </c>
      <c r="E63" s="10" t="inlineStr">
        <is>
          <t>○</t>
        </is>
      </c>
    </row>
    <row r="64">
      <c r="A64" s="10" t="inlineStr">
        <is>
          <t>マスターアップ</t>
        </is>
      </c>
      <c r="B64" s="21" t="n">
        <v>0.9224441859022114</v>
      </c>
      <c r="C64" s="21" t="n">
        <v>0.0168321277208598</v>
      </c>
      <c r="D64" s="10" t="n">
        <v>10</v>
      </c>
      <c r="E64" s="10" t="inlineStr">
        <is>
          <t>○</t>
        </is>
      </c>
    </row>
    <row r="66">
      <c r="A66" s="6" t="inlineStr">
        <is>
          <t>■ 行程グループ別 工数比率(学習値)</t>
        </is>
      </c>
    </row>
    <row r="67">
      <c r="A67" s="5" t="inlineStr">
        <is>
          <t>件数 = そのグループの形状カーブの学習に参加した案件数。そのグループの業務が無い案件は形の平均に参加しないため、件数が少ないカーブは参考値として扱うこと。比率のほうは業務が無い案件も0として平均に含めている。</t>
        </is>
      </c>
    </row>
    <row r="68">
      <c r="A68" s="8" t="inlineStr">
        <is>
          <t>行程グループ</t>
        </is>
      </c>
      <c r="B68" s="8" t="inlineStr">
        <is>
          <t>比率</t>
        </is>
      </c>
      <c r="C68" s="8" t="inlineStr">
        <is>
          <t>件数</t>
        </is>
      </c>
    </row>
    <row r="69">
      <c r="A69" s="10" t="inlineStr">
        <is>
          <t>企画・プリプロ</t>
        </is>
      </c>
      <c r="B69" s="13" t="n">
        <v>0.06570521522136173</v>
      </c>
      <c r="C69" s="11" t="n">
        <v>10</v>
      </c>
    </row>
    <row r="70">
      <c r="A70" s="10" t="inlineStr">
        <is>
          <t>ゲームデザイン・シナリオ</t>
        </is>
      </c>
      <c r="B70" s="13" t="n">
        <v>0.1133244200290807</v>
      </c>
      <c r="C70" s="11" t="n">
        <v>10</v>
      </c>
    </row>
    <row r="71">
      <c r="A71" s="10" t="inlineStr">
        <is>
          <t>プログラム</t>
        </is>
      </c>
      <c r="B71" s="13" t="n">
        <v>0.2871124740266998</v>
      </c>
      <c r="C71" s="11" t="n">
        <v>10</v>
      </c>
    </row>
    <row r="72">
      <c r="A72" s="10" t="inlineStr">
        <is>
          <t>アート</t>
        </is>
      </c>
      <c r="B72" s="13" t="n">
        <v>0.2971243528740071</v>
      </c>
      <c r="C72" s="11" t="n">
        <v>10</v>
      </c>
    </row>
    <row r="73">
      <c r="A73" s="10" t="inlineStr">
        <is>
          <t>サウンド</t>
        </is>
      </c>
      <c r="B73" s="13" t="n">
        <v>0.0432527647438787</v>
      </c>
      <c r="C73" s="11" t="n">
        <v>10</v>
      </c>
    </row>
    <row r="74">
      <c r="A74" s="10" t="inlineStr">
        <is>
          <t>QA・デバッグ</t>
        </is>
      </c>
      <c r="B74" s="13" t="n">
        <v>0.1314677815565077</v>
      </c>
      <c r="C74" s="11" t="n">
        <v>10</v>
      </c>
    </row>
    <row r="75">
      <c r="A75" s="10" t="inlineStr">
        <is>
          <t>PM・運営</t>
        </is>
      </c>
      <c r="B75" s="13" t="n">
        <v>0.06201299154846422</v>
      </c>
      <c r="C75" s="11" t="n">
        <v>10</v>
      </c>
    </row>
    <row r="77">
      <c r="A77" s="6" t="inlineStr">
        <is>
          <t>■ 警告</t>
        </is>
      </c>
    </row>
    <row r="78">
      <c r="A78" s="23" t="inlineStr">
        <is>
          <t>⚠ マイルストーン「プロトタイプ」はカバー率 5/10 が閾値 60% 未満のため位置合わせには使っていない。</t>
        </is>
      </c>
    </row>
  </sheetData>
  <printOptions horizontalCentered="0"/>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2026-09-03T00:32:33Z</dcterms:created>
  <dcterms:modified xsi:type="dcterms:W3CDTF">2026-09-03T00:32:33Z</dcterms:modified>
</cp:coreProperties>
</file>