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予測" sheetId="1" state="visible" r:id="rId1"/>
    <sheet name="カーブ" sheetId="2" state="visible" r:id="rId2"/>
    <sheet name="検証" sheetId="3" state="visible" r:id="rId3"/>
    <sheet name="条件" sheetId="4" state="visible" r:id="rId4"/>
  </sheets>
  <definedNames/>
  <calcPr calcId="124519" fullCalcOnLoad="1"/>
</workbook>
</file>

<file path=xl/styles.xml><?xml version="1.0" encoding="utf-8"?>
<styleSheet xmlns="http://schemas.openxmlformats.org/spreadsheetml/2006/main">
  <numFmts count="4">
    <numFmt numFmtId="164" formatCode="0.0%"/>
    <numFmt numFmtId="165" formatCode="#,##0.0"/>
    <numFmt numFmtId="166" formatCode="0.000"/>
    <numFmt numFmtId="167" formatCode="0.0"/>
  </numFmts>
  <fonts count="8">
    <font>
      <name val="Calibri"/>
      <family val="2"/>
      <color theme="1"/>
      <sz val="11"/>
      <scheme val="minor"/>
    </font>
    <font>
      <name val="Arial"/>
      <b val="1"/>
      <color rgb="001F3864"/>
      <sz val="14"/>
    </font>
    <font>
      <name val="Arial"/>
      <sz val="10"/>
    </font>
    <font>
      <name val="Arial"/>
      <i val="1"/>
      <color rgb="007F7F7F"/>
      <sz val="9"/>
    </font>
    <font>
      <name val="Arial"/>
      <b val="1"/>
      <color rgb="001F3864"/>
      <sz val="11"/>
    </font>
    <font>
      <name val="Arial"/>
      <b val="1"/>
      <color rgb="00FFFFFF"/>
      <sz val="10"/>
    </font>
    <font>
      <name val="Arial"/>
      <b val="1"/>
      <sz val="10"/>
    </font>
    <font>
      <name val="Arial"/>
      <color rgb="00C00000"/>
      <sz val="10"/>
    </font>
  </fonts>
  <fills count="5">
    <fill>
      <patternFill/>
    </fill>
    <fill>
      <patternFill patternType="gray125"/>
    </fill>
    <fill>
      <patternFill patternType="solid">
        <fgColor rgb="00FFF2CC"/>
      </patternFill>
    </fill>
    <fill>
      <patternFill patternType="solid">
        <fgColor rgb="001F3864"/>
      </patternFill>
    </fill>
    <fill>
      <patternFill patternType="solid">
        <f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pivotButton="0" quotePrefix="0" xfId="0"/>
    <xf numFmtId="3" fontId="2" fillId="0" borderId="0" pivotButton="0" quotePrefix="0" xfId="0"/>
    <xf numFmtId="3" fontId="2" fillId="2" borderId="0" pivotButton="0" quotePrefix="0" xfId="0"/>
    <xf numFmtId="0" fontId="3" fillId="0" borderId="0" pivotButton="0" quotePrefix="0" xfId="0"/>
    <xf numFmtId="0" fontId="4" fillId="0" borderId="0" pivotButton="0" quotePrefix="0" xfId="0"/>
    <xf numFmtId="0" fontId="5" fillId="3" borderId="1" applyAlignment="1" pivotButton="0" quotePrefix="0" xfId="0">
      <alignment horizontal="center"/>
    </xf>
    <xf numFmtId="0" fontId="5" fillId="3" borderId="1" applyAlignment="1" pivotButton="0" quotePrefix="0" xfId="0">
      <alignment horizontal="center" wrapText="1"/>
    </xf>
    <xf numFmtId="0" fontId="5" fillId="3" borderId="0" pivotButton="0" quotePrefix="0" xfId="0"/>
    <xf numFmtId="0" fontId="2" fillId="0" borderId="1" pivotButton="0" quotePrefix="0" xfId="0"/>
    <xf numFmtId="1" fontId="2" fillId="0" borderId="1" pivotButton="0" quotePrefix="0" xfId="0"/>
    <xf numFmtId="3" fontId="2" fillId="0" borderId="1" pivotButton="0" quotePrefix="0" xfId="0"/>
    <xf numFmtId="164" fontId="2" fillId="0" borderId="1" pivotButton="0" quotePrefix="0" xfId="0"/>
    <xf numFmtId="0" fontId="6" fillId="0" borderId="1" pivotButton="0" quotePrefix="0" xfId="0"/>
    <xf numFmtId="3" fontId="6" fillId="4" borderId="1" pivotButton="0" quotePrefix="0" xfId="0"/>
    <xf numFmtId="0" fontId="3" fillId="0" borderId="1" pivotButton="0" quotePrefix="0" xfId="0"/>
    <xf numFmtId="164" fontId="3" fillId="0" borderId="1" pivotButton="0" quotePrefix="0" xfId="0"/>
    <xf numFmtId="0" fontId="5" fillId="3" borderId="1" pivotButton="0" quotePrefix="0" xfId="0"/>
    <xf numFmtId="165" fontId="2" fillId="0" borderId="1" pivotButton="0" quotePrefix="0" xfId="0"/>
    <xf numFmtId="165" fontId="6" fillId="4" borderId="1" pivotButton="0" quotePrefix="0" xfId="0"/>
    <xf numFmtId="166" fontId="2" fillId="0" borderId="1" pivotButton="0" quotePrefix="0" xfId="0"/>
    <xf numFmtId="167" fontId="2" fillId="0" borderId="1" pivotButton="0" quotePrefix="0" xfId="0"/>
    <xf numFmtId="2" fontId="2" fillId="0" borderId="1"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title>
      <tx>
        <rich>
          <a:bodyPr/>
          <a:p>
            <a:pPr>
              <a:defRPr/>
            </a:pPr>
            <a:r>
              <a:t>蒼穹のレガリア II 月次工数(時間・行程グループ積み上げ)</a:t>
            </a:r>
          </a:p>
        </rich>
      </tx>
    </title>
    <plotArea>
      <barChart>
        <barDir val="col"/>
        <grouping val="stacked"/>
        <ser>
          <idx val="0"/>
          <order val="0"/>
          <tx>
            <strRef>
              <f>'予測'!C11</f>
            </strRef>
          </tx>
          <spPr>
            <a:ln>
              <a:prstDash val="solid"/>
            </a:ln>
          </spPr>
          <cat>
            <numRef>
              <f>'予測'!$A$12:$A$37</f>
            </numRef>
          </cat>
          <val>
            <numRef>
              <f>'予測'!$C$12:$C$37</f>
            </numRef>
          </val>
        </ser>
        <ser>
          <idx val="1"/>
          <order val="1"/>
          <tx>
            <strRef>
              <f>'予測'!D11</f>
            </strRef>
          </tx>
          <spPr>
            <a:ln>
              <a:prstDash val="solid"/>
            </a:ln>
          </spPr>
          <cat>
            <numRef>
              <f>'予測'!$A$12:$A$37</f>
            </numRef>
          </cat>
          <val>
            <numRef>
              <f>'予測'!$D$12:$D$37</f>
            </numRef>
          </val>
        </ser>
        <ser>
          <idx val="2"/>
          <order val="2"/>
          <tx>
            <strRef>
              <f>'予測'!E11</f>
            </strRef>
          </tx>
          <spPr>
            <a:ln>
              <a:prstDash val="solid"/>
            </a:ln>
          </spPr>
          <cat>
            <numRef>
              <f>'予測'!$A$12:$A$37</f>
            </numRef>
          </cat>
          <val>
            <numRef>
              <f>'予測'!$E$12:$E$37</f>
            </numRef>
          </val>
        </ser>
        <ser>
          <idx val="3"/>
          <order val="3"/>
          <tx>
            <strRef>
              <f>'予測'!F11</f>
            </strRef>
          </tx>
          <spPr>
            <a:ln>
              <a:prstDash val="solid"/>
            </a:ln>
          </spPr>
          <cat>
            <numRef>
              <f>'予測'!$A$12:$A$37</f>
            </numRef>
          </cat>
          <val>
            <numRef>
              <f>'予測'!$F$12:$F$37</f>
            </numRef>
          </val>
        </ser>
        <ser>
          <idx val="4"/>
          <order val="4"/>
          <tx>
            <strRef>
              <f>'予測'!G11</f>
            </strRef>
          </tx>
          <spPr>
            <a:ln>
              <a:prstDash val="solid"/>
            </a:ln>
          </spPr>
          <cat>
            <numRef>
              <f>'予測'!$A$12:$A$37</f>
            </numRef>
          </cat>
          <val>
            <numRef>
              <f>'予測'!$G$12:$G$37</f>
            </numRef>
          </val>
        </ser>
        <ser>
          <idx val="5"/>
          <order val="5"/>
          <tx>
            <strRef>
              <f>'予測'!H11</f>
            </strRef>
          </tx>
          <spPr>
            <a:ln>
              <a:prstDash val="solid"/>
            </a:ln>
          </spPr>
          <cat>
            <numRef>
              <f>'予測'!$A$12:$A$37</f>
            </numRef>
          </cat>
          <val>
            <numRef>
              <f>'予測'!$H$12:$H$37</f>
            </numRef>
          </val>
        </ser>
        <ser>
          <idx val="6"/>
          <order val="6"/>
          <tx>
            <strRef>
              <f>'予測'!I11</f>
            </strRef>
          </tx>
          <spPr>
            <a:ln>
              <a:prstDash val="solid"/>
            </a:ln>
          </spPr>
          <cat>
            <numRef>
              <f>'予測'!$A$12:$A$37</f>
            </numRef>
          </cat>
          <val>
            <numRef>
              <f>'予測'!$I$12:$I$37</f>
            </numRef>
          </val>
        </ser>
        <gapWidth val="150"/>
        <overlap val="100"/>
        <axId val="10"/>
        <axId val="100"/>
      </barChart>
      <catAx>
        <axId val="10"/>
        <scaling>
          <orientation val="minMax"/>
        </scaling>
        <axPos val="l"/>
        <title>
          <tx>
            <rich>
              <a:bodyPr/>
              <a:p>
                <a:pPr>
                  <a:defRPr/>
                </a:pPr>
                <a:r>
                  <a:t>月</a:t>
                </a:r>
              </a:p>
            </rich>
          </tx>
        </title>
        <majorTickMark val="none"/>
        <minorTickMark val="none"/>
        <crossAx val="100"/>
        <lblOffset val="100"/>
      </catAx>
      <valAx>
        <axId val="100"/>
        <scaling>
          <orientation val="minMax"/>
        </scaling>
        <axPos val="l"/>
        <majorGridlines/>
        <title>
          <tx>
            <rich>
              <a:bodyPr/>
              <a:p>
                <a:pPr>
                  <a:defRPr/>
                </a:pPr>
                <a:r>
                  <a:t>時間</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累積消化率</a:t>
            </a:r>
          </a:p>
        </rich>
      </tx>
    </title>
    <plotArea>
      <lineChart>
        <grouping val="standard"/>
        <ser>
          <idx val="0"/>
          <order val="0"/>
          <tx>
            <strRef>
              <f>'予測'!K11</f>
            </strRef>
          </tx>
          <spPr>
            <a:ln>
              <a:prstDash val="solid"/>
            </a:ln>
          </spPr>
          <marker>
            <symbol val="none"/>
            <spPr>
              <a:ln>
                <a:prstDash val="solid"/>
              </a:ln>
            </spPr>
          </marker>
          <cat>
            <numRef>
              <f>'予測'!$A$12:$A$37</f>
            </numRef>
          </cat>
          <val>
            <numRef>
              <f>'予測'!$K$12:$K$37</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累積比率</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累積消化率カーブ(太線=平均)</a:t>
            </a:r>
          </a:p>
        </rich>
      </tx>
    </title>
    <plotArea>
      <lineChart>
        <grouping val="standard"/>
        <ser>
          <idx val="0"/>
          <order val="0"/>
          <tx>
            <strRef>
              <f>'カーブ'!B6</f>
            </strRef>
          </tx>
          <spPr>
            <a:ln>
              <a:prstDash val="solid"/>
            </a:ln>
          </spPr>
          <marker>
            <symbol val="none"/>
            <spPr>
              <a:ln>
                <a:prstDash val="solid"/>
              </a:ln>
            </spPr>
          </marker>
          <cat>
            <numRef>
              <f>'カーブ'!$A$7:$A$106</f>
            </numRef>
          </cat>
          <val>
            <numRef>
              <f>'カーブ'!$B$7:$B$106</f>
            </numRef>
          </val>
          <smooth val="0"/>
        </ser>
        <ser>
          <idx val="1"/>
          <order val="1"/>
          <tx>
            <strRef>
              <f>'カーブ'!C6</f>
            </strRef>
          </tx>
          <spPr>
            <a:ln>
              <a:prstDash val="solid"/>
            </a:ln>
          </spPr>
          <marker>
            <symbol val="none"/>
            <spPr>
              <a:ln>
                <a:prstDash val="solid"/>
              </a:ln>
            </spPr>
          </marker>
          <cat>
            <numRef>
              <f>'カーブ'!$A$7:$A$106</f>
            </numRef>
          </cat>
          <val>
            <numRef>
              <f>'カーブ'!$C$7:$C$106</f>
            </numRef>
          </val>
          <smooth val="0"/>
        </ser>
        <ser>
          <idx val="2"/>
          <order val="2"/>
          <tx>
            <strRef>
              <f>'カーブ'!D6</f>
            </strRef>
          </tx>
          <spPr>
            <a:ln>
              <a:prstDash val="solid"/>
            </a:ln>
          </spPr>
          <marker>
            <symbol val="none"/>
            <spPr>
              <a:ln>
                <a:prstDash val="solid"/>
              </a:ln>
            </spPr>
          </marker>
          <cat>
            <numRef>
              <f>'カーブ'!$A$7:$A$106</f>
            </numRef>
          </cat>
          <val>
            <numRef>
              <f>'カーブ'!$D$7:$D$106</f>
            </numRef>
          </val>
          <smooth val="0"/>
        </ser>
        <ser>
          <idx val="3"/>
          <order val="3"/>
          <tx>
            <strRef>
              <f>'カーブ'!E6</f>
            </strRef>
          </tx>
          <spPr>
            <a:ln>
              <a:prstDash val="solid"/>
            </a:ln>
          </spPr>
          <marker>
            <symbol val="none"/>
            <spPr>
              <a:ln>
                <a:prstDash val="solid"/>
              </a:ln>
            </spPr>
          </marker>
          <cat>
            <numRef>
              <f>'カーブ'!$A$7:$A$106</f>
            </numRef>
          </cat>
          <val>
            <numRef>
              <f>'カーブ'!$E$7:$E$106</f>
            </numRef>
          </val>
          <smooth val="0"/>
        </ser>
        <ser>
          <idx val="4"/>
          <order val="4"/>
          <tx>
            <strRef>
              <f>'カーブ'!F6</f>
            </strRef>
          </tx>
          <spPr>
            <a:ln>
              <a:prstDash val="solid"/>
            </a:ln>
          </spPr>
          <marker>
            <symbol val="none"/>
            <spPr>
              <a:ln>
                <a:prstDash val="solid"/>
              </a:ln>
            </spPr>
          </marker>
          <cat>
            <numRef>
              <f>'カーブ'!$A$7:$A$106</f>
            </numRef>
          </cat>
          <val>
            <numRef>
              <f>'カーブ'!$F$7:$F$106</f>
            </numRef>
          </val>
          <smooth val="0"/>
        </ser>
        <ser>
          <idx val="5"/>
          <order val="5"/>
          <tx>
            <strRef>
              <f>'カーブ'!G6</f>
            </strRef>
          </tx>
          <spPr>
            <a:ln>
              <a:prstDash val="solid"/>
            </a:ln>
          </spPr>
          <marker>
            <symbol val="none"/>
            <spPr>
              <a:ln>
                <a:prstDash val="solid"/>
              </a:ln>
            </spPr>
          </marker>
          <cat>
            <numRef>
              <f>'カーブ'!$A$7:$A$106</f>
            </numRef>
          </cat>
          <val>
            <numRef>
              <f>'カーブ'!$G$7:$G$106</f>
            </numRef>
          </val>
          <smooth val="0"/>
        </ser>
        <ser>
          <idx val="6"/>
          <order val="6"/>
          <tx>
            <strRef>
              <f>'カーブ'!H6</f>
            </strRef>
          </tx>
          <spPr>
            <a:ln>
              <a:prstDash val="solid"/>
            </a:ln>
          </spPr>
          <marker>
            <symbol val="none"/>
            <spPr>
              <a:ln>
                <a:prstDash val="solid"/>
              </a:ln>
            </spPr>
          </marker>
          <cat>
            <numRef>
              <f>'カーブ'!$A$7:$A$106</f>
            </numRef>
          </cat>
          <val>
            <numRef>
              <f>'カーブ'!$H$7:$H$106</f>
            </numRef>
          </val>
          <smooth val="0"/>
        </ser>
        <ser>
          <idx val="7"/>
          <order val="7"/>
          <tx>
            <strRef>
              <f>'カーブ'!I6</f>
            </strRef>
          </tx>
          <spPr>
            <a:ln>
              <a:prstDash val="solid"/>
            </a:ln>
          </spPr>
          <marker>
            <symbol val="none"/>
            <spPr>
              <a:ln>
                <a:prstDash val="solid"/>
              </a:ln>
            </spPr>
          </marker>
          <cat>
            <numRef>
              <f>'カーブ'!$A$7:$A$106</f>
            </numRef>
          </cat>
          <val>
            <numRef>
              <f>'カーブ'!$I$7:$I$106</f>
            </numRef>
          </val>
          <smooth val="0"/>
        </ser>
        <ser>
          <idx val="8"/>
          <order val="8"/>
          <tx>
            <strRef>
              <f>'カーブ'!J6</f>
            </strRef>
          </tx>
          <spPr>
            <a:ln>
              <a:prstDash val="solid"/>
            </a:ln>
          </spPr>
          <marker>
            <symbol val="none"/>
            <spPr>
              <a:ln>
                <a:prstDash val="solid"/>
              </a:ln>
            </spPr>
          </marker>
          <cat>
            <numRef>
              <f>'カーブ'!$A$7:$A$106</f>
            </numRef>
          </cat>
          <val>
            <numRef>
              <f>'カーブ'!$J$7:$J$106</f>
            </numRef>
          </val>
          <smooth val="0"/>
        </ser>
        <ser>
          <idx val="9"/>
          <order val="9"/>
          <tx>
            <strRef>
              <f>'カーブ'!K6</f>
            </strRef>
          </tx>
          <spPr>
            <a:ln>
              <a:prstDash val="solid"/>
            </a:ln>
          </spPr>
          <marker>
            <symbol val="none"/>
            <spPr>
              <a:ln>
                <a:prstDash val="solid"/>
              </a:ln>
            </spPr>
          </marker>
          <cat>
            <numRef>
              <f>'カーブ'!$A$7:$A$106</f>
            </numRef>
          </cat>
          <val>
            <numRef>
              <f>'カーブ'!$K$7:$K$106</f>
            </numRef>
          </val>
          <smooth val="0"/>
        </ser>
        <ser>
          <idx val="10"/>
          <order val="10"/>
          <tx>
            <strRef>
              <f>'カーブ'!L6</f>
            </strRef>
          </tx>
          <spPr>
            <a:ln>
              <a:prstDash val="solid"/>
            </a:ln>
          </spPr>
          <marker>
            <symbol val="none"/>
            <spPr>
              <a:ln>
                <a:prstDash val="solid"/>
              </a:ln>
            </spPr>
          </marker>
          <cat>
            <numRef>
              <f>'カーブ'!$A$7:$A$106</f>
            </numRef>
          </cat>
          <val>
            <numRef>
              <f>'カーブ'!$L$7:$L$106</f>
            </numRef>
          </val>
          <smooth val="0"/>
        </ser>
        <ser>
          <idx val="11"/>
          <order val="11"/>
          <tx>
            <strRef>
              <f>'カーブ'!M6</f>
            </strRef>
          </tx>
          <spPr>
            <a:ln>
              <a:prstDash val="solid"/>
            </a:ln>
          </spPr>
          <marker>
            <symbol val="none"/>
            <spPr>
              <a:ln>
                <a:prstDash val="solid"/>
              </a:ln>
            </spPr>
          </marker>
          <cat>
            <numRef>
              <f>'カーブ'!$A$7:$A$106</f>
            </numRef>
          </cat>
          <val>
            <numRef>
              <f>'カーブ'!$M$7:$M$106</f>
            </numRef>
          </val>
          <smooth val="0"/>
        </ser>
        <axId val="10"/>
        <axId val="100"/>
      </lineChart>
      <catAx>
        <axId val="10"/>
        <scaling>
          <orientation val="minMax"/>
        </scaling>
        <axPos val="l"/>
        <title>
          <tx>
            <rich>
              <a:bodyPr/>
              <a:p>
                <a:pPr>
                  <a:defRPr/>
                </a:pPr>
                <a:r>
                  <a:t>正準時間軸 t</a:t>
                </a:r>
              </a:p>
            </rich>
          </tx>
        </title>
        <majorTickMark val="none"/>
        <minorTickMark val="none"/>
        <crossAx val="100"/>
        <lblOffset val="100"/>
      </catAx>
      <valAx>
        <axId val="100"/>
        <scaling>
          <orientation val="minMax"/>
        </scaling>
        <axPos val="l"/>
        <majorGridlines/>
        <title>
          <tx>
            <rich>
              <a:bodyPr/>
              <a:p>
                <a:pPr>
                  <a:defRPr/>
                </a:pPr>
                <a:r>
                  <a:t>累積比率</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工数密度カーブ(非累積・太線=平均)</a:t>
            </a:r>
          </a:p>
        </rich>
      </tx>
    </title>
    <plotArea>
      <lineChart>
        <grouping val="standard"/>
        <ser>
          <idx val="0"/>
          <order val="0"/>
          <tx>
            <strRef>
              <f>'カーブ'!B133</f>
            </strRef>
          </tx>
          <spPr>
            <a:ln>
              <a:prstDash val="solid"/>
            </a:ln>
          </spPr>
          <marker>
            <symbol val="none"/>
            <spPr>
              <a:ln>
                <a:prstDash val="solid"/>
              </a:ln>
            </spPr>
          </marker>
          <cat>
            <numRef>
              <f>'カーブ'!$A$134:$A$233</f>
            </numRef>
          </cat>
          <val>
            <numRef>
              <f>'カーブ'!$B$134:$B$233</f>
            </numRef>
          </val>
          <smooth val="0"/>
        </ser>
        <ser>
          <idx val="1"/>
          <order val="1"/>
          <tx>
            <strRef>
              <f>'カーブ'!C133</f>
            </strRef>
          </tx>
          <spPr>
            <a:ln>
              <a:prstDash val="solid"/>
            </a:ln>
          </spPr>
          <marker>
            <symbol val="none"/>
            <spPr>
              <a:ln>
                <a:prstDash val="solid"/>
              </a:ln>
            </spPr>
          </marker>
          <cat>
            <numRef>
              <f>'カーブ'!$A$134:$A$233</f>
            </numRef>
          </cat>
          <val>
            <numRef>
              <f>'カーブ'!$C$134:$C$233</f>
            </numRef>
          </val>
          <smooth val="0"/>
        </ser>
        <ser>
          <idx val="2"/>
          <order val="2"/>
          <tx>
            <strRef>
              <f>'カーブ'!D133</f>
            </strRef>
          </tx>
          <spPr>
            <a:ln>
              <a:prstDash val="solid"/>
            </a:ln>
          </spPr>
          <marker>
            <symbol val="none"/>
            <spPr>
              <a:ln>
                <a:prstDash val="solid"/>
              </a:ln>
            </spPr>
          </marker>
          <cat>
            <numRef>
              <f>'カーブ'!$A$134:$A$233</f>
            </numRef>
          </cat>
          <val>
            <numRef>
              <f>'カーブ'!$D$134:$D$233</f>
            </numRef>
          </val>
          <smooth val="0"/>
        </ser>
        <ser>
          <idx val="3"/>
          <order val="3"/>
          <tx>
            <strRef>
              <f>'カーブ'!E133</f>
            </strRef>
          </tx>
          <spPr>
            <a:ln>
              <a:prstDash val="solid"/>
            </a:ln>
          </spPr>
          <marker>
            <symbol val="none"/>
            <spPr>
              <a:ln>
                <a:prstDash val="solid"/>
              </a:ln>
            </spPr>
          </marker>
          <cat>
            <numRef>
              <f>'カーブ'!$A$134:$A$233</f>
            </numRef>
          </cat>
          <val>
            <numRef>
              <f>'カーブ'!$E$134:$E$233</f>
            </numRef>
          </val>
          <smooth val="0"/>
        </ser>
        <ser>
          <idx val="4"/>
          <order val="4"/>
          <tx>
            <strRef>
              <f>'カーブ'!F133</f>
            </strRef>
          </tx>
          <spPr>
            <a:ln>
              <a:prstDash val="solid"/>
            </a:ln>
          </spPr>
          <marker>
            <symbol val="none"/>
            <spPr>
              <a:ln>
                <a:prstDash val="solid"/>
              </a:ln>
            </spPr>
          </marker>
          <cat>
            <numRef>
              <f>'カーブ'!$A$134:$A$233</f>
            </numRef>
          </cat>
          <val>
            <numRef>
              <f>'カーブ'!$F$134:$F$233</f>
            </numRef>
          </val>
          <smooth val="0"/>
        </ser>
        <ser>
          <idx val="5"/>
          <order val="5"/>
          <tx>
            <strRef>
              <f>'カーブ'!G133</f>
            </strRef>
          </tx>
          <spPr>
            <a:ln>
              <a:prstDash val="solid"/>
            </a:ln>
          </spPr>
          <marker>
            <symbol val="none"/>
            <spPr>
              <a:ln>
                <a:prstDash val="solid"/>
              </a:ln>
            </spPr>
          </marker>
          <cat>
            <numRef>
              <f>'カーブ'!$A$134:$A$233</f>
            </numRef>
          </cat>
          <val>
            <numRef>
              <f>'カーブ'!$G$134:$G$233</f>
            </numRef>
          </val>
          <smooth val="0"/>
        </ser>
        <ser>
          <idx val="6"/>
          <order val="6"/>
          <tx>
            <strRef>
              <f>'カーブ'!H133</f>
            </strRef>
          </tx>
          <spPr>
            <a:ln>
              <a:prstDash val="solid"/>
            </a:ln>
          </spPr>
          <marker>
            <symbol val="none"/>
            <spPr>
              <a:ln>
                <a:prstDash val="solid"/>
              </a:ln>
            </spPr>
          </marker>
          <cat>
            <numRef>
              <f>'カーブ'!$A$134:$A$233</f>
            </numRef>
          </cat>
          <val>
            <numRef>
              <f>'カーブ'!$H$134:$H$233</f>
            </numRef>
          </val>
          <smooth val="0"/>
        </ser>
        <ser>
          <idx val="7"/>
          <order val="7"/>
          <tx>
            <strRef>
              <f>'カーブ'!I133</f>
            </strRef>
          </tx>
          <spPr>
            <a:ln>
              <a:prstDash val="solid"/>
            </a:ln>
          </spPr>
          <marker>
            <symbol val="none"/>
            <spPr>
              <a:ln>
                <a:prstDash val="solid"/>
              </a:ln>
            </spPr>
          </marker>
          <cat>
            <numRef>
              <f>'カーブ'!$A$134:$A$233</f>
            </numRef>
          </cat>
          <val>
            <numRef>
              <f>'カーブ'!$I$134:$I$233</f>
            </numRef>
          </val>
          <smooth val="0"/>
        </ser>
        <ser>
          <idx val="8"/>
          <order val="8"/>
          <tx>
            <strRef>
              <f>'カーブ'!J133</f>
            </strRef>
          </tx>
          <spPr>
            <a:ln>
              <a:prstDash val="solid"/>
            </a:ln>
          </spPr>
          <marker>
            <symbol val="none"/>
            <spPr>
              <a:ln>
                <a:prstDash val="solid"/>
              </a:ln>
            </spPr>
          </marker>
          <cat>
            <numRef>
              <f>'カーブ'!$A$134:$A$233</f>
            </numRef>
          </cat>
          <val>
            <numRef>
              <f>'カーブ'!$J$134:$J$233</f>
            </numRef>
          </val>
          <smooth val="0"/>
        </ser>
        <ser>
          <idx val="9"/>
          <order val="9"/>
          <tx>
            <strRef>
              <f>'カーブ'!K133</f>
            </strRef>
          </tx>
          <spPr>
            <a:ln>
              <a:prstDash val="solid"/>
            </a:ln>
          </spPr>
          <marker>
            <symbol val="none"/>
            <spPr>
              <a:ln>
                <a:prstDash val="solid"/>
              </a:ln>
            </spPr>
          </marker>
          <cat>
            <numRef>
              <f>'カーブ'!$A$134:$A$233</f>
            </numRef>
          </cat>
          <val>
            <numRef>
              <f>'カーブ'!$K$134:$K$233</f>
            </numRef>
          </val>
          <smooth val="0"/>
        </ser>
        <ser>
          <idx val="10"/>
          <order val="10"/>
          <tx>
            <strRef>
              <f>'カーブ'!L133</f>
            </strRef>
          </tx>
          <spPr>
            <a:ln>
              <a:prstDash val="solid"/>
            </a:ln>
          </spPr>
          <marker>
            <symbol val="none"/>
            <spPr>
              <a:ln>
                <a:prstDash val="solid"/>
              </a:ln>
            </spPr>
          </marker>
          <cat>
            <numRef>
              <f>'カーブ'!$A$134:$A$233</f>
            </numRef>
          </cat>
          <val>
            <numRef>
              <f>'カーブ'!$L$134:$L$233</f>
            </numRef>
          </val>
          <smooth val="0"/>
        </ser>
        <ser>
          <idx val="11"/>
          <order val="11"/>
          <tx>
            <strRef>
              <f>'カーブ'!M133</f>
            </strRef>
          </tx>
          <spPr>
            <a:ln>
              <a:prstDash val="solid"/>
            </a:ln>
          </spPr>
          <marker>
            <symbol val="none"/>
            <spPr>
              <a:ln>
                <a:prstDash val="solid"/>
              </a:ln>
            </spPr>
          </marker>
          <cat>
            <numRef>
              <f>'カーブ'!$A$134:$A$233</f>
            </numRef>
          </cat>
          <val>
            <numRef>
              <f>'カーブ'!$M$134:$M$233</f>
            </numRef>
          </val>
          <smooth val="0"/>
        </ser>
        <axId val="10"/>
        <axId val="100"/>
      </lineChart>
      <catAx>
        <axId val="10"/>
        <scaling>
          <orientation val="minMax"/>
        </scaling>
        <axPos val="l"/>
        <title>
          <tx>
            <rich>
              <a:bodyPr/>
              <a:p>
                <a:pPr>
                  <a:defRPr/>
                </a:pPr>
                <a:r>
                  <a:t>正準時間軸 t</a:t>
                </a:r>
              </a:p>
            </rich>
          </tx>
        </title>
        <majorTickMark val="none"/>
        <minorTickMark val="none"/>
        <crossAx val="100"/>
        <lblOffset val="100"/>
      </catAx>
      <valAx>
        <axId val="100"/>
        <scaling>
          <orientation val="minMax"/>
        </scaling>
        <axPos val="l"/>
        <majorGridlines/>
        <title>
          <tx>
            <rich>
              <a:bodyPr/>
              <a:p>
                <a:pPr>
                  <a:defRPr/>
                </a:pPr>
                <a:r>
                  <a:t>密度</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行程グループ別 工数密度(平均カーブ)</a:t>
            </a:r>
          </a:p>
        </rich>
      </tx>
    </title>
    <plotArea>
      <lineChart>
        <grouping val="standard"/>
        <ser>
          <idx val="0"/>
          <order val="0"/>
          <tx>
            <strRef>
              <f>'カーブ'!B259</f>
            </strRef>
          </tx>
          <spPr>
            <a:ln>
              <a:prstDash val="solid"/>
            </a:ln>
          </spPr>
          <marker>
            <symbol val="none"/>
            <spPr>
              <a:ln>
                <a:prstDash val="solid"/>
              </a:ln>
            </spPr>
          </marker>
          <cat>
            <numRef>
              <f>'カーブ'!$A$260:$A$359</f>
            </numRef>
          </cat>
          <val>
            <numRef>
              <f>'カーブ'!$B$260:$B$359</f>
            </numRef>
          </val>
        </ser>
        <ser>
          <idx val="1"/>
          <order val="1"/>
          <tx>
            <strRef>
              <f>'カーブ'!C259</f>
            </strRef>
          </tx>
          <spPr>
            <a:ln>
              <a:prstDash val="solid"/>
            </a:ln>
          </spPr>
          <marker>
            <symbol val="none"/>
            <spPr>
              <a:ln>
                <a:prstDash val="solid"/>
              </a:ln>
            </spPr>
          </marker>
          <cat>
            <numRef>
              <f>'カーブ'!$A$260:$A$359</f>
            </numRef>
          </cat>
          <val>
            <numRef>
              <f>'カーブ'!$C$260:$C$359</f>
            </numRef>
          </val>
        </ser>
        <ser>
          <idx val="2"/>
          <order val="2"/>
          <tx>
            <strRef>
              <f>'カーブ'!D259</f>
            </strRef>
          </tx>
          <spPr>
            <a:ln>
              <a:prstDash val="solid"/>
            </a:ln>
          </spPr>
          <marker>
            <symbol val="none"/>
            <spPr>
              <a:ln>
                <a:prstDash val="solid"/>
              </a:ln>
            </spPr>
          </marker>
          <cat>
            <numRef>
              <f>'カーブ'!$A$260:$A$359</f>
            </numRef>
          </cat>
          <val>
            <numRef>
              <f>'カーブ'!$D$260:$D$359</f>
            </numRef>
          </val>
        </ser>
        <ser>
          <idx val="3"/>
          <order val="3"/>
          <tx>
            <strRef>
              <f>'カーブ'!E259</f>
            </strRef>
          </tx>
          <spPr>
            <a:ln>
              <a:prstDash val="solid"/>
            </a:ln>
          </spPr>
          <marker>
            <symbol val="none"/>
            <spPr>
              <a:ln>
                <a:prstDash val="solid"/>
              </a:ln>
            </spPr>
          </marker>
          <cat>
            <numRef>
              <f>'カーブ'!$A$260:$A$359</f>
            </numRef>
          </cat>
          <val>
            <numRef>
              <f>'カーブ'!$E$260:$E$359</f>
            </numRef>
          </val>
        </ser>
        <ser>
          <idx val="4"/>
          <order val="4"/>
          <tx>
            <strRef>
              <f>'カーブ'!F259</f>
            </strRef>
          </tx>
          <spPr>
            <a:ln>
              <a:prstDash val="solid"/>
            </a:ln>
          </spPr>
          <marker>
            <symbol val="none"/>
            <spPr>
              <a:ln>
                <a:prstDash val="solid"/>
              </a:ln>
            </spPr>
          </marker>
          <cat>
            <numRef>
              <f>'カーブ'!$A$260:$A$359</f>
            </numRef>
          </cat>
          <val>
            <numRef>
              <f>'カーブ'!$F$260:$F$359</f>
            </numRef>
          </val>
        </ser>
        <ser>
          <idx val="5"/>
          <order val="5"/>
          <tx>
            <strRef>
              <f>'カーブ'!G259</f>
            </strRef>
          </tx>
          <spPr>
            <a:ln>
              <a:prstDash val="solid"/>
            </a:ln>
          </spPr>
          <marker>
            <symbol val="none"/>
            <spPr>
              <a:ln>
                <a:prstDash val="solid"/>
              </a:ln>
            </spPr>
          </marker>
          <cat>
            <numRef>
              <f>'カーブ'!$A$260:$A$359</f>
            </numRef>
          </cat>
          <val>
            <numRef>
              <f>'カーブ'!$G$260:$G$359</f>
            </numRef>
          </val>
        </ser>
        <ser>
          <idx val="6"/>
          <order val="6"/>
          <tx>
            <strRef>
              <f>'カーブ'!H259</f>
            </strRef>
          </tx>
          <spPr>
            <a:ln>
              <a:prstDash val="solid"/>
            </a:ln>
          </spPr>
          <marker>
            <symbol val="none"/>
            <spPr>
              <a:ln>
                <a:prstDash val="solid"/>
              </a:ln>
            </spPr>
          </marker>
          <cat>
            <numRef>
              <f>'カーブ'!$A$260:$A$359</f>
            </numRef>
          </cat>
          <val>
            <numRef>
              <f>'カーブ'!$H$260:$H$359</f>
            </numRef>
          </val>
        </ser>
        <axId val="10"/>
        <axId val="100"/>
      </lineChart>
      <catAx>
        <axId val="10"/>
        <scaling>
          <orientation val="minMax"/>
        </scaling>
        <axPos val="l"/>
        <title>
          <tx>
            <rich>
              <a:bodyPr/>
              <a:p>
                <a:pPr>
                  <a:defRPr/>
                </a:pPr>
                <a:r>
                  <a:t>正準時間軸 t</a:t>
                </a:r>
              </a:p>
            </rich>
          </tx>
        </title>
        <majorTickMark val="none"/>
        <minorTickMark val="none"/>
        <crossAx val="100"/>
        <lblOffset val="100"/>
      </catAx>
      <valAx>
        <axId val="100"/>
        <scaling>
          <orientation val="minMax"/>
        </scaling>
        <axPos val="l"/>
        <majorGridlines/>
        <title>
          <tx>
            <rich>
              <a:bodyPr/>
              <a:p>
                <a:pPr>
                  <a:defRPr/>
                </a:pPr>
                <a:r>
                  <a:t>密度</a:t>
                </a:r>
              </a:p>
            </rich>
          </tx>
        </title>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案件別 月次誤差WAPE(低いほど良い)</a:t>
            </a:r>
          </a:p>
        </rich>
      </tx>
    </title>
    <plotArea>
      <barChart>
        <barDir val="col"/>
        <grouping val="clustered"/>
        <ser>
          <idx val="0"/>
          <order val="0"/>
          <tx>
            <strRef>
              <f>'検証'!B18</f>
            </strRef>
          </tx>
          <spPr>
            <a:ln>
              <a:prstDash val="solid"/>
            </a:ln>
          </spPr>
          <cat>
            <numRef>
              <f>'検証'!$A$19:$A$28</f>
            </numRef>
          </cat>
          <val>
            <numRef>
              <f>'検証'!$B$19:$B$28</f>
            </numRef>
          </val>
        </ser>
        <ser>
          <idx val="1"/>
          <order val="1"/>
          <tx>
            <strRef>
              <f>'検証'!C18</f>
            </strRef>
          </tx>
          <spPr>
            <a:ln>
              <a:prstDash val="solid"/>
            </a:ln>
          </spPr>
          <cat>
            <numRef>
              <f>'検証'!$A$19:$A$28</f>
            </numRef>
          </cat>
          <val>
            <numRef>
              <f>'検証'!$C$19:$C$28</f>
            </numRef>
          </val>
        </ser>
        <ser>
          <idx val="2"/>
          <order val="2"/>
          <tx>
            <strRef>
              <f>'検証'!D18</f>
            </strRef>
          </tx>
          <spPr>
            <a:ln>
              <a:prstDash val="solid"/>
            </a:ln>
          </spPr>
          <cat>
            <numRef>
              <f>'検証'!$A$19:$A$28</f>
            </numRef>
          </cat>
          <val>
            <numRef>
              <f>'検証'!$D$19:$D$28</f>
            </numRef>
          </val>
        </ser>
        <ser>
          <idx val="3"/>
          <order val="3"/>
          <tx>
            <strRef>
              <f>'検証'!E18</f>
            </strRef>
          </tx>
          <spPr>
            <a:ln>
              <a:prstDash val="solid"/>
            </a:ln>
          </spPr>
          <cat>
            <numRef>
              <f>'検証'!$A$19:$A$28</f>
            </numRef>
          </cat>
          <val>
            <numRef>
              <f>'検証'!$E$19:$E$28</f>
            </numRef>
          </val>
        </ser>
        <ser>
          <idx val="4"/>
          <order val="4"/>
          <tx>
            <strRef>
              <f>'検証'!F18</f>
            </strRef>
          </tx>
          <spPr>
            <a:ln>
              <a:prstDash val="solid"/>
            </a:ln>
          </spPr>
          <cat>
            <numRef>
              <f>'検証'!$A$19:$A$28</f>
            </numRef>
          </cat>
          <val>
            <numRef>
              <f>'検証'!$F$19:$F$28</f>
            </numRef>
          </val>
        </ser>
        <ser>
          <idx val="5"/>
          <order val="5"/>
          <tx>
            <strRef>
              <f>'検証'!G18</f>
            </strRef>
          </tx>
          <spPr>
            <a:ln>
              <a:prstDash val="solid"/>
            </a:ln>
          </spPr>
          <cat>
            <numRef>
              <f>'検証'!$A$19:$A$28</f>
            </numRef>
          </cat>
          <val>
            <numRef>
              <f>'検証'!$G$19:$G$28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WAPE</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 Type="http://schemas.openxmlformats.org/officeDocument/2006/relationships/chart" Target="/xl/charts/chart5.xml" Id="rId3" /></Relationships>
</file>

<file path=xl/drawings/_rels/drawing3.xml.rels><Relationships xmlns="http://schemas.openxmlformats.org/package/2006/relationships"><Relationship Type="http://schemas.openxmlformats.org/officeDocument/2006/relationships/chart" Target="/xl/charts/chart6.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11</col>
      <colOff>0</colOff>
      <row>10</row>
      <rowOff>0</rowOff>
    </from>
    <ext cx="9432000" cy="3600000"/>
    <graphicFrame>
      <nvGraphicFramePr>
        <cNvPr id="1" name="Chart 1"/>
        <cNvGraphicFramePr/>
      </nvGraphicFramePr>
      <xfrm/>
      <a:graphic>
        <a:graphicData uri="http://schemas.openxmlformats.org/drawingml/2006/chart">
          <c:chart r:id="rId1"/>
        </a:graphicData>
      </a:graphic>
    </graphicFrame>
    <clientData/>
  </oneCellAnchor>
  <oneCellAnchor>
    <from>
      <col>11</col>
      <colOff>0</colOff>
      <row>31</row>
      <rowOff>0</rowOff>
    </from>
    <ext cx="75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14</col>
      <colOff>0</colOff>
      <row>5</row>
      <rowOff>0</rowOff>
    </from>
    <ext cx="8640000" cy="3960000"/>
    <graphicFrame>
      <nvGraphicFramePr>
        <cNvPr id="1" name="Chart 1"/>
        <cNvGraphicFramePr/>
      </nvGraphicFramePr>
      <xfrm/>
      <a:graphic>
        <a:graphicData uri="http://schemas.openxmlformats.org/drawingml/2006/chart">
          <c:chart r:id="rId1"/>
        </a:graphicData>
      </a:graphic>
    </graphicFrame>
    <clientData/>
  </oneCellAnchor>
  <oneCellAnchor>
    <from>
      <col>14</col>
      <colOff>0</colOff>
      <row>132</row>
      <rowOff>0</rowOff>
    </from>
    <ext cx="8640000" cy="3960000"/>
    <graphicFrame>
      <nvGraphicFramePr>
        <cNvPr id="2" name="Chart 2"/>
        <cNvGraphicFramePr/>
      </nvGraphicFramePr>
      <xfrm/>
      <a:graphic>
        <a:graphicData uri="http://schemas.openxmlformats.org/drawingml/2006/chart">
          <c:chart r:id="rId2"/>
        </a:graphicData>
      </a:graphic>
    </graphicFrame>
    <clientData/>
  </oneCellAnchor>
  <oneCellAnchor>
    <from>
      <col>9</col>
      <colOff>0</colOff>
      <row>258</row>
      <rowOff>0</rowOff>
    </from>
    <ext cx="8640000" cy="3960000"/>
    <graphicFrame>
      <nvGraphicFramePr>
        <cNvPr id="3" name="Chart 3"/>
        <cNvGraphicFramePr/>
      </nvGraphicFramePr>
      <xfrm/>
      <a:graphic>
        <a:graphicData uri="http://schemas.openxmlformats.org/drawingml/2006/chart">
          <c:chart r:id="rId3"/>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17</row>
      <rowOff>0</rowOff>
    </from>
    <ext cx="8640000" cy="36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sheet1.xml><?xml version="1.0" encoding="utf-8"?>
<worksheet xmlns="http://schemas.openxmlformats.org/spreadsheetml/2006/main">
  <sheetPr>
    <outlinePr summaryBelow="1" summaryRight="1"/>
    <pageSetUpPr fitToPage="1"/>
  </sheetPr>
  <dimension ref="A1:K85"/>
  <sheetViews>
    <sheetView workbookViewId="0">
      <pane xSplit="2" ySplit="11" topLeftCell="C12" activePane="bottomRight" state="frozen"/>
      <selection pane="topRight"/>
      <selection pane="bottomLeft"/>
      <selection pane="bottomRight" activeCell="A1" sqref="A1"/>
    </sheetView>
  </sheetViews>
  <sheetFormatPr baseColWidth="8" defaultRowHeight="15"/>
  <cols>
    <col width="20" customWidth="1" min="1" max="1"/>
    <col width="14" customWidth="1" min="2" max="2"/>
    <col width="10" customWidth="1" min="3" max="3"/>
    <col width="22" customWidth="1" min="4" max="4"/>
    <col width="15" customWidth="1" min="5" max="5"/>
    <col width="15" customWidth="1" min="6" max="6"/>
    <col width="15" customWidth="1" min="7" max="7"/>
    <col width="15" customWidth="1" min="8" max="8"/>
    <col width="15" customWidth="1" min="9" max="9"/>
  </cols>
  <sheetData>
    <row r="1">
      <c r="A1" s="1" t="inlineStr">
        <is>
          <t>工数予測  蒼穹のレガリア II  (PJ-2026-K)</t>
        </is>
      </c>
    </row>
    <row r="2">
      <c r="A2" s="2" t="inlineStr">
        <is>
          <t>生成日時</t>
        </is>
      </c>
      <c r="B2" s="2" t="inlineStr">
        <is>
          <t>2026-09-03 10:42</t>
        </is>
      </c>
    </row>
    <row r="3">
      <c r="A3" s="2" t="inlineStr">
        <is>
          <t>種別</t>
        </is>
      </c>
      <c r="B3" s="2" t="inlineStr">
        <is>
          <t>新規タイトル開発</t>
        </is>
      </c>
    </row>
    <row r="4">
      <c r="A4" s="2" t="inlineStr">
        <is>
          <t>タグ</t>
        </is>
      </c>
      <c r="B4" s="2" t="inlineStr">
        <is>
          <t>コンソール;既存IP;オンライン要素</t>
        </is>
      </c>
    </row>
    <row r="5">
      <c r="A5" s="2" t="inlineStr">
        <is>
          <t>期間</t>
        </is>
      </c>
      <c r="B5" s="2" t="inlineStr">
        <is>
          <t>2026-07 〜 2028-08  (26ヶ月)</t>
        </is>
      </c>
    </row>
    <row r="6">
      <c r="A6" s="2" t="inlineStr">
        <is>
          <t>契約人月</t>
        </is>
      </c>
      <c r="B6" s="3" t="n">
        <v>1900</v>
      </c>
    </row>
    <row r="7">
      <c r="A7" s="2" t="inlineStr">
        <is>
          <t>人月換算係数</t>
        </is>
      </c>
      <c r="B7" s="4" t="n">
        <v>160</v>
      </c>
      <c r="C7" s="5" t="inlineStr">
        <is>
          <t>← 人月表示はこのセルを参照。定義が違う場合はここを書き換える</t>
        </is>
      </c>
    </row>
    <row r="8">
      <c r="A8" s="2" t="inlineStr">
        <is>
          <t>総工数(時間)</t>
        </is>
      </c>
      <c r="B8" s="3" t="n">
        <v>304000</v>
      </c>
    </row>
    <row r="10">
      <c r="A10" s="6" t="inlineStr">
        <is>
          <t>■ 月 × 行程グループ 工数(時間)</t>
        </is>
      </c>
    </row>
    <row r="11">
      <c r="A11" s="7" t="inlineStr">
        <is>
          <t>月</t>
        </is>
      </c>
      <c r="B11" s="8" t="inlineStr">
        <is>
          <t>経過月</t>
        </is>
      </c>
      <c r="C11" s="8" t="inlineStr">
        <is>
          <t>企画・プリプロ</t>
        </is>
      </c>
      <c r="D11" s="8" t="inlineStr">
        <is>
          <t>ゲームデザイン・シナリオ</t>
        </is>
      </c>
      <c r="E11" s="8" t="inlineStr">
        <is>
          <t>プログラム</t>
        </is>
      </c>
      <c r="F11" s="8" t="inlineStr">
        <is>
          <t>アート</t>
        </is>
      </c>
      <c r="G11" s="8" t="inlineStr">
        <is>
          <t>サウンド</t>
        </is>
      </c>
      <c r="H11" s="8" t="inlineStr">
        <is>
          <t>QA・デバッグ</t>
        </is>
      </c>
      <c r="I11" s="8" t="inlineStr">
        <is>
          <t>PM・運営</t>
        </is>
      </c>
      <c r="J11" s="7" t="inlineStr">
        <is>
          <t>合計</t>
        </is>
      </c>
      <c r="K11" s="9" t="inlineStr">
        <is>
          <t>累積率</t>
        </is>
      </c>
    </row>
    <row r="12">
      <c r="A12" s="10" t="inlineStr">
        <is>
          <t>2026-07</t>
        </is>
      </c>
      <c r="B12" s="11" t="n">
        <v>1</v>
      </c>
      <c r="C12" s="12" t="n">
        <v>3045.7</v>
      </c>
      <c r="D12" s="12" t="n">
        <v>926.3</v>
      </c>
      <c r="E12" s="12" t="n">
        <v>418.2</v>
      </c>
      <c r="F12" s="12" t="n">
        <v>180.3</v>
      </c>
      <c r="G12" s="12" t="n">
        <v>0.6</v>
      </c>
      <c r="H12" s="12" t="n">
        <v>0</v>
      </c>
      <c r="I12" s="12" t="n">
        <v>337.5</v>
      </c>
      <c r="J12" s="12">
        <f>SUM(C12:I12)</f>
        <v/>
      </c>
      <c r="K12" s="13">
        <f>SUM($J$12:J12)/$J$38</f>
        <v/>
      </c>
    </row>
    <row r="13">
      <c r="A13" s="10" t="inlineStr">
        <is>
          <t>2026-08</t>
        </is>
      </c>
      <c r="B13" s="11" t="n">
        <v>2</v>
      </c>
      <c r="C13" s="12" t="n">
        <v>2781</v>
      </c>
      <c r="D13" s="12" t="n">
        <v>1416.4</v>
      </c>
      <c r="E13" s="12" t="n">
        <v>930.4</v>
      </c>
      <c r="F13" s="12" t="n">
        <v>566.1</v>
      </c>
      <c r="G13" s="12" t="n">
        <v>11.2</v>
      </c>
      <c r="H13" s="12" t="n">
        <v>0</v>
      </c>
      <c r="I13" s="12" t="n">
        <v>487.6</v>
      </c>
      <c r="J13" s="12">
        <f>SUM(C13:I13)</f>
        <v/>
      </c>
      <c r="K13" s="13">
        <f>SUM($J$12:J13)/$J$38</f>
        <v/>
      </c>
    </row>
    <row r="14">
      <c r="A14" s="10" t="inlineStr">
        <is>
          <t>2026-09</t>
        </is>
      </c>
      <c r="B14" s="11" t="n">
        <v>3</v>
      </c>
      <c r="C14" s="12" t="n">
        <v>2387.4</v>
      </c>
      <c r="D14" s="12" t="n">
        <v>1579.8</v>
      </c>
      <c r="E14" s="12" t="n">
        <v>1253.1</v>
      </c>
      <c r="F14" s="12" t="n">
        <v>901.8</v>
      </c>
      <c r="G14" s="12" t="n">
        <v>26.7</v>
      </c>
      <c r="H14" s="12" t="n">
        <v>1.9</v>
      </c>
      <c r="I14" s="12" t="n">
        <v>548.2</v>
      </c>
      <c r="J14" s="12">
        <f>SUM(C14:I14)</f>
        <v/>
      </c>
      <c r="K14" s="13">
        <f>SUM($J$12:J14)/$J$38</f>
        <v/>
      </c>
    </row>
    <row r="15">
      <c r="A15" s="10" t="inlineStr">
        <is>
          <t>2026-10</t>
        </is>
      </c>
      <c r="B15" s="11" t="n">
        <v>4</v>
      </c>
      <c r="C15" s="12" t="n">
        <v>2150.3</v>
      </c>
      <c r="D15" s="12" t="n">
        <v>1850.7</v>
      </c>
      <c r="E15" s="12" t="n">
        <v>1774.6</v>
      </c>
      <c r="F15" s="12" t="n">
        <v>1397.8</v>
      </c>
      <c r="G15" s="12" t="n">
        <v>55</v>
      </c>
      <c r="H15" s="12" t="n">
        <v>9.9</v>
      </c>
      <c r="I15" s="12" t="n">
        <v>630.4</v>
      </c>
      <c r="J15" s="12">
        <f>SUM(C15:I15)</f>
        <v/>
      </c>
      <c r="K15" s="13">
        <f>SUM($J$12:J15)/$J$38</f>
        <v/>
      </c>
    </row>
    <row r="16">
      <c r="A16" s="10" t="inlineStr">
        <is>
          <t>2026-11</t>
        </is>
      </c>
      <c r="B16" s="11" t="n">
        <v>5</v>
      </c>
      <c r="C16" s="12" t="n">
        <v>1716.4</v>
      </c>
      <c r="D16" s="12" t="n">
        <v>1751.5</v>
      </c>
      <c r="E16" s="12" t="n">
        <v>2084.9</v>
      </c>
      <c r="F16" s="12" t="n">
        <v>1665.7</v>
      </c>
      <c r="G16" s="12" t="n">
        <v>88.40000000000001</v>
      </c>
      <c r="H16" s="12" t="n">
        <v>21.5</v>
      </c>
      <c r="I16" s="12" t="n">
        <v>649.4</v>
      </c>
      <c r="J16" s="12">
        <f>SUM(C16:I16)</f>
        <v/>
      </c>
      <c r="K16" s="13">
        <f>SUM($J$12:J16)/$J$38</f>
        <v/>
      </c>
    </row>
    <row r="17">
      <c r="A17" s="10" t="inlineStr">
        <is>
          <t>2026-12</t>
        </is>
      </c>
      <c r="B17" s="11" t="n">
        <v>6</v>
      </c>
      <c r="C17" s="12" t="n">
        <v>1554.8</v>
      </c>
      <c r="D17" s="12" t="n">
        <v>1847.8</v>
      </c>
      <c r="E17" s="12" t="n">
        <v>2415.7</v>
      </c>
      <c r="F17" s="12" t="n">
        <v>2091.3</v>
      </c>
      <c r="G17" s="12" t="n">
        <v>126.6</v>
      </c>
      <c r="H17" s="12" t="n">
        <v>40.5</v>
      </c>
      <c r="I17" s="12" t="n">
        <v>670.9</v>
      </c>
      <c r="J17" s="12">
        <f>SUM(C17:I17)</f>
        <v/>
      </c>
      <c r="K17" s="13">
        <f>SUM($J$12:J17)/$J$38</f>
        <v/>
      </c>
    </row>
    <row r="18">
      <c r="A18" s="10" t="inlineStr">
        <is>
          <t>2027-01</t>
        </is>
      </c>
      <c r="B18" s="11" t="n">
        <v>7</v>
      </c>
      <c r="C18" s="12" t="n">
        <v>1318.3</v>
      </c>
      <c r="D18" s="12" t="n">
        <v>2032.9</v>
      </c>
      <c r="E18" s="12" t="n">
        <v>2890.8</v>
      </c>
      <c r="F18" s="12" t="n">
        <v>2622.6</v>
      </c>
      <c r="G18" s="12" t="n">
        <v>183</v>
      </c>
      <c r="H18" s="12" t="n">
        <v>75.59999999999999</v>
      </c>
      <c r="I18" s="12" t="n">
        <v>742.8</v>
      </c>
      <c r="J18" s="12">
        <f>SUM(C18:I18)</f>
        <v/>
      </c>
      <c r="K18" s="13">
        <f>SUM($J$12:J18)/$J$38</f>
        <v/>
      </c>
    </row>
    <row r="19">
      <c r="A19" s="10" t="inlineStr">
        <is>
          <t>2027-02</t>
        </is>
      </c>
      <c r="B19" s="11" t="n">
        <v>8</v>
      </c>
      <c r="C19" s="12" t="n">
        <v>1042.2</v>
      </c>
      <c r="D19" s="12" t="n">
        <v>1899.6</v>
      </c>
      <c r="E19" s="12" t="n">
        <v>3110.4</v>
      </c>
      <c r="F19" s="12" t="n">
        <v>2857</v>
      </c>
      <c r="G19" s="12" t="n">
        <v>221.3</v>
      </c>
      <c r="H19" s="12" t="n">
        <v>113.1</v>
      </c>
      <c r="I19" s="12" t="n">
        <v>704.5</v>
      </c>
      <c r="J19" s="12">
        <f>SUM(C19:I19)</f>
        <v/>
      </c>
      <c r="K19" s="13">
        <f>SUM($J$12:J19)/$J$38</f>
        <v/>
      </c>
    </row>
    <row r="20">
      <c r="A20" s="10" t="inlineStr">
        <is>
          <t>2027-03</t>
        </is>
      </c>
      <c r="B20" s="11" t="n">
        <v>9</v>
      </c>
      <c r="C20" s="12" t="n">
        <v>1044.7</v>
      </c>
      <c r="D20" s="12" t="n">
        <v>2306.6</v>
      </c>
      <c r="E20" s="12" t="n">
        <v>4294</v>
      </c>
      <c r="F20" s="12" t="n">
        <v>3728.5</v>
      </c>
      <c r="G20" s="12" t="n">
        <v>299.3</v>
      </c>
      <c r="H20" s="12" t="n">
        <v>176.9</v>
      </c>
      <c r="I20" s="12" t="n">
        <v>844.7</v>
      </c>
      <c r="J20" s="12">
        <f>SUM(C20:I20)</f>
        <v/>
      </c>
      <c r="K20" s="13">
        <f>SUM($J$12:J20)/$J$38</f>
        <v/>
      </c>
    </row>
    <row r="21">
      <c r="A21" s="10" t="inlineStr">
        <is>
          <t>2027-04</t>
        </is>
      </c>
      <c r="B21" s="11" t="n">
        <v>10</v>
      </c>
      <c r="C21" s="12" t="n">
        <v>795.1</v>
      </c>
      <c r="D21" s="12" t="n">
        <v>2348.4</v>
      </c>
      <c r="E21" s="12" t="n">
        <v>4670.6</v>
      </c>
      <c r="F21" s="12" t="n">
        <v>4087.7</v>
      </c>
      <c r="G21" s="12" t="n">
        <v>382.3</v>
      </c>
      <c r="H21" s="12" t="n">
        <v>237.4</v>
      </c>
      <c r="I21" s="12" t="n">
        <v>907</v>
      </c>
      <c r="J21" s="12">
        <f>SUM(C21:I21)</f>
        <v/>
      </c>
      <c r="K21" s="13">
        <f>SUM($J$12:J21)/$J$38</f>
        <v/>
      </c>
    </row>
    <row r="22">
      <c r="A22" s="10" t="inlineStr">
        <is>
          <t>2027-05</t>
        </is>
      </c>
      <c r="B22" s="11" t="n">
        <v>11</v>
      </c>
      <c r="C22" s="12" t="n">
        <v>634.6</v>
      </c>
      <c r="D22" s="12" t="n">
        <v>2434.4</v>
      </c>
      <c r="E22" s="12" t="n">
        <v>5503.5</v>
      </c>
      <c r="F22" s="12" t="n">
        <v>4743.3</v>
      </c>
      <c r="G22" s="12" t="n">
        <v>496.1</v>
      </c>
      <c r="H22" s="12" t="n">
        <v>360.9</v>
      </c>
      <c r="I22" s="12" t="n">
        <v>950</v>
      </c>
      <c r="J22" s="12">
        <f>SUM(C22:I22)</f>
        <v/>
      </c>
      <c r="K22" s="13">
        <f>SUM($J$12:J22)/$J$38</f>
        <v/>
      </c>
    </row>
    <row r="23">
      <c r="A23" s="10" t="inlineStr">
        <is>
          <t>2027-06</t>
        </is>
      </c>
      <c r="B23" s="11" t="n">
        <v>12</v>
      </c>
      <c r="C23" s="12" t="n">
        <v>441.4</v>
      </c>
      <c r="D23" s="12" t="n">
        <v>2470.5</v>
      </c>
      <c r="E23" s="12" t="n">
        <v>5845.1</v>
      </c>
      <c r="F23" s="12" t="n">
        <v>5054</v>
      </c>
      <c r="G23" s="12" t="n">
        <v>572</v>
      </c>
      <c r="H23" s="12" t="n">
        <v>508.1</v>
      </c>
      <c r="I23" s="12" t="n">
        <v>929.2</v>
      </c>
      <c r="J23" s="12">
        <f>SUM(C23:I23)</f>
        <v/>
      </c>
      <c r="K23" s="13">
        <f>SUM($J$12:J23)/$J$38</f>
        <v/>
      </c>
    </row>
    <row r="24">
      <c r="A24" s="10" t="inlineStr">
        <is>
          <t>2027-07</t>
        </is>
      </c>
      <c r="B24" s="11" t="n">
        <v>13</v>
      </c>
      <c r="C24" s="12" t="n">
        <v>323.3</v>
      </c>
      <c r="D24" s="12" t="n">
        <v>2433.7</v>
      </c>
      <c r="E24" s="12" t="n">
        <v>6602.7</v>
      </c>
      <c r="F24" s="12" t="n">
        <v>5578</v>
      </c>
      <c r="G24" s="12" t="n">
        <v>672</v>
      </c>
      <c r="H24" s="12" t="n">
        <v>677</v>
      </c>
      <c r="I24" s="12" t="n">
        <v>940.2</v>
      </c>
      <c r="J24" s="12">
        <f>SUM(C24:I24)</f>
        <v/>
      </c>
      <c r="K24" s="13">
        <f>SUM($J$12:J24)/$J$38</f>
        <v/>
      </c>
    </row>
    <row r="25">
      <c r="A25" s="10" t="inlineStr">
        <is>
          <t>2027-08</t>
        </is>
      </c>
      <c r="B25" s="11" t="n">
        <v>14</v>
      </c>
      <c r="C25" s="12" t="n">
        <v>212.7</v>
      </c>
      <c r="D25" s="12" t="n">
        <v>1980.9</v>
      </c>
      <c r="E25" s="12" t="n">
        <v>6145.6</v>
      </c>
      <c r="F25" s="12" t="n">
        <v>5464</v>
      </c>
      <c r="G25" s="12" t="n">
        <v>739.2</v>
      </c>
      <c r="H25" s="12" t="n">
        <v>882.4</v>
      </c>
      <c r="I25" s="12" t="n">
        <v>865.8</v>
      </c>
      <c r="J25" s="12">
        <f>SUM(C25:I25)</f>
        <v/>
      </c>
      <c r="K25" s="13">
        <f>SUM($J$12:J25)/$J$38</f>
        <v/>
      </c>
    </row>
    <row r="26">
      <c r="A26" s="10" t="inlineStr">
        <is>
          <t>2027-09</t>
        </is>
      </c>
      <c r="B26" s="11" t="n">
        <v>15</v>
      </c>
      <c r="C26" s="12" t="n">
        <v>162.8</v>
      </c>
      <c r="D26" s="12" t="n">
        <v>1615</v>
      </c>
      <c r="E26" s="12" t="n">
        <v>5407.8</v>
      </c>
      <c r="F26" s="12" t="n">
        <v>5378.5</v>
      </c>
      <c r="G26" s="12" t="n">
        <v>798.7</v>
      </c>
      <c r="H26" s="12" t="n">
        <v>1122</v>
      </c>
      <c r="I26" s="12" t="n">
        <v>849.3</v>
      </c>
      <c r="J26" s="12">
        <f>SUM(C26:I26)</f>
        <v/>
      </c>
      <c r="K26" s="13">
        <f>SUM($J$12:J26)/$J$38</f>
        <v/>
      </c>
    </row>
    <row r="27">
      <c r="A27" s="10" t="inlineStr">
        <is>
          <t>2027-10</t>
        </is>
      </c>
      <c r="B27" s="11" t="n">
        <v>16</v>
      </c>
      <c r="C27" s="12" t="n">
        <v>93.7</v>
      </c>
      <c r="D27" s="12" t="n">
        <v>1382.3</v>
      </c>
      <c r="E27" s="12" t="n">
        <v>5159.9</v>
      </c>
      <c r="F27" s="12" t="n">
        <v>5934.2</v>
      </c>
      <c r="G27" s="12" t="n">
        <v>923.8</v>
      </c>
      <c r="H27" s="12" t="n">
        <v>1613.4</v>
      </c>
      <c r="I27" s="12" t="n">
        <v>866.2</v>
      </c>
      <c r="J27" s="12">
        <f>SUM(C27:I27)</f>
        <v/>
      </c>
      <c r="K27" s="13">
        <f>SUM($J$12:J27)/$J$38</f>
        <v/>
      </c>
    </row>
    <row r="28">
      <c r="A28" s="10" t="inlineStr">
        <is>
          <t>2027-11</t>
        </is>
      </c>
      <c r="B28" s="11" t="n">
        <v>17</v>
      </c>
      <c r="C28" s="12" t="n">
        <v>64.59999999999999</v>
      </c>
      <c r="D28" s="12" t="n">
        <v>1111.7</v>
      </c>
      <c r="E28" s="12" t="n">
        <v>4700.5</v>
      </c>
      <c r="F28" s="12" t="n">
        <v>5756.5</v>
      </c>
      <c r="G28" s="12" t="n">
        <v>975.9</v>
      </c>
      <c r="H28" s="12" t="n">
        <v>1971.2</v>
      </c>
      <c r="I28" s="12" t="n">
        <v>829.9</v>
      </c>
      <c r="J28" s="12">
        <f>SUM(C28:I28)</f>
        <v/>
      </c>
      <c r="K28" s="13">
        <f>SUM($J$12:J28)/$J$38</f>
        <v/>
      </c>
    </row>
    <row r="29">
      <c r="A29" s="10" t="inlineStr">
        <is>
          <t>2027-12</t>
        </is>
      </c>
      <c r="B29" s="11" t="n">
        <v>18</v>
      </c>
      <c r="C29" s="12" t="n">
        <v>39.9</v>
      </c>
      <c r="D29" s="12" t="n">
        <v>893.5</v>
      </c>
      <c r="E29" s="12" t="n">
        <v>4634.1</v>
      </c>
      <c r="F29" s="12" t="n">
        <v>6167.2</v>
      </c>
      <c r="G29" s="12" t="n">
        <v>1064</v>
      </c>
      <c r="H29" s="12" t="n">
        <v>2942.2</v>
      </c>
      <c r="I29" s="12" t="n">
        <v>823.1</v>
      </c>
      <c r="J29" s="12">
        <f>SUM(C29:I29)</f>
        <v/>
      </c>
      <c r="K29" s="13">
        <f>SUM($J$12:J29)/$J$38</f>
        <v/>
      </c>
    </row>
    <row r="30">
      <c r="A30" s="10" t="inlineStr">
        <is>
          <t>2028-01</t>
        </is>
      </c>
      <c r="B30" s="11" t="n">
        <v>19</v>
      </c>
      <c r="C30" s="12" t="n">
        <v>15.3</v>
      </c>
      <c r="D30" s="12" t="n">
        <v>587.2</v>
      </c>
      <c r="E30" s="12" t="n">
        <v>4407.5</v>
      </c>
      <c r="F30" s="12" t="n">
        <v>6127.3</v>
      </c>
      <c r="G30" s="12" t="n">
        <v>1092.9</v>
      </c>
      <c r="H30" s="12" t="n">
        <v>3752.8</v>
      </c>
      <c r="I30" s="12" t="n">
        <v>734.3</v>
      </c>
      <c r="J30" s="12">
        <f>SUM(C30:I30)</f>
        <v/>
      </c>
      <c r="K30" s="13">
        <f>SUM($J$12:J30)/$J$38</f>
        <v/>
      </c>
    </row>
    <row r="31">
      <c r="A31" s="10" t="inlineStr">
        <is>
          <t>2028-02</t>
        </is>
      </c>
      <c r="B31" s="11" t="n">
        <v>20</v>
      </c>
      <c r="C31" s="12" t="n">
        <v>9.199999999999999</v>
      </c>
      <c r="D31" s="12" t="n">
        <v>434.2</v>
      </c>
      <c r="E31" s="12" t="n">
        <v>3816.2</v>
      </c>
      <c r="F31" s="12" t="n">
        <v>5365.3</v>
      </c>
      <c r="G31" s="12" t="n">
        <v>976.2</v>
      </c>
      <c r="H31" s="12" t="n">
        <v>3619.9</v>
      </c>
      <c r="I31" s="12" t="n">
        <v>668.4</v>
      </c>
      <c r="J31" s="12">
        <f>SUM(C31:I31)</f>
        <v/>
      </c>
      <c r="K31" s="13">
        <f>SUM($J$12:J31)/$J$38</f>
        <v/>
      </c>
    </row>
    <row r="32">
      <c r="A32" s="10" t="inlineStr">
        <is>
          <t>2028-03</t>
        </is>
      </c>
      <c r="B32" s="11" t="n">
        <v>21</v>
      </c>
      <c r="C32" s="12" t="n">
        <v>2.3</v>
      </c>
      <c r="D32" s="12" t="n">
        <v>318.2</v>
      </c>
      <c r="E32" s="12" t="n">
        <v>3532.6</v>
      </c>
      <c r="F32" s="12" t="n">
        <v>4897.3</v>
      </c>
      <c r="G32" s="12" t="n">
        <v>954.7</v>
      </c>
      <c r="H32" s="12" t="n">
        <v>3800.4</v>
      </c>
      <c r="I32" s="12" t="n">
        <v>614.2</v>
      </c>
      <c r="J32" s="12">
        <f>SUM(C32:I32)</f>
        <v/>
      </c>
      <c r="K32" s="13">
        <f>SUM($J$12:J32)/$J$38</f>
        <v/>
      </c>
    </row>
    <row r="33">
      <c r="A33" s="10" t="inlineStr">
        <is>
          <t>2028-04</t>
        </is>
      </c>
      <c r="B33" s="11" t="n">
        <v>22</v>
      </c>
      <c r="C33" s="12" t="n">
        <v>0</v>
      </c>
      <c r="D33" s="12" t="n">
        <v>213</v>
      </c>
      <c r="E33" s="12" t="n">
        <v>2776.5</v>
      </c>
      <c r="F33" s="12" t="n">
        <v>3965</v>
      </c>
      <c r="G33" s="12" t="n">
        <v>813.8</v>
      </c>
      <c r="H33" s="12" t="n">
        <v>3756.8</v>
      </c>
      <c r="I33" s="12" t="n">
        <v>542.6</v>
      </c>
      <c r="J33" s="12">
        <f>SUM(C33:I33)</f>
        <v/>
      </c>
      <c r="K33" s="13">
        <f>SUM($J$12:J33)/$J$38</f>
        <v/>
      </c>
    </row>
    <row r="34">
      <c r="A34" s="10" t="inlineStr">
        <is>
          <t>2028-05</t>
        </is>
      </c>
      <c r="B34" s="11" t="n">
        <v>23</v>
      </c>
      <c r="C34" s="12" t="n">
        <v>0</v>
      </c>
      <c r="D34" s="12" t="n">
        <v>139.9</v>
      </c>
      <c r="E34" s="12" t="n">
        <v>2173.1</v>
      </c>
      <c r="F34" s="12" t="n">
        <v>2971.1</v>
      </c>
      <c r="G34" s="12" t="n">
        <v>641.3</v>
      </c>
      <c r="H34" s="12" t="n">
        <v>3849.4</v>
      </c>
      <c r="I34" s="12" t="n">
        <v>535</v>
      </c>
      <c r="J34" s="12">
        <f>SUM(C34:I34)</f>
        <v/>
      </c>
      <c r="K34" s="13">
        <f>SUM($J$12:J34)/$J$38</f>
        <v/>
      </c>
    </row>
    <row r="35">
      <c r="A35" s="10" t="inlineStr">
        <is>
          <t>2028-06</t>
        </is>
      </c>
      <c r="B35" s="11" t="n">
        <v>24</v>
      </c>
      <c r="C35" s="12" t="n">
        <v>0</v>
      </c>
      <c r="D35" s="12" t="n">
        <v>86.59999999999999</v>
      </c>
      <c r="E35" s="12" t="n">
        <v>1569</v>
      </c>
      <c r="F35" s="12" t="n">
        <v>2134.3</v>
      </c>
      <c r="G35" s="12" t="n">
        <v>500.7</v>
      </c>
      <c r="H35" s="12" t="n">
        <v>4099</v>
      </c>
      <c r="I35" s="12" t="n">
        <v>454.4</v>
      </c>
      <c r="J35" s="12">
        <f>SUM(C35:I35)</f>
        <v/>
      </c>
      <c r="K35" s="13">
        <f>SUM($J$12:J35)/$J$38</f>
        <v/>
      </c>
    </row>
    <row r="36">
      <c r="A36" s="10" t="inlineStr">
        <is>
          <t>2028-07</t>
        </is>
      </c>
      <c r="B36" s="11" t="n">
        <v>25</v>
      </c>
      <c r="C36" s="12" t="n">
        <v>0</v>
      </c>
      <c r="D36" s="12" t="n">
        <v>40.5</v>
      </c>
      <c r="E36" s="12" t="n">
        <v>971.9</v>
      </c>
      <c r="F36" s="12" t="n">
        <v>1224.4</v>
      </c>
      <c r="G36" s="12" t="n">
        <v>317</v>
      </c>
      <c r="H36" s="12" t="n">
        <v>4084</v>
      </c>
      <c r="I36" s="12" t="n">
        <v>373.2</v>
      </c>
      <c r="J36" s="12">
        <f>SUM(C36:I36)</f>
        <v/>
      </c>
      <c r="K36" s="13">
        <f>SUM($J$12:J36)/$J$38</f>
        <v/>
      </c>
    </row>
    <row r="37">
      <c r="A37" s="10" t="inlineStr">
        <is>
          <t>2028-08</t>
        </is>
      </c>
      <c r="B37" s="11" t="n">
        <v>26</v>
      </c>
      <c r="C37" s="12" t="n">
        <v>0</v>
      </c>
      <c r="D37" s="12" t="n">
        <v>8.5</v>
      </c>
      <c r="E37" s="12" t="n">
        <v>435.3</v>
      </c>
      <c r="F37" s="12" t="n">
        <v>493</v>
      </c>
      <c r="G37" s="12" t="n">
        <v>135.1</v>
      </c>
      <c r="H37" s="12" t="n">
        <v>2630.3</v>
      </c>
      <c r="I37" s="12" t="n">
        <v>264.8</v>
      </c>
      <c r="J37" s="12">
        <f>SUM(C37:I37)</f>
        <v/>
      </c>
      <c r="K37" s="13">
        <f>SUM($J$12:J37)/$J$38</f>
        <v/>
      </c>
    </row>
    <row r="38">
      <c r="A38" s="14" t="inlineStr">
        <is>
          <t>合計</t>
        </is>
      </c>
      <c r="C38" s="15">
        <f>SUM(C12:C37)</f>
        <v/>
      </c>
      <c r="D38" s="15">
        <f>SUM(D12:D37)</f>
        <v/>
      </c>
      <c r="E38" s="15">
        <f>SUM(E12:E37)</f>
        <v/>
      </c>
      <c r="F38" s="15">
        <f>SUM(F12:F37)</f>
        <v/>
      </c>
      <c r="G38" s="15">
        <f>SUM(G12:G37)</f>
        <v/>
      </c>
      <c r="H38" s="15">
        <f>SUM(H12:H37)</f>
        <v/>
      </c>
      <c r="I38" s="15">
        <f>SUM(I12:I37)</f>
        <v/>
      </c>
      <c r="J38" s="15">
        <f>SUM(J12:J37)</f>
        <v/>
      </c>
    </row>
    <row r="39">
      <c r="A39" s="16" t="inlineStr">
        <is>
          <t>構成比</t>
        </is>
      </c>
      <c r="C39" s="17">
        <f>C38/$J$38</f>
        <v/>
      </c>
      <c r="D39" s="17">
        <f>D38/$J$38</f>
        <v/>
      </c>
      <c r="E39" s="17">
        <f>E38/$J$38</f>
        <v/>
      </c>
      <c r="F39" s="17">
        <f>F38/$J$38</f>
        <v/>
      </c>
      <c r="G39" s="17">
        <f>G38/$J$38</f>
        <v/>
      </c>
      <c r="H39" s="17">
        <f>H38/$J$38</f>
        <v/>
      </c>
      <c r="I39" s="17">
        <f>I38/$J$38</f>
        <v/>
      </c>
    </row>
    <row r="42">
      <c r="A42" s="6" t="inlineStr">
        <is>
          <t>■ 月 × 行程グループ 工数(人月)</t>
        </is>
      </c>
    </row>
    <row r="43">
      <c r="A43" s="5" t="inlineStr">
        <is>
          <t>上の時間表を換算係数(160時間/人月)で割った値。係数セルを書き換えると自動で追従する。</t>
        </is>
      </c>
    </row>
    <row r="44">
      <c r="A44" s="18" t="inlineStr">
        <is>
          <t>月</t>
        </is>
      </c>
      <c r="B44" s="8" t="inlineStr">
        <is>
          <t>企画・プリプロ</t>
        </is>
      </c>
      <c r="C44" s="8" t="inlineStr">
        <is>
          <t>ゲームデザイン・シナリオ</t>
        </is>
      </c>
      <c r="D44" s="8" t="inlineStr">
        <is>
          <t>プログラム</t>
        </is>
      </c>
      <c r="E44" s="8" t="inlineStr">
        <is>
          <t>アート</t>
        </is>
      </c>
      <c r="F44" s="8" t="inlineStr">
        <is>
          <t>サウンド</t>
        </is>
      </c>
      <c r="G44" s="8" t="inlineStr">
        <is>
          <t>QA・デバッグ</t>
        </is>
      </c>
      <c r="H44" s="8" t="inlineStr">
        <is>
          <t>PM・運営</t>
        </is>
      </c>
      <c r="I44" s="18" t="inlineStr">
        <is>
          <t>合計</t>
        </is>
      </c>
    </row>
    <row r="45">
      <c r="A45" s="10">
        <f>A12</f>
        <v/>
      </c>
      <c r="B45" s="19">
        <f>C12/$B$7</f>
        <v/>
      </c>
      <c r="C45" s="19">
        <f>D12/$B$7</f>
        <v/>
      </c>
      <c r="D45" s="19">
        <f>E12/$B$7</f>
        <v/>
      </c>
      <c r="E45" s="19">
        <f>F12/$B$7</f>
        <v/>
      </c>
      <c r="F45" s="19">
        <f>G12/$B$7</f>
        <v/>
      </c>
      <c r="G45" s="19">
        <f>H12/$B$7</f>
        <v/>
      </c>
      <c r="H45" s="19">
        <f>I12/$B$7</f>
        <v/>
      </c>
      <c r="I45" s="19">
        <f>SUM(B45:H45)</f>
        <v/>
      </c>
    </row>
    <row r="46">
      <c r="A46" s="10">
        <f>A13</f>
        <v/>
      </c>
      <c r="B46" s="19">
        <f>C13/$B$7</f>
        <v/>
      </c>
      <c r="C46" s="19">
        <f>D13/$B$7</f>
        <v/>
      </c>
      <c r="D46" s="19">
        <f>E13/$B$7</f>
        <v/>
      </c>
      <c r="E46" s="19">
        <f>F13/$B$7</f>
        <v/>
      </c>
      <c r="F46" s="19">
        <f>G13/$B$7</f>
        <v/>
      </c>
      <c r="G46" s="19">
        <f>H13/$B$7</f>
        <v/>
      </c>
      <c r="H46" s="19">
        <f>I13/$B$7</f>
        <v/>
      </c>
      <c r="I46" s="19">
        <f>SUM(B46:H46)</f>
        <v/>
      </c>
    </row>
    <row r="47">
      <c r="A47" s="10">
        <f>A14</f>
        <v/>
      </c>
      <c r="B47" s="19">
        <f>C14/$B$7</f>
        <v/>
      </c>
      <c r="C47" s="19">
        <f>D14/$B$7</f>
        <v/>
      </c>
      <c r="D47" s="19">
        <f>E14/$B$7</f>
        <v/>
      </c>
      <c r="E47" s="19">
        <f>F14/$B$7</f>
        <v/>
      </c>
      <c r="F47" s="19">
        <f>G14/$B$7</f>
        <v/>
      </c>
      <c r="G47" s="19">
        <f>H14/$B$7</f>
        <v/>
      </c>
      <c r="H47" s="19">
        <f>I14/$B$7</f>
        <v/>
      </c>
      <c r="I47" s="19">
        <f>SUM(B47:H47)</f>
        <v/>
      </c>
    </row>
    <row r="48">
      <c r="A48" s="10">
        <f>A15</f>
        <v/>
      </c>
      <c r="B48" s="19">
        <f>C15/$B$7</f>
        <v/>
      </c>
      <c r="C48" s="19">
        <f>D15/$B$7</f>
        <v/>
      </c>
      <c r="D48" s="19">
        <f>E15/$B$7</f>
        <v/>
      </c>
      <c r="E48" s="19">
        <f>F15/$B$7</f>
        <v/>
      </c>
      <c r="F48" s="19">
        <f>G15/$B$7</f>
        <v/>
      </c>
      <c r="G48" s="19">
        <f>H15/$B$7</f>
        <v/>
      </c>
      <c r="H48" s="19">
        <f>I15/$B$7</f>
        <v/>
      </c>
      <c r="I48" s="19">
        <f>SUM(B48:H48)</f>
        <v/>
      </c>
    </row>
    <row r="49">
      <c r="A49" s="10">
        <f>A16</f>
        <v/>
      </c>
      <c r="B49" s="19">
        <f>C16/$B$7</f>
        <v/>
      </c>
      <c r="C49" s="19">
        <f>D16/$B$7</f>
        <v/>
      </c>
      <c r="D49" s="19">
        <f>E16/$B$7</f>
        <v/>
      </c>
      <c r="E49" s="19">
        <f>F16/$B$7</f>
        <v/>
      </c>
      <c r="F49" s="19">
        <f>G16/$B$7</f>
        <v/>
      </c>
      <c r="G49" s="19">
        <f>H16/$B$7</f>
        <v/>
      </c>
      <c r="H49" s="19">
        <f>I16/$B$7</f>
        <v/>
      </c>
      <c r="I49" s="19">
        <f>SUM(B49:H49)</f>
        <v/>
      </c>
    </row>
    <row r="50">
      <c r="A50" s="10">
        <f>A17</f>
        <v/>
      </c>
      <c r="B50" s="19">
        <f>C17/$B$7</f>
        <v/>
      </c>
      <c r="C50" s="19">
        <f>D17/$B$7</f>
        <v/>
      </c>
      <c r="D50" s="19">
        <f>E17/$B$7</f>
        <v/>
      </c>
      <c r="E50" s="19">
        <f>F17/$B$7</f>
        <v/>
      </c>
      <c r="F50" s="19">
        <f>G17/$B$7</f>
        <v/>
      </c>
      <c r="G50" s="19">
        <f>H17/$B$7</f>
        <v/>
      </c>
      <c r="H50" s="19">
        <f>I17/$B$7</f>
        <v/>
      </c>
      <c r="I50" s="19">
        <f>SUM(B50:H50)</f>
        <v/>
      </c>
    </row>
    <row r="51">
      <c r="A51" s="10">
        <f>A18</f>
        <v/>
      </c>
      <c r="B51" s="19">
        <f>C18/$B$7</f>
        <v/>
      </c>
      <c r="C51" s="19">
        <f>D18/$B$7</f>
        <v/>
      </c>
      <c r="D51" s="19">
        <f>E18/$B$7</f>
        <v/>
      </c>
      <c r="E51" s="19">
        <f>F18/$B$7</f>
        <v/>
      </c>
      <c r="F51" s="19">
        <f>G18/$B$7</f>
        <v/>
      </c>
      <c r="G51" s="19">
        <f>H18/$B$7</f>
        <v/>
      </c>
      <c r="H51" s="19">
        <f>I18/$B$7</f>
        <v/>
      </c>
      <c r="I51" s="19">
        <f>SUM(B51:H51)</f>
        <v/>
      </c>
    </row>
    <row r="52">
      <c r="A52" s="10">
        <f>A19</f>
        <v/>
      </c>
      <c r="B52" s="19">
        <f>C19/$B$7</f>
        <v/>
      </c>
      <c r="C52" s="19">
        <f>D19/$B$7</f>
        <v/>
      </c>
      <c r="D52" s="19">
        <f>E19/$B$7</f>
        <v/>
      </c>
      <c r="E52" s="19">
        <f>F19/$B$7</f>
        <v/>
      </c>
      <c r="F52" s="19">
        <f>G19/$B$7</f>
        <v/>
      </c>
      <c r="G52" s="19">
        <f>H19/$B$7</f>
        <v/>
      </c>
      <c r="H52" s="19">
        <f>I19/$B$7</f>
        <v/>
      </c>
      <c r="I52" s="19">
        <f>SUM(B52:H52)</f>
        <v/>
      </c>
    </row>
    <row r="53">
      <c r="A53" s="10">
        <f>A20</f>
        <v/>
      </c>
      <c r="B53" s="19">
        <f>C20/$B$7</f>
        <v/>
      </c>
      <c r="C53" s="19">
        <f>D20/$B$7</f>
        <v/>
      </c>
      <c r="D53" s="19">
        <f>E20/$B$7</f>
        <v/>
      </c>
      <c r="E53" s="19">
        <f>F20/$B$7</f>
        <v/>
      </c>
      <c r="F53" s="19">
        <f>G20/$B$7</f>
        <v/>
      </c>
      <c r="G53" s="19">
        <f>H20/$B$7</f>
        <v/>
      </c>
      <c r="H53" s="19">
        <f>I20/$B$7</f>
        <v/>
      </c>
      <c r="I53" s="19">
        <f>SUM(B53:H53)</f>
        <v/>
      </c>
    </row>
    <row r="54">
      <c r="A54" s="10">
        <f>A21</f>
        <v/>
      </c>
      <c r="B54" s="19">
        <f>C21/$B$7</f>
        <v/>
      </c>
      <c r="C54" s="19">
        <f>D21/$B$7</f>
        <v/>
      </c>
      <c r="D54" s="19">
        <f>E21/$B$7</f>
        <v/>
      </c>
      <c r="E54" s="19">
        <f>F21/$B$7</f>
        <v/>
      </c>
      <c r="F54" s="19">
        <f>G21/$B$7</f>
        <v/>
      </c>
      <c r="G54" s="19">
        <f>H21/$B$7</f>
        <v/>
      </c>
      <c r="H54" s="19">
        <f>I21/$B$7</f>
        <v/>
      </c>
      <c r="I54" s="19">
        <f>SUM(B54:H54)</f>
        <v/>
      </c>
    </row>
    <row r="55">
      <c r="A55" s="10">
        <f>A22</f>
        <v/>
      </c>
      <c r="B55" s="19">
        <f>C22/$B$7</f>
        <v/>
      </c>
      <c r="C55" s="19">
        <f>D22/$B$7</f>
        <v/>
      </c>
      <c r="D55" s="19">
        <f>E22/$B$7</f>
        <v/>
      </c>
      <c r="E55" s="19">
        <f>F22/$B$7</f>
        <v/>
      </c>
      <c r="F55" s="19">
        <f>G22/$B$7</f>
        <v/>
      </c>
      <c r="G55" s="19">
        <f>H22/$B$7</f>
        <v/>
      </c>
      <c r="H55" s="19">
        <f>I22/$B$7</f>
        <v/>
      </c>
      <c r="I55" s="19">
        <f>SUM(B55:H55)</f>
        <v/>
      </c>
    </row>
    <row r="56">
      <c r="A56" s="10">
        <f>A23</f>
        <v/>
      </c>
      <c r="B56" s="19">
        <f>C23/$B$7</f>
        <v/>
      </c>
      <c r="C56" s="19">
        <f>D23/$B$7</f>
        <v/>
      </c>
      <c r="D56" s="19">
        <f>E23/$B$7</f>
        <v/>
      </c>
      <c r="E56" s="19">
        <f>F23/$B$7</f>
        <v/>
      </c>
      <c r="F56" s="19">
        <f>G23/$B$7</f>
        <v/>
      </c>
      <c r="G56" s="19">
        <f>H23/$B$7</f>
        <v/>
      </c>
      <c r="H56" s="19">
        <f>I23/$B$7</f>
        <v/>
      </c>
      <c r="I56" s="19">
        <f>SUM(B56:H56)</f>
        <v/>
      </c>
    </row>
    <row r="57">
      <c r="A57" s="10">
        <f>A24</f>
        <v/>
      </c>
      <c r="B57" s="19">
        <f>C24/$B$7</f>
        <v/>
      </c>
      <c r="C57" s="19">
        <f>D24/$B$7</f>
        <v/>
      </c>
      <c r="D57" s="19">
        <f>E24/$B$7</f>
        <v/>
      </c>
      <c r="E57" s="19">
        <f>F24/$B$7</f>
        <v/>
      </c>
      <c r="F57" s="19">
        <f>G24/$B$7</f>
        <v/>
      </c>
      <c r="G57" s="19">
        <f>H24/$B$7</f>
        <v/>
      </c>
      <c r="H57" s="19">
        <f>I24/$B$7</f>
        <v/>
      </c>
      <c r="I57" s="19">
        <f>SUM(B57:H57)</f>
        <v/>
      </c>
    </row>
    <row r="58">
      <c r="A58" s="10">
        <f>A25</f>
        <v/>
      </c>
      <c r="B58" s="19">
        <f>C25/$B$7</f>
        <v/>
      </c>
      <c r="C58" s="19">
        <f>D25/$B$7</f>
        <v/>
      </c>
      <c r="D58" s="19">
        <f>E25/$B$7</f>
        <v/>
      </c>
      <c r="E58" s="19">
        <f>F25/$B$7</f>
        <v/>
      </c>
      <c r="F58" s="19">
        <f>G25/$B$7</f>
        <v/>
      </c>
      <c r="G58" s="19">
        <f>H25/$B$7</f>
        <v/>
      </c>
      <c r="H58" s="19">
        <f>I25/$B$7</f>
        <v/>
      </c>
      <c r="I58" s="19">
        <f>SUM(B58:H58)</f>
        <v/>
      </c>
    </row>
    <row r="59">
      <c r="A59" s="10">
        <f>A26</f>
        <v/>
      </c>
      <c r="B59" s="19">
        <f>C26/$B$7</f>
        <v/>
      </c>
      <c r="C59" s="19">
        <f>D26/$B$7</f>
        <v/>
      </c>
      <c r="D59" s="19">
        <f>E26/$B$7</f>
        <v/>
      </c>
      <c r="E59" s="19">
        <f>F26/$B$7</f>
        <v/>
      </c>
      <c r="F59" s="19">
        <f>G26/$B$7</f>
        <v/>
      </c>
      <c r="G59" s="19">
        <f>H26/$B$7</f>
        <v/>
      </c>
      <c r="H59" s="19">
        <f>I26/$B$7</f>
        <v/>
      </c>
      <c r="I59" s="19">
        <f>SUM(B59:H59)</f>
        <v/>
      </c>
    </row>
    <row r="60">
      <c r="A60" s="10">
        <f>A27</f>
        <v/>
      </c>
      <c r="B60" s="19">
        <f>C27/$B$7</f>
        <v/>
      </c>
      <c r="C60" s="19">
        <f>D27/$B$7</f>
        <v/>
      </c>
      <c r="D60" s="19">
        <f>E27/$B$7</f>
        <v/>
      </c>
      <c r="E60" s="19">
        <f>F27/$B$7</f>
        <v/>
      </c>
      <c r="F60" s="19">
        <f>G27/$B$7</f>
        <v/>
      </c>
      <c r="G60" s="19">
        <f>H27/$B$7</f>
        <v/>
      </c>
      <c r="H60" s="19">
        <f>I27/$B$7</f>
        <v/>
      </c>
      <c r="I60" s="19">
        <f>SUM(B60:H60)</f>
        <v/>
      </c>
    </row>
    <row r="61">
      <c r="A61" s="10">
        <f>A28</f>
        <v/>
      </c>
      <c r="B61" s="19">
        <f>C28/$B$7</f>
        <v/>
      </c>
      <c r="C61" s="19">
        <f>D28/$B$7</f>
        <v/>
      </c>
      <c r="D61" s="19">
        <f>E28/$B$7</f>
        <v/>
      </c>
      <c r="E61" s="19">
        <f>F28/$B$7</f>
        <v/>
      </c>
      <c r="F61" s="19">
        <f>G28/$B$7</f>
        <v/>
      </c>
      <c r="G61" s="19">
        <f>H28/$B$7</f>
        <v/>
      </c>
      <c r="H61" s="19">
        <f>I28/$B$7</f>
        <v/>
      </c>
      <c r="I61" s="19">
        <f>SUM(B61:H61)</f>
        <v/>
      </c>
    </row>
    <row r="62">
      <c r="A62" s="10">
        <f>A29</f>
        <v/>
      </c>
      <c r="B62" s="19">
        <f>C29/$B$7</f>
        <v/>
      </c>
      <c r="C62" s="19">
        <f>D29/$B$7</f>
        <v/>
      </c>
      <c r="D62" s="19">
        <f>E29/$B$7</f>
        <v/>
      </c>
      <c r="E62" s="19">
        <f>F29/$B$7</f>
        <v/>
      </c>
      <c r="F62" s="19">
        <f>G29/$B$7</f>
        <v/>
      </c>
      <c r="G62" s="19">
        <f>H29/$B$7</f>
        <v/>
      </c>
      <c r="H62" s="19">
        <f>I29/$B$7</f>
        <v/>
      </c>
      <c r="I62" s="19">
        <f>SUM(B62:H62)</f>
        <v/>
      </c>
    </row>
    <row r="63">
      <c r="A63" s="10">
        <f>A30</f>
        <v/>
      </c>
      <c r="B63" s="19">
        <f>C30/$B$7</f>
        <v/>
      </c>
      <c r="C63" s="19">
        <f>D30/$B$7</f>
        <v/>
      </c>
      <c r="D63" s="19">
        <f>E30/$B$7</f>
        <v/>
      </c>
      <c r="E63" s="19">
        <f>F30/$B$7</f>
        <v/>
      </c>
      <c r="F63" s="19">
        <f>G30/$B$7</f>
        <v/>
      </c>
      <c r="G63" s="19">
        <f>H30/$B$7</f>
        <v/>
      </c>
      <c r="H63" s="19">
        <f>I30/$B$7</f>
        <v/>
      </c>
      <c r="I63" s="19">
        <f>SUM(B63:H63)</f>
        <v/>
      </c>
    </row>
    <row r="64">
      <c r="A64" s="10">
        <f>A31</f>
        <v/>
      </c>
      <c r="B64" s="19">
        <f>C31/$B$7</f>
        <v/>
      </c>
      <c r="C64" s="19">
        <f>D31/$B$7</f>
        <v/>
      </c>
      <c r="D64" s="19">
        <f>E31/$B$7</f>
        <v/>
      </c>
      <c r="E64" s="19">
        <f>F31/$B$7</f>
        <v/>
      </c>
      <c r="F64" s="19">
        <f>G31/$B$7</f>
        <v/>
      </c>
      <c r="G64" s="19">
        <f>H31/$B$7</f>
        <v/>
      </c>
      <c r="H64" s="19">
        <f>I31/$B$7</f>
        <v/>
      </c>
      <c r="I64" s="19">
        <f>SUM(B64:H64)</f>
        <v/>
      </c>
    </row>
    <row r="65">
      <c r="A65" s="10">
        <f>A32</f>
        <v/>
      </c>
      <c r="B65" s="19">
        <f>C32/$B$7</f>
        <v/>
      </c>
      <c r="C65" s="19">
        <f>D32/$B$7</f>
        <v/>
      </c>
      <c r="D65" s="19">
        <f>E32/$B$7</f>
        <v/>
      </c>
      <c r="E65" s="19">
        <f>F32/$B$7</f>
        <v/>
      </c>
      <c r="F65" s="19">
        <f>G32/$B$7</f>
        <v/>
      </c>
      <c r="G65" s="19">
        <f>H32/$B$7</f>
        <v/>
      </c>
      <c r="H65" s="19">
        <f>I32/$B$7</f>
        <v/>
      </c>
      <c r="I65" s="19">
        <f>SUM(B65:H65)</f>
        <v/>
      </c>
    </row>
    <row r="66">
      <c r="A66" s="10">
        <f>A33</f>
        <v/>
      </c>
      <c r="B66" s="19">
        <f>C33/$B$7</f>
        <v/>
      </c>
      <c r="C66" s="19">
        <f>D33/$B$7</f>
        <v/>
      </c>
      <c r="D66" s="19">
        <f>E33/$B$7</f>
        <v/>
      </c>
      <c r="E66" s="19">
        <f>F33/$B$7</f>
        <v/>
      </c>
      <c r="F66" s="19">
        <f>G33/$B$7</f>
        <v/>
      </c>
      <c r="G66" s="19">
        <f>H33/$B$7</f>
        <v/>
      </c>
      <c r="H66" s="19">
        <f>I33/$B$7</f>
        <v/>
      </c>
      <c r="I66" s="19">
        <f>SUM(B66:H66)</f>
        <v/>
      </c>
    </row>
    <row r="67">
      <c r="A67" s="10">
        <f>A34</f>
        <v/>
      </c>
      <c r="B67" s="19">
        <f>C34/$B$7</f>
        <v/>
      </c>
      <c r="C67" s="19">
        <f>D34/$B$7</f>
        <v/>
      </c>
      <c r="D67" s="19">
        <f>E34/$B$7</f>
        <v/>
      </c>
      <c r="E67" s="19">
        <f>F34/$B$7</f>
        <v/>
      </c>
      <c r="F67" s="19">
        <f>G34/$B$7</f>
        <v/>
      </c>
      <c r="G67" s="19">
        <f>H34/$B$7</f>
        <v/>
      </c>
      <c r="H67" s="19">
        <f>I34/$B$7</f>
        <v/>
      </c>
      <c r="I67" s="19">
        <f>SUM(B67:H67)</f>
        <v/>
      </c>
    </row>
    <row r="68">
      <c r="A68" s="10">
        <f>A35</f>
        <v/>
      </c>
      <c r="B68" s="19">
        <f>C35/$B$7</f>
        <v/>
      </c>
      <c r="C68" s="19">
        <f>D35/$B$7</f>
        <v/>
      </c>
      <c r="D68" s="19">
        <f>E35/$B$7</f>
        <v/>
      </c>
      <c r="E68" s="19">
        <f>F35/$B$7</f>
        <v/>
      </c>
      <c r="F68" s="19">
        <f>G35/$B$7</f>
        <v/>
      </c>
      <c r="G68" s="19">
        <f>H35/$B$7</f>
        <v/>
      </c>
      <c r="H68" s="19">
        <f>I35/$B$7</f>
        <v/>
      </c>
      <c r="I68" s="19">
        <f>SUM(B68:H68)</f>
        <v/>
      </c>
    </row>
    <row r="69">
      <c r="A69" s="10">
        <f>A36</f>
        <v/>
      </c>
      <c r="B69" s="19">
        <f>C36/$B$7</f>
        <v/>
      </c>
      <c r="C69" s="19">
        <f>D36/$B$7</f>
        <v/>
      </c>
      <c r="D69" s="19">
        <f>E36/$B$7</f>
        <v/>
      </c>
      <c r="E69" s="19">
        <f>F36/$B$7</f>
        <v/>
      </c>
      <c r="F69" s="19">
        <f>G36/$B$7</f>
        <v/>
      </c>
      <c r="G69" s="19">
        <f>H36/$B$7</f>
        <v/>
      </c>
      <c r="H69" s="19">
        <f>I36/$B$7</f>
        <v/>
      </c>
      <c r="I69" s="19">
        <f>SUM(B69:H69)</f>
        <v/>
      </c>
    </row>
    <row r="70">
      <c r="A70" s="10">
        <f>A37</f>
        <v/>
      </c>
      <c r="B70" s="19">
        <f>C37/$B$7</f>
        <v/>
      </c>
      <c r="C70" s="19">
        <f>D37/$B$7</f>
        <v/>
      </c>
      <c r="D70" s="19">
        <f>E37/$B$7</f>
        <v/>
      </c>
      <c r="E70" s="19">
        <f>F37/$B$7</f>
        <v/>
      </c>
      <c r="F70" s="19">
        <f>G37/$B$7</f>
        <v/>
      </c>
      <c r="G70" s="19">
        <f>H37/$B$7</f>
        <v/>
      </c>
      <c r="H70" s="19">
        <f>I37/$B$7</f>
        <v/>
      </c>
      <c r="I70" s="19">
        <f>SUM(B70:H70)</f>
        <v/>
      </c>
    </row>
    <row r="71">
      <c r="A71" s="14" t="inlineStr">
        <is>
          <t>合計</t>
        </is>
      </c>
      <c r="B71" s="20">
        <f>SUM(B45:B70)</f>
        <v/>
      </c>
      <c r="C71" s="20">
        <f>SUM(C45:C70)</f>
        <v/>
      </c>
      <c r="D71" s="20">
        <f>SUM(D45:D70)</f>
        <v/>
      </c>
      <c r="E71" s="20">
        <f>SUM(E45:E70)</f>
        <v/>
      </c>
      <c r="F71" s="20">
        <f>SUM(F45:F70)</f>
        <v/>
      </c>
      <c r="G71" s="20">
        <f>SUM(G45:G70)</f>
        <v/>
      </c>
      <c r="H71" s="20">
        <f>SUM(H45:H70)</f>
        <v/>
      </c>
      <c r="I71" s="20">
        <f>SUM(I45:I70)</f>
        <v/>
      </c>
    </row>
    <row r="73">
      <c r="A73" s="6" t="inlineStr">
        <is>
          <t>■ 実績(時間)と 予測との比較</t>
        </is>
      </c>
    </row>
    <row r="74">
      <c r="A74" s="5" t="inlineStr">
        <is>
          <t>この案件の実績はまだ1行もありません。着手後に実績が入ると、ここに 月 × 行程グループ の実績と予測との差分が並びます。</t>
        </is>
      </c>
    </row>
    <row r="76">
      <c r="A76" s="6" t="inlineStr">
        <is>
          <t>■ マイルストーン(予測)</t>
        </is>
      </c>
    </row>
    <row r="77">
      <c r="A77" s="8" t="inlineStr">
        <is>
          <t>マイルストーン名</t>
        </is>
      </c>
      <c r="B77" s="8" t="inlineStr">
        <is>
          <t>予測日付</t>
        </is>
      </c>
      <c r="C77" s="8" t="inlineStr">
        <is>
          <t>位置t</t>
        </is>
      </c>
      <c r="D77" s="8" t="inlineStr">
        <is>
          <t>根拠</t>
        </is>
      </c>
    </row>
    <row r="78">
      <c r="A78" s="10" t="inlineStr">
        <is>
          <t>プロトタイプ</t>
        </is>
      </c>
      <c r="B78" s="10" t="inlineStr">
        <is>
          <t>2026-12-18</t>
        </is>
      </c>
      <c r="C78" s="21" t="n">
        <v>0.215</v>
      </c>
      <c r="D78" s="10" t="inlineStr">
        <is>
          <t>学習(n=5)</t>
        </is>
      </c>
    </row>
    <row r="79">
      <c r="A79" s="10" t="inlineStr">
        <is>
          <t>α版</t>
        </is>
      </c>
      <c r="B79" s="10" t="inlineStr">
        <is>
          <t>2027-07-16</t>
        </is>
      </c>
      <c r="C79" s="21" t="n">
        <v>0.48</v>
      </c>
      <c r="D79" s="10" t="inlineStr">
        <is>
          <t>指定</t>
        </is>
      </c>
    </row>
    <row r="80">
      <c r="A80" s="10" t="inlineStr">
        <is>
          <t>β版</t>
        </is>
      </c>
      <c r="B80" s="10" t="inlineStr">
        <is>
          <t>2028-02-06</t>
        </is>
      </c>
      <c r="C80" s="21" t="n">
        <v>0.739</v>
      </c>
      <c r="D80" s="10" t="inlineStr">
        <is>
          <t>学習(n=10)</t>
        </is>
      </c>
    </row>
    <row r="81">
      <c r="A81" s="10" t="inlineStr">
        <is>
          <t>マスターアップ</t>
        </is>
      </c>
      <c r="B81" s="10" t="inlineStr">
        <is>
          <t>2028-06-29</t>
        </is>
      </c>
      <c r="C81" s="21" t="n">
        <v>0.921</v>
      </c>
      <c r="D81" s="10" t="inlineStr">
        <is>
          <t>学習(n=10)</t>
        </is>
      </c>
    </row>
    <row r="83">
      <c r="A83" s="5" t="inlineStr">
        <is>
          <t>・行程グループ間の総量は学習した工数比率で配分しています。</t>
        </is>
      </c>
    </row>
    <row r="84">
      <c r="A84" s="5" t="inlineStr">
        <is>
          <t>・指定されたマイルストーンで時間軸を固定: α版</t>
        </is>
      </c>
    </row>
    <row r="85">
      <c r="A85" s="5" t="inlineStr">
        <is>
          <t>・この予測が依拠した案件は「条件」シートを参照(→ 条件)</t>
        </is>
      </c>
    </row>
  </sheetData>
  <printOptions horizontalCentered="0"/>
  <pageMargins left="0.75" right="0.75" top="1" bottom="1" header="0.5" footer="0.5"/>
  <pageSetup orientation="landscape"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M395"/>
  <sheetViews>
    <sheetView workbookViewId="0">
      <selection activeCell="A1" sqref="A1"/>
    </sheetView>
  </sheetViews>
  <sheetFormatPr baseColWidth="8" defaultRowHeight="15"/>
  <cols>
    <col width="13" customWidth="1" min="1" max="1"/>
    <col width="26" customWidth="1" min="2" max="2"/>
    <col width="18" customWidth="1" min="3" max="3"/>
    <col width="11" customWidth="1" min="4" max="4"/>
    <col width="11.4" customWidth="1" min="5" max="5"/>
    <col width="11" customWidth="1" min="6" max="6"/>
    <col width="11" customWidth="1" min="7" max="7"/>
    <col width="13.3" customWidth="1" min="8" max="8"/>
    <col width="13" customWidth="1" min="9" max="9"/>
    <col width="13" customWidth="1" min="10" max="10"/>
    <col width="13" customWidth="1" min="11" max="11"/>
    <col width="13" customWidth="1" min="12" max="12"/>
    <col width="13" customWidth="1" min="13" max="13"/>
  </cols>
  <sheetData>
    <row r="1">
      <c r="A1" s="1" t="inlineStr">
        <is>
          <t>学習カーブ</t>
        </is>
      </c>
    </row>
    <row r="2">
      <c r="A2" s="5" t="inlineStr">
        <is>
          <t>横軸は正準時間軸(0=開始, 1=終了)。位置合わせ ON のとき、背骨マイルストーンが全案件で同じ位置に来るよう変換した後の軸。</t>
        </is>
      </c>
    </row>
    <row r="3">
      <c r="A3" s="5" t="inlineStr">
        <is>
          <t>背骨マイルストーン: α版, β版, マスターアップ   正準位置: α版=0.495, β版=0.739, マスターアップ=0.921</t>
        </is>
      </c>
    </row>
    <row r="5">
      <c r="A5" s="6" t="inlineStr">
        <is>
          <t>■ 累積消化率 F(t):平均カーブ vs 各案件</t>
        </is>
      </c>
    </row>
    <row r="6">
      <c r="A6" s="7" t="inlineStr">
        <is>
          <t>t</t>
        </is>
      </c>
      <c r="B6" s="8" t="inlineStr">
        <is>
          <t>平均(位置合わせあり)</t>
        </is>
      </c>
      <c r="C6" s="8" t="inlineStr">
        <is>
          <t>平均(位置合わせなし)</t>
        </is>
      </c>
      <c r="D6" s="8" t="inlineStr">
        <is>
          <t>PJ-2019-A</t>
        </is>
      </c>
      <c r="E6" s="8" t="inlineStr">
        <is>
          <t>PJ-2020-B</t>
        </is>
      </c>
      <c r="F6" s="8" t="inlineStr">
        <is>
          <t>PJ-2020-C</t>
        </is>
      </c>
      <c r="G6" s="8" t="inlineStr">
        <is>
          <t>PJ-2021-D</t>
        </is>
      </c>
      <c r="H6" s="8" t="inlineStr">
        <is>
          <t>PJ-2021-E</t>
        </is>
      </c>
      <c r="I6" s="8" t="inlineStr">
        <is>
          <t>PJ-2022-F</t>
        </is>
      </c>
      <c r="J6" s="8" t="inlineStr">
        <is>
          <t>PJ-2022-G</t>
        </is>
      </c>
      <c r="K6" s="8" t="inlineStr">
        <is>
          <t>PJ-2023-H</t>
        </is>
      </c>
      <c r="L6" s="8" t="inlineStr">
        <is>
          <t>PJ-2023-I</t>
        </is>
      </c>
      <c r="M6" s="8" t="inlineStr">
        <is>
          <t>PJ-2024-J</t>
        </is>
      </c>
    </row>
    <row r="7">
      <c r="A7" s="10" t="n">
        <v>0.005</v>
      </c>
      <c r="B7" s="21" t="n">
        <v>0.003856857832956352</v>
      </c>
      <c r="C7" s="21" t="n">
        <v>0.003834845109846539</v>
      </c>
      <c r="D7" s="21" t="n">
        <v>0.003090068262850812</v>
      </c>
      <c r="E7" s="21" t="n">
        <v>0.0005157680709847524</v>
      </c>
      <c r="F7" s="21" t="n">
        <v>0.01006548497600343</v>
      </c>
      <c r="G7" s="21" t="n">
        <v>0.006580379591866568</v>
      </c>
      <c r="H7" s="21" t="n">
        <v>0.00138089324428331</v>
      </c>
      <c r="I7" s="21" t="n">
        <v>0.002382240855486503</v>
      </c>
      <c r="J7" s="21" t="n">
        <v>0.009459409075211443</v>
      </c>
      <c r="K7" s="21" t="n">
        <v>0.002368670516255016</v>
      </c>
      <c r="L7" s="21" t="n">
        <v>0.001648996523499456</v>
      </c>
      <c r="M7" s="21" t="n">
        <v>0.000303200398786301</v>
      </c>
    </row>
    <row r="8">
      <c r="A8" s="10" t="n">
        <v>0.015</v>
      </c>
      <c r="B8" s="21" t="n">
        <v>0.007706934691349537</v>
      </c>
      <c r="C8" s="21" t="n">
        <v>0.007669690219693079</v>
      </c>
      <c r="D8" s="21" t="n">
        <v>0.006106563471824223</v>
      </c>
      <c r="E8" s="21" t="n">
        <v>0.001042509930713861</v>
      </c>
      <c r="F8" s="21" t="n">
        <v>0.02038260707640694</v>
      </c>
      <c r="G8" s="21" t="n">
        <v>0.01302075110731044</v>
      </c>
      <c r="H8" s="21" t="n">
        <v>0.002721171981381817</v>
      </c>
      <c r="I8" s="21" t="n">
        <v>0.004764481710973006</v>
      </c>
      <c r="J8" s="21" t="n">
        <v>0.01891881815042289</v>
      </c>
      <c r="K8" s="21" t="n">
        <v>0.004737341032510032</v>
      </c>
      <c r="L8" s="21" t="n">
        <v>0.003297993046998913</v>
      </c>
      <c r="M8" s="21" t="n">
        <v>0.0006064007975726019</v>
      </c>
    </row>
    <row r="9">
      <c r="A9" s="10" t="n">
        <v>0.025</v>
      </c>
      <c r="B9" s="21" t="n">
        <v>0.01165347540675625</v>
      </c>
      <c r="C9" s="21" t="n">
        <v>0.01157045267041883</v>
      </c>
      <c r="D9" s="21" t="n">
        <v>0.01003102287616153</v>
      </c>
      <c r="E9" s="21" t="n">
        <v>0.001558278001698613</v>
      </c>
      <c r="F9" s="21" t="n">
        <v>0.03044809205241036</v>
      </c>
      <c r="G9" s="21" t="n">
        <v>0.01960113069917701</v>
      </c>
      <c r="H9" s="21" t="n">
        <v>0.004102065225665127</v>
      </c>
      <c r="I9" s="21" t="n">
        <v>0.007211107454445631</v>
      </c>
      <c r="J9" s="21" t="n">
        <v>0.02837822722563433</v>
      </c>
      <c r="K9" s="21" t="n">
        <v>0.007173687849229476</v>
      </c>
      <c r="L9" s="21" t="n">
        <v>0.004946989570498369</v>
      </c>
      <c r="M9" s="21" t="n">
        <v>0.0009096011963589029</v>
      </c>
    </row>
    <row r="10">
      <c r="A10" s="10" t="n">
        <v>0.035</v>
      </c>
      <c r="B10" s="21" t="n">
        <v>0.01591882223581424</v>
      </c>
      <c r="C10" s="21" t="n">
        <v>0.01587835158814778</v>
      </c>
      <c r="D10" s="21" t="n">
        <v>0.01545738633517454</v>
      </c>
      <c r="E10" s="21" t="n">
        <v>0.002085019861427722</v>
      </c>
      <c r="F10" s="21" t="n">
        <v>0.04172739710067062</v>
      </c>
      <c r="G10" s="21" t="n">
        <v>0.02604150221462088</v>
      </c>
      <c r="H10" s="21" t="n">
        <v>0.006046640822577637</v>
      </c>
      <c r="I10" s="21" t="n">
        <v>0.009593348309932134</v>
      </c>
      <c r="J10" s="21" t="n">
        <v>0.03783763630084577</v>
      </c>
      <c r="K10" s="21" t="n">
        <v>0.009542358365484492</v>
      </c>
      <c r="L10" s="21" t="n">
        <v>0.006554761180910339</v>
      </c>
      <c r="M10" s="21" t="n">
        <v>0.001598630827425238</v>
      </c>
    </row>
    <row r="11">
      <c r="A11" s="10" t="n">
        <v>0.045</v>
      </c>
      <c r="B11" s="21" t="n">
        <v>0.02048028859687403</v>
      </c>
      <c r="C11" s="21" t="n">
        <v>0.020408295926247</v>
      </c>
      <c r="D11" s="21" t="n">
        <v>0.02075455066421104</v>
      </c>
      <c r="E11" s="21" t="n">
        <v>0.002600787932412475</v>
      </c>
      <c r="F11" s="21" t="n">
        <v>0.05403518411957532</v>
      </c>
      <c r="G11" s="21" t="n">
        <v>0.03262188180648745</v>
      </c>
      <c r="H11" s="21" t="n">
        <v>0.008298679520924255</v>
      </c>
      <c r="I11" s="21" t="n">
        <v>0.01197558916541864</v>
      </c>
      <c r="J11" s="21" t="n">
        <v>0.04826598976632207</v>
      </c>
      <c r="K11" s="21" t="n">
        <v>0.01191102888173951</v>
      </c>
      <c r="L11" s="21" t="n">
        <v>0.008203757704409795</v>
      </c>
      <c r="M11" s="21" t="n">
        <v>0.002466795459193018</v>
      </c>
    </row>
    <row r="12">
      <c r="A12" s="10" t="n">
        <v>0.055</v>
      </c>
      <c r="B12" s="21" t="n">
        <v>0.02523696097906458</v>
      </c>
      <c r="C12" s="21" t="n">
        <v>0.02540367154724484</v>
      </c>
      <c r="D12" s="21" t="n">
        <v>0.02721475494639713</v>
      </c>
      <c r="E12" s="21" t="n">
        <v>0.003127529792141584</v>
      </c>
      <c r="F12" s="21" t="n">
        <v>0.06604278121118967</v>
      </c>
      <c r="G12" s="21" t="n">
        <v>0.0396112127919185</v>
      </c>
      <c r="H12" s="21" t="n">
        <v>0.01048448178696656</v>
      </c>
      <c r="I12" s="21" t="n">
        <v>0.01458404007131857</v>
      </c>
      <c r="J12" s="21" t="n">
        <v>0.05855013425917689</v>
      </c>
      <c r="K12" s="21" t="n">
        <v>0.01463648967479872</v>
      </c>
      <c r="L12" s="21" t="n">
        <v>0.01037659657163305</v>
      </c>
      <c r="M12" s="21" t="n">
        <v>0.003334960090960797</v>
      </c>
    </row>
    <row r="13">
      <c r="A13" s="10" t="n">
        <v>0.065</v>
      </c>
      <c r="B13" s="21" t="n">
        <v>0.03068471645158157</v>
      </c>
      <c r="C13" s="21" t="n">
        <v>0.03077504878683044</v>
      </c>
      <c r="D13" s="21" t="n">
        <v>0.03424931524145715</v>
      </c>
      <c r="E13" s="21" t="n">
        <v>0.004562171506793639</v>
      </c>
      <c r="F13" s="21" t="n">
        <v>0.07761716015903257</v>
      </c>
      <c r="G13" s="21" t="n">
        <v>0.0479116653897449</v>
      </c>
      <c r="H13" s="21" t="n">
        <v>0.01310431993283659</v>
      </c>
      <c r="I13" s="21" t="n">
        <v>0.01905872389312928</v>
      </c>
      <c r="J13" s="21" t="n">
        <v>0.06883427875203171</v>
      </c>
      <c r="K13" s="21" t="n">
        <v>0.01878911157507471</v>
      </c>
      <c r="L13" s="21" t="n">
        <v>0.01363741569120575</v>
      </c>
      <c r="M13" s="21" t="n">
        <v>0.004511520105849631</v>
      </c>
    </row>
    <row r="14">
      <c r="A14" s="10" t="n">
        <v>0.075</v>
      </c>
      <c r="B14" s="21" t="n">
        <v>0.03610445084246944</v>
      </c>
      <c r="C14" s="21" t="n">
        <v>0.03616118973314496</v>
      </c>
      <c r="D14" s="21" t="n">
        <v>0.0411383397582783</v>
      </c>
      <c r="E14" s="21" t="n">
        <v>0.006157616109087474</v>
      </c>
      <c r="F14" s="21" t="n">
        <v>0.08814875278847432</v>
      </c>
      <c r="G14" s="21" t="n">
        <v>0.05603551261314945</v>
      </c>
      <c r="H14" s="21" t="n">
        <v>0.015981617691973</v>
      </c>
      <c r="I14" s="21" t="n">
        <v>0.02365434511552946</v>
      </c>
      <c r="J14" s="21" t="n">
        <v>0.07911842324488653</v>
      </c>
      <c r="K14" s="21" t="n">
        <v>0.02306037981535858</v>
      </c>
      <c r="L14" s="21" t="n">
        <v>0.01689823481077845</v>
      </c>
      <c r="M14" s="21" t="n">
        <v>0.005906526850449212</v>
      </c>
    </row>
    <row r="15">
      <c r="A15" s="10" t="n">
        <v>0.08500000000000001</v>
      </c>
      <c r="B15" s="21" t="n">
        <v>0.04161212601840977</v>
      </c>
      <c r="C15" s="21" t="n">
        <v>0.04169818273818272</v>
      </c>
      <c r="D15" s="21" t="n">
        <v>0.04909495766236584</v>
      </c>
      <c r="E15" s="21" t="n">
        <v>0.007787006341217347</v>
      </c>
      <c r="F15" s="21" t="n">
        <v>0.09842347730500287</v>
      </c>
      <c r="G15" s="21" t="n">
        <v>0.06433596521097584</v>
      </c>
      <c r="H15" s="21" t="n">
        <v>0.01885891545110942</v>
      </c>
      <c r="I15" s="21" t="n">
        <v>0.02812902893734017</v>
      </c>
      <c r="J15" s="21" t="n">
        <v>0.08934759189382552</v>
      </c>
      <c r="K15" s="21" t="n">
        <v>0.02721300171563457</v>
      </c>
      <c r="L15" s="21" t="n">
        <v>0.02015905393035115</v>
      </c>
      <c r="M15" s="21" t="n">
        <v>0.007301533595048794</v>
      </c>
    </row>
    <row r="16">
      <c r="A16" s="10" t="n">
        <v>0.095</v>
      </c>
      <c r="B16" s="21" t="n">
        <v>0.04712433367734221</v>
      </c>
      <c r="C16" s="21" t="n">
        <v>0.04733527691561376</v>
      </c>
      <c r="D16" s="21" t="n">
        <v>0.05705157556645338</v>
      </c>
      <c r="E16" s="21" t="n">
        <v>0.009382450943511181</v>
      </c>
      <c r="F16" s="21" t="n">
        <v>0.1086982018215314</v>
      </c>
      <c r="G16" s="21" t="n">
        <v>0.07245981243438039</v>
      </c>
      <c r="H16" s="21" t="n">
        <v>0.02178802223613967</v>
      </c>
      <c r="I16" s="21" t="n">
        <v>0.03260371275915088</v>
      </c>
      <c r="J16" s="21" t="n">
        <v>0.09942832576419171</v>
      </c>
      <c r="K16" s="21" t="n">
        <v>0.03136562361591055</v>
      </c>
      <c r="L16" s="21" t="n">
        <v>0.02341987304992384</v>
      </c>
      <c r="M16" s="21" t="n">
        <v>0.008853052721426218</v>
      </c>
    </row>
    <row r="17">
      <c r="A17" s="10" t="n">
        <v>0.105</v>
      </c>
      <c r="B17" s="21" t="n">
        <v>0.05266641490066522</v>
      </c>
      <c r="C17" s="21" t="n">
        <v>0.05305431148412552</v>
      </c>
      <c r="D17" s="21" t="n">
        <v>0.06509912221182215</v>
      </c>
      <c r="E17" s="21" t="n">
        <v>0.01101184117564106</v>
      </c>
      <c r="F17" s="21" t="n">
        <v>0.117715331909769</v>
      </c>
      <c r="G17" s="21" t="n">
        <v>0.08076026503220678</v>
      </c>
      <c r="H17" s="21" t="n">
        <v>0.02524517057521697</v>
      </c>
      <c r="I17" s="21" t="n">
        <v>0.03707839658096159</v>
      </c>
      <c r="J17" s="21" t="n">
        <v>0.1095090596345579</v>
      </c>
      <c r="K17" s="21" t="n">
        <v>0.03551824551618654</v>
      </c>
      <c r="L17" s="21" t="n">
        <v>0.02668069216949654</v>
      </c>
      <c r="M17" s="21" t="n">
        <v>0.01088976023131495</v>
      </c>
    </row>
    <row r="18">
      <c r="A18" s="10" t="n">
        <v>0.115</v>
      </c>
      <c r="B18" s="21" t="n">
        <v>0.05855311457796078</v>
      </c>
      <c r="C18" s="21" t="n">
        <v>0.05914459281906509</v>
      </c>
      <c r="D18" s="21" t="n">
        <v>0.07403704220240129</v>
      </c>
      <c r="E18" s="21" t="n">
        <v>0.01269186291475992</v>
      </c>
      <c r="F18" s="21" t="n">
        <v>0.1265125319958544</v>
      </c>
      <c r="G18" s="21" t="n">
        <v>0.0894067575172857</v>
      </c>
      <c r="H18" s="21" t="n">
        <v>0.02870231891429426</v>
      </c>
      <c r="I18" s="21" t="n">
        <v>0.0415530804027723</v>
      </c>
      <c r="J18" s="21" t="n">
        <v>0.1195897935049241</v>
      </c>
      <c r="K18" s="21" t="n">
        <v>0.04138357942196372</v>
      </c>
      <c r="L18" s="21" t="n">
        <v>0.03097578165147431</v>
      </c>
      <c r="M18" s="21" t="n">
        <v>0.01287679194827956</v>
      </c>
    </row>
    <row r="19">
      <c r="A19" s="10" t="n">
        <v>0.125</v>
      </c>
      <c r="B19" s="21" t="n">
        <v>0.06485133797742267</v>
      </c>
      <c r="C19" s="21" t="n">
        <v>0.06538266092943444</v>
      </c>
      <c r="D19" s="21" t="n">
        <v>0.08297496219298042</v>
      </c>
      <c r="E19" s="21" t="n">
        <v>0.0156744873360903</v>
      </c>
      <c r="F19" s="21" t="n">
        <v>0.1353097320819399</v>
      </c>
      <c r="G19" s="21" t="n">
        <v>0.09882377044687099</v>
      </c>
      <c r="H19" s="21" t="n">
        <v>0.03215946725337156</v>
      </c>
      <c r="I19" s="21" t="n">
        <v>0.0477543228806104</v>
      </c>
      <c r="J19" s="21" t="n">
        <v>0.1296705273752903</v>
      </c>
      <c r="K19" s="21" t="n">
        <v>0.04746830743277826</v>
      </c>
      <c r="L19" s="21" t="n">
        <v>0.03554929587739335</v>
      </c>
      <c r="M19" s="21" t="n">
        <v>0.01492657603261283</v>
      </c>
    </row>
    <row r="20">
      <c r="A20" s="10" t="n">
        <v>0.135</v>
      </c>
      <c r="B20" s="21" t="n">
        <v>0.07130047778348796</v>
      </c>
      <c r="C20" s="21" t="n">
        <v>0.0716965817234818</v>
      </c>
      <c r="D20" s="21" t="n">
        <v>0.09229200557077323</v>
      </c>
      <c r="E20" s="21" t="n">
        <v>0.01859497374864296</v>
      </c>
      <c r="F20" s="21" t="n">
        <v>0.1439076888967502</v>
      </c>
      <c r="G20" s="21" t="n">
        <v>0.108040421399231</v>
      </c>
      <c r="H20" s="21" t="n">
        <v>0.0357179775608225</v>
      </c>
      <c r="I20" s="21" t="n">
        <v>0.05379237476692644</v>
      </c>
      <c r="J20" s="21" t="n">
        <v>0.1407838455058324</v>
      </c>
      <c r="K20" s="21" t="n">
        <v>0.05338401522107018</v>
      </c>
      <c r="L20" s="21" t="n">
        <v>0.04012281010331239</v>
      </c>
      <c r="M20" s="21" t="n">
        <v>0.01749942309472762</v>
      </c>
    </row>
    <row r="21">
      <c r="A21" s="10" t="n">
        <v>0.145</v>
      </c>
      <c r="B21" s="21" t="n">
        <v>0.0777978069208808</v>
      </c>
      <c r="C21" s="21" t="n">
        <v>0.07829544262622475</v>
      </c>
      <c r="D21" s="21" t="n">
        <v>0.1022658048219171</v>
      </c>
      <c r="E21" s="21" t="n">
        <v>0.02151546016119562</v>
      </c>
      <c r="F21" s="21" t="n">
        <v>0.1520600070237168</v>
      </c>
      <c r="G21" s="21" t="n">
        <v>0.1174574343288163</v>
      </c>
      <c r="H21" s="21" t="n">
        <v>0.03938432151395377</v>
      </c>
      <c r="I21" s="21" t="n">
        <v>0.05983042665324248</v>
      </c>
      <c r="J21" s="21" t="n">
        <v>0.151743481993578</v>
      </c>
      <c r="K21" s="21" t="n">
        <v>0.05929972300936209</v>
      </c>
      <c r="L21" s="21" t="n">
        <v>0.04469632432923143</v>
      </c>
      <c r="M21" s="21" t="n">
        <v>0.02007227015684241</v>
      </c>
    </row>
    <row r="22">
      <c r="A22" s="10" t="n">
        <v>0.155</v>
      </c>
      <c r="B22" s="21" t="n">
        <v>0.08427820863419586</v>
      </c>
      <c r="C22" s="21" t="n">
        <v>0.08501284271405853</v>
      </c>
      <c r="D22" s="21" t="n">
        <v>0.1122396040730609</v>
      </c>
      <c r="E22" s="21" t="n">
        <v>0.024498084582526</v>
      </c>
      <c r="F22" s="21" t="n">
        <v>0.1602123251506834</v>
      </c>
      <c r="G22" s="21" t="n">
        <v>0.1266740852811764</v>
      </c>
      <c r="H22" s="21" t="n">
        <v>0.04305066546708504</v>
      </c>
      <c r="I22" s="21" t="n">
        <v>0.06586847853955852</v>
      </c>
      <c r="J22" s="21" t="n">
        <v>0.1627031184813236</v>
      </c>
      <c r="K22" s="21" t="n">
        <v>0.06521543079765402</v>
      </c>
      <c r="L22" s="21" t="n">
        <v>0.04926983855515047</v>
      </c>
      <c r="M22" s="21" t="n">
        <v>0.0226451172189572</v>
      </c>
    </row>
    <row r="23">
      <c r="A23" s="10" t="n">
        <v>0.165</v>
      </c>
      <c r="B23" s="21" t="n">
        <v>0.09064206577100735</v>
      </c>
      <c r="C23" s="21" t="n">
        <v>0.09174905832288205</v>
      </c>
      <c r="D23" s="21" t="n">
        <v>0.1194753745756067</v>
      </c>
      <c r="E23" s="21" t="n">
        <v>0.02741857099507866</v>
      </c>
      <c r="F23" s="21" t="n">
        <v>0.1684911388463634</v>
      </c>
      <c r="G23" s="21" t="n">
        <v>0.1360910982107617</v>
      </c>
      <c r="H23" s="21" t="n">
        <v>0.04698338187344937</v>
      </c>
      <c r="I23" s="21" t="n">
        <v>0.07190653042587455</v>
      </c>
      <c r="J23" s="21" t="n">
        <v>0.1736627549690692</v>
      </c>
      <c r="K23" s="21" t="n">
        <v>0.07134207303202625</v>
      </c>
      <c r="L23" s="21" t="n">
        <v>0.05413804914436737</v>
      </c>
      <c r="M23" s="21" t="n">
        <v>0.02549902036889002</v>
      </c>
    </row>
    <row r="24">
      <c r="A24" s="10" t="n">
        <v>0.175</v>
      </c>
      <c r="B24" s="21" t="n">
        <v>0.09729966304089255</v>
      </c>
      <c r="C24" s="21" t="n">
        <v>0.09851851808847618</v>
      </c>
      <c r="D24" s="21" t="n">
        <v>0.1268235886220011</v>
      </c>
      <c r="E24" s="21" t="n">
        <v>0.03040119541640904</v>
      </c>
      <c r="F24" s="21" t="n">
        <v>0.1764501760121781</v>
      </c>
      <c r="G24" s="21" t="n">
        <v>0.1461836246242903</v>
      </c>
      <c r="H24" s="21" t="n">
        <v>0.05125558332005946</v>
      </c>
      <c r="I24" s="21" t="n">
        <v>0.07827268967957615</v>
      </c>
      <c r="J24" s="21" t="n">
        <v>0.1845086528631482</v>
      </c>
      <c r="K24" s="21" t="n">
        <v>0.07869240771932272</v>
      </c>
      <c r="L24" s="21" t="n">
        <v>0.06018504518677572</v>
      </c>
      <c r="M24" s="21" t="n">
        <v>0.0284692225896441</v>
      </c>
    </row>
    <row r="25">
      <c r="A25" s="10" t="n">
        <v>0.185</v>
      </c>
      <c r="B25" s="21" t="n">
        <v>0.1041216929542651</v>
      </c>
      <c r="C25" s="21" t="n">
        <v>0.1052879778540703</v>
      </c>
      <c r="D25" s="21" t="n">
        <v>0.1342759875395466</v>
      </c>
      <c r="E25" s="21" t="n">
        <v>0.03429143764531192</v>
      </c>
      <c r="F25" s="21" t="n">
        <v>0.1844092131779929</v>
      </c>
      <c r="G25" s="21" t="n">
        <v>0.1567132361126572</v>
      </c>
      <c r="H25" s="21" t="n">
        <v>0.05552778476666955</v>
      </c>
      <c r="I25" s="21" t="n">
        <v>0.08553112570728212</v>
      </c>
      <c r="J25" s="21" t="n">
        <v>0.1950474565543275</v>
      </c>
      <c r="K25" s="21" t="n">
        <v>0.08583856644308317</v>
      </c>
      <c r="L25" s="21" t="n">
        <v>0.06608086632812385</v>
      </c>
      <c r="M25" s="21" t="n">
        <v>0.03143942481039818</v>
      </c>
    </row>
    <row r="26">
      <c r="A26" s="10" t="n">
        <v>0.195</v>
      </c>
      <c r="B26" s="21" t="n">
        <v>0.1110252716455312</v>
      </c>
      <c r="C26" s="21" t="n">
        <v>0.1121106288836893</v>
      </c>
      <c r="D26" s="21" t="n">
        <v>0.1418764020803653</v>
      </c>
      <c r="E26" s="21" t="n">
        <v>0.03835658018721928</v>
      </c>
      <c r="F26" s="21" t="n">
        <v>0.1925598438861779</v>
      </c>
      <c r="G26" s="21" t="n">
        <v>0.1670188133140376</v>
      </c>
      <c r="H26" s="21" t="n">
        <v>0.05986399220577358</v>
      </c>
      <c r="I26" s="21" t="n">
        <v>0.09278956173498809</v>
      </c>
      <c r="J26" s="21" t="n">
        <v>0.2055862602455068</v>
      </c>
      <c r="K26" s="21" t="n">
        <v>0.09298472516684363</v>
      </c>
      <c r="L26" s="21" t="n">
        <v>0.07212786237053219</v>
      </c>
      <c r="M26" s="21" t="n">
        <v>0.03472763186021291</v>
      </c>
    </row>
    <row r="27">
      <c r="A27" s="10" t="n">
        <v>0.205</v>
      </c>
      <c r="B27" s="21" t="n">
        <v>0.1179516076490507</v>
      </c>
      <c r="C27" s="21" t="n">
        <v>0.119178160001365</v>
      </c>
      <c r="D27" s="21" t="n">
        <v>0.1496621925855942</v>
      </c>
      <c r="E27" s="21" t="n">
        <v>0.04233703225950357</v>
      </c>
      <c r="F27" s="21" t="n">
        <v>0.2002235855809928</v>
      </c>
      <c r="G27" s="21" t="n">
        <v>0.1775484248024045</v>
      </c>
      <c r="H27" s="21" t="n">
        <v>0.06417301741883676</v>
      </c>
      <c r="I27" s="21" t="n">
        <v>0.1000479977626941</v>
      </c>
      <c r="J27" s="21" t="n">
        <v>0.216125063936686</v>
      </c>
      <c r="K27" s="21" t="n">
        <v>0.1001308838906041</v>
      </c>
      <c r="L27" s="21" t="n">
        <v>0.07817485841294053</v>
      </c>
      <c r="M27" s="21" t="n">
        <v>0.03834974398054132</v>
      </c>
    </row>
    <row r="28">
      <c r="A28" s="10" t="n">
        <v>0.215</v>
      </c>
      <c r="B28" s="21" t="n">
        <v>0.1248863547305926</v>
      </c>
      <c r="C28" s="21" t="n">
        <v>0.1263742286687309</v>
      </c>
      <c r="D28" s="21" t="n">
        <v>0.1574289308162845</v>
      </c>
      <c r="E28" s="21" t="n">
        <v>0.04631748433178786</v>
      </c>
      <c r="F28" s="21" t="n">
        <v>0.2078873272758077</v>
      </c>
      <c r="G28" s="21" t="n">
        <v>0.1878540020037849</v>
      </c>
      <c r="H28" s="21" t="n">
        <v>0.0686126191535079</v>
      </c>
      <c r="I28" s="21" t="n">
        <v>0.1075026077370948</v>
      </c>
      <c r="J28" s="21" t="n">
        <v>0.2266638676278653</v>
      </c>
      <c r="K28" s="21" t="n">
        <v>0.1072770426143645</v>
      </c>
      <c r="L28" s="21" t="n">
        <v>0.08422185445534887</v>
      </c>
      <c r="M28" s="21" t="n">
        <v>0.04197185610086973</v>
      </c>
    </row>
    <row r="29">
      <c r="A29" s="10" t="n">
        <v>0.225</v>
      </c>
      <c r="B29" s="21" t="n">
        <v>0.1321419058071403</v>
      </c>
      <c r="C29" s="21" t="n">
        <v>0.1338729957265137</v>
      </c>
      <c r="D29" s="21" t="n">
        <v>0.1649993013857153</v>
      </c>
      <c r="E29" s="21" t="n">
        <v>0.05038262687369522</v>
      </c>
      <c r="F29" s="21" t="n">
        <v>0.215742662512993</v>
      </c>
      <c r="G29" s="21" t="n">
        <v>0.1983836134921518</v>
      </c>
      <c r="H29" s="21" t="n">
        <v>0.07305305784657007</v>
      </c>
      <c r="I29" s="21" t="n">
        <v>0.1147610437648008</v>
      </c>
      <c r="J29" s="21" t="n">
        <v>0.2385517664014381</v>
      </c>
      <c r="K29" s="21" t="n">
        <v>0.1151978682888704</v>
      </c>
      <c r="L29" s="21" t="n">
        <v>0.0910113826781539</v>
      </c>
      <c r="M29" s="21" t="n">
        <v>0.04582414806978053</v>
      </c>
    </row>
    <row r="30">
      <c r="A30" s="10" t="n">
        <v>0.235</v>
      </c>
      <c r="B30" s="21" t="n">
        <v>0.139642612229859</v>
      </c>
      <c r="C30" s="21" t="n">
        <v>0.1415634659992561</v>
      </c>
      <c r="D30" s="21" t="n">
        <v>0.1727543151397663</v>
      </c>
      <c r="E30" s="21" t="n">
        <v>0.05436307894597951</v>
      </c>
      <c r="F30" s="21" t="n">
        <v>0.2232159124206775</v>
      </c>
      <c r="G30" s="21" t="n">
        <v>0.2099161798402429</v>
      </c>
      <c r="H30" s="21" t="n">
        <v>0.07752111616653556</v>
      </c>
      <c r="I30" s="21" t="n">
        <v>0.1220664015430078</v>
      </c>
      <c r="J30" s="21" t="n">
        <v>0.2503608189428555</v>
      </c>
      <c r="K30" s="21" t="n">
        <v>0.1232948453246466</v>
      </c>
      <c r="L30" s="21" t="n">
        <v>0.09847272573084163</v>
      </c>
      <c r="M30" s="21" t="n">
        <v>0.05079445644609148</v>
      </c>
    </row>
    <row r="31">
      <c r="A31" s="10" t="n">
        <v>0.245</v>
      </c>
      <c r="B31" s="21" t="n">
        <v>0.147531583408234</v>
      </c>
      <c r="C31" s="21" t="n">
        <v>0.149357459408069</v>
      </c>
      <c r="D31" s="21" t="n">
        <v>0.1810166473757449</v>
      </c>
      <c r="E31" s="21" t="n">
        <v>0.0598614457993035</v>
      </c>
      <c r="F31" s="21" t="n">
        <v>0.2305865898275994</v>
      </c>
      <c r="G31" s="21" t="n">
        <v>0.2217869190005959</v>
      </c>
      <c r="H31" s="21" t="n">
        <v>0.08185776100650208</v>
      </c>
      <c r="I31" s="21" t="n">
        <v>0.1310609423392545</v>
      </c>
      <c r="J31" s="21" t="n">
        <v>0.2621698714842729</v>
      </c>
      <c r="K31" s="21" t="n">
        <v>0.1313918223604227</v>
      </c>
      <c r="L31" s="21" t="n">
        <v>0.1059340687835294</v>
      </c>
      <c r="M31" s="21" t="n">
        <v>0.05576476482240243</v>
      </c>
    </row>
    <row r="32">
      <c r="A32" s="10" t="n">
        <v>0.255</v>
      </c>
      <c r="B32" s="21" t="n">
        <v>0.1553926682024005</v>
      </c>
      <c r="C32" s="21" t="n">
        <v>0.1577044005957339</v>
      </c>
      <c r="D32" s="21" t="n">
        <v>0.1891491816683926</v>
      </c>
      <c r="E32" s="21" t="n">
        <v>0.06537284202241921</v>
      </c>
      <c r="F32" s="21" t="n">
        <v>0.2381415341696944</v>
      </c>
      <c r="G32" s="21" t="n">
        <v>0.2334050892426435</v>
      </c>
      <c r="H32" s="21" t="n">
        <v>0.08632581932646757</v>
      </c>
      <c r="I32" s="21" t="n">
        <v>0.1400554831355011</v>
      </c>
      <c r="J32" s="21" t="n">
        <v>0.2739789240256903</v>
      </c>
      <c r="K32" s="21" t="n">
        <v>0.1394887993961989</v>
      </c>
      <c r="L32" s="21" t="n">
        <v>0.1132088782598999</v>
      </c>
      <c r="M32" s="21" t="n">
        <v>0.06073507319871337</v>
      </c>
    </row>
    <row r="33">
      <c r="A33" s="10" t="n">
        <v>0.265</v>
      </c>
      <c r="B33" s="21" t="n">
        <v>0.1634877435931028</v>
      </c>
      <c r="C33" s="21" t="n">
        <v>0.1661014444748964</v>
      </c>
      <c r="D33" s="21" t="n">
        <v>0.1975065706138678</v>
      </c>
      <c r="E33" s="21" t="n">
        <v>0.0710015019949629</v>
      </c>
      <c r="F33" s="21" t="n">
        <v>0.245633665944935</v>
      </c>
      <c r="G33" s="21" t="n">
        <v>0.2452758284029965</v>
      </c>
      <c r="H33" s="21" t="n">
        <v>0.09112154630588298</v>
      </c>
      <c r="I33" s="21" t="n">
        <v>0.1492931196289436</v>
      </c>
      <c r="J33" s="21" t="n">
        <v>0.2861056328208862</v>
      </c>
      <c r="K33" s="21" t="n">
        <v>0.1475857764319751</v>
      </c>
      <c r="L33" s="21" t="n">
        <v>0.1206702213125877</v>
      </c>
      <c r="M33" s="21" t="n">
        <v>0.06639994600683254</v>
      </c>
    </row>
    <row r="34">
      <c r="A34" s="10" t="n">
        <v>0.275</v>
      </c>
      <c r="B34" s="21" t="n">
        <v>0.1716978262483653</v>
      </c>
      <c r="C34" s="21" t="n">
        <v>0.1748438086156886</v>
      </c>
      <c r="D34" s="21" t="n">
        <v>0.2059964603487674</v>
      </c>
      <c r="E34" s="21" t="n">
        <v>0.07651289821807859</v>
      </c>
      <c r="F34" s="21" t="n">
        <v>0.2532067672990548</v>
      </c>
      <c r="G34" s="21" t="n">
        <v>0.2568939986450441</v>
      </c>
      <c r="H34" s="21" t="n">
        <v>0.09607398438329617</v>
      </c>
      <c r="I34" s="21" t="n">
        <v>0.1582876604251903</v>
      </c>
      <c r="J34" s="21" t="n">
        <v>0.2992206055167265</v>
      </c>
      <c r="K34" s="21" t="n">
        <v>0.1559140956687734</v>
      </c>
      <c r="L34" s="21" t="n">
        <v>0.1281637344279798</v>
      </c>
      <c r="M34" s="21" t="n">
        <v>0.07218388700326168</v>
      </c>
    </row>
    <row r="35">
      <c r="A35" s="10" t="n">
        <v>0.285</v>
      </c>
      <c r="B35" s="21" t="n">
        <v>0.1801453645426525</v>
      </c>
      <c r="C35" s="21" t="n">
        <v>0.1845865660698692</v>
      </c>
      <c r="D35" s="21" t="n">
        <v>0.2142842098518836</v>
      </c>
      <c r="E35" s="21" t="n">
        <v>0.08202429444119429</v>
      </c>
      <c r="F35" s="21" t="n">
        <v>0.2609691961870275</v>
      </c>
      <c r="G35" s="21" t="n">
        <v>0.2689765052843924</v>
      </c>
      <c r="H35" s="21" t="n">
        <v>0.100880762517256</v>
      </c>
      <c r="I35" s="21" t="n">
        <v>0.1672822012214369</v>
      </c>
      <c r="J35" s="21" t="n">
        <v>0.3123355782125667</v>
      </c>
      <c r="K35" s="21" t="n">
        <v>0.1652750929831286</v>
      </c>
      <c r="L35" s="21" t="n">
        <v>0.1369118799888419</v>
      </c>
      <c r="M35" s="21" t="n">
        <v>0.07796782799969083</v>
      </c>
    </row>
    <row r="36">
      <c r="A36" s="10" t="n">
        <v>0.295</v>
      </c>
      <c r="B36" s="21" t="n">
        <v>0.1889842279299783</v>
      </c>
      <c r="C36" s="21" t="n">
        <v>0.1947196073775931</v>
      </c>
      <c r="D36" s="21" t="n">
        <v>0.2231630524286055</v>
      </c>
      <c r="E36" s="21" t="n">
        <v>0.08765295441373798</v>
      </c>
      <c r="F36" s="21" t="n">
        <v>0.2684372147222766</v>
      </c>
      <c r="G36" s="21" t="n">
        <v>0.2830300015348857</v>
      </c>
      <c r="H36" s="21" t="n">
        <v>0.1066967281898731</v>
      </c>
      <c r="I36" s="21" t="n">
        <v>0.1762767420176836</v>
      </c>
      <c r="J36" s="21" t="n">
        <v>0.325450550908407</v>
      </c>
      <c r="K36" s="21" t="n">
        <v>0.1749520953671286</v>
      </c>
      <c r="L36" s="21" t="n">
        <v>0.1456600255497039</v>
      </c>
      <c r="M36" s="21" t="n">
        <v>0.08444480887426684</v>
      </c>
    </row>
    <row r="37">
      <c r="A37" s="10" t="n">
        <v>0.305</v>
      </c>
      <c r="B37" s="21" t="n">
        <v>0.1982155291022075</v>
      </c>
      <c r="C37" s="21" t="n">
        <v>0.205117234676625</v>
      </c>
      <c r="D37" s="21" t="n">
        <v>0.2322812506002949</v>
      </c>
      <c r="E37" s="21" t="n">
        <v>0.09413495547968288</v>
      </c>
      <c r="F37" s="21" t="n">
        <v>0.275589984800914</v>
      </c>
      <c r="G37" s="21" t="n">
        <v>0.2973890085734333</v>
      </c>
      <c r="H37" s="21" t="n">
        <v>0.1137463047127815</v>
      </c>
      <c r="I37" s="21" t="n">
        <v>0.1864620275226835</v>
      </c>
      <c r="J37" s="21" t="n">
        <v>0.3385655236042473</v>
      </c>
      <c r="K37" s="21" t="n">
        <v>0.1846290977511285</v>
      </c>
      <c r="L37" s="21" t="n">
        <v>0.154408171110566</v>
      </c>
      <c r="M37" s="21" t="n">
        <v>0.09132162044777371</v>
      </c>
    </row>
    <row r="38">
      <c r="A38" s="10" t="n">
        <v>0.315</v>
      </c>
      <c r="B38" s="21" t="n">
        <v>0.2077221376786949</v>
      </c>
      <c r="C38" s="21" t="n">
        <v>0.2155964660119721</v>
      </c>
      <c r="D38" s="21" t="n">
        <v>0.2411823488155155</v>
      </c>
      <c r="E38" s="21" t="n">
        <v>0.1010577552426655</v>
      </c>
      <c r="F38" s="21" t="n">
        <v>0.2829215741315173</v>
      </c>
      <c r="G38" s="21" t="n">
        <v>0.3114425048239267</v>
      </c>
      <c r="H38" s="21" t="n">
        <v>0.1207958812356898</v>
      </c>
      <c r="I38" s="21" t="n">
        <v>0.1970304963376739</v>
      </c>
      <c r="J38" s="21" t="n">
        <v>0.3538010064120831</v>
      </c>
      <c r="K38" s="21" t="n">
        <v>0.1943061001351285</v>
      </c>
      <c r="L38" s="21" t="n">
        <v>0.1631563166714281</v>
      </c>
      <c r="M38" s="21" t="n">
        <v>0.09819843202128059</v>
      </c>
    </row>
    <row r="39">
      <c r="A39" s="10" t="n">
        <v>0.325</v>
      </c>
      <c r="B39" s="21" t="n">
        <v>0.2173449380075226</v>
      </c>
      <c r="C39" s="21" t="n">
        <v>0.2260756973473193</v>
      </c>
      <c r="D39" s="21" t="n">
        <v>0.2502780737138386</v>
      </c>
      <c r="E39" s="21" t="n">
        <v>0.107836330010586</v>
      </c>
      <c r="F39" s="21" t="n">
        <v>0.2900743442101547</v>
      </c>
      <c r="G39" s="21" t="n">
        <v>0.3258015118624742</v>
      </c>
      <c r="H39" s="21" t="n">
        <v>0.1278628510328773</v>
      </c>
      <c r="I39" s="21" t="n">
        <v>0.2073208475522697</v>
      </c>
      <c r="J39" s="21" t="n">
        <v>0.3695297351658431</v>
      </c>
      <c r="K39" s="21" t="n">
        <v>0.2042595883015284</v>
      </c>
      <c r="L39" s="21" t="n">
        <v>0.1719044622322902</v>
      </c>
      <c r="M39" s="21" t="n">
        <v>0.1054691219983378</v>
      </c>
    </row>
    <row r="40">
      <c r="A40" s="10" t="n">
        <v>0.335</v>
      </c>
      <c r="B40" s="21" t="n">
        <v>0.2277720497901418</v>
      </c>
      <c r="C40" s="21" t="n">
        <v>0.2369970473195843</v>
      </c>
      <c r="D40" s="21" t="n">
        <v>0.2593714330044389</v>
      </c>
      <c r="E40" s="21" t="n">
        <v>0.1146149047785065</v>
      </c>
      <c r="F40" s="21" t="n">
        <v>0.297119126588854</v>
      </c>
      <c r="G40" s="21" t="n">
        <v>0.3398550081129675</v>
      </c>
      <c r="H40" s="21" t="n">
        <v>0.1425533754041831</v>
      </c>
      <c r="I40" s="21" t="n">
        <v>0.2176111987668655</v>
      </c>
      <c r="J40" s="21" t="n">
        <v>0.3852584639196031</v>
      </c>
      <c r="K40" s="21" t="n">
        <v>0.2141949003585362</v>
      </c>
      <c r="L40" s="21" t="n">
        <v>0.1810992345841581</v>
      </c>
      <c r="M40" s="21" t="n">
        <v>0.1133901400096815</v>
      </c>
    </row>
    <row r="41">
      <c r="A41" s="10" t="n">
        <v>0.345</v>
      </c>
      <c r="B41" s="21" t="n">
        <v>0.2385648419282915</v>
      </c>
      <c r="C41" s="21" t="n">
        <v>0.2483624364430214</v>
      </c>
      <c r="D41" s="21" t="n">
        <v>0.2683379616553984</v>
      </c>
      <c r="E41" s="21" t="n">
        <v>0.1215377045414891</v>
      </c>
      <c r="F41" s="21" t="n">
        <v>0.3043371903887531</v>
      </c>
      <c r="G41" s="21" t="n">
        <v>0.3548186460727561</v>
      </c>
      <c r="H41" s="21" t="n">
        <v>0.1572438997754889</v>
      </c>
      <c r="I41" s="21" t="n">
        <v>0.2279015499814614</v>
      </c>
      <c r="J41" s="21" t="n">
        <v>0.4009871926733631</v>
      </c>
      <c r="K41" s="21" t="n">
        <v>0.225378709168415</v>
      </c>
      <c r="L41" s="21" t="n">
        <v>0.1917483242308126</v>
      </c>
      <c r="M41" s="21" t="n">
        <v>0.1215091834713088</v>
      </c>
    </row>
    <row r="42">
      <c r="A42" s="10" t="n">
        <v>0.355</v>
      </c>
      <c r="B42" s="21" t="n">
        <v>0.2493599130438395</v>
      </c>
      <c r="C42" s="21" t="n">
        <v>0.2599744768464686</v>
      </c>
      <c r="D42" s="21" t="n">
        <v>0.2777737275301516</v>
      </c>
      <c r="E42" s="21" t="n">
        <v>0.1283162793094096</v>
      </c>
      <c r="F42" s="21" t="n">
        <v>0.3113792038520694</v>
      </c>
      <c r="G42" s="21" t="n">
        <v>0.370335985606254</v>
      </c>
      <c r="H42" s="21" t="n">
        <v>0.1715023499005799</v>
      </c>
      <c r="I42" s="21" t="n">
        <v>0.2382108422723063</v>
      </c>
      <c r="J42" s="21" t="n">
        <v>0.4166361497668437</v>
      </c>
      <c r="K42" s="21" t="n">
        <v>0.2365625179782938</v>
      </c>
      <c r="L42" s="21" t="n">
        <v>0.202397413877467</v>
      </c>
      <c r="M42" s="21" t="n">
        <v>0.1296656119508864</v>
      </c>
    </row>
    <row r="43">
      <c r="A43" s="10" t="n">
        <v>0.365</v>
      </c>
      <c r="B43" s="21" t="n">
        <v>0.2605783569595169</v>
      </c>
      <c r="C43" s="21" t="n">
        <v>0.2719029254971757</v>
      </c>
      <c r="D43" s="21" t="n">
        <v>0.2872094934049048</v>
      </c>
      <c r="E43" s="21" t="n">
        <v>0.1366068924679092</v>
      </c>
      <c r="F43" s="21" t="n">
        <v>0.3188220755459573</v>
      </c>
      <c r="G43" s="21" t="n">
        <v>0.3861906586078714</v>
      </c>
      <c r="H43" s="21" t="n">
        <v>0.1864796370156435</v>
      </c>
      <c r="I43" s="21" t="n">
        <v>0.2494990719847599</v>
      </c>
      <c r="J43" s="21" t="n">
        <v>0.431995934591811</v>
      </c>
      <c r="K43" s="21" t="n">
        <v>0.2477463267881727</v>
      </c>
      <c r="L43" s="21" t="n">
        <v>0.2130465035241215</v>
      </c>
      <c r="M43" s="21" t="n">
        <v>0.1382955839911686</v>
      </c>
    </row>
    <row r="44">
      <c r="A44" s="10" t="n">
        <v>0.375</v>
      </c>
      <c r="B44" s="21" t="n">
        <v>0.2718777324817329</v>
      </c>
      <c r="C44" s="21" t="n">
        <v>0.2839396231547079</v>
      </c>
      <c r="D44" s="21" t="n">
        <v>0.2970044301384558</v>
      </c>
      <c r="E44" s="21" t="n">
        <v>0.145077236435548</v>
      </c>
      <c r="F44" s="21" t="n">
        <v>0.326724938823083</v>
      </c>
      <c r="G44" s="21" t="n">
        <v>0.4017079981413694</v>
      </c>
      <c r="H44" s="21" t="n">
        <v>0.2015312700272369</v>
      </c>
      <c r="I44" s="21" t="n">
        <v>0.26049024302057</v>
      </c>
      <c r="J44" s="21" t="n">
        <v>0.4473557194167784</v>
      </c>
      <c r="K44" s="21" t="n">
        <v>0.2592496729926194</v>
      </c>
      <c r="L44" s="21" t="n">
        <v>0.223695593170776</v>
      </c>
      <c r="M44" s="21" t="n">
        <v>0.1469255560314507</v>
      </c>
    </row>
    <row r="45">
      <c r="A45" s="10" t="n">
        <v>0.385</v>
      </c>
      <c r="B45" s="21" t="n">
        <v>0.2832473879286362</v>
      </c>
      <c r="C45" s="21" t="n">
        <v>0.2961054491245899</v>
      </c>
      <c r="D45" s="21" t="n">
        <v>0.3075063239238293</v>
      </c>
      <c r="E45" s="21" t="n">
        <v>0.1537278004876047</v>
      </c>
      <c r="F45" s="21" t="n">
        <v>0.3344350493373521</v>
      </c>
      <c r="G45" s="21" t="n">
        <v>0.4175626711429868</v>
      </c>
      <c r="H45" s="21" t="n">
        <v>0.2165829030388304</v>
      </c>
      <c r="I45" s="21" t="n">
        <v>0.2714814140563801</v>
      </c>
      <c r="J45" s="21" t="n">
        <v>0.4627155042417457</v>
      </c>
      <c r="K45" s="21" t="n">
        <v>0.2704334818024982</v>
      </c>
      <c r="L45" s="21" t="n">
        <v>0.2343446828174305</v>
      </c>
      <c r="M45" s="21" t="n">
        <v>0.1555555280717329</v>
      </c>
    </row>
    <row r="46">
      <c r="A46" s="10" t="n">
        <v>0.395</v>
      </c>
      <c r="B46" s="21" t="n">
        <v>0.2949532382127512</v>
      </c>
      <c r="C46" s="21" t="n">
        <v>0.309240526245148</v>
      </c>
      <c r="D46" s="21" t="n">
        <v>0.3180082177092027</v>
      </c>
      <c r="E46" s="21" t="n">
        <v>0.1621981444552435</v>
      </c>
      <c r="F46" s="21" t="n">
        <v>0.3424933744223447</v>
      </c>
      <c r="G46" s="21" t="n">
        <v>0.4330800106764847</v>
      </c>
      <c r="H46" s="21" t="n">
        <v>0.2324305841393976</v>
      </c>
      <c r="I46" s="21" t="n">
        <v>0.2824725850921902</v>
      </c>
      <c r="J46" s="21" t="n">
        <v>0.4780752890667131</v>
      </c>
      <c r="K46" s="21" t="n">
        <v>0.2824665149133702</v>
      </c>
      <c r="L46" s="21" t="n">
        <v>0.2472235864706405</v>
      </c>
      <c r="M46" s="21" t="n">
        <v>0.1646885964451483</v>
      </c>
    </row>
    <row r="47">
      <c r="A47" s="10" t="n">
        <v>0.405</v>
      </c>
      <c r="B47" s="21" t="n">
        <v>0.3070822200053989</v>
      </c>
      <c r="C47" s="21" t="n">
        <v>0.3227385896120277</v>
      </c>
      <c r="D47" s="21" t="n">
        <v>0.3288074040569677</v>
      </c>
      <c r="E47" s="21" t="n">
        <v>0.1706684884228823</v>
      </c>
      <c r="F47" s="21" t="n">
        <v>0.3514160089423039</v>
      </c>
      <c r="G47" s="21" t="n">
        <v>0.4474926544752883</v>
      </c>
      <c r="H47" s="21" t="n">
        <v>0.2504905934393268</v>
      </c>
      <c r="I47" s="21" t="n">
        <v>0.2934637561280003</v>
      </c>
      <c r="J47" s="21" t="n">
        <v>0.4935762953977372</v>
      </c>
      <c r="K47" s="21" t="n">
        <v>0.2959366968413074</v>
      </c>
      <c r="L47" s="21" t="n">
        <v>0.2600220807165639</v>
      </c>
      <c r="M47" s="21" t="n">
        <v>0.1739839539582842</v>
      </c>
    </row>
    <row r="48">
      <c r="A48" s="10" t="n">
        <v>0.415</v>
      </c>
      <c r="B48" s="21" t="n">
        <v>0.3191068767057799</v>
      </c>
      <c r="C48" s="21" t="n">
        <v>0.3356294464377013</v>
      </c>
      <c r="D48" s="21" t="n">
        <v>0.3398987383912083</v>
      </c>
      <c r="E48" s="21" t="n">
        <v>0.179319052474939</v>
      </c>
      <c r="F48" s="21" t="n">
        <v>0.3601210182300689</v>
      </c>
      <c r="G48" s="21" t="n">
        <v>0.4604587115730386</v>
      </c>
      <c r="H48" s="21" t="n">
        <v>0.2685506027392561</v>
      </c>
      <c r="I48" s="21" t="n">
        <v>0.3047519858404539</v>
      </c>
      <c r="J48" s="21" t="n">
        <v>0.5085138056768352</v>
      </c>
      <c r="K48" s="21" t="n">
        <v>0.3094068787692447</v>
      </c>
      <c r="L48" s="21" t="n">
        <v>0.2731487414816135</v>
      </c>
      <c r="M48" s="21" t="n">
        <v>0.1832793114714201</v>
      </c>
    </row>
    <row r="49">
      <c r="A49" s="10" t="n">
        <v>0.425</v>
      </c>
      <c r="B49" s="21" t="n">
        <v>0.3316540701691671</v>
      </c>
      <c r="C49" s="21" t="n">
        <v>0.3476174367433889</v>
      </c>
      <c r="D49" s="21" t="n">
        <v>0.3511882921760055</v>
      </c>
      <c r="E49" s="21" t="n">
        <v>0.1890028427374878</v>
      </c>
      <c r="F49" s="21" t="n">
        <v>0.3688260275178339</v>
      </c>
      <c r="G49" s="21" t="n">
        <v>0.4737066394772617</v>
      </c>
      <c r="H49" s="21" t="n">
        <v>0.2867576663410665</v>
      </c>
      <c r="I49" s="21" t="n">
        <v>0.3185114582865448</v>
      </c>
      <c r="J49" s="21" t="n">
        <v>0.5234513159559332</v>
      </c>
      <c r="K49" s="21" t="n">
        <v>0.3232619230379801</v>
      </c>
      <c r="L49" s="21" t="n">
        <v>0.2862754022466631</v>
      </c>
      <c r="M49" s="21" t="n">
        <v>0.1931115045434499</v>
      </c>
    </row>
    <row r="50">
      <c r="A50" s="10" t="n">
        <v>0.435</v>
      </c>
      <c r="B50" s="21" t="n">
        <v>0.3444768243360097</v>
      </c>
      <c r="C50" s="21" t="n">
        <v>0.3597829379101894</v>
      </c>
      <c r="D50" s="21" t="n">
        <v>0.3629185468405379</v>
      </c>
      <c r="E50" s="21" t="n">
        <v>0.1995949208614003</v>
      </c>
      <c r="F50" s="21" t="n">
        <v>0.3776794680611288</v>
      </c>
      <c r="G50" s="21" t="n">
        <v>0.486672696575012</v>
      </c>
      <c r="H50" s="21" t="n">
        <v>0.3059040962175727</v>
      </c>
      <c r="I50" s="21" t="n">
        <v>0.3324291193846518</v>
      </c>
      <c r="J50" s="21" t="n">
        <v>0.5383888262350311</v>
      </c>
      <c r="K50" s="21" t="n">
        <v>0.3367321049659174</v>
      </c>
      <c r="L50" s="21" t="n">
        <v>0.2994020630117127</v>
      </c>
      <c r="M50" s="21" t="n">
        <v>0.2036296541629554</v>
      </c>
    </row>
    <row r="51">
      <c r="A51" s="10" t="n">
        <v>0.445</v>
      </c>
      <c r="B51" s="21" t="n">
        <v>0.3574019768785254</v>
      </c>
      <c r="C51" s="21" t="n">
        <v>0.371936624208319</v>
      </c>
      <c r="D51" s="21" t="n">
        <v>0.3749349052773759</v>
      </c>
      <c r="E51" s="21" t="n">
        <v>0.2099663306910647</v>
      </c>
      <c r="F51" s="21" t="n">
        <v>0.3863152833722295</v>
      </c>
      <c r="G51" s="21" t="n">
        <v>0.4999206244792351</v>
      </c>
      <c r="H51" s="21" t="n">
        <v>0.3256307209388215</v>
      </c>
      <c r="I51" s="21" t="n">
        <v>0.3463467804827587</v>
      </c>
      <c r="J51" s="21" t="n">
        <v>0.5527163580589972</v>
      </c>
      <c r="K51" s="21" t="n">
        <v>0.3502022868938546</v>
      </c>
      <c r="L51" s="21" t="n">
        <v>0.3135157835730954</v>
      </c>
      <c r="M51" s="21" t="n">
        <v>0.2141478037824609</v>
      </c>
    </row>
    <row r="52">
      <c r="A52" s="10" t="n">
        <v>0.455</v>
      </c>
      <c r="B52" s="21" t="n">
        <v>0.370559441570193</v>
      </c>
      <c r="C52" s="21" t="n">
        <v>0.3837807808859428</v>
      </c>
      <c r="D52" s="21" t="n">
        <v>0.3873122477080777</v>
      </c>
      <c r="E52" s="21" t="n">
        <v>0.2205584088149773</v>
      </c>
      <c r="F52" s="21" t="n">
        <v>0.3949510986833302</v>
      </c>
      <c r="G52" s="21" t="n">
        <v>0.5128866815769855</v>
      </c>
      <c r="H52" s="21" t="n">
        <v>0.3456347070970007</v>
      </c>
      <c r="I52" s="21" t="n">
        <v>0.3602644415808656</v>
      </c>
      <c r="J52" s="21" t="n">
        <v>0.5644296965038264</v>
      </c>
      <c r="K52" s="21" t="n">
        <v>0.3639957642647176</v>
      </c>
      <c r="L52" s="21" t="n">
        <v>0.3310293767662921</v>
      </c>
      <c r="M52" s="21" t="n">
        <v>0.2252895287553491</v>
      </c>
    </row>
    <row r="53">
      <c r="A53" s="10" t="n">
        <v>0.465</v>
      </c>
      <c r="B53" s="21" t="n">
        <v>0.3844280801410909</v>
      </c>
      <c r="C53" s="21" t="n">
        <v>0.395531813851931</v>
      </c>
      <c r="D53" s="21" t="n">
        <v>0.399747280646344</v>
      </c>
      <c r="E53" s="21" t="n">
        <v>0.2309298186446417</v>
      </c>
      <c r="F53" s="21" t="n">
        <v>0.4045324590066953</v>
      </c>
      <c r="G53" s="21" t="n">
        <v>0.5257999855105498</v>
      </c>
      <c r="H53" s="21" t="n">
        <v>0.3700764762460667</v>
      </c>
      <c r="I53" s="21" t="n">
        <v>0.3745582556816241</v>
      </c>
      <c r="J53" s="21" t="n">
        <v>0.5761430349486555</v>
      </c>
      <c r="K53" s="21" t="n">
        <v>0.378031713217775</v>
      </c>
      <c r="L53" s="21" t="n">
        <v>0.3485429699594889</v>
      </c>
      <c r="M53" s="21" t="n">
        <v>0.2372280444575597</v>
      </c>
    </row>
    <row r="54">
      <c r="A54" s="10" t="n">
        <v>0.475</v>
      </c>
      <c r="B54" s="21" t="n">
        <v>0.3982059805516463</v>
      </c>
      <c r="C54" s="21" t="n">
        <v>0.4071832440300173</v>
      </c>
      <c r="D54" s="21" t="n">
        <v>0.4124856070709094</v>
      </c>
      <c r="E54" s="21" t="n">
        <v>0.241301228474306</v>
      </c>
      <c r="F54" s="21" t="n">
        <v>0.4143357137249751</v>
      </c>
      <c r="G54" s="21" t="n">
        <v>0.5383906108363417</v>
      </c>
      <c r="H54" s="21" t="n">
        <v>0.3937993698319249</v>
      </c>
      <c r="I54" s="21" t="n">
        <v>0.3884244800280365</v>
      </c>
      <c r="J54" s="21" t="n">
        <v>0.5878563733934846</v>
      </c>
      <c r="K54" s="21" t="n">
        <v>0.3924686892837769</v>
      </c>
      <c r="L54" s="21" t="n">
        <v>0.3656187233228557</v>
      </c>
      <c r="M54" s="21" t="n">
        <v>0.2491665601597703</v>
      </c>
    </row>
    <row r="55">
      <c r="A55" s="10" t="n">
        <v>0.485</v>
      </c>
      <c r="B55" s="21" t="n">
        <v>0.4129039931130252</v>
      </c>
      <c r="C55" s="21" t="n">
        <v>0.4188299472534288</v>
      </c>
      <c r="D55" s="21" t="n">
        <v>0.4261565949015149</v>
      </c>
      <c r="E55" s="21" t="n">
        <v>0.2588968281565968</v>
      </c>
      <c r="F55" s="21" t="n">
        <v>0.4241389684432549</v>
      </c>
      <c r="G55" s="21" t="n">
        <v>0.5512549454083463</v>
      </c>
      <c r="H55" s="21" t="n">
        <v>0.4182411389809909</v>
      </c>
      <c r="I55" s="21" t="n">
        <v>0.4013905612197949</v>
      </c>
      <c r="J55" s="21" t="n">
        <v>0.5995697118383138</v>
      </c>
      <c r="K55" s="21" t="n">
        <v>0.4065046382368342</v>
      </c>
      <c r="L55" s="21" t="n">
        <v>0.3831323165160525</v>
      </c>
      <c r="M55" s="21" t="n">
        <v>0.2617191915128332</v>
      </c>
    </row>
    <row r="56">
      <c r="A56" s="10" t="n">
        <v>0.495</v>
      </c>
      <c r="B56" s="21" t="n">
        <v>0.4280846911603561</v>
      </c>
      <c r="C56" s="21" t="n">
        <v>0.4304799253850543</v>
      </c>
      <c r="D56" s="21" t="n">
        <v>0.4402821186085881</v>
      </c>
      <c r="E56" s="21" t="n">
        <v>0.2788402049374155</v>
      </c>
      <c r="F56" s="21" t="n">
        <v>0.4334735910503696</v>
      </c>
      <c r="G56" s="21" t="n">
        <v>0.5624770245030737</v>
      </c>
      <c r="H56" s="21" t="n">
        <v>0.4385172964872722</v>
      </c>
      <c r="I56" s="21" t="n">
        <v>0.4175105540527918</v>
      </c>
      <c r="J56" s="21" t="n">
        <v>0.6115074132248772</v>
      </c>
      <c r="K56" s="21" t="n">
        <v>0.4249518854322811</v>
      </c>
      <c r="L56" s="21" t="n">
        <v>0.3984567105600996</v>
      </c>
      <c r="M56" s="21" t="n">
        <v>0.2766234233521308</v>
      </c>
    </row>
    <row r="57">
      <c r="A57" s="10" t="n">
        <v>0.505</v>
      </c>
      <c r="B57" s="21" t="n">
        <v>0.4427333267812578</v>
      </c>
      <c r="C57" s="21" t="n">
        <v>0.4436884343177523</v>
      </c>
      <c r="D57" s="21" t="n">
        <v>0.4558810606890051</v>
      </c>
      <c r="E57" s="21" t="n">
        <v>0.2928544697023152</v>
      </c>
      <c r="F57" s="21" t="n">
        <v>0.4436307580454533</v>
      </c>
      <c r="G57" s="21" t="n">
        <v>0.5720568481205239</v>
      </c>
      <c r="H57" s="21" t="n">
        <v>0.4588655171924579</v>
      </c>
      <c r="I57" s="21" t="n">
        <v>0.4367844585270272</v>
      </c>
      <c r="J57" s="21" t="n">
        <v>0.6237554254701214</v>
      </c>
      <c r="K57" s="21" t="n">
        <v>0.4444465499416718</v>
      </c>
      <c r="L57" s="21" t="n">
        <v>0.4113779612338344</v>
      </c>
      <c r="M57" s="21" t="n">
        <v>0.2890436165515455</v>
      </c>
    </row>
    <row r="58">
      <c r="A58" s="10" t="n">
        <v>0.515</v>
      </c>
      <c r="B58" s="21" t="n">
        <v>0.457523432836591</v>
      </c>
      <c r="C58" s="21" t="n">
        <v>0.4570973560060503</v>
      </c>
      <c r="D58" s="21" t="n">
        <v>0.4740034743333703</v>
      </c>
      <c r="E58" s="21" t="n">
        <v>0.3068687344672148</v>
      </c>
      <c r="F58" s="21" t="n">
        <v>0.4537879250405369</v>
      </c>
      <c r="G58" s="21" t="n">
        <v>0.581910380984187</v>
      </c>
      <c r="H58" s="21" t="n">
        <v>0.4772259713617497</v>
      </c>
      <c r="I58" s="21" t="n">
        <v>0.456408797628067</v>
      </c>
      <c r="J58" s="21" t="n">
        <v>0.6360034377153656</v>
      </c>
      <c r="K58" s="21" t="n">
        <v>0.4605995272291759</v>
      </c>
      <c r="L58" s="21" t="n">
        <v>0.4279133818421846</v>
      </c>
      <c r="M58" s="21" t="n">
        <v>0.3014638097509602</v>
      </c>
    </row>
    <row r="59">
      <c r="A59" s="10" t="n">
        <v>0.525</v>
      </c>
      <c r="B59" s="21" t="n">
        <v>0.4720705226528401</v>
      </c>
      <c r="C59" s="21" t="n">
        <v>0.4704848163524579</v>
      </c>
      <c r="D59" s="21" t="n">
        <v>0.4921258879777354</v>
      </c>
      <c r="E59" s="21" t="n">
        <v>0.3208829992321144</v>
      </c>
      <c r="F59" s="21" t="n">
        <v>0.4639450920356206</v>
      </c>
      <c r="G59" s="21" t="n">
        <v>0.5921451221588491</v>
      </c>
      <c r="H59" s="21" t="n">
        <v>0.494051241083222</v>
      </c>
      <c r="I59" s="21" t="n">
        <v>0.474766808392398</v>
      </c>
      <c r="J59" s="21" t="n">
        <v>0.6482514499606098</v>
      </c>
      <c r="K59" s="21" t="n">
        <v>0.4770310041250853</v>
      </c>
      <c r="L59" s="21" t="n">
        <v>0.4438786155330056</v>
      </c>
      <c r="M59" s="21" t="n">
        <v>0.3142980093903553</v>
      </c>
    </row>
    <row r="60">
      <c r="A60" s="10" t="n">
        <v>0.535</v>
      </c>
      <c r="B60" s="21" t="n">
        <v>0.4868137596707878</v>
      </c>
      <c r="C60" s="21" t="n">
        <v>0.4843560761455709</v>
      </c>
      <c r="D60" s="21" t="n">
        <v>0.5084433761185531</v>
      </c>
      <c r="E60" s="21" t="n">
        <v>0.3348972639970141</v>
      </c>
      <c r="F60" s="21" t="n">
        <v>0.4741022590307043</v>
      </c>
      <c r="G60" s="21" t="n">
        <v>0.6049457840299651</v>
      </c>
      <c r="H60" s="21" t="n">
        <v>0.5104440040575409</v>
      </c>
      <c r="I60" s="21" t="n">
        <v>0.4912547905258745</v>
      </c>
      <c r="J60" s="21" t="n">
        <v>0.6600831029219256</v>
      </c>
      <c r="K60" s="21" t="n">
        <v>0.493404584890882</v>
      </c>
      <c r="L60" s="21" t="n">
        <v>0.4604140361413559</v>
      </c>
      <c r="M60" s="21" t="n">
        <v>0.3309542047205694</v>
      </c>
    </row>
    <row r="61">
      <c r="A61" s="10" t="n">
        <v>0.545</v>
      </c>
      <c r="B61" s="21" t="n">
        <v>0.5011758584842769</v>
      </c>
      <c r="C61" s="21" t="n">
        <v>0.4983207277651058</v>
      </c>
      <c r="D61" s="21" t="n">
        <v>0.5240166715635994</v>
      </c>
      <c r="E61" s="21" t="n">
        <v>0.3489115287619137</v>
      </c>
      <c r="F61" s="21" t="n">
        <v>0.484259426025788</v>
      </c>
      <c r="G61" s="21" t="n">
        <v>0.6173908719602168</v>
      </c>
      <c r="H61" s="21" t="n">
        <v>0.5252640152240288</v>
      </c>
      <c r="I61" s="21" t="n">
        <v>0.5080425541526868</v>
      </c>
      <c r="J61" s="21" t="n">
        <v>0.6718639803608112</v>
      </c>
      <c r="K61" s="21" t="n">
        <v>0.5089978995872962</v>
      </c>
      <c r="L61" s="21" t="n">
        <v>0.4763792698321769</v>
      </c>
      <c r="M61" s="21" t="n">
        <v>0.3476104000507834</v>
      </c>
    </row>
    <row r="62">
      <c r="A62" s="10" t="n">
        <v>0.555</v>
      </c>
      <c r="B62" s="21" t="n">
        <v>0.5154873738787846</v>
      </c>
      <c r="C62" s="21" t="n">
        <v>0.5120148911728102</v>
      </c>
      <c r="D62" s="21" t="n">
        <v>0.5394710278365278</v>
      </c>
      <c r="E62" s="21" t="n">
        <v>0.3629257935268134</v>
      </c>
      <c r="F62" s="21" t="n">
        <v>0.4937940199633866</v>
      </c>
      <c r="G62" s="21" t="n">
        <v>0.6298359598904685</v>
      </c>
      <c r="H62" s="21" t="n">
        <v>0.5398177404263985</v>
      </c>
      <c r="I62" s="21" t="n">
        <v>0.5245305362861632</v>
      </c>
      <c r="J62" s="21" t="n">
        <v>0.6836448577996967</v>
      </c>
      <c r="K62" s="21" t="n">
        <v>0.524860064537097</v>
      </c>
      <c r="L62" s="21" t="n">
        <v>0.4923445035229979</v>
      </c>
      <c r="M62" s="21" t="n">
        <v>0.3648218018920046</v>
      </c>
    </row>
    <row r="63">
      <c r="A63" s="10" t="n">
        <v>0.5649999999999999</v>
      </c>
      <c r="B63" s="21" t="n">
        <v>0.529637638195836</v>
      </c>
      <c r="C63" s="21" t="n">
        <v>0.5253371394055113</v>
      </c>
      <c r="D63" s="21" t="n">
        <v>0.5536249704208158</v>
      </c>
      <c r="E63" s="21" t="n">
        <v>0.376940058291713</v>
      </c>
      <c r="F63" s="21" t="n">
        <v>0.5029550700664942</v>
      </c>
      <c r="G63" s="21" t="n">
        <v>0.6426366217615845</v>
      </c>
      <c r="H63" s="21" t="n">
        <v>0.5550508939250404</v>
      </c>
      <c r="I63" s="21" t="n">
        <v>0.5402545744365246</v>
      </c>
      <c r="J63" s="21" t="n">
        <v>0.6953334546409777</v>
      </c>
      <c r="K63" s="21" t="n">
        <v>0.5407222294868977</v>
      </c>
      <c r="L63" s="21" t="n">
        <v>0.5088799241313482</v>
      </c>
      <c r="M63" s="21" t="n">
        <v>0.3814779972222186</v>
      </c>
    </row>
    <row r="64">
      <c r="A64" s="10" t="n">
        <v>0.575</v>
      </c>
      <c r="B64" s="21" t="n">
        <v>0.5435192487465348</v>
      </c>
      <c r="C64" s="21" t="n">
        <v>0.5395503139304589</v>
      </c>
      <c r="D64" s="21" t="n">
        <v>0.5677789130051039</v>
      </c>
      <c r="E64" s="21" t="n">
        <v>0.3909543230566127</v>
      </c>
      <c r="F64" s="21" t="n">
        <v>0.5121161201696018</v>
      </c>
      <c r="G64" s="21" t="n">
        <v>0.6550817096918362</v>
      </c>
      <c r="H64" s="21" t="n">
        <v>0.5702840474236822</v>
      </c>
      <c r="I64" s="21" t="n">
        <v>0.5540639067292742</v>
      </c>
      <c r="J64" s="21" t="n">
        <v>0.7069510664071783</v>
      </c>
      <c r="K64" s="21" t="n">
        <v>0.5549840840492016</v>
      </c>
      <c r="L64" s="21" t="n">
        <v>0.5248451578221691</v>
      </c>
      <c r="M64" s="21" t="n">
        <v>0.4000680436343124</v>
      </c>
    </row>
    <row r="65">
      <c r="A65" s="10" t="n">
        <v>0.585</v>
      </c>
      <c r="B65" s="21" t="n">
        <v>0.5576365594074812</v>
      </c>
      <c r="C65" s="21" t="n">
        <v>0.5545381739561188</v>
      </c>
      <c r="D65" s="21" t="n">
        <v>0.581747136405954</v>
      </c>
      <c r="E65" s="21" t="n">
        <v>0.4065927057729541</v>
      </c>
      <c r="F65" s="21" t="n">
        <v>0.5212771702727095</v>
      </c>
      <c r="G65" s="21" t="n">
        <v>0.6678823715629523</v>
      </c>
      <c r="H65" s="21" t="n">
        <v>0.584270308252069</v>
      </c>
      <c r="I65" s="21" t="n">
        <v>0.5676266438025104</v>
      </c>
      <c r="J65" s="21" t="n">
        <v>0.7185686781733789</v>
      </c>
      <c r="K65" s="21" t="n">
        <v>0.5690193618382463</v>
      </c>
      <c r="L65" s="21" t="n">
        <v>0.5403720846321317</v>
      </c>
      <c r="M65" s="21" t="n">
        <v>0.4212760710447515</v>
      </c>
    </row>
    <row r="66">
      <c r="A66" s="10" t="n">
        <v>0.595</v>
      </c>
      <c r="B66" s="21" t="n">
        <v>0.5717863011988791</v>
      </c>
      <c r="C66" s="21" t="n">
        <v>0.5694529009835546</v>
      </c>
      <c r="D66" s="21" t="n">
        <v>0.595655274188633</v>
      </c>
      <c r="E66" s="21" t="n">
        <v>0.4248296772116026</v>
      </c>
      <c r="F66" s="21" t="n">
        <v>0.5300565099548543</v>
      </c>
      <c r="G66" s="21" t="n">
        <v>0.6803274594932039</v>
      </c>
      <c r="H66" s="21" t="n">
        <v>0.5979893777939727</v>
      </c>
      <c r="I66" s="21" t="n">
        <v>0.58143597609526</v>
      </c>
      <c r="J66" s="21" t="n">
        <v>0.7301862899395795</v>
      </c>
      <c r="K66" s="21" t="n">
        <v>0.583054639627291</v>
      </c>
      <c r="L66" s="21" t="n">
        <v>0.5550537807613684</v>
      </c>
      <c r="M66" s="21" t="n">
        <v>0.4417999685387248</v>
      </c>
    </row>
    <row r="67">
      <c r="A67" s="10" t="n">
        <v>0.605</v>
      </c>
      <c r="B67" s="21" t="n">
        <v>0.5861860290094272</v>
      </c>
      <c r="C67" s="21" t="n">
        <v>0.5843050344297994</v>
      </c>
      <c r="D67" s="21" t="n">
        <v>0.6093569971656372</v>
      </c>
      <c r="E67" s="21" t="n">
        <v>0.443066648650251</v>
      </c>
      <c r="F67" s="21" t="n">
        <v>0.5391320200723587</v>
      </c>
      <c r="G67" s="21" t="n">
        <v>0.6942423640770417</v>
      </c>
      <c r="H67" s="21" t="n">
        <v>0.6112241023849517</v>
      </c>
      <c r="I67" s="21" t="n">
        <v>0.5951335353301112</v>
      </c>
      <c r="J67" s="21" t="n">
        <v>0.7436399096213292</v>
      </c>
      <c r="K67" s="21" t="n">
        <v>0.5966477297247855</v>
      </c>
      <c r="L67" s="21" t="n">
        <v>0.5702598231809349</v>
      </c>
      <c r="M67" s="21" t="n">
        <v>0.4623238660326981</v>
      </c>
    </row>
    <row r="68">
      <c r="A68" s="10" t="n">
        <v>0.615</v>
      </c>
      <c r="B68" s="21" t="n">
        <v>0.6006397525943825</v>
      </c>
      <c r="C68" s="21" t="n">
        <v>0.599604765581648</v>
      </c>
      <c r="D68" s="21" t="n">
        <v>0.6228429228457997</v>
      </c>
      <c r="E68" s="21" t="n">
        <v>0.4613036200888995</v>
      </c>
      <c r="F68" s="21" t="n">
        <v>0.5476087502906403</v>
      </c>
      <c r="G68" s="21" t="n">
        <v>0.7098279417128469</v>
      </c>
      <c r="H68" s="21" t="n">
        <v>0.6245770878283471</v>
      </c>
      <c r="I68" s="21" t="n">
        <v>0.6091415529136617</v>
      </c>
      <c r="J68" s="21" t="n">
        <v>0.7573689304904113</v>
      </c>
      <c r="K68" s="21" t="n">
        <v>0.6098794211130028</v>
      </c>
      <c r="L68" s="21" t="n">
        <v>0.5849415193101716</v>
      </c>
      <c r="M68" s="21" t="n">
        <v>0.4831501754720246</v>
      </c>
    </row>
    <row r="69">
      <c r="A69" s="10" t="n">
        <v>0.625</v>
      </c>
      <c r="B69" s="21" t="n">
        <v>0.6147911453833067</v>
      </c>
      <c r="C69" s="21" t="n">
        <v>0.6149938285142523</v>
      </c>
      <c r="D69" s="21" t="n">
        <v>0.6360291612886252</v>
      </c>
      <c r="E69" s="21" t="n">
        <v>0.4795405915275479</v>
      </c>
      <c r="F69" s="21" t="n">
        <v>0.5560854805089218</v>
      </c>
      <c r="G69" s="21" t="n">
        <v>0.7249805866365465</v>
      </c>
      <c r="H69" s="21" t="n">
        <v>0.6376675194244826</v>
      </c>
      <c r="I69" s="21" t="n">
        <v>0.6231495704972122</v>
      </c>
      <c r="J69" s="21" t="n">
        <v>0.7710979513594934</v>
      </c>
      <c r="K69" s="21" t="n">
        <v>0.62311111250122</v>
      </c>
      <c r="L69" s="21" t="n">
        <v>0.6001475617297382</v>
      </c>
      <c r="M69" s="21" t="n">
        <v>0.5013837651393223</v>
      </c>
    </row>
    <row r="70">
      <c r="A70" s="10" t="n">
        <v>0.635</v>
      </c>
      <c r="B70" s="21" t="n">
        <v>0.6289362010436633</v>
      </c>
      <c r="C70" s="21" t="n">
        <v>0.6299703526277863</v>
      </c>
      <c r="D70" s="21" t="n">
        <v>0.6498373922460017</v>
      </c>
      <c r="E70" s="21" t="n">
        <v>0.4977775629661964</v>
      </c>
      <c r="F70" s="21" t="n">
        <v>0.5645622107272034</v>
      </c>
      <c r="G70" s="21" t="n">
        <v>0.7405661642723518</v>
      </c>
      <c r="H70" s="21" t="n">
        <v>0.6504118573128665</v>
      </c>
      <c r="I70" s="21" t="n">
        <v>0.6369074449096279</v>
      </c>
      <c r="J70" s="21" t="n">
        <v>0.7848956255592876</v>
      </c>
      <c r="K70" s="21" t="n">
        <v>0.6361185379337048</v>
      </c>
      <c r="L70" s="21" t="n">
        <v>0.6148292578589748</v>
      </c>
      <c r="M70" s="21" t="n">
        <v>0.5196173548066199</v>
      </c>
    </row>
    <row r="71">
      <c r="A71" s="10" t="n">
        <v>0.645</v>
      </c>
      <c r="B71" s="21" t="n">
        <v>0.6432245890800423</v>
      </c>
      <c r="C71" s="21" t="n">
        <v>0.6447824413307827</v>
      </c>
      <c r="D71" s="21" t="n">
        <v>0.6636606141465045</v>
      </c>
      <c r="E71" s="21" t="n">
        <v>0.5160145344048448</v>
      </c>
      <c r="F71" s="21" t="n">
        <v>0.5730389409454849</v>
      </c>
      <c r="G71" s="21" t="n">
        <v>0.7557188091960514</v>
      </c>
      <c r="H71" s="21" t="n">
        <v>0.6634314313541997</v>
      </c>
      <c r="I71" s="21" t="n">
        <v>0.6507440440386033</v>
      </c>
      <c r="J71" s="21" t="n">
        <v>0.7988675735985817</v>
      </c>
      <c r="K71" s="21" t="n">
        <v>0.6503257975529303</v>
      </c>
      <c r="L71" s="21" t="n">
        <v>0.6295109539882114</v>
      </c>
      <c r="M71" s="21" t="n">
        <v>0.5378509444739175</v>
      </c>
    </row>
    <row r="72">
      <c r="A72" s="10" t="n">
        <v>0.655</v>
      </c>
      <c r="B72" s="21" t="n">
        <v>0.6577361934974365</v>
      </c>
      <c r="C72" s="21" t="n">
        <v>0.6600734511962524</v>
      </c>
      <c r="D72" s="21" t="n">
        <v>0.677913542560056</v>
      </c>
      <c r="E72" s="21" t="n">
        <v>0.5342515058434932</v>
      </c>
      <c r="F72" s="21" t="n">
        <v>0.5815156711637665</v>
      </c>
      <c r="G72" s="21" t="n">
        <v>0.770871454119751</v>
      </c>
      <c r="H72" s="21" t="n">
        <v>0.6771769536868766</v>
      </c>
      <c r="I72" s="21" t="n">
        <v>0.6642246238921475</v>
      </c>
      <c r="J72" s="21" t="n">
        <v>0.8128395216378759</v>
      </c>
      <c r="K72" s="21" t="n">
        <v>0.6648087612374408</v>
      </c>
      <c r="L72" s="21" t="n">
        <v>0.644716996407778</v>
      </c>
      <c r="M72" s="21" t="n">
        <v>0.5566923204634583</v>
      </c>
    </row>
    <row r="73">
      <c r="A73" s="10" t="n">
        <v>0.665</v>
      </c>
      <c r="B73" s="21" t="n">
        <v>0.6723613018387721</v>
      </c>
      <c r="C73" s="21" t="n">
        <v>0.6747419318169815</v>
      </c>
      <c r="D73" s="21" t="n">
        <v>0.6925774945947846</v>
      </c>
      <c r="E73" s="21" t="n">
        <v>0.5524884772821417</v>
      </c>
      <c r="F73" s="21" t="n">
        <v>0.5904219102727108</v>
      </c>
      <c r="G73" s="21" t="n">
        <v>0.7864570317555563</v>
      </c>
      <c r="H73" s="21" t="n">
        <v>0.6912299601325882</v>
      </c>
      <c r="I73" s="21" t="n">
        <v>0.6779503051975744</v>
      </c>
      <c r="J73" s="21" t="n">
        <v>0.82681146967717</v>
      </c>
      <c r="K73" s="21" t="n">
        <v>0.679046250961197</v>
      </c>
      <c r="L73" s="21" t="n">
        <v>0.6614429343100042</v>
      </c>
      <c r="M73" s="21" t="n">
        <v>0.5737945824863359</v>
      </c>
    </row>
    <row r="74">
      <c r="A74" s="10" t="n">
        <v>0.675</v>
      </c>
      <c r="B74" s="21" t="n">
        <v>0.6869378105532084</v>
      </c>
      <c r="C74" s="21" t="n">
        <v>0.6882647790907201</v>
      </c>
      <c r="D74" s="21" t="n">
        <v>0.7072414466295132</v>
      </c>
      <c r="E74" s="21" t="n">
        <v>0.5707254487207901</v>
      </c>
      <c r="F74" s="21" t="n">
        <v>0.5998357507978931</v>
      </c>
      <c r="G74" s="21" t="n">
        <v>0.7995799473078777</v>
      </c>
      <c r="H74" s="21" t="n">
        <v>0.7060810214046381</v>
      </c>
      <c r="I74" s="21" t="n">
        <v>0.6916759865030012</v>
      </c>
      <c r="J74" s="21" t="n">
        <v>0.8396479231273396</v>
      </c>
      <c r="K74" s="21" t="n">
        <v>0.6943819542479928</v>
      </c>
      <c r="L74" s="21" t="n">
        <v>0.6792264989650793</v>
      </c>
      <c r="M74" s="21" t="n">
        <v>0.5903311806870034</v>
      </c>
    </row>
    <row r="75">
      <c r="A75" s="10" t="n">
        <v>0.6850000000000001</v>
      </c>
      <c r="B75" s="21" t="n">
        <v>0.7017683165988894</v>
      </c>
      <c r="C75" s="21" t="n">
        <v>0.7018463602769971</v>
      </c>
      <c r="D75" s="21" t="n">
        <v>0.7231110882457741</v>
      </c>
      <c r="E75" s="21" t="n">
        <v>0.5889624201594386</v>
      </c>
      <c r="F75" s="21" t="n">
        <v>0.6092495913230753</v>
      </c>
      <c r="G75" s="21" t="n">
        <v>0.8116859888784634</v>
      </c>
      <c r="H75" s="21" t="n">
        <v>0.7209320826766881</v>
      </c>
      <c r="I75" s="21" t="n">
        <v>0.7076442835084921</v>
      </c>
      <c r="J75" s="21" t="n">
        <v>0.8516853248296068</v>
      </c>
      <c r="K75" s="21" t="n">
        <v>0.7104878739497559</v>
      </c>
      <c r="L75" s="21" t="n">
        <v>0.6963968372527379</v>
      </c>
      <c r="M75" s="21" t="n">
        <v>0.6074189988276932</v>
      </c>
    </row>
    <row r="76">
      <c r="A76" s="10" t="n">
        <v>0.695</v>
      </c>
      <c r="B76" s="21" t="n">
        <v>0.7167737101024114</v>
      </c>
      <c r="C76" s="21" t="n">
        <v>0.7155235926358534</v>
      </c>
      <c r="D76" s="21" t="n">
        <v>0.738980729862035</v>
      </c>
      <c r="E76" s="21" t="n">
        <v>0.6064058868386613</v>
      </c>
      <c r="F76" s="21" t="n">
        <v>0.6186634318482576</v>
      </c>
      <c r="G76" s="21" t="n">
        <v>0.8234557515165328</v>
      </c>
      <c r="H76" s="21" t="n">
        <v>0.7372685909162351</v>
      </c>
      <c r="I76" s="21" t="n">
        <v>0.7251351583411895</v>
      </c>
      <c r="J76" s="21" t="n">
        <v>0.863722726531874</v>
      </c>
      <c r="K76" s="21" t="n">
        <v>0.7263208119616587</v>
      </c>
      <c r="L76" s="21" t="n">
        <v>0.714180401907813</v>
      </c>
      <c r="M76" s="21" t="n">
        <v>0.6239555970283608</v>
      </c>
    </row>
    <row r="77">
      <c r="A77" s="10" t="n">
        <v>0.705</v>
      </c>
      <c r="B77" s="21" t="n">
        <v>0.7314643393124999</v>
      </c>
      <c r="C77" s="21" t="n">
        <v>0.7289358141441983</v>
      </c>
      <c r="D77" s="21" t="n">
        <v>0.7561246861088204</v>
      </c>
      <c r="E77" s="21" t="n">
        <v>0.6194850773410426</v>
      </c>
      <c r="F77" s="21" t="n">
        <v>0.6280772723734398</v>
      </c>
      <c r="G77" s="21" t="n">
        <v>0.8352255141546022</v>
      </c>
      <c r="H77" s="21" t="n">
        <v>0.7543296243008314</v>
      </c>
      <c r="I77" s="21" t="n">
        <v>0.742313696123303</v>
      </c>
      <c r="J77" s="21" t="n">
        <v>0.8757601282341412</v>
      </c>
      <c r="K77" s="21" t="n">
        <v>0.7426393535766256</v>
      </c>
      <c r="L77" s="21" t="n">
        <v>0.7313507401954716</v>
      </c>
      <c r="M77" s="21" t="n">
        <v>0.6400289463175395</v>
      </c>
    </row>
    <row r="78">
      <c r="A78" s="10" t="n">
        <v>0.715</v>
      </c>
      <c r="B78" s="21" t="n">
        <v>0.7463838317716763</v>
      </c>
      <c r="C78" s="21" t="n">
        <v>0.7420486355879252</v>
      </c>
      <c r="D78" s="21" t="n">
        <v>0.7738844627722209</v>
      </c>
      <c r="E78" s="21" t="n">
        <v>0.632564267843424</v>
      </c>
      <c r="F78" s="21" t="n">
        <v>0.637491112898622</v>
      </c>
      <c r="G78" s="21" t="n">
        <v>0.8473315557251879</v>
      </c>
      <c r="H78" s="21" t="n">
        <v>0.7721239248651478</v>
      </c>
      <c r="I78" s="21" t="n">
        <v>0.7598045709560004</v>
      </c>
      <c r="J78" s="21" t="n">
        <v>0.8852090743788065</v>
      </c>
      <c r="K78" s="21" t="n">
        <v>0.7629268375713971</v>
      </c>
      <c r="L78" s="21" t="n">
        <v>0.7491343048505467</v>
      </c>
      <c r="M78" s="21" t="n">
        <v>0.6542446212069981</v>
      </c>
    </row>
    <row r="79">
      <c r="A79" s="10" t="n">
        <v>0.725</v>
      </c>
      <c r="B79" s="21" t="n">
        <v>0.7614521496317543</v>
      </c>
      <c r="C79" s="21" t="n">
        <v>0.7547605169579427</v>
      </c>
      <c r="D79" s="21" t="n">
        <v>0.7921070191828112</v>
      </c>
      <c r="E79" s="21" t="n">
        <v>0.6456434583458054</v>
      </c>
      <c r="F79" s="21" t="n">
        <v>0.6438761931302334</v>
      </c>
      <c r="G79" s="21" t="n">
        <v>0.8591013183632573</v>
      </c>
      <c r="H79" s="21" t="n">
        <v>0.7904315124552683</v>
      </c>
      <c r="I79" s="21" t="n">
        <v>0.7824124710790782</v>
      </c>
      <c r="J79" s="21" t="n">
        <v>0.8946580205234718</v>
      </c>
      <c r="K79" s="21" t="n">
        <v>0.7828704659052402</v>
      </c>
      <c r="L79" s="21" t="n">
        <v>0.7663046431382053</v>
      </c>
      <c r="M79" s="21" t="n">
        <v>0.6680017259387322</v>
      </c>
    </row>
    <row r="80">
      <c r="A80" s="10" t="n">
        <v>0.735</v>
      </c>
      <c r="B80" s="21" t="n">
        <v>0.7771270087674105</v>
      </c>
      <c r="C80" s="21" t="n">
        <v>0.7674665896714051</v>
      </c>
      <c r="D80" s="21" t="n">
        <v>0.8120065483119726</v>
      </c>
      <c r="E80" s="21" t="n">
        <v>0.6592256946367399</v>
      </c>
      <c r="F80" s="21" t="n">
        <v>0.6503955708541749</v>
      </c>
      <c r="G80" s="21" t="n">
        <v>0.8708710810013267</v>
      </c>
      <c r="H80" s="21" t="n">
        <v>0.8092382263154284</v>
      </c>
      <c r="I80" s="21" t="n">
        <v>0.8074767115135071</v>
      </c>
      <c r="J80" s="21" t="n">
        <v>0.903901554795427</v>
      </c>
      <c r="K80" s="21" t="n">
        <v>0.8021263829172267</v>
      </c>
      <c r="L80" s="21" t="n">
        <v>0.7835124134101463</v>
      </c>
      <c r="M80" s="21" t="n">
        <v>0.6831345411436397</v>
      </c>
    </row>
    <row r="81">
      <c r="A81" s="10" t="n">
        <v>0.745</v>
      </c>
      <c r="B81" s="21" t="n">
        <v>0.791003900944202</v>
      </c>
      <c r="C81" s="21" t="n">
        <v>0.7801287139540439</v>
      </c>
      <c r="D81" s="21" t="n">
        <v>0.8254271609804767</v>
      </c>
      <c r="E81" s="21" t="n">
        <v>0.679347526178865</v>
      </c>
      <c r="F81" s="21" t="n">
        <v>0.6638999961394823</v>
      </c>
      <c r="G81" s="21" t="n">
        <v>0.8802868911117823</v>
      </c>
      <c r="H81" s="21" t="n">
        <v>0.8233799414904414</v>
      </c>
      <c r="I81" s="21" t="n">
        <v>0.8185628178595045</v>
      </c>
      <c r="J81" s="21" t="n">
        <v>0.9118887849304803</v>
      </c>
      <c r="K81" s="21" t="n">
        <v>0.8141684903248819</v>
      </c>
      <c r="L81" s="21" t="n">
        <v>0.7993337782823398</v>
      </c>
      <c r="M81" s="21" t="n">
        <v>0.7040684588929791</v>
      </c>
    </row>
    <row r="82">
      <c r="A82" s="10" t="n">
        <v>0.755</v>
      </c>
      <c r="B82" s="21" t="n">
        <v>0.8036788664113037</v>
      </c>
      <c r="C82" s="21" t="n">
        <v>0.7927436521099335</v>
      </c>
      <c r="D82" s="21" t="n">
        <v>0.8383849939017911</v>
      </c>
      <c r="E82" s="21" t="n">
        <v>0.6994693577209901</v>
      </c>
      <c r="F82" s="21" t="n">
        <v>0.6742027785451863</v>
      </c>
      <c r="G82" s="21" t="n">
        <v>0.8878089871215773</v>
      </c>
      <c r="H82" s="21" t="n">
        <v>0.8379257056704548</v>
      </c>
      <c r="I82" s="21" t="n">
        <v>0.8296489242055018</v>
      </c>
      <c r="J82" s="21" t="n">
        <v>0.9176633903117737</v>
      </c>
      <c r="K82" s="21" t="n">
        <v>0.8267776218600703</v>
      </c>
      <c r="L82" s="21" t="n">
        <v>0.8148869844278859</v>
      </c>
      <c r="M82" s="21" t="n">
        <v>0.7199451605935295</v>
      </c>
    </row>
    <row r="83">
      <c r="A83" s="10" t="n">
        <v>0.765</v>
      </c>
      <c r="B83" s="21" t="n">
        <v>0.8159699672802152</v>
      </c>
      <c r="C83" s="21" t="n">
        <v>0.8054539284284346</v>
      </c>
      <c r="D83" s="21" t="n">
        <v>0.8509750872653109</v>
      </c>
      <c r="E83" s="21" t="n">
        <v>0.7195911892631152</v>
      </c>
      <c r="F83" s="21" t="n">
        <v>0.6832920535296813</v>
      </c>
      <c r="G83" s="21" t="n">
        <v>0.8939107975558769</v>
      </c>
      <c r="H83" s="21" t="n">
        <v>0.8506873675630147</v>
      </c>
      <c r="I83" s="21" t="n">
        <v>0.8412170351752383</v>
      </c>
      <c r="J83" s="21" t="n">
        <v>0.9233037025446649</v>
      </c>
      <c r="K83" s="21" t="n">
        <v>0.8397576102051172</v>
      </c>
      <c r="L83" s="21" t="n">
        <v>0.830440190573432</v>
      </c>
      <c r="M83" s="21" t="n">
        <v>0.7361271834806291</v>
      </c>
    </row>
    <row r="84">
      <c r="A84" s="10" t="n">
        <v>0.775</v>
      </c>
      <c r="B84" s="21" t="n">
        <v>0.8282355559262757</v>
      </c>
      <c r="C84" s="21" t="n">
        <v>0.8183667942077442</v>
      </c>
      <c r="D84" s="21" t="n">
        <v>0.8629789317076653</v>
      </c>
      <c r="E84" s="21" t="n">
        <v>0.7397130208052403</v>
      </c>
      <c r="F84" s="21" t="n">
        <v>0.6929451788931695</v>
      </c>
      <c r="G84" s="21" t="n">
        <v>0.9000126079901765</v>
      </c>
      <c r="H84" s="21" t="n">
        <v>0.8627490358346125</v>
      </c>
      <c r="I84" s="21" t="n">
        <v>0.8523031415212357</v>
      </c>
      <c r="J84" s="21" t="n">
        <v>0.9289440147775561</v>
      </c>
      <c r="K84" s="21" t="n">
        <v>0.8523667417403056</v>
      </c>
      <c r="L84" s="21" t="n">
        <v>0.8453744184368929</v>
      </c>
      <c r="M84" s="21" t="n">
        <v>0.7542076653307799</v>
      </c>
    </row>
    <row r="85">
      <c r="A85" s="10" t="n">
        <v>0.785</v>
      </c>
      <c r="B85" s="21" t="n">
        <v>0.840278396911273</v>
      </c>
      <c r="C85" s="21" t="n">
        <v>0.8317611142162922</v>
      </c>
      <c r="D85" s="21" t="n">
        <v>0.8749827761500196</v>
      </c>
      <c r="E85" s="21" t="n">
        <v>0.7584806010154138</v>
      </c>
      <c r="F85" s="21" t="n">
        <v>0.7035692933769808</v>
      </c>
      <c r="G85" s="21" t="n">
        <v>0.906114418424476</v>
      </c>
      <c r="H85" s="21" t="n">
        <v>0.8744756577653325</v>
      </c>
      <c r="I85" s="21" t="n">
        <v>0.863389247867233</v>
      </c>
      <c r="J85" s="21" t="n">
        <v>0.9343956147078497</v>
      </c>
      <c r="K85" s="21" t="n">
        <v>0.864975873275494</v>
      </c>
      <c r="L85" s="21" t="n">
        <v>0.8583632859852287</v>
      </c>
      <c r="M85" s="21" t="n">
        <v>0.7729492812258106</v>
      </c>
    </row>
    <row r="86">
      <c r="A86" s="10" t="n">
        <v>0.795</v>
      </c>
      <c r="B86" s="21" t="n">
        <v>0.8521776101020919</v>
      </c>
      <c r="C86" s="21" t="n">
        <v>0.8448772563747143</v>
      </c>
      <c r="D86" s="21" t="n">
        <v>0.8865726949219479</v>
      </c>
      <c r="E86" s="21" t="n">
        <v>0.7765189689699211</v>
      </c>
      <c r="F86" s="21" t="n">
        <v>0.7144315714817023</v>
      </c>
      <c r="G86" s="21" t="n">
        <v>0.9122162288587756</v>
      </c>
      <c r="H86" s="21" t="n">
        <v>0.8857552291838757</v>
      </c>
      <c r="I86" s="21" t="n">
        <v>0.8744745155347394</v>
      </c>
      <c r="J86" s="21" t="n">
        <v>0.9391558914626815</v>
      </c>
      <c r="K86" s="21" t="n">
        <v>0.8779558616205408</v>
      </c>
      <c r="L86" s="21" t="n">
        <v>0.8713521535335645</v>
      </c>
      <c r="M86" s="21" t="n">
        <v>0.7919243955057864</v>
      </c>
    </row>
    <row r="87">
      <c r="A87" s="10" t="n">
        <v>0.805</v>
      </c>
      <c r="B87" s="21" t="n">
        <v>0.863439460434641</v>
      </c>
      <c r="C87" s="21" t="n">
        <v>0.8574194272301837</v>
      </c>
      <c r="D87" s="21" t="n">
        <v>0.8963694650448867</v>
      </c>
      <c r="E87" s="21" t="n">
        <v>0.7945573369244284</v>
      </c>
      <c r="F87" s="21" t="n">
        <v>0.7260394232682044</v>
      </c>
      <c r="G87" s="21" t="n">
        <v>0.9183180392930752</v>
      </c>
      <c r="H87" s="21" t="n">
        <v>0.8961606923548873</v>
      </c>
      <c r="I87" s="21" t="n">
        <v>0.8827842728929145</v>
      </c>
      <c r="J87" s="21" t="n">
        <v>0.9438054641069359</v>
      </c>
      <c r="K87" s="21" t="n">
        <v>0.8886624922284442</v>
      </c>
      <c r="L87" s="21" t="n">
        <v>0.8843410210819004</v>
      </c>
      <c r="M87" s="21" t="n">
        <v>0.8116778377355788</v>
      </c>
    </row>
    <row r="88">
      <c r="A88" s="10" t="n">
        <v>0.8149999999999999</v>
      </c>
      <c r="B88" s="21" t="n">
        <v>0.8742044223094549</v>
      </c>
      <c r="C88" s="21" t="n">
        <v>0.8694793538696681</v>
      </c>
      <c r="D88" s="21" t="n">
        <v>0.9054639842480114</v>
      </c>
      <c r="E88" s="21" t="n">
        <v>0.8125957048789357</v>
      </c>
      <c r="F88" s="21" t="n">
        <v>0.7378509215772766</v>
      </c>
      <c r="G88" s="21" t="n">
        <v>0.9244198497273748</v>
      </c>
      <c r="H88" s="21" t="n">
        <v>0.9062771148822596</v>
      </c>
      <c r="I88" s="21" t="n">
        <v>0.8910940302510896</v>
      </c>
      <c r="J88" s="21" t="n">
        <v>0.9484550367511903</v>
      </c>
      <c r="K88" s="21" t="n">
        <v>0.8972033117431593</v>
      </c>
      <c r="L88" s="21" t="n">
        <v>0.8952547634940876</v>
      </c>
      <c r="M88" s="21" t="n">
        <v>0.8314312799653711</v>
      </c>
    </row>
    <row r="89">
      <c r="A89" s="10" t="n">
        <v>0.825</v>
      </c>
      <c r="B89" s="21" t="n">
        <v>0.884674985106552</v>
      </c>
      <c r="C89" s="21" t="n">
        <v>0.8815392805091525</v>
      </c>
      <c r="D89" s="21" t="n">
        <v>0.9145585034511362</v>
      </c>
      <c r="E89" s="21" t="n">
        <v>0.830634072833443</v>
      </c>
      <c r="F89" s="21" t="n">
        <v>0.751335627958777</v>
      </c>
      <c r="G89" s="21" t="n">
        <v>0.9305216601616744</v>
      </c>
      <c r="H89" s="21" t="n">
        <v>0.9157948432688223</v>
      </c>
      <c r="I89" s="21" t="n">
        <v>0.8997650814074462</v>
      </c>
      <c r="J89" s="21" t="n">
        <v>0.9530147159794403</v>
      </c>
      <c r="K89" s="21" t="n">
        <v>0.9055001078431681</v>
      </c>
      <c r="L89" s="21" t="n">
        <v>0.9039451575461155</v>
      </c>
      <c r="M89" s="21" t="n">
        <v>0.8491822225386546</v>
      </c>
    </row>
    <row r="90">
      <c r="A90" s="10" t="n">
        <v>0.835</v>
      </c>
      <c r="B90" s="21" t="n">
        <v>0.8948512827068335</v>
      </c>
      <c r="C90" s="21" t="n">
        <v>0.8928156405659489</v>
      </c>
      <c r="D90" s="21" t="n">
        <v>0.9233394185438084</v>
      </c>
      <c r="E90" s="21" t="n">
        <v>0.8486724407879503</v>
      </c>
      <c r="F90" s="21" t="n">
        <v>0.7659383459219493</v>
      </c>
      <c r="G90" s="21" t="n">
        <v>0.936623470595974</v>
      </c>
      <c r="H90" s="21" t="n">
        <v>0.9230866551184028</v>
      </c>
      <c r="I90" s="21" t="n">
        <v>0.9080748387656212</v>
      </c>
      <c r="J90" s="21" t="n">
        <v>0.9573496616676795</v>
      </c>
      <c r="K90" s="21" t="n">
        <v>0.913796903943177</v>
      </c>
      <c r="L90" s="21" t="n">
        <v>0.9126355515981434</v>
      </c>
      <c r="M90" s="21" t="n">
        <v>0.8659988986013886</v>
      </c>
    </row>
    <row r="91">
      <c r="A91" s="10" t="n">
        <v>0.845</v>
      </c>
      <c r="B91" s="21" t="n">
        <v>0.9049043291582642</v>
      </c>
      <c r="C91" s="21" t="n">
        <v>0.9034157330988484</v>
      </c>
      <c r="D91" s="21" t="n">
        <v>0.9302942570073616</v>
      </c>
      <c r="E91" s="21" t="n">
        <v>0.8667108087424577</v>
      </c>
      <c r="F91" s="21" t="n">
        <v>0.7811659693847179</v>
      </c>
      <c r="G91" s="21" t="n">
        <v>0.94255536874663</v>
      </c>
      <c r="H91" s="21" t="n">
        <v>0.9305868044493999</v>
      </c>
      <c r="I91" s="21" t="n">
        <v>0.9163845961237963</v>
      </c>
      <c r="J91" s="21" t="n">
        <v>0.9617878203484959</v>
      </c>
      <c r="K91" s="21" t="n">
        <v>0.9223377234578921</v>
      </c>
      <c r="L91" s="21" t="n">
        <v>0.9213259456501712</v>
      </c>
      <c r="M91" s="21" t="n">
        <v>0.882416294393969</v>
      </c>
    </row>
    <row r="92">
      <c r="A92" s="10" t="n">
        <v>0.855</v>
      </c>
      <c r="B92" s="21" t="n">
        <v>0.9140737656443642</v>
      </c>
      <c r="C92" s="21" t="n">
        <v>0.9135158075474069</v>
      </c>
      <c r="D92" s="21" t="n">
        <v>0.9368033286501707</v>
      </c>
      <c r="E92" s="21" t="n">
        <v>0.8824334253620489</v>
      </c>
      <c r="F92" s="21" t="n">
        <v>0.7970010669100666</v>
      </c>
      <c r="G92" s="21" t="n">
        <v>0.9474677931954255</v>
      </c>
      <c r="H92" s="21" t="n">
        <v>0.937910304167712</v>
      </c>
      <c r="I92" s="21" t="n">
        <v>0.9250556472801529</v>
      </c>
      <c r="J92" s="21" t="n">
        <v>0.9661227660367351</v>
      </c>
      <c r="K92" s="21" t="n">
        <v>0.930634519557901</v>
      </c>
      <c r="L92" s="21" t="n">
        <v>0.929021314718008</v>
      </c>
      <c r="M92" s="21" t="n">
        <v>0.8946524809219127</v>
      </c>
    </row>
    <row r="93">
      <c r="A93" s="10" t="n">
        <v>0.865</v>
      </c>
      <c r="B93" s="21" t="n">
        <v>0.9224575983202157</v>
      </c>
      <c r="C93" s="21" t="n">
        <v>0.9226922111915412</v>
      </c>
      <c r="D93" s="21" t="n">
        <v>0.943087949546676</v>
      </c>
      <c r="E93" s="21" t="n">
        <v>0.8933464045937377</v>
      </c>
      <c r="F93" s="21" t="n">
        <v>0.8131346474083547</v>
      </c>
      <c r="G93" s="21" t="n">
        <v>0.952380217644221</v>
      </c>
      <c r="H93" s="21" t="n">
        <v>0.9444292739617957</v>
      </c>
      <c r="I93" s="21" t="n">
        <v>0.933365404638328</v>
      </c>
      <c r="J93" s="21" t="n">
        <v>0.9702639932015297</v>
      </c>
      <c r="K93" s="21" t="n">
        <v>0.9378972436904377</v>
      </c>
      <c r="L93" s="21" t="n">
        <v>0.9361348821482645</v>
      </c>
      <c r="M93" s="21" t="n">
        <v>0.9068886674498565</v>
      </c>
    </row>
    <row r="94">
      <c r="A94" s="10" t="n">
        <v>0.875</v>
      </c>
      <c r="B94" s="21" t="n">
        <v>0.9306941868798604</v>
      </c>
      <c r="C94" s="21" t="n">
        <v>0.9312311193152802</v>
      </c>
      <c r="D94" s="21" t="n">
        <v>0.9495970211894851</v>
      </c>
      <c r="E94" s="21" t="n">
        <v>0.9042593838254265</v>
      </c>
      <c r="F94" s="21" t="n">
        <v>0.8293625555777721</v>
      </c>
      <c r="G94" s="21" t="n">
        <v>0.9572926420930165</v>
      </c>
      <c r="H94" s="21" t="n">
        <v>0.9511345000357102</v>
      </c>
      <c r="I94" s="21" t="n">
        <v>0.941675161996503</v>
      </c>
      <c r="J94" s="21" t="n">
        <v>0.9738592863457074</v>
      </c>
      <c r="K94" s="21" t="n">
        <v>0.9448644754285647</v>
      </c>
      <c r="L94" s="21" t="n">
        <v>0.9431278806390251</v>
      </c>
      <c r="M94" s="21" t="n">
        <v>0.9180561311574714</v>
      </c>
    </row>
    <row r="95">
      <c r="A95" s="10" t="n">
        <v>0.885</v>
      </c>
      <c r="B95" s="21" t="n">
        <v>0.9388992485629558</v>
      </c>
      <c r="C95" s="21" t="n">
        <v>0.939722391225411</v>
      </c>
      <c r="D95" s="21" t="n">
        <v>0.9558621554538416</v>
      </c>
      <c r="E95" s="21" t="n">
        <v>0.9151723630571152</v>
      </c>
      <c r="F95" s="21" t="n">
        <v>0.8458751638905125</v>
      </c>
      <c r="G95" s="21" t="n">
        <v>0.9622050665418119</v>
      </c>
      <c r="H95" s="21" t="n">
        <v>0.9576243640478959</v>
      </c>
      <c r="I95" s="21" t="n">
        <v>0.9503462131528596</v>
      </c>
      <c r="J95" s="21" t="n">
        <v>0.9775401817076036</v>
      </c>
      <c r="K95" s="21" t="n">
        <v>0.9516326434027451</v>
      </c>
      <c r="L95" s="21" t="n">
        <v>0.9501208791297857</v>
      </c>
      <c r="M95" s="21" t="n">
        <v>0.9286578004307945</v>
      </c>
    </row>
    <row r="96">
      <c r="A96" s="10" t="n">
        <v>0.895</v>
      </c>
      <c r="B96" s="21" t="n">
        <v>0.9467909021138228</v>
      </c>
      <c r="C96" s="21" t="n">
        <v>0.9472511755028714</v>
      </c>
      <c r="D96" s="21" t="n">
        <v>0.9621272897181981</v>
      </c>
      <c r="E96" s="21" t="n">
        <v>0.926085342288804</v>
      </c>
      <c r="F96" s="21" t="n">
        <v>0.8621366003982481</v>
      </c>
      <c r="G96" s="21" t="n">
        <v>0.9671174909906074</v>
      </c>
      <c r="H96" s="21" t="n">
        <v>0.9632817819734839</v>
      </c>
      <c r="I96" s="21" t="n">
        <v>0.9564557849509886</v>
      </c>
      <c r="J96" s="21" t="n">
        <v>0.9811354748517813</v>
      </c>
      <c r="K96" s="21" t="n">
        <v>0.9584008113769256</v>
      </c>
      <c r="L96" s="21" t="n">
        <v>0.9575470486153076</v>
      </c>
      <c r="M96" s="21" t="n">
        <v>0.939375640113557</v>
      </c>
    </row>
    <row r="97">
      <c r="A97" s="10" t="n">
        <v>0.905</v>
      </c>
      <c r="B97" s="21" t="n">
        <v>0.9542743628461489</v>
      </c>
      <c r="C97" s="21" t="n">
        <v>0.9545671269564977</v>
      </c>
      <c r="D97" s="21" t="n">
        <v>0.9681763848699906</v>
      </c>
      <c r="E97" s="21" t="n">
        <v>0.9367254970397005</v>
      </c>
      <c r="F97" s="21" t="n">
        <v>0.8786990713679746</v>
      </c>
      <c r="G97" s="21" t="n">
        <v>0.9720299154394029</v>
      </c>
      <c r="H97" s="21" t="n">
        <v>0.968782049401139</v>
      </c>
      <c r="I97" s="21" t="n">
        <v>0.9601651543199765</v>
      </c>
      <c r="J97" s="21" t="n">
        <v>0.9845547151787194</v>
      </c>
      <c r="K97" s="21" t="n">
        <v>0.9653680431150525</v>
      </c>
      <c r="L97" s="21" t="n">
        <v>0.9651528255864622</v>
      </c>
      <c r="M97" s="21" t="n">
        <v>0.9484570400593887</v>
      </c>
    </row>
    <row r="98">
      <c r="A98" s="10" t="n">
        <v>0.915</v>
      </c>
      <c r="B98" s="21" t="n">
        <v>0.9618074252122691</v>
      </c>
      <c r="C98" s="21" t="n">
        <v>0.9617620488463907</v>
      </c>
      <c r="D98" s="21" t="n">
        <v>0.9742884172093996</v>
      </c>
      <c r="E98" s="21" t="n">
        <v>0.9476384762713893</v>
      </c>
      <c r="F98" s="21" t="n">
        <v>0.8957204848259134</v>
      </c>
      <c r="G98" s="21" t="n">
        <v>0.9769423398881983</v>
      </c>
      <c r="H98" s="21" t="n">
        <v>0.974439467326727</v>
      </c>
      <c r="I98" s="21" t="n">
        <v>0.9638745236889644</v>
      </c>
      <c r="J98" s="21" t="n">
        <v>0.987687869677643</v>
      </c>
      <c r="K98" s="21" t="n">
        <v>0.972136211089233</v>
      </c>
      <c r="L98" s="21" t="n">
        <v>0.9727586025576168</v>
      </c>
      <c r="M98" s="21" t="n">
        <v>0.9575384400052204</v>
      </c>
    </row>
    <row r="99">
      <c r="A99" s="10" t="n">
        <v>0.925</v>
      </c>
      <c r="B99" s="21" t="n">
        <v>0.9687447440939695</v>
      </c>
      <c r="C99" s="21" t="n">
        <v>0.9685398482589823</v>
      </c>
      <c r="D99" s="21" t="n">
        <v>0.9798679432130117</v>
      </c>
      <c r="E99" s="21" t="n">
        <v>0.9577329820607015</v>
      </c>
      <c r="F99" s="21" t="n">
        <v>0.9100405598810269</v>
      </c>
      <c r="G99" s="21" t="n">
        <v>0.9839600891007633</v>
      </c>
      <c r="H99" s="21" t="n">
        <v>0.9805943969639865</v>
      </c>
      <c r="I99" s="21" t="n">
        <v>0.9714545393560267</v>
      </c>
      <c r="J99" s="21" t="n">
        <v>0.9902988317600794</v>
      </c>
      <c r="K99" s="21" t="n">
        <v>0.9761776715413972</v>
      </c>
      <c r="L99" s="21" t="n">
        <v>0.977479429643161</v>
      </c>
      <c r="M99" s="21" t="n">
        <v>0.9645691676185987</v>
      </c>
    </row>
    <row r="100">
      <c r="A100" s="10" t="n">
        <v>0.9350000000000001</v>
      </c>
      <c r="B100" s="21" t="n">
        <v>0.9752283076684495</v>
      </c>
      <c r="C100" s="21" t="n">
        <v>0.9751579115259091</v>
      </c>
      <c r="D100" s="21" t="n">
        <v>0.9854474692166239</v>
      </c>
      <c r="E100" s="21" t="n">
        <v>0.9640779281026678</v>
      </c>
      <c r="F100" s="21" t="n">
        <v>0.9243606349361405</v>
      </c>
      <c r="G100" s="21" t="n">
        <v>0.9899422547600806</v>
      </c>
      <c r="H100" s="21" t="n">
        <v>0.986550998849314</v>
      </c>
      <c r="I100" s="21" t="n">
        <v>0.9791958319521754</v>
      </c>
      <c r="J100" s="21" t="n">
        <v>0.9929097938425158</v>
      </c>
      <c r="K100" s="21" t="n">
        <v>0.9796186745409732</v>
      </c>
      <c r="L100" s="21" t="n">
        <v>0.9816364218870005</v>
      </c>
      <c r="M100" s="21" t="n">
        <v>0.9725631774599379</v>
      </c>
    </row>
    <row r="101">
      <c r="A101" s="10" t="n">
        <v>0.945</v>
      </c>
      <c r="B101" s="21" t="n">
        <v>0.9809636131319361</v>
      </c>
      <c r="C101" s="21" t="n">
        <v>0.9809800730144025</v>
      </c>
      <c r="D101" s="21" t="n">
        <v>0.9905111044749598</v>
      </c>
      <c r="E101" s="21" t="n">
        <v>0.9700920306375154</v>
      </c>
      <c r="F101" s="21" t="n">
        <v>0.938992926226378</v>
      </c>
      <c r="G101" s="21" t="n">
        <v>0.9916185456334005</v>
      </c>
      <c r="H101" s="21" t="n">
        <v>0.9905206727952339</v>
      </c>
      <c r="I101" s="21" t="n">
        <v>0.9869371245483242</v>
      </c>
      <c r="J101" s="21" t="n">
        <v>0.9954461570083111</v>
      </c>
      <c r="K101" s="21" t="n">
        <v>0.9830596775405491</v>
      </c>
      <c r="L101" s="21" t="n">
        <v>0.984711662240852</v>
      </c>
      <c r="M101" s="21" t="n">
        <v>0.9803351314723511</v>
      </c>
    </row>
    <row r="102">
      <c r="A102" s="10" t="n">
        <v>0.955</v>
      </c>
      <c r="B102" s="21" t="n">
        <v>0.9861021161869986</v>
      </c>
      <c r="C102" s="21" t="n">
        <v>0.9858430993032103</v>
      </c>
      <c r="D102" s="21" t="n">
        <v>0.9934691148971061</v>
      </c>
      <c r="E102" s="21" t="n">
        <v>0.9761061331723629</v>
      </c>
      <c r="F102" s="21" t="n">
        <v>0.9538190069039338</v>
      </c>
      <c r="G102" s="21" t="n">
        <v>0.9932948365067203</v>
      </c>
      <c r="H102" s="21" t="n">
        <v>0.9943375061304303</v>
      </c>
      <c r="I102" s="21" t="n">
        <v>0.9921542260001351</v>
      </c>
      <c r="J102" s="21" t="n">
        <v>0.9966904658855675</v>
      </c>
      <c r="K102" s="21" t="n">
        <v>0.9863683342709106</v>
      </c>
      <c r="L102" s="21" t="n">
        <v>0.9877869025947036</v>
      </c>
      <c r="M102" s="21" t="n">
        <v>0.9883291413136903</v>
      </c>
    </row>
    <row r="103">
      <c r="A103" s="10" t="n">
        <v>0.965</v>
      </c>
      <c r="B103" s="21" t="n">
        <v>0.9903458342554674</v>
      </c>
      <c r="C103" s="21" t="n">
        <v>0.9902603496342652</v>
      </c>
      <c r="D103" s="21" t="n">
        <v>0.9965010755798061</v>
      </c>
      <c r="E103" s="21" t="n">
        <v>0.9821202357072105</v>
      </c>
      <c r="F103" s="21" t="n">
        <v>0.9683296390564353</v>
      </c>
      <c r="G103" s="21" t="n">
        <v>0.9949711273800402</v>
      </c>
      <c r="H103" s="21" t="n">
        <v>0.9966019986576344</v>
      </c>
      <c r="I103" s="21" t="n">
        <v>0.9940848614870129</v>
      </c>
      <c r="J103" s="21" t="n">
        <v>0.9975058583485437</v>
      </c>
      <c r="K103" s="21" t="n">
        <v>0.9898093372704866</v>
      </c>
      <c r="L103" s="21" t="n">
        <v>0.9907742789384451</v>
      </c>
      <c r="M103" s="21" t="n">
        <v>0.9932853682187941</v>
      </c>
    </row>
    <row r="104">
      <c r="A104" s="10" t="n">
        <v>0.975</v>
      </c>
      <c r="B104" s="21" t="n">
        <v>0.9937628856246723</v>
      </c>
      <c r="C104" s="21" t="n">
        <v>0.9935611138332704</v>
      </c>
      <c r="D104" s="21" t="n">
        <v>0.9980225164010691</v>
      </c>
      <c r="E104" s="21" t="n">
        <v>0.9879717949303055</v>
      </c>
      <c r="F104" s="21" t="n">
        <v>0.9795382266019544</v>
      </c>
      <c r="G104" s="21" t="n">
        <v>0.9966474182533601</v>
      </c>
      <c r="H104" s="21" t="n">
        <v>0.9986394610402277</v>
      </c>
      <c r="I104" s="21" t="n">
        <v>0.9960565743246753</v>
      </c>
      <c r="J104" s="21" t="n">
        <v>0.9983452329427839</v>
      </c>
      <c r="K104" s="21" t="n">
        <v>0.9932503402700625</v>
      </c>
      <c r="L104" s="21" t="n">
        <v>0.9938495192922966</v>
      </c>
      <c r="M104" s="21" t="n">
        <v>0.9955235788125294</v>
      </c>
    </row>
    <row r="105">
      <c r="A105" s="10" t="n">
        <v>0.985</v>
      </c>
      <c r="B105" s="21" t="n">
        <v>0.9968776397700611</v>
      </c>
      <c r="C105" s="21" t="n">
        <v>0.996780556916635</v>
      </c>
      <c r="D105" s="21" t="n">
        <v>0.9990234648894168</v>
      </c>
      <c r="E105" s="21" t="n">
        <v>0.9939858974651531</v>
      </c>
      <c r="F105" s="21" t="n">
        <v>0.9897691133009772</v>
      </c>
      <c r="G105" s="21" t="n">
        <v>0.99832370912668</v>
      </c>
      <c r="H105" s="21" t="n">
        <v>0.9993444067547085</v>
      </c>
      <c r="I105" s="21" t="n">
        <v>0.9980282871623377</v>
      </c>
      <c r="J105" s="21" t="n">
        <v>0.99916062540576</v>
      </c>
      <c r="K105" s="21" t="n">
        <v>0.9965589970004241</v>
      </c>
      <c r="L105" s="21" t="n">
        <v>0.9969247596461481</v>
      </c>
      <c r="M105" s="21" t="n">
        <v>0.9977617894062647</v>
      </c>
    </row>
    <row r="106">
      <c r="A106" s="10" t="n">
        <v>0.995</v>
      </c>
      <c r="B106" s="21" t="n">
        <v>0.9999999999999999</v>
      </c>
      <c r="C106" s="21" t="n">
        <v>0.9999999999999997</v>
      </c>
      <c r="D106" s="21" t="n">
        <v>1</v>
      </c>
      <c r="E106" s="21" t="n">
        <v>1.000000000000001</v>
      </c>
      <c r="F106" s="21" t="n">
        <v>0.9999999999999999</v>
      </c>
      <c r="G106" s="21" t="n">
        <v>0.9999999999999999</v>
      </c>
      <c r="H106" s="21" t="n">
        <v>0.9999999999999999</v>
      </c>
      <c r="I106" s="21" t="n">
        <v>1</v>
      </c>
      <c r="J106" s="21" t="n">
        <v>1</v>
      </c>
      <c r="K106" s="21" t="n">
        <v>1</v>
      </c>
      <c r="L106" s="21" t="n">
        <v>0.9999999999999997</v>
      </c>
      <c r="M106" s="21" t="n">
        <v>1</v>
      </c>
    </row>
    <row r="130">
      <c r="A130" s="6" t="inlineStr">
        <is>
          <t>■ 工数密度(非累積):平均カーブ vs 各案件</t>
        </is>
      </c>
    </row>
    <row r="131">
      <c r="A131" s="5" t="inlineStr">
        <is>
          <t>上の累積カーブと同じデータを、累積せずに density として並べたもの。面積が1になるよう正規化しているので、案件規模によらず形だけを比べられる。山の位置・鋭さ・数の違いはこちらでしか見えない。</t>
        </is>
      </c>
    </row>
    <row r="133">
      <c r="A133" s="7" t="inlineStr">
        <is>
          <t>t</t>
        </is>
      </c>
      <c r="B133" s="8" t="inlineStr">
        <is>
          <t>平均(位置合わせあり)</t>
        </is>
      </c>
      <c r="C133" s="8" t="inlineStr">
        <is>
          <t>平均(位置合わせなし)</t>
        </is>
      </c>
      <c r="D133" s="8" t="inlineStr">
        <is>
          <t>PJ-2019-A</t>
        </is>
      </c>
      <c r="E133" s="8" t="inlineStr">
        <is>
          <t>PJ-2020-B</t>
        </is>
      </c>
      <c r="F133" s="8" t="inlineStr">
        <is>
          <t>PJ-2020-C</t>
        </is>
      </c>
      <c r="G133" s="8" t="inlineStr">
        <is>
          <t>PJ-2021-D</t>
        </is>
      </c>
      <c r="H133" s="8" t="inlineStr">
        <is>
          <t>PJ-2021-E</t>
        </is>
      </c>
      <c r="I133" s="8" t="inlineStr">
        <is>
          <t>PJ-2022-F</t>
        </is>
      </c>
      <c r="J133" s="8" t="inlineStr">
        <is>
          <t>PJ-2022-G</t>
        </is>
      </c>
      <c r="K133" s="8" t="inlineStr">
        <is>
          <t>PJ-2023-H</t>
        </is>
      </c>
      <c r="L133" s="8" t="inlineStr">
        <is>
          <t>PJ-2023-I</t>
        </is>
      </c>
      <c r="M133" s="8" t="inlineStr">
        <is>
          <t>PJ-2024-J</t>
        </is>
      </c>
    </row>
    <row r="134">
      <c r="A134" s="10" t="n">
        <v>0.005</v>
      </c>
      <c r="B134" s="21" t="n">
        <v>0.3856857832956352</v>
      </c>
      <c r="C134" s="21" t="n">
        <v>0.3834845109846539</v>
      </c>
      <c r="D134" s="21" t="n">
        <v>0.3090068262850812</v>
      </c>
      <c r="E134" s="21" t="n">
        <v>0.05157680709847524</v>
      </c>
      <c r="F134" s="21" t="n">
        <v>1.006548497600342</v>
      </c>
      <c r="G134" s="21" t="n">
        <v>0.6580379591866568</v>
      </c>
      <c r="H134" s="21" t="n">
        <v>0.138089324428331</v>
      </c>
      <c r="I134" s="21" t="n">
        <v>0.2382240855486503</v>
      </c>
      <c r="J134" s="21" t="n">
        <v>0.9459409075211443</v>
      </c>
      <c r="K134" s="21" t="n">
        <v>0.2368670516255016</v>
      </c>
      <c r="L134" s="21" t="n">
        <v>0.1648996523499456</v>
      </c>
      <c r="M134" s="21" t="n">
        <v>0.0303200398786301</v>
      </c>
    </row>
    <row r="135">
      <c r="A135" s="10" t="n">
        <v>0.015</v>
      </c>
      <c r="B135" s="21" t="n">
        <v>0.3850076858393185</v>
      </c>
      <c r="C135" s="21" t="n">
        <v>0.3834845109846539</v>
      </c>
      <c r="D135" s="21" t="n">
        <v>0.3016495208973411</v>
      </c>
      <c r="E135" s="21" t="n">
        <v>0.05267418597291088</v>
      </c>
      <c r="F135" s="21" t="n">
        <v>1.031712210040351</v>
      </c>
      <c r="G135" s="21" t="n">
        <v>0.6440371515443876</v>
      </c>
      <c r="H135" s="21" t="n">
        <v>0.1340278737098507</v>
      </c>
      <c r="I135" s="21" t="n">
        <v>0.2382240855486503</v>
      </c>
      <c r="J135" s="21" t="n">
        <v>0.9459409075211443</v>
      </c>
      <c r="K135" s="21" t="n">
        <v>0.2368670516255016</v>
      </c>
      <c r="L135" s="21" t="n">
        <v>0.1648996523499456</v>
      </c>
      <c r="M135" s="21" t="n">
        <v>0.0303200398786301</v>
      </c>
    </row>
    <row r="136">
      <c r="A136" s="10" t="n">
        <v>0.025</v>
      </c>
      <c r="B136" s="21" t="n">
        <v>0.3946540715406709</v>
      </c>
      <c r="C136" s="21" t="n">
        <v>0.3900762450725753</v>
      </c>
      <c r="D136" s="21" t="n">
        <v>0.3924459404337309</v>
      </c>
      <c r="E136" s="21" t="n">
        <v>0.05157680709847524</v>
      </c>
      <c r="F136" s="21" t="n">
        <v>1.006548497600342</v>
      </c>
      <c r="G136" s="21" t="n">
        <v>0.6580379591866568</v>
      </c>
      <c r="H136" s="21" t="n">
        <v>0.138089324428331</v>
      </c>
      <c r="I136" s="21" t="n">
        <v>0.2446625743472625</v>
      </c>
      <c r="J136" s="21" t="n">
        <v>0.9459409075211443</v>
      </c>
      <c r="K136" s="21" t="n">
        <v>0.2436346816719445</v>
      </c>
      <c r="L136" s="21" t="n">
        <v>0.1648996523499456</v>
      </c>
      <c r="M136" s="21" t="n">
        <v>0.0303200398786301</v>
      </c>
    </row>
    <row r="137">
      <c r="A137" s="10" t="n">
        <v>0.035</v>
      </c>
      <c r="B137" s="21" t="n">
        <v>0.4265346829057992</v>
      </c>
      <c r="C137" s="21" t="n">
        <v>0.4307898917728948</v>
      </c>
      <c r="D137" s="21" t="n">
        <v>0.5426363459013003</v>
      </c>
      <c r="E137" s="21" t="n">
        <v>0.05267418597291088</v>
      </c>
      <c r="F137" s="21" t="n">
        <v>1.127930504826025</v>
      </c>
      <c r="G137" s="21" t="n">
        <v>0.6440371515443876</v>
      </c>
      <c r="H137" s="21" t="n">
        <v>0.1944575596912509</v>
      </c>
      <c r="I137" s="21" t="n">
        <v>0.2382240855486503</v>
      </c>
      <c r="J137" s="21" t="n">
        <v>0.9459409075211443</v>
      </c>
      <c r="K137" s="21" t="n">
        <v>0.2368670516255016</v>
      </c>
      <c r="L137" s="21" t="n">
        <v>0.160777161041197</v>
      </c>
      <c r="M137" s="21" t="n">
        <v>0.06890296310663353</v>
      </c>
    </row>
    <row r="138">
      <c r="A138" s="10" t="n">
        <v>0.045</v>
      </c>
      <c r="B138" s="21" t="n">
        <v>0.4561466361059787</v>
      </c>
      <c r="C138" s="21" t="n">
        <v>0.4529944338099215</v>
      </c>
      <c r="D138" s="21" t="n">
        <v>0.5297164329036503</v>
      </c>
      <c r="E138" s="21" t="n">
        <v>0.05157680709847524</v>
      </c>
      <c r="F138" s="21" t="n">
        <v>1.230778701890471</v>
      </c>
      <c r="G138" s="21" t="n">
        <v>0.6580379591866568</v>
      </c>
      <c r="H138" s="21" t="n">
        <v>0.2252038698346618</v>
      </c>
      <c r="I138" s="21" t="n">
        <v>0.2382240855486503</v>
      </c>
      <c r="J138" s="21" t="n">
        <v>1.04283534654763</v>
      </c>
      <c r="K138" s="21" t="n">
        <v>0.2368670516255016</v>
      </c>
      <c r="L138" s="21" t="n">
        <v>0.1648996523499456</v>
      </c>
      <c r="M138" s="21" t="n">
        <v>0.08681646317677795</v>
      </c>
    </row>
    <row r="139">
      <c r="A139" s="10" t="n">
        <v>0.055</v>
      </c>
      <c r="B139" s="21" t="n">
        <v>0.475667238219055</v>
      </c>
      <c r="C139" s="21" t="n">
        <v>0.4995375620997842</v>
      </c>
      <c r="D139" s="21" t="n">
        <v>0.6460204282186088</v>
      </c>
      <c r="E139" s="21" t="n">
        <v>0.05267418597291088</v>
      </c>
      <c r="F139" s="21" t="n">
        <v>1.200759709161435</v>
      </c>
      <c r="G139" s="21" t="n">
        <v>0.6989330985431049</v>
      </c>
      <c r="H139" s="21" t="n">
        <v>0.2185802266042306</v>
      </c>
      <c r="I139" s="21" t="n">
        <v>0.2608450905899931</v>
      </c>
      <c r="J139" s="21" t="n">
        <v>1.028414449285482</v>
      </c>
      <c r="K139" s="21" t="n">
        <v>0.2725460793059212</v>
      </c>
      <c r="L139" s="21" t="n">
        <v>0.2172838867223257</v>
      </c>
      <c r="M139" s="21" t="n">
        <v>0.08681646317677795</v>
      </c>
    </row>
    <row r="140">
      <c r="A140" s="10" t="n">
        <v>0.065</v>
      </c>
      <c r="B140" s="21" t="n">
        <v>0.5447755472516996</v>
      </c>
      <c r="C140" s="21" t="n">
        <v>0.5371377239585607</v>
      </c>
      <c r="D140" s="21" t="n">
        <v>0.7034560295060023</v>
      </c>
      <c r="E140" s="21" t="n">
        <v>0.1434641714652056</v>
      </c>
      <c r="F140" s="21" t="n">
        <v>1.15743789478429</v>
      </c>
      <c r="G140" s="21" t="n">
        <v>0.8300452597826391</v>
      </c>
      <c r="H140" s="21" t="n">
        <v>0.2619838145870027</v>
      </c>
      <c r="I140" s="21" t="n">
        <v>0.4474683821810708</v>
      </c>
      <c r="J140" s="21" t="n">
        <v>1.028414449285482</v>
      </c>
      <c r="K140" s="21" t="n">
        <v>0.4152621900275987</v>
      </c>
      <c r="L140" s="21" t="n">
        <v>0.3260819119572698</v>
      </c>
      <c r="M140" s="21" t="n">
        <v>0.1176560014888834</v>
      </c>
    </row>
    <row r="141">
      <c r="A141" s="10" t="n">
        <v>0.075</v>
      </c>
      <c r="B141" s="21" t="n">
        <v>0.5419734390887873</v>
      </c>
      <c r="C141" s="21" t="n">
        <v>0.538614094631451</v>
      </c>
      <c r="D141" s="21" t="n">
        <v>0.6889024516821154</v>
      </c>
      <c r="E141" s="21" t="n">
        <v>0.1595444602293835</v>
      </c>
      <c r="F141" s="21" t="n">
        <v>1.053159262944175</v>
      </c>
      <c r="G141" s="21" t="n">
        <v>0.8123847223404553</v>
      </c>
      <c r="H141" s="21" t="n">
        <v>0.2877297759136414</v>
      </c>
      <c r="I141" s="21" t="n">
        <v>0.4595621222400187</v>
      </c>
      <c r="J141" s="21" t="n">
        <v>1.028414449285482</v>
      </c>
      <c r="K141" s="21" t="n">
        <v>0.4271268240283873</v>
      </c>
      <c r="L141" s="21" t="n">
        <v>0.3260819119572698</v>
      </c>
      <c r="M141" s="21" t="n">
        <v>0.1395006744599581</v>
      </c>
    </row>
    <row r="142">
      <c r="A142" s="10" t="n">
        <v>0.08500000000000001</v>
      </c>
      <c r="B142" s="21" t="n">
        <v>0.550767517594033</v>
      </c>
      <c r="C142" s="21" t="n">
        <v>0.5536993005037764</v>
      </c>
      <c r="D142" s="21" t="n">
        <v>0.7956617904087536</v>
      </c>
      <c r="E142" s="21" t="n">
        <v>0.1629390232129874</v>
      </c>
      <c r="F142" s="21" t="n">
        <v>1.027472451652854</v>
      </c>
      <c r="G142" s="21" t="n">
        <v>0.8300452597826391</v>
      </c>
      <c r="H142" s="21" t="n">
        <v>0.2877297759136414</v>
      </c>
      <c r="I142" s="21" t="n">
        <v>0.4474683821810708</v>
      </c>
      <c r="J142" s="21" t="n">
        <v>1.022916864893898</v>
      </c>
      <c r="K142" s="21" t="n">
        <v>0.4152621900275987</v>
      </c>
      <c r="L142" s="21" t="n">
        <v>0.3260819119572698</v>
      </c>
      <c r="M142" s="21" t="n">
        <v>0.1395006744599581</v>
      </c>
    </row>
    <row r="143">
      <c r="A143" s="10" t="n">
        <v>0.095</v>
      </c>
      <c r="B143" s="21" t="n">
        <v>0.5512207658932439</v>
      </c>
      <c r="C143" s="21" t="n">
        <v>0.5637094177431041</v>
      </c>
      <c r="D143" s="21" t="n">
        <v>0.7956617904087536</v>
      </c>
      <c r="E143" s="21" t="n">
        <v>0.1595444602293835</v>
      </c>
      <c r="F143" s="21" t="n">
        <v>1.027472451652854</v>
      </c>
      <c r="G143" s="21" t="n">
        <v>0.8123847223404553</v>
      </c>
      <c r="H143" s="21" t="n">
        <v>0.2929106785030255</v>
      </c>
      <c r="I143" s="21" t="n">
        <v>0.4474683821810708</v>
      </c>
      <c r="J143" s="21" t="n">
        <v>1.008073387036619</v>
      </c>
      <c r="K143" s="21" t="n">
        <v>0.4152621900275987</v>
      </c>
      <c r="L143" s="21" t="n">
        <v>0.3260819119572698</v>
      </c>
      <c r="M143" s="21" t="n">
        <v>0.1551519126377423</v>
      </c>
    </row>
    <row r="144">
      <c r="A144" s="10" t="n">
        <v>0.105</v>
      </c>
      <c r="B144" s="21" t="n">
        <v>0.5542081223323013</v>
      </c>
      <c r="C144" s="21" t="n">
        <v>0.5719034568511761</v>
      </c>
      <c r="D144" s="21" t="n">
        <v>0.8047546645368768</v>
      </c>
      <c r="E144" s="21" t="n">
        <v>0.1629390232129874</v>
      </c>
      <c r="F144" s="21" t="n">
        <v>0.901713008823758</v>
      </c>
      <c r="G144" s="21" t="n">
        <v>0.8300452597826391</v>
      </c>
      <c r="H144" s="21" t="n">
        <v>0.3457148339077296</v>
      </c>
      <c r="I144" s="21" t="n">
        <v>0.4474683821810708</v>
      </c>
      <c r="J144" s="21" t="n">
        <v>1.008073387036619</v>
      </c>
      <c r="K144" s="21" t="n">
        <v>0.4152621900275987</v>
      </c>
      <c r="L144" s="21" t="n">
        <v>0.3260819119572698</v>
      </c>
      <c r="M144" s="21" t="n">
        <v>0.2036707509888731</v>
      </c>
    </row>
    <row r="145">
      <c r="A145" s="10" t="n">
        <v>0.115</v>
      </c>
      <c r="B145" s="21" t="n">
        <v>0.5886699677295556</v>
      </c>
      <c r="C145" s="21" t="n">
        <v>0.6090281334939568</v>
      </c>
      <c r="D145" s="21" t="n">
        <v>0.8937919990579142</v>
      </c>
      <c r="E145" s="21" t="n">
        <v>0.1680021739118866</v>
      </c>
      <c r="F145" s="21" t="n">
        <v>0.8797200086085444</v>
      </c>
      <c r="G145" s="21" t="n">
        <v>0.8646492485078925</v>
      </c>
      <c r="H145" s="21" t="n">
        <v>0.3457148339077296</v>
      </c>
      <c r="I145" s="21" t="n">
        <v>0.4474683821810708</v>
      </c>
      <c r="J145" s="21" t="n">
        <v>1.008073387036619</v>
      </c>
      <c r="K145" s="21" t="n">
        <v>0.5865333905777178</v>
      </c>
      <c r="L145" s="21" t="n">
        <v>0.429508948197777</v>
      </c>
      <c r="M145" s="21" t="n">
        <v>0.1987031716964615</v>
      </c>
    </row>
    <row r="146">
      <c r="A146" s="10" t="n">
        <v>0.125</v>
      </c>
      <c r="B146" s="21" t="n">
        <v>0.629822339946189</v>
      </c>
      <c r="C146" s="21" t="n">
        <v>0.6238068110369358</v>
      </c>
      <c r="D146" s="21" t="n">
        <v>0.8937919990579142</v>
      </c>
      <c r="E146" s="21" t="n">
        <v>0.2982624421330377</v>
      </c>
      <c r="F146" s="21" t="n">
        <v>0.8797200086085444</v>
      </c>
      <c r="G146" s="21" t="n">
        <v>0.9417012929585282</v>
      </c>
      <c r="H146" s="21" t="n">
        <v>0.3457148339077296</v>
      </c>
      <c r="I146" s="21" t="n">
        <v>0.6201242477838096</v>
      </c>
      <c r="J146" s="21" t="n">
        <v>1.008073387036619</v>
      </c>
      <c r="K146" s="21" t="n">
        <v>0.6084728010814545</v>
      </c>
      <c r="L146" s="21" t="n">
        <v>0.4573514225919039</v>
      </c>
      <c r="M146" s="21" t="n">
        <v>0.2049784084333269</v>
      </c>
    </row>
    <row r="147">
      <c r="A147" s="10" t="n">
        <v>0.135</v>
      </c>
      <c r="B147" s="21" t="n">
        <v>0.6449139806065293</v>
      </c>
      <c r="C147" s="21" t="n">
        <v>0.6313920794047359</v>
      </c>
      <c r="D147" s="21" t="n">
        <v>0.9317043377792803</v>
      </c>
      <c r="E147" s="21" t="n">
        <v>0.2920486412552661</v>
      </c>
      <c r="F147" s="21" t="n">
        <v>0.859795681481032</v>
      </c>
      <c r="G147" s="21" t="n">
        <v>0.9216650952360064</v>
      </c>
      <c r="H147" s="21" t="n">
        <v>0.3558510307450941</v>
      </c>
      <c r="I147" s="21" t="n">
        <v>0.603805188631604</v>
      </c>
      <c r="J147" s="21" t="n">
        <v>1.111331813054208</v>
      </c>
      <c r="K147" s="21" t="n">
        <v>0.5915707788291918</v>
      </c>
      <c r="L147" s="21" t="n">
        <v>0.4573514225919039</v>
      </c>
      <c r="M147" s="21" t="n">
        <v>0.2572847062114788</v>
      </c>
    </row>
    <row r="148">
      <c r="A148" s="10" t="n">
        <v>0.145</v>
      </c>
      <c r="B148" s="21" t="n">
        <v>0.6497329137392838</v>
      </c>
      <c r="C148" s="21" t="n">
        <v>0.6598860902742947</v>
      </c>
      <c r="D148" s="21" t="n">
        <v>0.9973799251143847</v>
      </c>
      <c r="E148" s="21" t="n">
        <v>0.2920486412552661</v>
      </c>
      <c r="F148" s="21" t="n">
        <v>0.8152318126966586</v>
      </c>
      <c r="G148" s="21" t="n">
        <v>0.9417012929585282</v>
      </c>
      <c r="H148" s="21" t="n">
        <v>0.3666343953131272</v>
      </c>
      <c r="I148" s="21" t="n">
        <v>0.603805188631604</v>
      </c>
      <c r="J148" s="21" t="n">
        <v>1.095963648774562</v>
      </c>
      <c r="K148" s="21" t="n">
        <v>0.5915707788291918</v>
      </c>
      <c r="L148" s="21" t="n">
        <v>0.4573514225919039</v>
      </c>
      <c r="M148" s="21" t="n">
        <v>0.2572847062114788</v>
      </c>
    </row>
    <row r="149">
      <c r="A149" s="10" t="n">
        <v>0.155</v>
      </c>
      <c r="B149" s="21" t="n">
        <v>0.6480401713315049</v>
      </c>
      <c r="C149" s="21" t="n">
        <v>0.6717400087833783</v>
      </c>
      <c r="D149" s="21" t="n">
        <v>0.9973799251143847</v>
      </c>
      <c r="E149" s="21" t="n">
        <v>0.2982624421330377</v>
      </c>
      <c r="F149" s="21" t="n">
        <v>0.8152318126966586</v>
      </c>
      <c r="G149" s="21" t="n">
        <v>0.9216650952360064</v>
      </c>
      <c r="H149" s="21" t="n">
        <v>0.3666343953131272</v>
      </c>
      <c r="I149" s="21" t="n">
        <v>0.603805188631604</v>
      </c>
      <c r="J149" s="21" t="n">
        <v>1.095963648774562</v>
      </c>
      <c r="K149" s="21" t="n">
        <v>0.5915707788291918</v>
      </c>
      <c r="L149" s="21" t="n">
        <v>0.4573514225919039</v>
      </c>
      <c r="M149" s="21" t="n">
        <v>0.2572847062114788</v>
      </c>
    </row>
    <row r="150">
      <c r="A150" s="10" t="n">
        <v>0.165</v>
      </c>
      <c r="B150" s="21" t="n">
        <v>0.6363857136811497</v>
      </c>
      <c r="C150" s="21" t="n">
        <v>0.6736215608823527</v>
      </c>
      <c r="D150" s="21" t="n">
        <v>0.7235770502545724</v>
      </c>
      <c r="E150" s="21" t="n">
        <v>0.2920486412552661</v>
      </c>
      <c r="F150" s="21" t="n">
        <v>0.8278813695680001</v>
      </c>
      <c r="G150" s="21" t="n">
        <v>0.9417012929585282</v>
      </c>
      <c r="H150" s="21" t="n">
        <v>0.3932716406364329</v>
      </c>
      <c r="I150" s="21" t="n">
        <v>0.603805188631604</v>
      </c>
      <c r="J150" s="21" t="n">
        <v>1.095963648774562</v>
      </c>
      <c r="K150" s="21" t="n">
        <v>0.6126642234372238</v>
      </c>
      <c r="L150" s="21" t="n">
        <v>0.4868210589216899</v>
      </c>
      <c r="M150" s="21" t="n">
        <v>0.2853903149932823</v>
      </c>
    </row>
    <row r="151">
      <c r="A151" s="10" t="n">
        <v>0.175</v>
      </c>
      <c r="B151" s="21" t="n">
        <v>0.6657597269885203</v>
      </c>
      <c r="C151" s="21" t="n">
        <v>0.6769459765594132</v>
      </c>
      <c r="D151" s="21" t="n">
        <v>0.7348214046394413</v>
      </c>
      <c r="E151" s="21" t="n">
        <v>0.2982624421330377</v>
      </c>
      <c r="F151" s="21" t="n">
        <v>0.7959037165814716</v>
      </c>
      <c r="G151" s="21" t="n">
        <v>1.009252641352859</v>
      </c>
      <c r="H151" s="21" t="n">
        <v>0.4272201446610092</v>
      </c>
      <c r="I151" s="21" t="n">
        <v>0.63661592537016</v>
      </c>
      <c r="J151" s="21" t="n">
        <v>1.084589789407903</v>
      </c>
      <c r="K151" s="21" t="n">
        <v>0.7350334687296465</v>
      </c>
      <c r="L151" s="21" t="n">
        <v>0.6046996042408345</v>
      </c>
      <c r="M151" s="21" t="n">
        <v>0.2970202220754078</v>
      </c>
    </row>
    <row r="152">
      <c r="A152" s="10" t="n">
        <v>0.185</v>
      </c>
      <c r="B152" s="21" t="n">
        <v>0.6822029913372569</v>
      </c>
      <c r="C152" s="21" t="n">
        <v>0.6769459765594132</v>
      </c>
      <c r="D152" s="21" t="n">
        <v>0.7452398917545494</v>
      </c>
      <c r="E152" s="21" t="n">
        <v>0.3890242228902877</v>
      </c>
      <c r="F152" s="21" t="n">
        <v>0.7959037165814716</v>
      </c>
      <c r="G152" s="21" t="n">
        <v>1.052961148836692</v>
      </c>
      <c r="H152" s="21" t="n">
        <v>0.4272201446610092</v>
      </c>
      <c r="I152" s="21" t="n">
        <v>0.7258436027705966</v>
      </c>
      <c r="J152" s="21" t="n">
        <v>1.053880369117927</v>
      </c>
      <c r="K152" s="21" t="n">
        <v>0.7146158723760452</v>
      </c>
      <c r="L152" s="21" t="n">
        <v>0.5895821141348137</v>
      </c>
      <c r="M152" s="21" t="n">
        <v>0.2970202220754078</v>
      </c>
    </row>
    <row r="153">
      <c r="A153" s="10" t="n">
        <v>0.195</v>
      </c>
      <c r="B153" s="21" t="n">
        <v>0.6903578691266098</v>
      </c>
      <c r="C153" s="21" t="n">
        <v>0.6822651029618994</v>
      </c>
      <c r="D153" s="21" t="n">
        <v>0.7600414540818721</v>
      </c>
      <c r="E153" s="21" t="n">
        <v>0.4065142541907363</v>
      </c>
      <c r="F153" s="21" t="n">
        <v>0.8150630708185088</v>
      </c>
      <c r="G153" s="21" t="n">
        <v>1.030557720138039</v>
      </c>
      <c r="H153" s="21" t="n">
        <v>0.4336207439104027</v>
      </c>
      <c r="I153" s="21" t="n">
        <v>0.7258436027705966</v>
      </c>
      <c r="J153" s="21" t="n">
        <v>1.053880369117927</v>
      </c>
      <c r="K153" s="21" t="n">
        <v>0.7146158723760452</v>
      </c>
      <c r="L153" s="21" t="n">
        <v>0.6046996042408345</v>
      </c>
      <c r="M153" s="21" t="n">
        <v>0.3288207049814728</v>
      </c>
    </row>
    <row r="154">
      <c r="A154" s="10" t="n">
        <v>0.205</v>
      </c>
      <c r="B154" s="21" t="n">
        <v>0.6926336003519471</v>
      </c>
      <c r="C154" s="21" t="n">
        <v>0.7067531117675715</v>
      </c>
      <c r="D154" s="21" t="n">
        <v>0.7785790505228934</v>
      </c>
      <c r="E154" s="21" t="n">
        <v>0.3980452072284293</v>
      </c>
      <c r="F154" s="21" t="n">
        <v>0.7663741694814881</v>
      </c>
      <c r="G154" s="21" t="n">
        <v>1.052961148836692</v>
      </c>
      <c r="H154" s="21" t="n">
        <v>0.4309025213063176</v>
      </c>
      <c r="I154" s="21" t="n">
        <v>0.7258436027705966</v>
      </c>
      <c r="J154" s="21" t="n">
        <v>1.053880369117927</v>
      </c>
      <c r="K154" s="21" t="n">
        <v>0.7146158723760452</v>
      </c>
      <c r="L154" s="21" t="n">
        <v>0.6046996042408345</v>
      </c>
      <c r="M154" s="21" t="n">
        <v>0.3622112120328413</v>
      </c>
    </row>
    <row r="155">
      <c r="A155" s="10" t="n">
        <v>0.215</v>
      </c>
      <c r="B155" s="21" t="n">
        <v>0.693474708154197</v>
      </c>
      <c r="C155" s="21" t="n">
        <v>0.719606866736588</v>
      </c>
      <c r="D155" s="21" t="n">
        <v>0.7766738230690252</v>
      </c>
      <c r="E155" s="21" t="n">
        <v>0.3980452072284293</v>
      </c>
      <c r="F155" s="21" t="n">
        <v>0.7663741694814881</v>
      </c>
      <c r="G155" s="21" t="n">
        <v>1.030557720138039</v>
      </c>
      <c r="H155" s="21" t="n">
        <v>0.4439601734671151</v>
      </c>
      <c r="I155" s="21" t="n">
        <v>0.7454609974400722</v>
      </c>
      <c r="J155" s="21" t="n">
        <v>1.053880369117927</v>
      </c>
      <c r="K155" s="21" t="n">
        <v>0.7146158723760452</v>
      </c>
      <c r="L155" s="21" t="n">
        <v>0.6046996042408345</v>
      </c>
      <c r="M155" s="21" t="n">
        <v>0.3622112120328413</v>
      </c>
    </row>
    <row r="156">
      <c r="A156" s="10" t="n">
        <v>0.225</v>
      </c>
      <c r="B156" s="21" t="n">
        <v>0.7255551076547686</v>
      </c>
      <c r="C156" s="21" t="n">
        <v>0.7498767057782773</v>
      </c>
      <c r="D156" s="21" t="n">
        <v>0.7570370569430802</v>
      </c>
      <c r="E156" s="21" t="n">
        <v>0.4065142541907363</v>
      </c>
      <c r="F156" s="21" t="n">
        <v>0.7855335237185253</v>
      </c>
      <c r="G156" s="21" t="n">
        <v>1.052961148836692</v>
      </c>
      <c r="H156" s="21" t="n">
        <v>0.4440438693062161</v>
      </c>
      <c r="I156" s="21" t="n">
        <v>0.7258436027705966</v>
      </c>
      <c r="J156" s="21" t="n">
        <v>1.18878987735728</v>
      </c>
      <c r="K156" s="21" t="n">
        <v>0.7920825674505891</v>
      </c>
      <c r="L156" s="21" t="n">
        <v>0.6789528222805028</v>
      </c>
      <c r="M156" s="21" t="n">
        <v>0.3852291968910798</v>
      </c>
    </row>
    <row r="157">
      <c r="A157" s="10" t="n">
        <v>0.235</v>
      </c>
      <c r="B157" s="21" t="n">
        <v>0.7500706422718695</v>
      </c>
      <c r="C157" s="21" t="n">
        <v>0.7690470272742462</v>
      </c>
      <c r="D157" s="21" t="n">
        <v>0.7755013754051067</v>
      </c>
      <c r="E157" s="21" t="n">
        <v>0.3980452072284293</v>
      </c>
      <c r="F157" s="21" t="n">
        <v>0.7473249907684488</v>
      </c>
      <c r="G157" s="21" t="n">
        <v>1.153256634809105</v>
      </c>
      <c r="H157" s="21" t="n">
        <v>0.4468058319965494</v>
      </c>
      <c r="I157" s="21" t="n">
        <v>0.7305357778207064</v>
      </c>
      <c r="J157" s="21" t="n">
        <v>1.180905254141737</v>
      </c>
      <c r="K157" s="21" t="n">
        <v>0.8096977035776158</v>
      </c>
      <c r="L157" s="21" t="n">
        <v>0.7461343052687743</v>
      </c>
      <c r="M157" s="21" t="n">
        <v>0.4970308376310947</v>
      </c>
    </row>
    <row r="158">
      <c r="A158" s="10" t="n">
        <v>0.245</v>
      </c>
      <c r="B158" s="21" t="n">
        <v>0.7888971178374992</v>
      </c>
      <c r="C158" s="21" t="n">
        <v>0.7793993408812909</v>
      </c>
      <c r="D158" s="21" t="n">
        <v>0.826233223597852</v>
      </c>
      <c r="E158" s="21" t="n">
        <v>0.5498366853323995</v>
      </c>
      <c r="F158" s="21" t="n">
        <v>0.737067740692197</v>
      </c>
      <c r="G158" s="21" t="n">
        <v>1.187073916035299</v>
      </c>
      <c r="H158" s="21" t="n">
        <v>0.4336644839966509</v>
      </c>
      <c r="I158" s="21" t="n">
        <v>0.8994540796246653</v>
      </c>
      <c r="J158" s="21" t="n">
        <v>1.180905254141737</v>
      </c>
      <c r="K158" s="21" t="n">
        <v>0.8096977035776158</v>
      </c>
      <c r="L158" s="21" t="n">
        <v>0.7461343052687743</v>
      </c>
      <c r="M158" s="21" t="n">
        <v>0.4970308376310947</v>
      </c>
    </row>
    <row r="159">
      <c r="A159" s="10" t="n">
        <v>0.255</v>
      </c>
      <c r="B159" s="21" t="n">
        <v>0.7861084794166483</v>
      </c>
      <c r="C159" s="21" t="n">
        <v>0.8346941187664815</v>
      </c>
      <c r="D159" s="21" t="n">
        <v>0.8132534292647712</v>
      </c>
      <c r="E159" s="21" t="n">
        <v>0.5511396223115695</v>
      </c>
      <c r="F159" s="21" t="n">
        <v>0.755494434209502</v>
      </c>
      <c r="G159" s="21" t="n">
        <v>1.161817024204761</v>
      </c>
      <c r="H159" s="21" t="n">
        <v>0.4468058319965494</v>
      </c>
      <c r="I159" s="21" t="n">
        <v>0.8994540796246653</v>
      </c>
      <c r="J159" s="21" t="n">
        <v>1.180905254141737</v>
      </c>
      <c r="K159" s="21" t="n">
        <v>0.8096977035776158</v>
      </c>
      <c r="L159" s="21" t="n">
        <v>0.727480947637055</v>
      </c>
      <c r="M159" s="21" t="n">
        <v>0.4970308376310947</v>
      </c>
    </row>
    <row r="160">
      <c r="A160" s="10" t="n">
        <v>0.265</v>
      </c>
      <c r="B160" s="21" t="n">
        <v>0.8095075390702269</v>
      </c>
      <c r="C160" s="21" t="n">
        <v>0.8397043879162517</v>
      </c>
      <c r="D160" s="21" t="n">
        <v>0.8357388945475216</v>
      </c>
      <c r="E160" s="21" t="n">
        <v>0.5628659972543688</v>
      </c>
      <c r="F160" s="21" t="n">
        <v>0.7492131775240617</v>
      </c>
      <c r="G160" s="21" t="n">
        <v>1.187073916035299</v>
      </c>
      <c r="H160" s="21" t="n">
        <v>0.4795726979415404</v>
      </c>
      <c r="I160" s="21" t="n">
        <v>0.9237636493442508</v>
      </c>
      <c r="J160" s="21" t="n">
        <v>1.212670879519591</v>
      </c>
      <c r="K160" s="21" t="n">
        <v>0.8096977035776158</v>
      </c>
      <c r="L160" s="21" t="n">
        <v>0.7461343052687743</v>
      </c>
      <c r="M160" s="21" t="n">
        <v>0.5664872808119165</v>
      </c>
    </row>
    <row r="161">
      <c r="A161" s="10" t="n">
        <v>0.275</v>
      </c>
      <c r="B161" s="21" t="n">
        <v>0.8210082655262581</v>
      </c>
      <c r="C161" s="21" t="n">
        <v>0.8742364140792216</v>
      </c>
      <c r="D161" s="21" t="n">
        <v>0.8489889734899583</v>
      </c>
      <c r="E161" s="21" t="n">
        <v>0.5511396223115695</v>
      </c>
      <c r="F161" s="21" t="n">
        <v>0.7573101354119715</v>
      </c>
      <c r="G161" s="21" t="n">
        <v>1.161817024204761</v>
      </c>
      <c r="H161" s="21" t="n">
        <v>0.4952438077413189</v>
      </c>
      <c r="I161" s="21" t="n">
        <v>0.8994540796246653</v>
      </c>
      <c r="J161" s="21" t="n">
        <v>1.311497269584027</v>
      </c>
      <c r="K161" s="21" t="n">
        <v>0.8328319236798335</v>
      </c>
      <c r="L161" s="21" t="n">
        <v>0.7493513115392102</v>
      </c>
      <c r="M161" s="21" t="n">
        <v>0.5783940996429143</v>
      </c>
    </row>
    <row r="162">
      <c r="A162" s="10" t="n">
        <v>0.285</v>
      </c>
      <c r="B162" s="21" t="n">
        <v>0.8447538294287125</v>
      </c>
      <c r="C162" s="21" t="n">
        <v>0.9742757454180631</v>
      </c>
      <c r="D162" s="21" t="n">
        <v>0.828774950311626</v>
      </c>
      <c r="E162" s="21" t="n">
        <v>0.5511396223115695</v>
      </c>
      <c r="F162" s="21" t="n">
        <v>0.7762428887972708</v>
      </c>
      <c r="G162" s="21" t="n">
        <v>1.208250663934827</v>
      </c>
      <c r="H162" s="21" t="n">
        <v>0.4806778133959859</v>
      </c>
      <c r="I162" s="21" t="n">
        <v>0.8994540796246653</v>
      </c>
      <c r="J162" s="21" t="n">
        <v>1.311497269584027</v>
      </c>
      <c r="K162" s="21" t="n">
        <v>0.9360997314355196</v>
      </c>
      <c r="L162" s="21" t="n">
        <v>0.8748145560862082</v>
      </c>
      <c r="M162" s="21" t="n">
        <v>0.5783940996429143</v>
      </c>
    </row>
    <row r="163">
      <c r="A163" s="10" t="n">
        <v>0.295</v>
      </c>
      <c r="B163" s="21" t="n">
        <v>0.883886338732589</v>
      </c>
      <c r="C163" s="21" t="n">
        <v>1.013304130772383</v>
      </c>
      <c r="D163" s="21" t="n">
        <v>0.887884257672185</v>
      </c>
      <c r="E163" s="21" t="n">
        <v>0.5628659972543688</v>
      </c>
      <c r="F163" s="21" t="n">
        <v>0.7468018535249132</v>
      </c>
      <c r="G163" s="21" t="n">
        <v>1.405349625049336</v>
      </c>
      <c r="H163" s="21" t="n">
        <v>0.5815965672617085</v>
      </c>
      <c r="I163" s="21" t="n">
        <v>0.8994540796246653</v>
      </c>
      <c r="J163" s="21" t="n">
        <v>1.311497269584027</v>
      </c>
      <c r="K163" s="21" t="n">
        <v>0.9677002383999955</v>
      </c>
      <c r="L163" s="21" t="n">
        <v>0.8748145560862082</v>
      </c>
      <c r="M163" s="21" t="n">
        <v>0.6476980874575996</v>
      </c>
    </row>
    <row r="164">
      <c r="A164" s="10" t="n">
        <v>0.305</v>
      </c>
      <c r="B164" s="21" t="n">
        <v>0.9231301172229158</v>
      </c>
      <c r="C164" s="21" t="n">
        <v>1.03976272990319</v>
      </c>
      <c r="D164" s="21" t="n">
        <v>0.9118198171689398</v>
      </c>
      <c r="E164" s="21" t="n">
        <v>0.6482001065944902</v>
      </c>
      <c r="F164" s="21" t="n">
        <v>0.7152770078637383</v>
      </c>
      <c r="G164" s="21" t="n">
        <v>1.435900703854756</v>
      </c>
      <c r="H164" s="21" t="n">
        <v>0.7049576522908364</v>
      </c>
      <c r="I164" s="21" t="n">
        <v>1.018528550499996</v>
      </c>
      <c r="J164" s="21" t="n">
        <v>1.311497269584027</v>
      </c>
      <c r="K164" s="21" t="n">
        <v>0.9677002383999955</v>
      </c>
      <c r="L164" s="21" t="n">
        <v>0.8748145560862082</v>
      </c>
      <c r="M164" s="21" t="n">
        <v>0.6876811573506874</v>
      </c>
    </row>
    <row r="165">
      <c r="A165" s="10" t="n">
        <v>0.315</v>
      </c>
      <c r="B165" s="21" t="n">
        <v>0.9506608576487321</v>
      </c>
      <c r="C165" s="21" t="n">
        <v>1.047923133534718</v>
      </c>
      <c r="D165" s="21" t="n">
        <v>0.8901098215220602</v>
      </c>
      <c r="E165" s="21" t="n">
        <v>0.6922799762982634</v>
      </c>
      <c r="F165" s="21" t="n">
        <v>0.7331589330603316</v>
      </c>
      <c r="G165" s="21" t="n">
        <v>1.405349625049336</v>
      </c>
      <c r="H165" s="21" t="n">
        <v>0.7049576522908364</v>
      </c>
      <c r="I165" s="21" t="n">
        <v>1.056846881499033</v>
      </c>
      <c r="J165" s="21" t="n">
        <v>1.523548280783577</v>
      </c>
      <c r="K165" s="21" t="n">
        <v>0.9677002383999955</v>
      </c>
      <c r="L165" s="21" t="n">
        <v>0.8748145560862082</v>
      </c>
      <c r="M165" s="21" t="n">
        <v>0.6876811573506874</v>
      </c>
    </row>
    <row r="166">
      <c r="A166" s="10" t="n">
        <v>0.325</v>
      </c>
      <c r="B166" s="21" t="n">
        <v>0.9622800328827708</v>
      </c>
      <c r="C166" s="21" t="n">
        <v>1.047923133534718</v>
      </c>
      <c r="D166" s="21" t="n">
        <v>0.9095724898323125</v>
      </c>
      <c r="E166" s="21" t="n">
        <v>0.6778574767920496</v>
      </c>
      <c r="F166" s="21" t="n">
        <v>0.7152770078637383</v>
      </c>
      <c r="G166" s="21" t="n">
        <v>1.435900703854756</v>
      </c>
      <c r="H166" s="21" t="n">
        <v>0.7066969797187456</v>
      </c>
      <c r="I166" s="21" t="n">
        <v>1.029035121459584</v>
      </c>
      <c r="J166" s="21" t="n">
        <v>1.572872875376</v>
      </c>
      <c r="K166" s="21" t="n">
        <v>0.9953488166399954</v>
      </c>
      <c r="L166" s="21" t="n">
        <v>0.8748145560862082</v>
      </c>
      <c r="M166" s="21" t="n">
        <v>0.727068997705725</v>
      </c>
    </row>
    <row r="167">
      <c r="A167" s="10" t="n">
        <v>0.335</v>
      </c>
      <c r="B167" s="21" t="n">
        <v>1.042711178261927</v>
      </c>
      <c r="C167" s="21" t="n">
        <v>1.092134997226499</v>
      </c>
      <c r="D167" s="21" t="n">
        <v>0.9093359290600362</v>
      </c>
      <c r="E167" s="21" t="n">
        <v>0.6778574767920496</v>
      </c>
      <c r="F167" s="21" t="n">
        <v>0.7044782378699277</v>
      </c>
      <c r="G167" s="21" t="n">
        <v>1.405349625049336</v>
      </c>
      <c r="H167" s="21" t="n">
        <v>1.469052437130584</v>
      </c>
      <c r="I167" s="21" t="n">
        <v>1.029035121459584</v>
      </c>
      <c r="J167" s="21" t="n">
        <v>1.572872875376</v>
      </c>
      <c r="K167" s="21" t="n">
        <v>0.9935312057007759</v>
      </c>
      <c r="L167" s="21" t="n">
        <v>0.9194772351867864</v>
      </c>
      <c r="M167" s="21" t="n">
        <v>0.7921018011343683</v>
      </c>
    </row>
    <row r="168">
      <c r="A168" s="10" t="n">
        <v>0.345</v>
      </c>
      <c r="B168" s="21" t="n">
        <v>1.079279213814964</v>
      </c>
      <c r="C168" s="21" t="n">
        <v>1.136538912343711</v>
      </c>
      <c r="D168" s="21" t="n">
        <v>0.896652865095944</v>
      </c>
      <c r="E168" s="21" t="n">
        <v>0.6922799762982634</v>
      </c>
      <c r="F168" s="21" t="n">
        <v>0.7218063799899156</v>
      </c>
      <c r="G168" s="21" t="n">
        <v>1.496363795978857</v>
      </c>
      <c r="H168" s="21" t="n">
        <v>1.469052437130584</v>
      </c>
      <c r="I168" s="21" t="n">
        <v>1.029035121459584</v>
      </c>
      <c r="J168" s="21" t="n">
        <v>1.572872875376</v>
      </c>
      <c r="K168" s="21" t="n">
        <v>1.118380880987882</v>
      </c>
      <c r="L168" s="21" t="n">
        <v>1.064908964665448</v>
      </c>
      <c r="M168" s="21" t="n">
        <v>0.8119043461627276</v>
      </c>
    </row>
    <row r="169">
      <c r="A169" s="10" t="n">
        <v>0.355</v>
      </c>
      <c r="B169" s="21" t="n">
        <v>1.079507111554801</v>
      </c>
      <c r="C169" s="21" t="n">
        <v>1.161204040344713</v>
      </c>
      <c r="D169" s="21" t="n">
        <v>0.9435765874753224</v>
      </c>
      <c r="E169" s="21" t="n">
        <v>0.6778574767920496</v>
      </c>
      <c r="F169" s="21" t="n">
        <v>0.7042013463316249</v>
      </c>
      <c r="G169" s="21" t="n">
        <v>1.551733953349792</v>
      </c>
      <c r="H169" s="21" t="n">
        <v>1.425845012509096</v>
      </c>
      <c r="I169" s="21" t="n">
        <v>1.030929229084488</v>
      </c>
      <c r="J169" s="21" t="n">
        <v>1.564895709348051</v>
      </c>
      <c r="K169" s="21" t="n">
        <v>1.118380880987882</v>
      </c>
      <c r="L169" s="21" t="n">
        <v>1.064908964665448</v>
      </c>
      <c r="M169" s="21" t="n">
        <v>0.8156428479577631</v>
      </c>
    </row>
    <row r="170">
      <c r="A170" s="10" t="n">
        <v>0.365</v>
      </c>
      <c r="B170" s="21" t="n">
        <v>1.121844391567747</v>
      </c>
      <c r="C170" s="21" t="n">
        <v>1.192844865070716</v>
      </c>
      <c r="D170" s="21" t="n">
        <v>0.9435765874753224</v>
      </c>
      <c r="E170" s="21" t="n">
        <v>0.8290613158499575</v>
      </c>
      <c r="F170" s="21" t="n">
        <v>0.744287169388793</v>
      </c>
      <c r="G170" s="21" t="n">
        <v>1.585467300161743</v>
      </c>
      <c r="H170" s="21" t="n">
        <v>1.497728711506364</v>
      </c>
      <c r="I170" s="21" t="n">
        <v>1.128822971245363</v>
      </c>
      <c r="J170" s="21" t="n">
        <v>1.535978482496735</v>
      </c>
      <c r="K170" s="21" t="n">
        <v>1.118380880987882</v>
      </c>
      <c r="L170" s="21" t="n">
        <v>1.064908964665448</v>
      </c>
      <c r="M170" s="21" t="n">
        <v>0.8629972040282152</v>
      </c>
    </row>
    <row r="171">
      <c r="A171" s="10" t="n">
        <v>0.375</v>
      </c>
      <c r="B171" s="21" t="n">
        <v>1.129937552221592</v>
      </c>
      <c r="C171" s="21" t="n">
        <v>1.203669765753216</v>
      </c>
      <c r="D171" s="21" t="n">
        <v>0.9794936733551098</v>
      </c>
      <c r="E171" s="21" t="n">
        <v>0.8470343967638819</v>
      </c>
      <c r="F171" s="21" t="n">
        <v>0.7902863277125775</v>
      </c>
      <c r="G171" s="21" t="n">
        <v>1.551733953349792</v>
      </c>
      <c r="H171" s="21" t="n">
        <v>1.505163301159343</v>
      </c>
      <c r="I171" s="21" t="n">
        <v>1.099117103581011</v>
      </c>
      <c r="J171" s="21" t="n">
        <v>1.535978482496735</v>
      </c>
      <c r="K171" s="21" t="n">
        <v>1.150334620444678</v>
      </c>
      <c r="L171" s="21" t="n">
        <v>1.064908964665448</v>
      </c>
      <c r="M171" s="21" t="n">
        <v>0.8629972040282152</v>
      </c>
    </row>
    <row r="172">
      <c r="A172" s="10" t="n">
        <v>0.385</v>
      </c>
      <c r="B172" s="21" t="n">
        <v>1.136965544690334</v>
      </c>
      <c r="C172" s="21" t="n">
        <v>1.216582596988205</v>
      </c>
      <c r="D172" s="21" t="n">
        <v>1.05018937853734</v>
      </c>
      <c r="E172" s="21" t="n">
        <v>0.8650564052056667</v>
      </c>
      <c r="F172" s="21" t="n">
        <v>0.7710110514269048</v>
      </c>
      <c r="G172" s="21" t="n">
        <v>1.585467300161743</v>
      </c>
      <c r="H172" s="21" t="n">
        <v>1.505163301159343</v>
      </c>
      <c r="I172" s="21" t="n">
        <v>1.099117103581011</v>
      </c>
      <c r="J172" s="21" t="n">
        <v>1.535978482496735</v>
      </c>
      <c r="K172" s="21" t="n">
        <v>1.118380880987882</v>
      </c>
      <c r="L172" s="21" t="n">
        <v>1.064908964665448</v>
      </c>
      <c r="M172" s="21" t="n">
        <v>0.8629972040282152</v>
      </c>
    </row>
    <row r="173">
      <c r="A173" s="10" t="n">
        <v>0.395</v>
      </c>
      <c r="B173" s="21" t="n">
        <v>1.170585028411506</v>
      </c>
      <c r="C173" s="21" t="n">
        <v>1.313507712055811</v>
      </c>
      <c r="D173" s="21" t="n">
        <v>1.05018937853734</v>
      </c>
      <c r="E173" s="21" t="n">
        <v>0.8470343967638819</v>
      </c>
      <c r="F173" s="21" t="n">
        <v>0.8058325084992641</v>
      </c>
      <c r="G173" s="21" t="n">
        <v>1.551733953349792</v>
      </c>
      <c r="H173" s="21" t="n">
        <v>1.58476811005672</v>
      </c>
      <c r="I173" s="21" t="n">
        <v>1.099117103581011</v>
      </c>
      <c r="J173" s="21" t="n">
        <v>1.535978482496735</v>
      </c>
      <c r="K173" s="21" t="n">
        <v>1.203303311087194</v>
      </c>
      <c r="L173" s="21" t="n">
        <v>1.287890365321008</v>
      </c>
      <c r="M173" s="21" t="n">
        <v>0.9133068373415457</v>
      </c>
    </row>
    <row r="174">
      <c r="A174" s="10" t="n">
        <v>0.405</v>
      </c>
      <c r="B174" s="21" t="n">
        <v>1.212898179264764</v>
      </c>
      <c r="C174" s="21" t="n">
        <v>1.349806336687969</v>
      </c>
      <c r="D174" s="21" t="n">
        <v>1.079918634776502</v>
      </c>
      <c r="E174" s="21" t="n">
        <v>0.8470343967638819</v>
      </c>
      <c r="F174" s="21" t="n">
        <v>0.8922634519959153</v>
      </c>
      <c r="G174" s="21" t="n">
        <v>1.441264379880355</v>
      </c>
      <c r="H174" s="21" t="n">
        <v>1.806000929992924</v>
      </c>
      <c r="I174" s="21" t="n">
        <v>1.099117103581011</v>
      </c>
      <c r="J174" s="21" t="n">
        <v>1.550100633102416</v>
      </c>
      <c r="K174" s="21" t="n">
        <v>1.347018192793723</v>
      </c>
      <c r="L174" s="21" t="n">
        <v>1.279849424592335</v>
      </c>
      <c r="M174" s="21" t="n">
        <v>0.9295357513135881</v>
      </c>
    </row>
    <row r="175">
      <c r="A175" s="10" t="n">
        <v>0.415</v>
      </c>
      <c r="B175" s="21" t="n">
        <v>1.202465670038101</v>
      </c>
      <c r="C175" s="21" t="n">
        <v>1.289085682567353</v>
      </c>
      <c r="D175" s="21" t="n">
        <v>1.109133433424061</v>
      </c>
      <c r="E175" s="21" t="n">
        <v>0.8650564052056667</v>
      </c>
      <c r="F175" s="21" t="n">
        <v>0.8705009287765026</v>
      </c>
      <c r="G175" s="21" t="n">
        <v>1.296605709775029</v>
      </c>
      <c r="H175" s="21" t="n">
        <v>1.806000929992924</v>
      </c>
      <c r="I175" s="21" t="n">
        <v>1.128822971245363</v>
      </c>
      <c r="J175" s="21" t="n">
        <v>1.493751027909797</v>
      </c>
      <c r="K175" s="21" t="n">
        <v>1.347018192793723</v>
      </c>
      <c r="L175" s="21" t="n">
        <v>1.312666076504959</v>
      </c>
      <c r="M175" s="21" t="n">
        <v>0.9295357513135881</v>
      </c>
    </row>
    <row r="176">
      <c r="A176" s="10" t="n">
        <v>0.425</v>
      </c>
      <c r="B176" s="21" t="n">
        <v>1.254719346338728</v>
      </c>
      <c r="C176" s="21" t="n">
        <v>1.198799030568763</v>
      </c>
      <c r="D176" s="21" t="n">
        <v>1.12895537847972</v>
      </c>
      <c r="E176" s="21" t="n">
        <v>0.9683790262548756</v>
      </c>
      <c r="F176" s="21" t="n">
        <v>0.8705009287765026</v>
      </c>
      <c r="G176" s="21" t="n">
        <v>1.324792790422312</v>
      </c>
      <c r="H176" s="21" t="n">
        <v>1.820706360181038</v>
      </c>
      <c r="I176" s="21" t="n">
        <v>1.375947244609089</v>
      </c>
      <c r="J176" s="21" t="n">
        <v>1.493751027909797</v>
      </c>
      <c r="K176" s="21" t="n">
        <v>1.385504426873544</v>
      </c>
      <c r="L176" s="21" t="n">
        <v>1.312666076504959</v>
      </c>
      <c r="M176" s="21" t="n">
        <v>0.983219307202985</v>
      </c>
    </row>
    <row r="177">
      <c r="A177" s="10" t="n">
        <v>0.435</v>
      </c>
      <c r="B177" s="21" t="n">
        <v>1.282275416684257</v>
      </c>
      <c r="C177" s="21" t="n">
        <v>1.21655011668005</v>
      </c>
      <c r="D177" s="21" t="n">
        <v>1.173025466453239</v>
      </c>
      <c r="E177" s="21" t="n">
        <v>1.059207812391256</v>
      </c>
      <c r="F177" s="21" t="n">
        <v>0.8853440543294822</v>
      </c>
      <c r="G177" s="21" t="n">
        <v>1.296605709775029</v>
      </c>
      <c r="H177" s="21" t="n">
        <v>1.91464298765062</v>
      </c>
      <c r="I177" s="21" t="n">
        <v>1.391766109810693</v>
      </c>
      <c r="J177" s="21" t="n">
        <v>1.493751027909797</v>
      </c>
      <c r="K177" s="21" t="n">
        <v>1.347018192793723</v>
      </c>
      <c r="L177" s="21" t="n">
        <v>1.312666076504959</v>
      </c>
      <c r="M177" s="21" t="n">
        <v>1.051814961950547</v>
      </c>
    </row>
    <row r="178">
      <c r="A178" s="10" t="n">
        <v>0.445</v>
      </c>
      <c r="B178" s="21" t="n">
        <v>1.292515254251563</v>
      </c>
      <c r="C178" s="21" t="n">
        <v>1.215368629812958</v>
      </c>
      <c r="D178" s="21" t="n">
        <v>1.201635843683806</v>
      </c>
      <c r="E178" s="21" t="n">
        <v>1.037140982966438</v>
      </c>
      <c r="F178" s="21" t="n">
        <v>0.8635815311100695</v>
      </c>
      <c r="G178" s="21" t="n">
        <v>1.324792790422312</v>
      </c>
      <c r="H178" s="21" t="n">
        <v>1.972662472124882</v>
      </c>
      <c r="I178" s="21" t="n">
        <v>1.391766109810693</v>
      </c>
      <c r="J178" s="21" t="n">
        <v>1.432753182396603</v>
      </c>
      <c r="K178" s="21" t="n">
        <v>1.347018192793723</v>
      </c>
      <c r="L178" s="21" t="n">
        <v>1.411372056138271</v>
      </c>
      <c r="M178" s="21" t="n">
        <v>1.051814961950547</v>
      </c>
    </row>
    <row r="179">
      <c r="A179" s="10" t="n">
        <v>0.455</v>
      </c>
      <c r="B179" s="21" t="n">
        <v>1.315746469166763</v>
      </c>
      <c r="C179" s="21" t="n">
        <v>1.184415667762377</v>
      </c>
      <c r="D179" s="21" t="n">
        <v>1.237734243070175</v>
      </c>
      <c r="E179" s="21" t="n">
        <v>1.059207812391256</v>
      </c>
      <c r="F179" s="21" t="n">
        <v>0.8635815311100695</v>
      </c>
      <c r="G179" s="21" t="n">
        <v>1.296605709775029</v>
      </c>
      <c r="H179" s="21" t="n">
        <v>2.000398615817924</v>
      </c>
      <c r="I179" s="21" t="n">
        <v>1.391766109810693</v>
      </c>
      <c r="J179" s="21" t="n">
        <v>1.171333844482914</v>
      </c>
      <c r="K179" s="21" t="n">
        <v>1.379347737086302</v>
      </c>
      <c r="L179" s="21" t="n">
        <v>1.751359319319675</v>
      </c>
      <c r="M179" s="21" t="n">
        <v>1.11417249728882</v>
      </c>
    </row>
    <row r="180">
      <c r="A180" s="10" t="n">
        <v>0.465</v>
      </c>
      <c r="B180" s="21" t="n">
        <v>1.386863857089787</v>
      </c>
      <c r="C180" s="21" t="n">
        <v>1.175103296598825</v>
      </c>
      <c r="D180" s="21" t="n">
        <v>1.243503293826626</v>
      </c>
      <c r="E180" s="21" t="n">
        <v>1.037140982966438</v>
      </c>
      <c r="F180" s="21" t="n">
        <v>0.9581360323365176</v>
      </c>
      <c r="G180" s="21" t="n">
        <v>1.291330393356442</v>
      </c>
      <c r="H180" s="21" t="n">
        <v>2.4441769149066</v>
      </c>
      <c r="I180" s="21" t="n">
        <v>1.429381410075848</v>
      </c>
      <c r="J180" s="21" t="n">
        <v>1.171333844482914</v>
      </c>
      <c r="K180" s="21" t="n">
        <v>1.403594895305737</v>
      </c>
      <c r="L180" s="21" t="n">
        <v>1.751359319319675</v>
      </c>
      <c r="M180" s="21" t="n">
        <v>1.193851570221059</v>
      </c>
    </row>
    <row r="181">
      <c r="A181" s="10" t="n">
        <v>0.475</v>
      </c>
      <c r="B181" s="21" t="n">
        <v>1.377790041055543</v>
      </c>
      <c r="C181" s="21" t="n">
        <v>1.165143017808628</v>
      </c>
      <c r="D181" s="21" t="n">
        <v>1.273832642456543</v>
      </c>
      <c r="E181" s="21" t="n">
        <v>1.037140982966438</v>
      </c>
      <c r="F181" s="21" t="n">
        <v>0.9803254718279832</v>
      </c>
      <c r="G181" s="21" t="n">
        <v>1.259062532579175</v>
      </c>
      <c r="H181" s="21" t="n">
        <v>2.372289358585817</v>
      </c>
      <c r="I181" s="21" t="n">
        <v>1.386622434641242</v>
      </c>
      <c r="J181" s="21" t="n">
        <v>1.171333844482914</v>
      </c>
      <c r="K181" s="21" t="n">
        <v>1.443697606600186</v>
      </c>
      <c r="L181" s="21" t="n">
        <v>1.707575336336684</v>
      </c>
      <c r="M181" s="21" t="n">
        <v>1.193851570221059</v>
      </c>
    </row>
    <row r="182">
      <c r="A182" s="10" t="n">
        <v>0.485</v>
      </c>
      <c r="B182" s="21" t="n">
        <v>1.469801256137886</v>
      </c>
      <c r="C182" s="21" t="n">
        <v>1.164670322341156</v>
      </c>
      <c r="D182" s="21" t="n">
        <v>1.367098783060545</v>
      </c>
      <c r="E182" s="21" t="n">
        <v>1.759559968229077</v>
      </c>
      <c r="F182" s="21" t="n">
        <v>0.9803254718279832</v>
      </c>
      <c r="G182" s="21" t="n">
        <v>1.286433457200461</v>
      </c>
      <c r="H182" s="21" t="n">
        <v>2.4441769149066</v>
      </c>
      <c r="I182" s="21" t="n">
        <v>1.296608119175838</v>
      </c>
      <c r="J182" s="21" t="n">
        <v>1.171333844482914</v>
      </c>
      <c r="K182" s="21" t="n">
        <v>1.403594895305737</v>
      </c>
      <c r="L182" s="21" t="n">
        <v>1.751359319319675</v>
      </c>
      <c r="M182" s="21" t="n">
        <v>1.255263135306296</v>
      </c>
    </row>
    <row r="183">
      <c r="A183" s="10" t="n">
        <v>0.495</v>
      </c>
      <c r="B183" s="21" t="n">
        <v>1.518069804733092</v>
      </c>
      <c r="C183" s="21" t="n">
        <v>1.164997813162551</v>
      </c>
      <c r="D183" s="21" t="n">
        <v>1.412552370707328</v>
      </c>
      <c r="E183" s="21" t="n">
        <v>1.994337678081868</v>
      </c>
      <c r="F183" s="21" t="n">
        <v>0.9334622607114625</v>
      </c>
      <c r="G183" s="21" t="n">
        <v>1.122207909472743</v>
      </c>
      <c r="H183" s="21" t="n">
        <v>2.02761575062813</v>
      </c>
      <c r="I183" s="21" t="n">
        <v>1.61199928329969</v>
      </c>
      <c r="J183" s="21" t="n">
        <v>1.193770138656348</v>
      </c>
      <c r="K183" s="21" t="n">
        <v>1.844724719544681</v>
      </c>
      <c r="L183" s="21" t="n">
        <v>1.532439404404716</v>
      </c>
      <c r="M183" s="21" t="n">
        <v>1.490423183929758</v>
      </c>
    </row>
    <row r="184">
      <c r="A184" s="10" t="n">
        <v>0.505</v>
      </c>
      <c r="B184" s="21" t="n">
        <v>1.464863562090171</v>
      </c>
      <c r="C184" s="21" t="n">
        <v>1.320850893269806</v>
      </c>
      <c r="D184" s="21" t="n">
        <v>1.559894208041698</v>
      </c>
      <c r="E184" s="21" t="n">
        <v>1.401426476489962</v>
      </c>
      <c r="F184" s="21" t="n">
        <v>1.015716699508367</v>
      </c>
      <c r="G184" s="21" t="n">
        <v>0.9579823617450243</v>
      </c>
      <c r="H184" s="21" t="n">
        <v>2.034822070518572</v>
      </c>
      <c r="I184" s="21" t="n">
        <v>1.927390447423542</v>
      </c>
      <c r="J184" s="21" t="n">
        <v>1.224801224524419</v>
      </c>
      <c r="K184" s="21" t="n">
        <v>1.949466450939069</v>
      </c>
      <c r="L184" s="21" t="n">
        <v>1.292125067373473</v>
      </c>
      <c r="M184" s="21" t="n">
        <v>1.242019319941465</v>
      </c>
    </row>
    <row r="185">
      <c r="A185" s="10" t="n">
        <v>0.515</v>
      </c>
      <c r="B185" s="21" t="n">
        <v>1.479010605533329</v>
      </c>
      <c r="C185" s="21" t="n">
        <v>1.3408921688298</v>
      </c>
      <c r="D185" s="21" t="n">
        <v>1.812241364436518</v>
      </c>
      <c r="E185" s="21" t="n">
        <v>1.401426476489962</v>
      </c>
      <c r="F185" s="21" t="n">
        <v>1.015716699508367</v>
      </c>
      <c r="G185" s="21" t="n">
        <v>0.9853532863663106</v>
      </c>
      <c r="H185" s="21" t="n">
        <v>1.836045416929175</v>
      </c>
      <c r="I185" s="21" t="n">
        <v>1.96243391010397</v>
      </c>
      <c r="J185" s="21" t="n">
        <v>1.224801224524419</v>
      </c>
      <c r="K185" s="21" t="n">
        <v>1.615297728750414</v>
      </c>
      <c r="L185" s="21" t="n">
        <v>1.65354206083503</v>
      </c>
      <c r="M185" s="21" t="n">
        <v>1.242019319941465</v>
      </c>
    </row>
    <row r="186">
      <c r="A186" s="10" t="n">
        <v>0.525</v>
      </c>
      <c r="B186" s="21" t="n">
        <v>1.454708981624907</v>
      </c>
      <c r="C186" s="21" t="n">
        <v>1.33874603464075</v>
      </c>
      <c r="D186" s="21" t="n">
        <v>1.812241364436518</v>
      </c>
      <c r="E186" s="21" t="n">
        <v>1.401426476489962</v>
      </c>
      <c r="F186" s="21" t="n">
        <v>1.015716699508367</v>
      </c>
      <c r="G186" s="21" t="n">
        <v>1.023474117466201</v>
      </c>
      <c r="H186" s="21" t="n">
        <v>1.682526972147236</v>
      </c>
      <c r="I186" s="21" t="n">
        <v>1.835801076433107</v>
      </c>
      <c r="J186" s="21" t="n">
        <v>1.224801224524419</v>
      </c>
      <c r="K186" s="21" t="n">
        <v>1.643147689590938</v>
      </c>
      <c r="L186" s="21" t="n">
        <v>1.596523369082098</v>
      </c>
      <c r="M186" s="21" t="n">
        <v>1.283419963939514</v>
      </c>
    </row>
    <row r="187">
      <c r="A187" s="10" t="n">
        <v>0.535</v>
      </c>
      <c r="B187" s="21" t="n">
        <v>1.474323701794768</v>
      </c>
      <c r="C187" s="21" t="n">
        <v>1.387125979311298</v>
      </c>
      <c r="D187" s="21" t="n">
        <v>1.631748814081758</v>
      </c>
      <c r="E187" s="21" t="n">
        <v>1.401426476489962</v>
      </c>
      <c r="F187" s="21" t="n">
        <v>1.015716699508367</v>
      </c>
      <c r="G187" s="21" t="n">
        <v>1.280066187111604</v>
      </c>
      <c r="H187" s="21" t="n">
        <v>1.639276297431885</v>
      </c>
      <c r="I187" s="21" t="n">
        <v>1.64879821334764</v>
      </c>
      <c r="J187" s="21" t="n">
        <v>1.183165296131584</v>
      </c>
      <c r="K187" s="21" t="n">
        <v>1.637358076579664</v>
      </c>
      <c r="L187" s="21" t="n">
        <v>1.65354206083503</v>
      </c>
      <c r="M187" s="21" t="n">
        <v>1.665619533021405</v>
      </c>
    </row>
    <row r="188">
      <c r="A188" s="10" t="n">
        <v>0.545</v>
      </c>
      <c r="B188" s="21" t="n">
        <v>1.436209881348914</v>
      </c>
      <c r="C188" s="21" t="n">
        <v>1.396465161953493</v>
      </c>
      <c r="D188" s="21" t="n">
        <v>1.557329544504641</v>
      </c>
      <c r="E188" s="21" t="n">
        <v>1.401426476489962</v>
      </c>
      <c r="F188" s="21" t="n">
        <v>1.015716699508367</v>
      </c>
      <c r="G188" s="21" t="n">
        <v>1.24450879302517</v>
      </c>
      <c r="H188" s="21" t="n">
        <v>1.48200111664879</v>
      </c>
      <c r="I188" s="21" t="n">
        <v>1.678776362681234</v>
      </c>
      <c r="J188" s="21" t="n">
        <v>1.178087743888555</v>
      </c>
      <c r="K188" s="21" t="n">
        <v>1.55933146964143</v>
      </c>
      <c r="L188" s="21" t="n">
        <v>1.596523369082098</v>
      </c>
      <c r="M188" s="21" t="n">
        <v>1.665619533021405</v>
      </c>
    </row>
    <row r="189">
      <c r="A189" s="10" t="n">
        <v>0.555</v>
      </c>
      <c r="B189" s="21" t="n">
        <v>1.43115153945077</v>
      </c>
      <c r="C189" s="21" t="n">
        <v>1.369416340770435</v>
      </c>
      <c r="D189" s="21" t="n">
        <v>1.54543562729283</v>
      </c>
      <c r="E189" s="21" t="n">
        <v>1.401426476489962</v>
      </c>
      <c r="F189" s="21" t="n">
        <v>0.9534593937598635</v>
      </c>
      <c r="G189" s="21" t="n">
        <v>1.24450879302517</v>
      </c>
      <c r="H189" s="21" t="n">
        <v>1.455372520236974</v>
      </c>
      <c r="I189" s="21" t="n">
        <v>1.64879821334764</v>
      </c>
      <c r="J189" s="21" t="n">
        <v>1.178087743888555</v>
      </c>
      <c r="K189" s="21" t="n">
        <v>1.586216494980075</v>
      </c>
      <c r="L189" s="21" t="n">
        <v>1.596523369082098</v>
      </c>
      <c r="M189" s="21" t="n">
        <v>1.721140184122118</v>
      </c>
    </row>
    <row r="190">
      <c r="A190" s="10" t="n">
        <v>0.5649999999999999</v>
      </c>
      <c r="B190" s="21" t="n">
        <v>1.415026431705136</v>
      </c>
      <c r="C190" s="21" t="n">
        <v>1.332224823270117</v>
      </c>
      <c r="D190" s="21" t="n">
        <v>1.415394258428807</v>
      </c>
      <c r="E190" s="21" t="n">
        <v>1.401426476489962</v>
      </c>
      <c r="F190" s="21" t="n">
        <v>0.9161050103107612</v>
      </c>
      <c r="G190" s="21" t="n">
        <v>1.280066187111604</v>
      </c>
      <c r="H190" s="21" t="n">
        <v>1.523315349864186</v>
      </c>
      <c r="I190" s="21" t="n">
        <v>1.572403815036136</v>
      </c>
      <c r="J190" s="21" t="n">
        <v>1.168859684128103</v>
      </c>
      <c r="K190" s="21" t="n">
        <v>1.586216494980075</v>
      </c>
      <c r="L190" s="21" t="n">
        <v>1.65354206083503</v>
      </c>
      <c r="M190" s="21" t="n">
        <v>1.665619533021405</v>
      </c>
    </row>
    <row r="191">
      <c r="A191" s="10" t="n">
        <v>0.575</v>
      </c>
      <c r="B191" s="21" t="n">
        <v>1.388161055069876</v>
      </c>
      <c r="C191" s="21" t="n">
        <v>1.421317452494768</v>
      </c>
      <c r="D191" s="21" t="n">
        <v>1.415394258428807</v>
      </c>
      <c r="E191" s="21" t="n">
        <v>1.401426476489962</v>
      </c>
      <c r="F191" s="21" t="n">
        <v>0.9161050103107612</v>
      </c>
      <c r="G191" s="21" t="n">
        <v>1.24450879302517</v>
      </c>
      <c r="H191" s="21" t="n">
        <v>1.523315349864186</v>
      </c>
      <c r="I191" s="21" t="n">
        <v>1.380933229274959</v>
      </c>
      <c r="J191" s="21" t="n">
        <v>1.161761176620063</v>
      </c>
      <c r="K191" s="21" t="n">
        <v>1.426185456230394</v>
      </c>
      <c r="L191" s="21" t="n">
        <v>1.596523369082098</v>
      </c>
      <c r="M191" s="21" t="n">
        <v>1.859004641209369</v>
      </c>
    </row>
    <row r="192">
      <c r="A192" s="10" t="n">
        <v>0.585</v>
      </c>
      <c r="B192" s="21" t="n">
        <v>1.411731066094642</v>
      </c>
      <c r="C192" s="21" t="n">
        <v>1.498786002565983</v>
      </c>
      <c r="D192" s="21" t="n">
        <v>1.396822340085012</v>
      </c>
      <c r="E192" s="21" t="n">
        <v>1.563838271634148</v>
      </c>
      <c r="F192" s="21" t="n">
        <v>0.9161050103107612</v>
      </c>
      <c r="G192" s="21" t="n">
        <v>1.280066187111604</v>
      </c>
      <c r="H192" s="21" t="n">
        <v>1.398626082838684</v>
      </c>
      <c r="I192" s="21" t="n">
        <v>1.356273707323621</v>
      </c>
      <c r="J192" s="21" t="n">
        <v>1.161761176620063</v>
      </c>
      <c r="K192" s="21" t="n">
        <v>1.403527778904468</v>
      </c>
      <c r="L192" s="21" t="n">
        <v>1.552692680996263</v>
      </c>
      <c r="M192" s="21" t="n">
        <v>2.120802741043911</v>
      </c>
    </row>
    <row r="193">
      <c r="A193" s="10" t="n">
        <v>0.595</v>
      </c>
      <c r="B193" s="21" t="n">
        <v>1.414974179139781</v>
      </c>
      <c r="C193" s="21" t="n">
        <v>1.491472702743583</v>
      </c>
      <c r="D193" s="21" t="n">
        <v>1.390813778267901</v>
      </c>
      <c r="E193" s="21" t="n">
        <v>1.823697143864843</v>
      </c>
      <c r="F193" s="21" t="n">
        <v>0.8779339682144794</v>
      </c>
      <c r="G193" s="21" t="n">
        <v>1.24450879302517</v>
      </c>
      <c r="H193" s="21" t="n">
        <v>1.371906954190361</v>
      </c>
      <c r="I193" s="21" t="n">
        <v>1.380933229274959</v>
      </c>
      <c r="J193" s="21" t="n">
        <v>1.161761176620063</v>
      </c>
      <c r="K193" s="21" t="n">
        <v>1.403527778904468</v>
      </c>
      <c r="L193" s="21" t="n">
        <v>1.468169612923667</v>
      </c>
      <c r="M193" s="21" t="n">
        <v>2.052389749397333</v>
      </c>
    </row>
    <row r="194">
      <c r="A194" s="10" t="n">
        <v>0.605</v>
      </c>
      <c r="B194" s="21" t="n">
        <v>1.439972781054811</v>
      </c>
      <c r="C194" s="21" t="n">
        <v>1.48521334462448</v>
      </c>
      <c r="D194" s="21" t="n">
        <v>1.370172297700424</v>
      </c>
      <c r="E194" s="21" t="n">
        <v>1.823697143864843</v>
      </c>
      <c r="F194" s="21" t="n">
        <v>0.9075510117504357</v>
      </c>
      <c r="G194" s="21" t="n">
        <v>1.39149045838377</v>
      </c>
      <c r="H194" s="21" t="n">
        <v>1.32347245909791</v>
      </c>
      <c r="I194" s="21" t="n">
        <v>1.369755923485114</v>
      </c>
      <c r="J194" s="21" t="n">
        <v>1.345361968174975</v>
      </c>
      <c r="K194" s="21" t="n">
        <v>1.359309009749457</v>
      </c>
      <c r="L194" s="21" t="n">
        <v>1.520604241956655</v>
      </c>
      <c r="M194" s="21" t="n">
        <v>2.052389749397333</v>
      </c>
    </row>
    <row r="195">
      <c r="A195" s="10" t="n">
        <v>0.615</v>
      </c>
      <c r="B195" s="21" t="n">
        <v>1.445372358495531</v>
      </c>
      <c r="C195" s="21" t="n">
        <v>1.52997311518486</v>
      </c>
      <c r="D195" s="21" t="n">
        <v>1.348592568016245</v>
      </c>
      <c r="E195" s="21" t="n">
        <v>1.823697143864843</v>
      </c>
      <c r="F195" s="21" t="n">
        <v>0.8476730218281556</v>
      </c>
      <c r="G195" s="21" t="n">
        <v>1.558557763580531</v>
      </c>
      <c r="H195" s="21" t="n">
        <v>1.335298544339541</v>
      </c>
      <c r="I195" s="21" t="n">
        <v>1.400801758355053</v>
      </c>
      <c r="J195" s="21" t="n">
        <v>1.372902086908212</v>
      </c>
      <c r="K195" s="21" t="n">
        <v>1.323169138821725</v>
      </c>
      <c r="L195" s="21" t="n">
        <v>1.468169612923667</v>
      </c>
      <c r="M195" s="21" t="n">
        <v>2.082630943932649</v>
      </c>
    </row>
    <row r="196">
      <c r="A196" s="10" t="n">
        <v>0.625</v>
      </c>
      <c r="B196" s="21" t="n">
        <v>1.415139278892424</v>
      </c>
      <c r="C196" s="21" t="n">
        <v>1.538906293260437</v>
      </c>
      <c r="D196" s="21" t="n">
        <v>1.318623844282551</v>
      </c>
      <c r="E196" s="21" t="n">
        <v>1.823697143864843</v>
      </c>
      <c r="F196" s="21" t="n">
        <v>0.8476730218281556</v>
      </c>
      <c r="G196" s="21" t="n">
        <v>1.51526449236996</v>
      </c>
      <c r="H196" s="21" t="n">
        <v>1.309043159613556</v>
      </c>
      <c r="I196" s="21" t="n">
        <v>1.400801758355053</v>
      </c>
      <c r="J196" s="21" t="n">
        <v>1.372902086908212</v>
      </c>
      <c r="K196" s="21" t="n">
        <v>1.323169138821725</v>
      </c>
      <c r="L196" s="21" t="n">
        <v>1.520604241956655</v>
      </c>
      <c r="M196" s="21" t="n">
        <v>1.823358966729762</v>
      </c>
    </row>
    <row r="197">
      <c r="A197" s="10" t="n">
        <v>0.635</v>
      </c>
      <c r="B197" s="21" t="n">
        <v>1.414505566035659</v>
      </c>
      <c r="C197" s="21" t="n">
        <v>1.497652411353406</v>
      </c>
      <c r="D197" s="21" t="n">
        <v>1.380823095737654</v>
      </c>
      <c r="E197" s="21" t="n">
        <v>1.823697143864843</v>
      </c>
      <c r="F197" s="21" t="n">
        <v>0.8476730218281556</v>
      </c>
      <c r="G197" s="21" t="n">
        <v>1.558557763580531</v>
      </c>
      <c r="H197" s="21" t="n">
        <v>1.274433788838395</v>
      </c>
      <c r="I197" s="21" t="n">
        <v>1.37578744124157</v>
      </c>
      <c r="J197" s="21" t="n">
        <v>1.379767419979419</v>
      </c>
      <c r="K197" s="21" t="n">
        <v>1.300742543248476</v>
      </c>
      <c r="L197" s="21" t="n">
        <v>1.468169612923667</v>
      </c>
      <c r="M197" s="21" t="n">
        <v>1.823358966729762</v>
      </c>
    </row>
    <row r="198">
      <c r="A198" s="10" t="n">
        <v>0.645</v>
      </c>
      <c r="B198" s="21" t="n">
        <v>1.428838803637905</v>
      </c>
      <c r="C198" s="21" t="n">
        <v>1.481208870299635</v>
      </c>
      <c r="D198" s="21" t="n">
        <v>1.382322190050277</v>
      </c>
      <c r="E198" s="21" t="n">
        <v>1.823697143864843</v>
      </c>
      <c r="F198" s="21" t="n">
        <v>0.8476730218281556</v>
      </c>
      <c r="G198" s="21" t="n">
        <v>1.51526449236996</v>
      </c>
      <c r="H198" s="21" t="n">
        <v>1.301957404133318</v>
      </c>
      <c r="I198" s="21" t="n">
        <v>1.383659912897544</v>
      </c>
      <c r="J198" s="21" t="n">
        <v>1.39719480392941</v>
      </c>
      <c r="K198" s="21" t="n">
        <v>1.420725961922556</v>
      </c>
      <c r="L198" s="21" t="n">
        <v>1.468169612923667</v>
      </c>
      <c r="M198" s="21" t="n">
        <v>1.823358966729762</v>
      </c>
    </row>
    <row r="199">
      <c r="A199" s="10" t="n">
        <v>0.655</v>
      </c>
      <c r="B199" s="21" t="n">
        <v>1.451160441739421</v>
      </c>
      <c r="C199" s="21" t="n">
        <v>1.529100986546969</v>
      </c>
      <c r="D199" s="21" t="n">
        <v>1.42529284135515</v>
      </c>
      <c r="E199" s="21" t="n">
        <v>1.823697143864843</v>
      </c>
      <c r="F199" s="21" t="n">
        <v>0.8476730218281556</v>
      </c>
      <c r="G199" s="21" t="n">
        <v>1.51526449236996</v>
      </c>
      <c r="H199" s="21" t="n">
        <v>1.374552233267687</v>
      </c>
      <c r="I199" s="21" t="n">
        <v>1.348057985354424</v>
      </c>
      <c r="J199" s="21" t="n">
        <v>1.39719480392941</v>
      </c>
      <c r="K199" s="21" t="n">
        <v>1.448296368451052</v>
      </c>
      <c r="L199" s="21" t="n">
        <v>1.520604241956655</v>
      </c>
      <c r="M199" s="21" t="n">
        <v>1.884137598954088</v>
      </c>
    </row>
    <row r="200">
      <c r="A200" s="10" t="n">
        <v>0.665</v>
      </c>
      <c r="B200" s="21" t="n">
        <v>1.462510834133555</v>
      </c>
      <c r="C200" s="21" t="n">
        <v>1.466848062072911</v>
      </c>
      <c r="D200" s="21" t="n">
        <v>1.466395203472856</v>
      </c>
      <c r="E200" s="21" t="n">
        <v>1.823697143864843</v>
      </c>
      <c r="F200" s="21" t="n">
        <v>0.8906239108944388</v>
      </c>
      <c r="G200" s="21" t="n">
        <v>1.558557763580531</v>
      </c>
      <c r="H200" s="21" t="n">
        <v>1.405300644571157</v>
      </c>
      <c r="I200" s="21" t="n">
        <v>1.372568130542686</v>
      </c>
      <c r="J200" s="21" t="n">
        <v>1.39719480392941</v>
      </c>
      <c r="K200" s="21" t="n">
        <v>1.423748972375611</v>
      </c>
      <c r="L200" s="21" t="n">
        <v>1.672593790222618</v>
      </c>
      <c r="M200" s="21" t="n">
        <v>1.710226202287758</v>
      </c>
    </row>
    <row r="201">
      <c r="A201" s="10" t="n">
        <v>0.675</v>
      </c>
      <c r="B201" s="21" t="n">
        <v>1.45765087144363</v>
      </c>
      <c r="C201" s="21" t="n">
        <v>1.352284727373861</v>
      </c>
      <c r="D201" s="21" t="n">
        <v>1.466395203472856</v>
      </c>
      <c r="E201" s="21" t="n">
        <v>1.823697143864843</v>
      </c>
      <c r="F201" s="21" t="n">
        <v>0.9413840525182281</v>
      </c>
      <c r="G201" s="21" t="n">
        <v>1.31229155523215</v>
      </c>
      <c r="H201" s="21" t="n">
        <v>1.485106127204989</v>
      </c>
      <c r="I201" s="21" t="n">
        <v>1.372568130542686</v>
      </c>
      <c r="J201" s="21" t="n">
        <v>1.283645345016964</v>
      </c>
      <c r="K201" s="21" t="n">
        <v>1.53357032867958</v>
      </c>
      <c r="L201" s="21" t="n">
        <v>1.778356465507506</v>
      </c>
      <c r="M201" s="21" t="n">
        <v>1.653659820066756</v>
      </c>
    </row>
    <row r="202">
      <c r="A202" s="10" t="n">
        <v>0.6850000000000001</v>
      </c>
      <c r="B202" s="21" t="n">
        <v>1.483050604568102</v>
      </c>
      <c r="C202" s="21" t="n">
        <v>1.358158118627696</v>
      </c>
      <c r="D202" s="21" t="n">
        <v>1.586964161626093</v>
      </c>
      <c r="E202" s="21" t="n">
        <v>1.823697143864843</v>
      </c>
      <c r="F202" s="21" t="n">
        <v>0.9413840525182281</v>
      </c>
      <c r="G202" s="21" t="n">
        <v>1.21060415705857</v>
      </c>
      <c r="H202" s="21" t="n">
        <v>1.485106127204989</v>
      </c>
      <c r="I202" s="21" t="n">
        <v>1.596829700549086</v>
      </c>
      <c r="J202" s="21" t="n">
        <v>1.203740170226723</v>
      </c>
      <c r="K202" s="21" t="n">
        <v>1.610591970176313</v>
      </c>
      <c r="L202" s="21" t="n">
        <v>1.717033828765868</v>
      </c>
      <c r="M202" s="21" t="n">
        <v>1.708781814068981</v>
      </c>
    </row>
    <row r="203">
      <c r="A203" s="10" t="n">
        <v>0.695</v>
      </c>
      <c r="B203" s="21" t="n">
        <v>1.5005393503522</v>
      </c>
      <c r="C203" s="21" t="n">
        <v>1.367723235885636</v>
      </c>
      <c r="D203" s="21" t="n">
        <v>1.586964161626093</v>
      </c>
      <c r="E203" s="21" t="n">
        <v>1.744346667922273</v>
      </c>
      <c r="F203" s="21" t="n">
        <v>0.9413840525182281</v>
      </c>
      <c r="G203" s="21" t="n">
        <v>1.176976263806943</v>
      </c>
      <c r="H203" s="21" t="n">
        <v>1.633650823954699</v>
      </c>
      <c r="I203" s="21" t="n">
        <v>1.749087483269743</v>
      </c>
      <c r="J203" s="21" t="n">
        <v>1.203740170226723</v>
      </c>
      <c r="K203" s="21" t="n">
        <v>1.583293801190273</v>
      </c>
      <c r="L203" s="21" t="n">
        <v>1.778356465507506</v>
      </c>
      <c r="M203" s="21" t="n">
        <v>1.653659820066756</v>
      </c>
    </row>
    <row r="204">
      <c r="A204" s="10" t="n">
        <v>0.705</v>
      </c>
      <c r="B204" s="21" t="n">
        <v>1.46906292100884</v>
      </c>
      <c r="C204" s="21" t="n">
        <v>1.341222150834488</v>
      </c>
      <c r="D204" s="21" t="n">
        <v>1.714395624678544</v>
      </c>
      <c r="E204" s="21" t="n">
        <v>1.307919050238133</v>
      </c>
      <c r="F204" s="21" t="n">
        <v>0.9413840525182281</v>
      </c>
      <c r="G204" s="21" t="n">
        <v>1.176976263806943</v>
      </c>
      <c r="H204" s="21" t="n">
        <v>1.706103338459628</v>
      </c>
      <c r="I204" s="21" t="n">
        <v>1.717853778211355</v>
      </c>
      <c r="J204" s="21" t="n">
        <v>1.203740170226723</v>
      </c>
      <c r="K204" s="21" t="n">
        <v>1.631854161496694</v>
      </c>
      <c r="L204" s="21" t="n">
        <v>1.717033828765868</v>
      </c>
      <c r="M204" s="21" t="n">
        <v>1.607334928917865</v>
      </c>
    </row>
    <row r="205">
      <c r="A205" s="10" t="n">
        <v>0.715</v>
      </c>
      <c r="B205" s="21" t="n">
        <v>1.491949245917646</v>
      </c>
      <c r="C205" s="21" t="n">
        <v>1.311282144372698</v>
      </c>
      <c r="D205" s="21" t="n">
        <v>1.77597766634005</v>
      </c>
      <c r="E205" s="21" t="n">
        <v>1.307919050238133</v>
      </c>
      <c r="F205" s="21" t="n">
        <v>0.9413840525182281</v>
      </c>
      <c r="G205" s="21" t="n">
        <v>1.21060415705857</v>
      </c>
      <c r="H205" s="21" t="n">
        <v>1.779430056431644</v>
      </c>
      <c r="I205" s="21" t="n">
        <v>1.749087483269743</v>
      </c>
      <c r="J205" s="21" t="n">
        <v>0.9448946144665331</v>
      </c>
      <c r="K205" s="21" t="n">
        <v>2.028748399477148</v>
      </c>
      <c r="L205" s="21" t="n">
        <v>1.778356465507506</v>
      </c>
      <c r="M205" s="21" t="n">
        <v>1.421567488945859</v>
      </c>
    </row>
    <row r="206">
      <c r="A206" s="10" t="n">
        <v>0.725</v>
      </c>
      <c r="B206" s="21" t="n">
        <v>1.506831786007798</v>
      </c>
      <c r="C206" s="21" t="n">
        <v>1.271188137001747</v>
      </c>
      <c r="D206" s="21" t="n">
        <v>1.82225564105903</v>
      </c>
      <c r="E206" s="21" t="n">
        <v>1.307919050238133</v>
      </c>
      <c r="F206" s="21" t="n">
        <v>0.6385080231611362</v>
      </c>
      <c r="G206" s="21" t="n">
        <v>1.176976263806943</v>
      </c>
      <c r="H206" s="21" t="n">
        <v>1.830758759012053</v>
      </c>
      <c r="I206" s="21" t="n">
        <v>2.260790012307784</v>
      </c>
      <c r="J206" s="21" t="n">
        <v>0.9448946144665331</v>
      </c>
      <c r="K206" s="21" t="n">
        <v>1.994362833384316</v>
      </c>
      <c r="L206" s="21" t="n">
        <v>1.717033828765868</v>
      </c>
      <c r="M206" s="21" t="n">
        <v>1.375710473173413</v>
      </c>
    </row>
    <row r="207">
      <c r="A207" s="10" t="n">
        <v>0.735</v>
      </c>
      <c r="B207" s="21" t="n">
        <v>1.567485913565612</v>
      </c>
      <c r="C207" s="21" t="n">
        <v>1.270607271346244</v>
      </c>
      <c r="D207" s="21" t="n">
        <v>1.989952912916137</v>
      </c>
      <c r="E207" s="21" t="n">
        <v>1.358223629093446</v>
      </c>
      <c r="F207" s="21" t="n">
        <v>0.6519377723941485</v>
      </c>
      <c r="G207" s="21" t="n">
        <v>1.176976263806943</v>
      </c>
      <c r="H207" s="21" t="n">
        <v>1.880671386016007</v>
      </c>
      <c r="I207" s="21" t="n">
        <v>2.506424043442886</v>
      </c>
      <c r="J207" s="21" t="n">
        <v>0.9243534271955215</v>
      </c>
      <c r="K207" s="21" t="n">
        <v>1.925591701198649</v>
      </c>
      <c r="L207" s="21" t="n">
        <v>1.720777027194097</v>
      </c>
      <c r="M207" s="21" t="n">
        <v>1.513281520490753</v>
      </c>
    </row>
    <row r="208">
      <c r="A208" s="10" t="n">
        <v>0.745</v>
      </c>
      <c r="B208" s="21" t="n">
        <v>1.387689217679153</v>
      </c>
      <c r="C208" s="21" t="n">
        <v>1.266212428263882</v>
      </c>
      <c r="D208" s="21" t="n">
        <v>1.342061266850418</v>
      </c>
      <c r="E208" s="21" t="n">
        <v>2.012183154212512</v>
      </c>
      <c r="F208" s="21" t="n">
        <v>1.350442528530738</v>
      </c>
      <c r="G208" s="21" t="n">
        <v>0.9415810110455548</v>
      </c>
      <c r="H208" s="21" t="n">
        <v>1.4141715175013</v>
      </c>
      <c r="I208" s="21" t="n">
        <v>1.108610634599739</v>
      </c>
      <c r="J208" s="21" t="n">
        <v>0.7987230135053359</v>
      </c>
      <c r="K208" s="21" t="n">
        <v>1.204210740765521</v>
      </c>
      <c r="L208" s="21" t="n">
        <v>1.582136487219349</v>
      </c>
      <c r="M208" s="21" t="n">
        <v>2.093391774933943</v>
      </c>
    </row>
    <row r="209">
      <c r="A209" s="10" t="n">
        <v>0.755</v>
      </c>
      <c r="B209" s="21" t="n">
        <v>1.267496546710172</v>
      </c>
      <c r="C209" s="21" t="n">
        <v>1.261493815588951</v>
      </c>
      <c r="D209" s="21" t="n">
        <v>1.295783292131438</v>
      </c>
      <c r="E209" s="21" t="n">
        <v>2.012183154212512</v>
      </c>
      <c r="F209" s="21" t="n">
        <v>1.030278240570407</v>
      </c>
      <c r="G209" s="21" t="n">
        <v>0.7522096009794995</v>
      </c>
      <c r="H209" s="21" t="n">
        <v>1.454576418001337</v>
      </c>
      <c r="I209" s="21" t="n">
        <v>1.108610634599739</v>
      </c>
      <c r="J209" s="21" t="n">
        <v>0.5774605381293324</v>
      </c>
      <c r="K209" s="21" t="n">
        <v>1.260913153518843</v>
      </c>
      <c r="L209" s="21" t="n">
        <v>1.555320614554614</v>
      </c>
      <c r="M209" s="21" t="n">
        <v>1.587670170055048</v>
      </c>
    </row>
    <row r="210">
      <c r="A210" s="10" t="n">
        <v>0.765</v>
      </c>
      <c r="B210" s="21" t="n">
        <v>1.229110086891152</v>
      </c>
      <c r="C210" s="21" t="n">
        <v>1.271027631850106</v>
      </c>
      <c r="D210" s="21" t="n">
        <v>1.259009336351977</v>
      </c>
      <c r="E210" s="21" t="n">
        <v>2.012183154212512</v>
      </c>
      <c r="F210" s="21" t="n">
        <v>0.9089274984494951</v>
      </c>
      <c r="G210" s="21" t="n">
        <v>0.6101810434299579</v>
      </c>
      <c r="H210" s="21" t="n">
        <v>1.27616618925599</v>
      </c>
      <c r="I210" s="21" t="n">
        <v>1.15681109697364</v>
      </c>
      <c r="J210" s="21" t="n">
        <v>0.5640312232891154</v>
      </c>
      <c r="K210" s="21" t="n">
        <v>1.297998834504692</v>
      </c>
      <c r="L210" s="21" t="n">
        <v>1.555320614554614</v>
      </c>
      <c r="M210" s="21" t="n">
        <v>1.618202288709953</v>
      </c>
    </row>
    <row r="211">
      <c r="A211" s="10" t="n">
        <v>0.775</v>
      </c>
      <c r="B211" s="21" t="n">
        <v>1.226558864606054</v>
      </c>
      <c r="C211" s="21" t="n">
        <v>1.291286577930963</v>
      </c>
      <c r="D211" s="21" t="n">
        <v>1.200384444235431</v>
      </c>
      <c r="E211" s="21" t="n">
        <v>2.012183154212512</v>
      </c>
      <c r="F211" s="21" t="n">
        <v>0.9653125363488297</v>
      </c>
      <c r="G211" s="21" t="n">
        <v>0.6101810434299579</v>
      </c>
      <c r="H211" s="21" t="n">
        <v>1.206166827159779</v>
      </c>
      <c r="I211" s="21" t="n">
        <v>1.108610634599739</v>
      </c>
      <c r="J211" s="21" t="n">
        <v>0.5640312232891154</v>
      </c>
      <c r="K211" s="21" t="n">
        <v>1.260913153518843</v>
      </c>
      <c r="L211" s="21" t="n">
        <v>1.493422786346089</v>
      </c>
      <c r="M211" s="21" t="n">
        <v>1.808048185015073</v>
      </c>
    </row>
    <row r="212">
      <c r="A212" s="10" t="n">
        <v>0.785</v>
      </c>
      <c r="B212" s="21" t="n">
        <v>1.204284098499735</v>
      </c>
      <c r="C212" s="21" t="n">
        <v>1.339432000854804</v>
      </c>
      <c r="D212" s="21" t="n">
        <v>1.200384444235431</v>
      </c>
      <c r="E212" s="21" t="n">
        <v>1.876758021017352</v>
      </c>
      <c r="F212" s="21" t="n">
        <v>1.062411448381129</v>
      </c>
      <c r="G212" s="21" t="n">
        <v>0.6101810434299579</v>
      </c>
      <c r="H212" s="21" t="n">
        <v>1.172662193072008</v>
      </c>
      <c r="I212" s="21" t="n">
        <v>1.108610634599739</v>
      </c>
      <c r="J212" s="21" t="n">
        <v>0.545159993029367</v>
      </c>
      <c r="K212" s="21" t="n">
        <v>1.260913153518843</v>
      </c>
      <c r="L212" s="21" t="n">
        <v>1.298886754833587</v>
      </c>
      <c r="M212" s="21" t="n">
        <v>1.874161589503081</v>
      </c>
    </row>
    <row r="213">
      <c r="A213" s="10" t="n">
        <v>0.795</v>
      </c>
      <c r="B213" s="21" t="n">
        <v>1.189921319081883</v>
      </c>
      <c r="C213" s="21" t="n">
        <v>1.311614215842219</v>
      </c>
      <c r="D213" s="21" t="n">
        <v>1.15899187719283</v>
      </c>
      <c r="E213" s="21" t="n">
        <v>1.803836795450726</v>
      </c>
      <c r="F213" s="21" t="n">
        <v>1.086227810472153</v>
      </c>
      <c r="G213" s="21" t="n">
        <v>0.6101810434299579</v>
      </c>
      <c r="H213" s="21" t="n">
        <v>1.127957141854319</v>
      </c>
      <c r="I213" s="21" t="n">
        <v>1.108526766750643</v>
      </c>
      <c r="J213" s="21" t="n">
        <v>0.4760276754831853</v>
      </c>
      <c r="K213" s="21" t="n">
        <v>1.297998834504692</v>
      </c>
      <c r="L213" s="21" t="n">
        <v>1.298886754833587</v>
      </c>
      <c r="M213" s="21" t="n">
        <v>1.897511427997577</v>
      </c>
    </row>
    <row r="214">
      <c r="A214" s="10" t="n">
        <v>0.805</v>
      </c>
      <c r="B214" s="21" t="n">
        <v>1.126185033254916</v>
      </c>
      <c r="C214" s="21" t="n">
        <v>1.254217085546941</v>
      </c>
      <c r="D214" s="21" t="n">
        <v>0.9796770122938777</v>
      </c>
      <c r="E214" s="21" t="n">
        <v>1.803836795450726</v>
      </c>
      <c r="F214" s="21" t="n">
        <v>1.160785178650199</v>
      </c>
      <c r="G214" s="21" t="n">
        <v>0.6101810434299579</v>
      </c>
      <c r="H214" s="21" t="n">
        <v>1.040546317101157</v>
      </c>
      <c r="I214" s="21" t="n">
        <v>0.8309757358175043</v>
      </c>
      <c r="J214" s="21" t="n">
        <v>0.4649572644254368</v>
      </c>
      <c r="K214" s="21" t="n">
        <v>1.070663060790334</v>
      </c>
      <c r="L214" s="21" t="n">
        <v>1.298886754833587</v>
      </c>
      <c r="M214" s="21" t="n">
        <v>1.975344222979233</v>
      </c>
    </row>
    <row r="215">
      <c r="A215" s="10" t="n">
        <v>0.8149999999999999</v>
      </c>
      <c r="B215" s="21" t="n">
        <v>1.07649618748139</v>
      </c>
      <c r="C215" s="21" t="n">
        <v>1.205992663948437</v>
      </c>
      <c r="D215" s="21" t="n">
        <v>0.9094519203124743</v>
      </c>
      <c r="E215" s="21" t="n">
        <v>1.803836795450726</v>
      </c>
      <c r="F215" s="21" t="n">
        <v>1.18114983090722</v>
      </c>
      <c r="G215" s="21" t="n">
        <v>0.6101810434299579</v>
      </c>
      <c r="H215" s="21" t="n">
        <v>1.011642252737236</v>
      </c>
      <c r="I215" s="21" t="n">
        <v>0.8309757358175043</v>
      </c>
      <c r="J215" s="21" t="n">
        <v>0.4649572644254368</v>
      </c>
      <c r="K215" s="21" t="n">
        <v>0.8540819514715053</v>
      </c>
      <c r="L215" s="21" t="n">
        <v>1.09137424121872</v>
      </c>
      <c r="M215" s="21" t="n">
        <v>1.975344222979233</v>
      </c>
    </row>
    <row r="216">
      <c r="A216" s="10" t="n">
        <v>0.825</v>
      </c>
      <c r="B216" s="21" t="n">
        <v>1.0470562797097</v>
      </c>
      <c r="C216" s="21" t="n">
        <v>1.205992663948437</v>
      </c>
      <c r="D216" s="21" t="n">
        <v>0.9094519203124743</v>
      </c>
      <c r="E216" s="21" t="n">
        <v>1.803836795450726</v>
      </c>
      <c r="F216" s="21" t="n">
        <v>1.348470638150034</v>
      </c>
      <c r="G216" s="21" t="n">
        <v>0.6101810434299579</v>
      </c>
      <c r="H216" s="21" t="n">
        <v>0.9517728386562708</v>
      </c>
      <c r="I216" s="21" t="n">
        <v>0.8671051156356567</v>
      </c>
      <c r="J216" s="21" t="n">
        <v>0.4559679228250045</v>
      </c>
      <c r="K216" s="21" t="n">
        <v>0.8296796100008907</v>
      </c>
      <c r="L216" s="21" t="n">
        <v>0.8690394052027921</v>
      </c>
      <c r="M216" s="21" t="n">
        <v>1.775094257328346</v>
      </c>
    </row>
    <row r="217">
      <c r="A217" s="10" t="n">
        <v>0.835</v>
      </c>
      <c r="B217" s="21" t="n">
        <v>1.017629760028149</v>
      </c>
      <c r="C217" s="21" t="n">
        <v>1.12763600567963</v>
      </c>
      <c r="D217" s="21" t="n">
        <v>0.8780915092672166</v>
      </c>
      <c r="E217" s="21" t="n">
        <v>1.803836795450726</v>
      </c>
      <c r="F217" s="21" t="n">
        <v>1.460271796317231</v>
      </c>
      <c r="G217" s="21" t="n">
        <v>0.6101810434299579</v>
      </c>
      <c r="H217" s="21" t="n">
        <v>0.7291811849580541</v>
      </c>
      <c r="I217" s="21" t="n">
        <v>0.8309757358175043</v>
      </c>
      <c r="J217" s="21" t="n">
        <v>0.4334945688239238</v>
      </c>
      <c r="K217" s="21" t="n">
        <v>0.8296796100008907</v>
      </c>
      <c r="L217" s="21" t="n">
        <v>0.8690394052027921</v>
      </c>
      <c r="M217" s="21" t="n">
        <v>1.681667606273397</v>
      </c>
    </row>
    <row r="218">
      <c r="A218" s="10" t="n">
        <v>0.845</v>
      </c>
      <c r="B218" s="21" t="n">
        <v>1.005304645143081</v>
      </c>
      <c r="C218" s="21" t="n">
        <v>1.060009253289953</v>
      </c>
      <c r="D218" s="21" t="n">
        <v>0.6954838463553156</v>
      </c>
      <c r="E218" s="21" t="n">
        <v>1.803836795450726</v>
      </c>
      <c r="F218" s="21" t="n">
        <v>1.522762346276868</v>
      </c>
      <c r="G218" s="21" t="n">
        <v>0.5931898150656131</v>
      </c>
      <c r="H218" s="21" t="n">
        <v>0.7500149330997128</v>
      </c>
      <c r="I218" s="21" t="n">
        <v>0.8309757358175043</v>
      </c>
      <c r="J218" s="21" t="n">
        <v>0.4438158680816363</v>
      </c>
      <c r="K218" s="21" t="n">
        <v>0.8540819514715053</v>
      </c>
      <c r="L218" s="21" t="n">
        <v>0.8690394052027921</v>
      </c>
      <c r="M218" s="21" t="n">
        <v>1.641739579258037</v>
      </c>
    </row>
    <row r="219">
      <c r="A219" s="10" t="n">
        <v>0.855</v>
      </c>
      <c r="B219" s="21" t="n">
        <v>0.9169436486099882</v>
      </c>
      <c r="C219" s="21" t="n">
        <v>1.010007444855856</v>
      </c>
      <c r="D219" s="21" t="n">
        <v>0.6509071642809074</v>
      </c>
      <c r="E219" s="21" t="n">
        <v>1.572261661959124</v>
      </c>
      <c r="F219" s="21" t="n">
        <v>1.583509752534865</v>
      </c>
      <c r="G219" s="21" t="n">
        <v>0.491242444879544</v>
      </c>
      <c r="H219" s="21" t="n">
        <v>0.732349971831211</v>
      </c>
      <c r="I219" s="21" t="n">
        <v>0.8671051156356567</v>
      </c>
      <c r="J219" s="21" t="n">
        <v>0.4334945688239238</v>
      </c>
      <c r="K219" s="21" t="n">
        <v>0.8296796100008907</v>
      </c>
      <c r="L219" s="21" t="n">
        <v>0.7695369067836724</v>
      </c>
      <c r="M219" s="21" t="n">
        <v>1.223618652794383</v>
      </c>
    </row>
    <row r="220">
      <c r="A220" s="10" t="n">
        <v>0.865</v>
      </c>
      <c r="B220" s="21" t="n">
        <v>0.8383832675851575</v>
      </c>
      <c r="C220" s="21" t="n">
        <v>0.9176403644134282</v>
      </c>
      <c r="D220" s="21" t="n">
        <v>0.6284620896505314</v>
      </c>
      <c r="E220" s="21" t="n">
        <v>1.09129792316888</v>
      </c>
      <c r="F220" s="21" t="n">
        <v>1.613358049828821</v>
      </c>
      <c r="G220" s="21" t="n">
        <v>0.491242444879544</v>
      </c>
      <c r="H220" s="21" t="n">
        <v>0.6518969794083569</v>
      </c>
      <c r="I220" s="21" t="n">
        <v>0.8309757358175043</v>
      </c>
      <c r="J220" s="21" t="n">
        <v>0.4141227164794543</v>
      </c>
      <c r="K220" s="21" t="n">
        <v>0.7262724132536716</v>
      </c>
      <c r="L220" s="21" t="n">
        <v>0.7113567430256448</v>
      </c>
      <c r="M220" s="21" t="n">
        <v>1.223618652794383</v>
      </c>
    </row>
    <row r="221">
      <c r="A221" s="10" t="n">
        <v>0.875</v>
      </c>
      <c r="B221" s="21" t="n">
        <v>0.8236588559644761</v>
      </c>
      <c r="C221" s="21" t="n">
        <v>0.8538908123739044</v>
      </c>
      <c r="D221" s="21" t="n">
        <v>0.6509071642809074</v>
      </c>
      <c r="E221" s="21" t="n">
        <v>1.09129792316888</v>
      </c>
      <c r="F221" s="21" t="n">
        <v>1.622790816941738</v>
      </c>
      <c r="G221" s="21" t="n">
        <v>0.491242444879544</v>
      </c>
      <c r="H221" s="21" t="n">
        <v>0.6705226073914529</v>
      </c>
      <c r="I221" s="21" t="n">
        <v>0.8309757358175043</v>
      </c>
      <c r="J221" s="21" t="n">
        <v>0.3595293144177673</v>
      </c>
      <c r="K221" s="21" t="n">
        <v>0.6967231738126932</v>
      </c>
      <c r="L221" s="21" t="n">
        <v>0.6992998490760576</v>
      </c>
      <c r="M221" s="21" t="n">
        <v>1.116746370761488</v>
      </c>
    </row>
    <row r="222">
      <c r="A222" s="10" t="n">
        <v>0.885</v>
      </c>
      <c r="B222" s="21" t="n">
        <v>0.8205061683095414</v>
      </c>
      <c r="C222" s="21" t="n">
        <v>0.8491271910130784</v>
      </c>
      <c r="D222" s="21" t="n">
        <v>0.6265134264356523</v>
      </c>
      <c r="E222" s="21" t="n">
        <v>1.09129792316888</v>
      </c>
      <c r="F222" s="21" t="n">
        <v>1.651260831274049</v>
      </c>
      <c r="G222" s="21" t="n">
        <v>0.491242444879544</v>
      </c>
      <c r="H222" s="21" t="n">
        <v>0.6489864012185613</v>
      </c>
      <c r="I222" s="21" t="n">
        <v>0.8671051156356567</v>
      </c>
      <c r="J222" s="21" t="n">
        <v>0.3680895361896189</v>
      </c>
      <c r="K222" s="21" t="n">
        <v>0.6768167974180448</v>
      </c>
      <c r="L222" s="21" t="n">
        <v>0.6992998490760576</v>
      </c>
      <c r="M222" s="21" t="n">
        <v>1.060166927332308</v>
      </c>
    </row>
    <row r="223">
      <c r="A223" s="10" t="n">
        <v>0.895</v>
      </c>
      <c r="B223" s="21" t="n">
        <v>0.7891653550867017</v>
      </c>
      <c r="C223" s="21" t="n">
        <v>0.7528784277460427</v>
      </c>
      <c r="D223" s="21" t="n">
        <v>0.6265134264356523</v>
      </c>
      <c r="E223" s="21" t="n">
        <v>1.09129792316888</v>
      </c>
      <c r="F223" s="21" t="n">
        <v>1.626143650773556</v>
      </c>
      <c r="G223" s="21" t="n">
        <v>0.491242444879544</v>
      </c>
      <c r="H223" s="21" t="n">
        <v>0.5657417925588101</v>
      </c>
      <c r="I223" s="21" t="n">
        <v>0.6109571798129028</v>
      </c>
      <c r="J223" s="21" t="n">
        <v>0.3595293144177673</v>
      </c>
      <c r="K223" s="21" t="n">
        <v>0.6768167974180448</v>
      </c>
      <c r="L223" s="21" t="n">
        <v>0.7426169485521852</v>
      </c>
      <c r="M223" s="21" t="n">
        <v>1.071783968276248</v>
      </c>
    </row>
    <row r="224">
      <c r="A224" s="10" t="n">
        <v>0.905</v>
      </c>
      <c r="B224" s="21" t="n">
        <v>0.7483460732326087</v>
      </c>
      <c r="C224" s="21" t="n">
        <v>0.7315951453626327</v>
      </c>
      <c r="D224" s="21" t="n">
        <v>0.6049095151792505</v>
      </c>
      <c r="E224" s="21" t="n">
        <v>1.064015475089658</v>
      </c>
      <c r="F224" s="21" t="n">
        <v>1.65624709697265</v>
      </c>
      <c r="G224" s="21" t="n">
        <v>0.491242444879544</v>
      </c>
      <c r="H224" s="21" t="n">
        <v>0.5500267427655098</v>
      </c>
      <c r="I224" s="21" t="n">
        <v>0.3709369368987921</v>
      </c>
      <c r="J224" s="21" t="n">
        <v>0.3419240326938047</v>
      </c>
      <c r="K224" s="21" t="n">
        <v>0.6967231738126932</v>
      </c>
      <c r="L224" s="21" t="n">
        <v>0.7605776971154576</v>
      </c>
      <c r="M224" s="21" t="n">
        <v>0.9081399945831669</v>
      </c>
    </row>
    <row r="225">
      <c r="A225" s="10" t="n">
        <v>0.915</v>
      </c>
      <c r="B225" s="21" t="n">
        <v>0.7533062366120258</v>
      </c>
      <c r="C225" s="21" t="n">
        <v>0.7194921889892981</v>
      </c>
      <c r="D225" s="21" t="n">
        <v>0.6112032339409093</v>
      </c>
      <c r="E225" s="21" t="n">
        <v>1.09129792316888</v>
      </c>
      <c r="F225" s="21" t="n">
        <v>1.702141345793873</v>
      </c>
      <c r="G225" s="21" t="n">
        <v>0.491242444879544</v>
      </c>
      <c r="H225" s="21" t="n">
        <v>0.5657417925588101</v>
      </c>
      <c r="I225" s="21" t="n">
        <v>0.3709369368987921</v>
      </c>
      <c r="J225" s="21" t="n">
        <v>0.3133154498923647</v>
      </c>
      <c r="K225" s="21" t="n">
        <v>0.6768167974180448</v>
      </c>
      <c r="L225" s="21" t="n">
        <v>0.7605776971154576</v>
      </c>
      <c r="M225" s="21" t="n">
        <v>0.9081399945831669</v>
      </c>
    </row>
    <row r="226">
      <c r="A226" s="10" t="n">
        <v>0.925</v>
      </c>
      <c r="B226" s="21" t="n">
        <v>0.6937318881700397</v>
      </c>
      <c r="C226" s="21" t="n">
        <v>0.6777799412591654</v>
      </c>
      <c r="D226" s="21" t="n">
        <v>0.5579526003612139</v>
      </c>
      <c r="E226" s="21" t="n">
        <v>1.009450578931214</v>
      </c>
      <c r="F226" s="21" t="n">
        <v>1.432007505511351</v>
      </c>
      <c r="G226" s="21" t="n">
        <v>0.7017749212564915</v>
      </c>
      <c r="H226" s="21" t="n">
        <v>0.6154929637259514</v>
      </c>
      <c r="I226" s="21" t="n">
        <v>0.7580015667062273</v>
      </c>
      <c r="J226" s="21" t="n">
        <v>0.2610962082436371</v>
      </c>
      <c r="K226" s="21" t="n">
        <v>0.4041460452164193</v>
      </c>
      <c r="L226" s="21" t="n">
        <v>0.472082708554422</v>
      </c>
      <c r="M226" s="21" t="n">
        <v>0.7030727613378307</v>
      </c>
    </row>
    <row r="227">
      <c r="A227" s="10" t="n">
        <v>0.9350000000000001</v>
      </c>
      <c r="B227" s="21" t="n">
        <v>0.6483563574479991</v>
      </c>
      <c r="C227" s="21" t="n">
        <v>0.6618063266926834</v>
      </c>
      <c r="D227" s="21" t="n">
        <v>0.5579526003612139</v>
      </c>
      <c r="E227" s="21" t="n">
        <v>0.6344946041966343</v>
      </c>
      <c r="F227" s="21" t="n">
        <v>1.432007505511351</v>
      </c>
      <c r="G227" s="21" t="n">
        <v>0.5982165659317275</v>
      </c>
      <c r="H227" s="21" t="n">
        <v>0.5956601885327427</v>
      </c>
      <c r="I227" s="21" t="n">
        <v>0.7741292596148703</v>
      </c>
      <c r="J227" s="21" t="n">
        <v>0.2610962082436371</v>
      </c>
      <c r="K227" s="21" t="n">
        <v>0.3441002999575991</v>
      </c>
      <c r="L227" s="21" t="n">
        <v>0.4156992243839476</v>
      </c>
      <c r="M227" s="21" t="n">
        <v>0.7994009841339232</v>
      </c>
    </row>
    <row r="228">
      <c r="A228" s="10" t="n">
        <v>0.945</v>
      </c>
      <c r="B228" s="21" t="n">
        <v>0.5735305463486621</v>
      </c>
      <c r="C228" s="21" t="n">
        <v>0.5822161488493349</v>
      </c>
      <c r="D228" s="21" t="n">
        <v>0.5063635258335971</v>
      </c>
      <c r="E228" s="21" t="n">
        <v>0.6014102534847597</v>
      </c>
      <c r="F228" s="21" t="n">
        <v>1.463229129023749</v>
      </c>
      <c r="G228" s="21" t="n">
        <v>0.1676290873319901</v>
      </c>
      <c r="H228" s="21" t="n">
        <v>0.3969673945919979</v>
      </c>
      <c r="I228" s="21" t="n">
        <v>0.7741292596148703</v>
      </c>
      <c r="J228" s="21" t="n">
        <v>0.2536363165795332</v>
      </c>
      <c r="K228" s="21" t="n">
        <v>0.3441002999575991</v>
      </c>
      <c r="L228" s="21" t="n">
        <v>0.3075240353851519</v>
      </c>
      <c r="M228" s="21" t="n">
        <v>0.7771954012413143</v>
      </c>
    </row>
    <row r="229">
      <c r="A229" s="10" t="n">
        <v>0.955</v>
      </c>
      <c r="B229" s="21" t="n">
        <v>0.5138503055062519</v>
      </c>
      <c r="C229" s="21" t="n">
        <v>0.4863026288807808</v>
      </c>
      <c r="D229" s="21" t="n">
        <v>0.2958010422146266</v>
      </c>
      <c r="E229" s="21" t="n">
        <v>0.6014102534847597</v>
      </c>
      <c r="F229" s="21" t="n">
        <v>1.482608067755581</v>
      </c>
      <c r="G229" s="21" t="n">
        <v>0.1676290873319901</v>
      </c>
      <c r="H229" s="21" t="n">
        <v>0.3816833335196329</v>
      </c>
      <c r="I229" s="21" t="n">
        <v>0.5217101451810973</v>
      </c>
      <c r="J229" s="21" t="n">
        <v>0.1244308877256439</v>
      </c>
      <c r="K229" s="21" t="n">
        <v>0.3308656730361529</v>
      </c>
      <c r="L229" s="21" t="n">
        <v>0.3075240353851519</v>
      </c>
      <c r="M229" s="21" t="n">
        <v>0.7994009841339232</v>
      </c>
    </row>
    <row r="230">
      <c r="A230" s="10" t="n">
        <v>0.965</v>
      </c>
      <c r="B230" s="21" t="n">
        <v>0.4243718068468834</v>
      </c>
      <c r="C230" s="21" t="n">
        <v>0.4417250331054907</v>
      </c>
      <c r="D230" s="21" t="n">
        <v>0.3031960682699922</v>
      </c>
      <c r="E230" s="21" t="n">
        <v>0.6014102534847597</v>
      </c>
      <c r="F230" s="21" t="n">
        <v>1.451063215250143</v>
      </c>
      <c r="G230" s="21" t="n">
        <v>0.1676290873319901</v>
      </c>
      <c r="H230" s="21" t="n">
        <v>0.2264492527204181</v>
      </c>
      <c r="I230" s="21" t="n">
        <v>0.1930635486877811</v>
      </c>
      <c r="J230" s="21" t="n">
        <v>0.08153924629761586</v>
      </c>
      <c r="K230" s="21" t="n">
        <v>0.3441002999575991</v>
      </c>
      <c r="L230" s="21" t="n">
        <v>0.2987376343741476</v>
      </c>
      <c r="M230" s="21" t="n">
        <v>0.4956226905103825</v>
      </c>
    </row>
    <row r="231">
      <c r="A231" s="10" t="n">
        <v>0.975</v>
      </c>
      <c r="B231" s="21" t="n">
        <v>0.3417051369204932</v>
      </c>
      <c r="C231" s="21" t="n">
        <v>0.3300764199005129</v>
      </c>
      <c r="D231" s="21" t="n">
        <v>0.1521440821263016</v>
      </c>
      <c r="E231" s="21" t="n">
        <v>0.585155922309496</v>
      </c>
      <c r="F231" s="21" t="n">
        <v>1.120858754551915</v>
      </c>
      <c r="G231" s="21" t="n">
        <v>0.1676290873319901</v>
      </c>
      <c r="H231" s="21" t="n">
        <v>0.2037462382593258</v>
      </c>
      <c r="I231" s="21" t="n">
        <v>0.1971712837662445</v>
      </c>
      <c r="J231" s="21" t="n">
        <v>0.08393745942401631</v>
      </c>
      <c r="K231" s="21" t="n">
        <v>0.3441002999575991</v>
      </c>
      <c r="L231" s="21" t="n">
        <v>0.3075240353851519</v>
      </c>
      <c r="M231" s="21" t="n">
        <v>0.2238210593735313</v>
      </c>
    </row>
    <row r="232">
      <c r="A232" s="10" t="n">
        <v>0.985</v>
      </c>
      <c r="B232" s="21" t="n">
        <v>0.3114754145388732</v>
      </c>
      <c r="C232" s="21" t="n">
        <v>0.3219443083364679</v>
      </c>
      <c r="D232" s="21" t="n">
        <v>0.1000948488347743</v>
      </c>
      <c r="E232" s="21" t="n">
        <v>0.6014102534847597</v>
      </c>
      <c r="F232" s="21" t="n">
        <v>1.023088669902276</v>
      </c>
      <c r="G232" s="21" t="n">
        <v>0.1676290873319901</v>
      </c>
      <c r="H232" s="21" t="n">
        <v>0.07049457144807496</v>
      </c>
      <c r="I232" s="21" t="n">
        <v>0.1971712837662445</v>
      </c>
      <c r="J232" s="21" t="n">
        <v>0.08153924629761586</v>
      </c>
      <c r="K232" s="21" t="n">
        <v>0.3308656730361529</v>
      </c>
      <c r="L232" s="21" t="n">
        <v>0.3075240353851519</v>
      </c>
      <c r="M232" s="21" t="n">
        <v>0.2238210593735313</v>
      </c>
    </row>
    <row r="233">
      <c r="A233" s="10" t="n">
        <v>0.995</v>
      </c>
      <c r="B233" s="21" t="n">
        <v>0.31223602299388</v>
      </c>
      <c r="C233" s="21" t="n">
        <v>0.3219443083364679</v>
      </c>
      <c r="D233" s="21" t="n">
        <v>0.09765351105831636</v>
      </c>
      <c r="E233" s="21" t="n">
        <v>0.6014102534847597</v>
      </c>
      <c r="F233" s="21" t="n">
        <v>1.023088669902276</v>
      </c>
      <c r="G233" s="21" t="n">
        <v>0.1676290873319901</v>
      </c>
      <c r="H233" s="21" t="n">
        <v>0.06555932452913975</v>
      </c>
      <c r="I233" s="21" t="n">
        <v>0.1971712837662445</v>
      </c>
      <c r="J233" s="21" t="n">
        <v>0.08393745942401631</v>
      </c>
      <c r="K233" s="21" t="n">
        <v>0.3441002999575991</v>
      </c>
      <c r="L233" s="21" t="n">
        <v>0.3075240353851519</v>
      </c>
      <c r="M233" s="21" t="n">
        <v>0.2238210593735313</v>
      </c>
    </row>
    <row r="257">
      <c r="A257" s="6" t="inlineStr">
        <is>
          <t>■ 行程グループ別 平均カーブ(密度・面積1)</t>
        </is>
      </c>
    </row>
    <row r="258">
      <c r="A258" s="5" t="inlineStr">
        <is>
          <t>各行程グループが正準時間軸のどこで消化されるか。山が立つ位置がマイルストーン直前に来ていれば位置合わせが効いている。</t>
        </is>
      </c>
    </row>
    <row r="259">
      <c r="A259" s="7" t="inlineStr">
        <is>
          <t>t</t>
        </is>
      </c>
      <c r="B259" s="8" t="inlineStr">
        <is>
          <t>企画・プリプロ</t>
        </is>
      </c>
      <c r="C259" s="8" t="inlineStr">
        <is>
          <t>ゲームデザイン・シナリオ</t>
        </is>
      </c>
      <c r="D259" s="8" t="inlineStr">
        <is>
          <t>プログラム</t>
        </is>
      </c>
      <c r="E259" s="8" t="inlineStr">
        <is>
          <t>アート</t>
        </is>
      </c>
      <c r="F259" s="8" t="inlineStr">
        <is>
          <t>サウンド</t>
        </is>
      </c>
      <c r="G259" s="8" t="inlineStr">
        <is>
          <t>QA・デバッグ</t>
        </is>
      </c>
      <c r="H259" s="8" t="inlineStr">
        <is>
          <t>PM・運営</t>
        </is>
      </c>
    </row>
    <row r="260">
      <c r="A260" s="10" t="n">
        <v>0.005</v>
      </c>
      <c r="B260" s="21" t="n">
        <v>3.767767579002353</v>
      </c>
      <c r="C260" s="21" t="n">
        <v>0.626338470158691</v>
      </c>
      <c r="D260" s="21" t="n">
        <v>0.1070127157114685</v>
      </c>
      <c r="E260" s="21" t="n">
        <v>0.04217744625140141</v>
      </c>
      <c r="F260" s="21" t="n">
        <v>0</v>
      </c>
      <c r="G260" s="21" t="n">
        <v>0</v>
      </c>
      <c r="H260" s="21" t="n">
        <v>0.4463428219452366</v>
      </c>
    </row>
    <row r="261">
      <c r="A261" s="10" t="n">
        <v>0.015</v>
      </c>
      <c r="B261" s="21" t="n">
        <v>3.761994760495467</v>
      </c>
      <c r="C261" s="21" t="n">
        <v>0.6252820740584167</v>
      </c>
      <c r="D261" s="21" t="n">
        <v>0.106697942570694</v>
      </c>
      <c r="E261" s="21" t="n">
        <v>0.04204533637961148</v>
      </c>
      <c r="F261" s="21" t="n">
        <v>0</v>
      </c>
      <c r="G261" s="21" t="n">
        <v>0</v>
      </c>
      <c r="H261" s="21" t="n">
        <v>0.4454431520741512</v>
      </c>
    </row>
    <row r="262">
      <c r="A262" s="10" t="n">
        <v>0.025</v>
      </c>
      <c r="B262" s="21" t="n">
        <v>3.828382213494263</v>
      </c>
      <c r="C262" s="21" t="n">
        <v>0.6511294928993913</v>
      </c>
      <c r="D262" s="21" t="n">
        <v>0.1105820547727495</v>
      </c>
      <c r="E262" s="21" t="n">
        <v>0.04372563640616224</v>
      </c>
      <c r="F262" s="21" t="n">
        <v>0</v>
      </c>
      <c r="G262" s="21" t="n">
        <v>0</v>
      </c>
      <c r="H262" s="21" t="n">
        <v>0.4589849435303291</v>
      </c>
    </row>
    <row r="263">
      <c r="A263" s="10" t="n">
        <v>0.035</v>
      </c>
      <c r="B263" s="21" t="n">
        <v>3.81440287520376</v>
      </c>
      <c r="C263" s="21" t="n">
        <v>0.7685973283488613</v>
      </c>
      <c r="D263" s="21" t="n">
        <v>0.1440041823750332</v>
      </c>
      <c r="E263" s="21" t="n">
        <v>0.06445599932650727</v>
      </c>
      <c r="F263" s="21" t="n">
        <v>0.00410285154494453</v>
      </c>
      <c r="G263" s="21" t="n">
        <v>0</v>
      </c>
      <c r="H263" s="21" t="n">
        <v>0.5203196893954216</v>
      </c>
    </row>
    <row r="264">
      <c r="A264" s="10" t="n">
        <v>0.045</v>
      </c>
      <c r="B264" s="21" t="n">
        <v>3.63899255036343</v>
      </c>
      <c r="C264" s="21" t="n">
        <v>0.8854140897339349</v>
      </c>
      <c r="D264" s="21" t="n">
        <v>0.1903886080112208</v>
      </c>
      <c r="E264" s="21" t="n">
        <v>0.0999395407174974</v>
      </c>
      <c r="F264" s="21" t="n">
        <v>0.01252260234930052</v>
      </c>
      <c r="G264" s="21" t="n">
        <v>0</v>
      </c>
      <c r="H264" s="21" t="n">
        <v>0.5814271448877271</v>
      </c>
    </row>
    <row r="265">
      <c r="A265" s="10" t="n">
        <v>0.055</v>
      </c>
      <c r="B265" s="21" t="n">
        <v>3.49751616546778</v>
      </c>
      <c r="C265" s="21" t="n">
        <v>0.9509881511853484</v>
      </c>
      <c r="D265" s="21" t="n">
        <v>0.2263469288775057</v>
      </c>
      <c r="E265" s="21" t="n">
        <v>0.1277730057394547</v>
      </c>
      <c r="F265" s="21" t="n">
        <v>0.01660529064417287</v>
      </c>
      <c r="G265" s="21" t="n">
        <v>0</v>
      </c>
      <c r="H265" s="21" t="n">
        <v>0.6242435890902666</v>
      </c>
    </row>
    <row r="266">
      <c r="A266" s="10" t="n">
        <v>0.065</v>
      </c>
      <c r="B266" s="21" t="n">
        <v>3.475393036576936</v>
      </c>
      <c r="C266" s="21" t="n">
        <v>1.145212862075005</v>
      </c>
      <c r="D266" s="21" t="n">
        <v>0.3083168751833992</v>
      </c>
      <c r="E266" s="21" t="n">
        <v>0.1852367315131431</v>
      </c>
      <c r="F266" s="21" t="n">
        <v>0.02506337903714153</v>
      </c>
      <c r="G266" s="21" t="n">
        <v>0</v>
      </c>
      <c r="H266" s="21" t="n">
        <v>0.7530686666215425</v>
      </c>
    </row>
    <row r="267">
      <c r="A267" s="10" t="n">
        <v>0.075</v>
      </c>
      <c r="B267" s="21" t="n">
        <v>3.34554726490076</v>
      </c>
      <c r="C267" s="21" t="n">
        <v>1.128368816233817</v>
      </c>
      <c r="D267" s="21" t="n">
        <v>0.3221987512710867</v>
      </c>
      <c r="E267" s="21" t="n">
        <v>0.1958905119727916</v>
      </c>
      <c r="F267" s="21" t="n">
        <v>0.02920139345803727</v>
      </c>
      <c r="G267" s="21" t="n">
        <v>0</v>
      </c>
      <c r="H267" s="21" t="n">
        <v>0.7562192113979199</v>
      </c>
    </row>
    <row r="268">
      <c r="A268" s="10" t="n">
        <v>0.08500000000000001</v>
      </c>
      <c r="B268" s="21" t="n">
        <v>3.265315636133847</v>
      </c>
      <c r="C268" s="21" t="n">
        <v>1.155186299216103</v>
      </c>
      <c r="D268" s="21" t="n">
        <v>0.3370714868158174</v>
      </c>
      <c r="E268" s="21" t="n">
        <v>0.2117075158676606</v>
      </c>
      <c r="F268" s="21" t="n">
        <v>0.0356202361498642</v>
      </c>
      <c r="G268" s="21" t="n">
        <v>0.0001777066950997378</v>
      </c>
      <c r="H268" s="21" t="n">
        <v>0.7850650916749879</v>
      </c>
    </row>
    <row r="269">
      <c r="A269" s="10" t="n">
        <v>0.095</v>
      </c>
      <c r="B269" s="21" t="n">
        <v>3.135891653015871</v>
      </c>
      <c r="C269" s="21" t="n">
        <v>1.161065771058215</v>
      </c>
      <c r="D269" s="21" t="n">
        <v>0.3454053559799296</v>
      </c>
      <c r="E269" s="21" t="n">
        <v>0.2315012134730063</v>
      </c>
      <c r="F269" s="21" t="n">
        <v>0.04462026070640521</v>
      </c>
      <c r="G269" s="21" t="n">
        <v>0.0006575147718690306</v>
      </c>
      <c r="H269" s="21" t="n">
        <v>0.7754874990617606</v>
      </c>
    </row>
    <row r="270">
      <c r="A270" s="10" t="n">
        <v>0.105</v>
      </c>
      <c r="B270" s="21" t="n">
        <v>3.029758858198319</v>
      </c>
      <c r="C270" s="21" t="n">
        <v>1.147487787886426</v>
      </c>
      <c r="D270" s="21" t="n">
        <v>0.3612289255332921</v>
      </c>
      <c r="E270" s="21" t="n">
        <v>0.2541248149837321</v>
      </c>
      <c r="F270" s="21" t="n">
        <v>0.05511350696669277</v>
      </c>
      <c r="G270" s="21" t="n">
        <v>0.001402055972889687</v>
      </c>
      <c r="H270" s="21" t="n">
        <v>0.7674763633675646</v>
      </c>
    </row>
    <row r="271">
      <c r="A271" s="10" t="n">
        <v>0.115</v>
      </c>
      <c r="B271" s="21" t="n">
        <v>2.84965847975086</v>
      </c>
      <c r="C271" s="21" t="n">
        <v>1.254298372488921</v>
      </c>
      <c r="D271" s="21" t="n">
        <v>0.4133121367782889</v>
      </c>
      <c r="E271" s="21" t="n">
        <v>0.3057486383234477</v>
      </c>
      <c r="F271" s="21" t="n">
        <v>0.07129986596322083</v>
      </c>
      <c r="G271" s="21" t="n">
        <v>0.002495476752296184</v>
      </c>
      <c r="H271" s="21" t="n">
        <v>0.8167546652413045</v>
      </c>
    </row>
    <row r="272">
      <c r="A272" s="10" t="n">
        <v>0.125</v>
      </c>
      <c r="B272" s="21" t="n">
        <v>2.84467670677649</v>
      </c>
      <c r="C272" s="21" t="n">
        <v>1.34123452166143</v>
      </c>
      <c r="D272" s="21" t="n">
        <v>0.466748410923803</v>
      </c>
      <c r="E272" s="21" t="n">
        <v>0.3469925597448822</v>
      </c>
      <c r="F272" s="21" t="n">
        <v>0.08767752127254218</v>
      </c>
      <c r="G272" s="21" t="n">
        <v>0.00375863620785846</v>
      </c>
      <c r="H272" s="21" t="n">
        <v>0.8693374302388408</v>
      </c>
    </row>
    <row r="273">
      <c r="A273" s="10" t="n">
        <v>0.135</v>
      </c>
      <c r="B273" s="21" t="n">
        <v>2.677004827030811</v>
      </c>
      <c r="C273" s="21" t="n">
        <v>1.349817000878275</v>
      </c>
      <c r="D273" s="21" t="n">
        <v>0.5084245169060414</v>
      </c>
      <c r="E273" s="21" t="n">
        <v>0.3839057691818309</v>
      </c>
      <c r="F273" s="21" t="n">
        <v>0.1062045254158467</v>
      </c>
      <c r="G273" s="21" t="n">
        <v>0.006330186280222064</v>
      </c>
      <c r="H273" s="21" t="n">
        <v>0.8837128391745376</v>
      </c>
    </row>
    <row r="274">
      <c r="A274" s="10" t="n">
        <v>0.145</v>
      </c>
      <c r="B274" s="21" t="n">
        <v>2.628692688500531</v>
      </c>
      <c r="C274" s="21" t="n">
        <v>1.352713767255181</v>
      </c>
      <c r="D274" s="21" t="n">
        <v>0.5205802891067962</v>
      </c>
      <c r="E274" s="21" t="n">
        <v>0.3956095406797948</v>
      </c>
      <c r="F274" s="21" t="n">
        <v>0.1125124275713975</v>
      </c>
      <c r="G274" s="21" t="n">
        <v>0.007166192445699134</v>
      </c>
      <c r="H274" s="21" t="n">
        <v>0.8879461987245421</v>
      </c>
    </row>
    <row r="275">
      <c r="A275" s="10" t="n">
        <v>0.155</v>
      </c>
      <c r="B275" s="21" t="n">
        <v>2.629130613345288</v>
      </c>
      <c r="C275" s="21" t="n">
        <v>1.349197675518961</v>
      </c>
      <c r="D275" s="21" t="n">
        <v>0.5185344632539289</v>
      </c>
      <c r="E275" s="21" t="n">
        <v>0.3937165035243871</v>
      </c>
      <c r="F275" s="21" t="n">
        <v>0.1118154376229038</v>
      </c>
      <c r="G275" s="21" t="n">
        <v>0.007115666067476642</v>
      </c>
      <c r="H275" s="21" t="n">
        <v>0.8856827606214033</v>
      </c>
    </row>
    <row r="276">
      <c r="A276" s="10" t="n">
        <v>0.165</v>
      </c>
      <c r="B276" s="21" t="n">
        <v>2.434097630944895</v>
      </c>
      <c r="C276" s="21" t="n">
        <v>1.313175986709637</v>
      </c>
      <c r="D276" s="21" t="n">
        <v>0.5319553939298088</v>
      </c>
      <c r="E276" s="21" t="n">
        <v>0.395636763503649</v>
      </c>
      <c r="F276" s="21" t="n">
        <v>0.1213360646063645</v>
      </c>
      <c r="G276" s="21" t="n">
        <v>0.007963837817449256</v>
      </c>
      <c r="H276" s="21" t="n">
        <v>0.8882522572197472</v>
      </c>
    </row>
    <row r="277">
      <c r="A277" s="10" t="n">
        <v>0.175</v>
      </c>
      <c r="B277" s="21" t="n">
        <v>2.23241678360352</v>
      </c>
      <c r="C277" s="21" t="n">
        <v>1.300193729678587</v>
      </c>
      <c r="D277" s="21" t="n">
        <v>0.6021625863194897</v>
      </c>
      <c r="E277" s="21" t="n">
        <v>0.454980507435267</v>
      </c>
      <c r="F277" s="21" t="n">
        <v>0.1686202725833544</v>
      </c>
      <c r="G277" s="21" t="n">
        <v>0.0130592965328955</v>
      </c>
      <c r="H277" s="21" t="n">
        <v>0.9436185300842405</v>
      </c>
    </row>
    <row r="278">
      <c r="A278" s="10" t="n">
        <v>0.185</v>
      </c>
      <c r="B278" s="21" t="n">
        <v>2.071423427068404</v>
      </c>
      <c r="C278" s="21" t="n">
        <v>1.300763600023963</v>
      </c>
      <c r="D278" s="21" t="n">
        <v>0.6428224646921055</v>
      </c>
      <c r="E278" s="21" t="n">
        <v>0.4976125174586265</v>
      </c>
      <c r="F278" s="21" t="n">
        <v>0.1978887367512754</v>
      </c>
      <c r="G278" s="21" t="n">
        <v>0.01653557405652725</v>
      </c>
      <c r="H278" s="21" t="n">
        <v>0.9546941726534786</v>
      </c>
    </row>
    <row r="279">
      <c r="A279" s="10" t="n">
        <v>0.195</v>
      </c>
      <c r="B279" s="21" t="n">
        <v>2.080179799420476</v>
      </c>
      <c r="C279" s="21" t="n">
        <v>1.319650996172059</v>
      </c>
      <c r="D279" s="21" t="n">
        <v>0.6509395896852121</v>
      </c>
      <c r="E279" s="21" t="n">
        <v>0.5105932098049326</v>
      </c>
      <c r="F279" s="21" t="n">
        <v>0.2019714887093043</v>
      </c>
      <c r="G279" s="21" t="n">
        <v>0.01667242398385751</v>
      </c>
      <c r="H279" s="21" t="n">
        <v>0.9381440732996312</v>
      </c>
    </row>
    <row r="280">
      <c r="A280" s="10" t="n">
        <v>0.205</v>
      </c>
      <c r="B280" s="21" t="n">
        <v>2.049446536101025</v>
      </c>
      <c r="C280" s="21" t="n">
        <v>1.319432236665905</v>
      </c>
      <c r="D280" s="21" t="n">
        <v>0.6504814275529609</v>
      </c>
      <c r="E280" s="21" t="n">
        <v>0.5267506756786678</v>
      </c>
      <c r="F280" s="21" t="n">
        <v>0.2095813441748497</v>
      </c>
      <c r="G280" s="21" t="n">
        <v>0.01786001552355369</v>
      </c>
      <c r="H280" s="21" t="n">
        <v>0.922698057271271</v>
      </c>
    </row>
    <row r="281">
      <c r="A281" s="10" t="n">
        <v>0.215</v>
      </c>
      <c r="B281" s="21" t="n">
        <v>2.04165777228915</v>
      </c>
      <c r="C281" s="21" t="n">
        <v>1.312034091560756</v>
      </c>
      <c r="D281" s="21" t="n">
        <v>0.6522025884750621</v>
      </c>
      <c r="E281" s="21" t="n">
        <v>0.5302596732250686</v>
      </c>
      <c r="F281" s="21" t="n">
        <v>0.2111925894019949</v>
      </c>
      <c r="G281" s="21" t="n">
        <v>0.01830357107185251</v>
      </c>
      <c r="H281" s="21" t="n">
        <v>0.9312770942476213</v>
      </c>
    </row>
    <row r="282">
      <c r="A282" s="10" t="n">
        <v>0.225</v>
      </c>
      <c r="B282" s="21" t="n">
        <v>1.936927265664708</v>
      </c>
      <c r="C282" s="21" t="n">
        <v>1.353027665785926</v>
      </c>
      <c r="D282" s="21" t="n">
        <v>0.6990089765204108</v>
      </c>
      <c r="E282" s="21" t="n">
        <v>0.5862979084057983</v>
      </c>
      <c r="F282" s="21" t="n">
        <v>0.2521752095743544</v>
      </c>
      <c r="G282" s="21" t="n">
        <v>0.02635489538483161</v>
      </c>
      <c r="H282" s="21" t="n">
        <v>0.9512756070027624</v>
      </c>
    </row>
    <row r="283">
      <c r="A283" s="10" t="n">
        <v>0.235</v>
      </c>
      <c r="B283" s="21" t="n">
        <v>1.750134055934659</v>
      </c>
      <c r="C283" s="21" t="n">
        <v>1.401658430699801</v>
      </c>
      <c r="D283" s="21" t="n">
        <v>0.7444099077762127</v>
      </c>
      <c r="E283" s="21" t="n">
        <v>0.6363676545431772</v>
      </c>
      <c r="F283" s="21" t="n">
        <v>0.2932709479513396</v>
      </c>
      <c r="G283" s="21" t="n">
        <v>0.03797544489983432</v>
      </c>
      <c r="H283" s="21" t="n">
        <v>0.9482103596179358</v>
      </c>
    </row>
    <row r="284">
      <c r="A284" s="10" t="n">
        <v>0.245</v>
      </c>
      <c r="B284" s="21" t="n">
        <v>1.655045291420609</v>
      </c>
      <c r="C284" s="21" t="n">
        <v>1.459026320083199</v>
      </c>
      <c r="D284" s="21" t="n">
        <v>0.8071695774656985</v>
      </c>
      <c r="E284" s="21" t="n">
        <v>0.6834680614466805</v>
      </c>
      <c r="F284" s="21" t="n">
        <v>0.3247853129036492</v>
      </c>
      <c r="G284" s="21" t="n">
        <v>0.04280265846670078</v>
      </c>
      <c r="H284" s="21" t="n">
        <v>1.023097722975661</v>
      </c>
    </row>
    <row r="285">
      <c r="A285" s="10" t="n">
        <v>0.255</v>
      </c>
      <c r="B285" s="21" t="n">
        <v>1.644124046394779</v>
      </c>
      <c r="C285" s="21" t="n">
        <v>1.454678076755415</v>
      </c>
      <c r="D285" s="21" t="n">
        <v>0.8046653485943369</v>
      </c>
      <c r="E285" s="21" t="n">
        <v>0.6808807483756797</v>
      </c>
      <c r="F285" s="21" t="n">
        <v>0.3236207773600529</v>
      </c>
      <c r="G285" s="21" t="n">
        <v>0.04269202583514349</v>
      </c>
      <c r="H285" s="21" t="n">
        <v>1.022671112926231</v>
      </c>
    </row>
    <row r="286">
      <c r="A286" s="10" t="n">
        <v>0.265</v>
      </c>
      <c r="B286" s="21" t="n">
        <v>1.653710330038951</v>
      </c>
      <c r="C286" s="21" t="n">
        <v>1.48860281705318</v>
      </c>
      <c r="D286" s="21" t="n">
        <v>0.8224383396005613</v>
      </c>
      <c r="E286" s="21" t="n">
        <v>0.7178545165022998</v>
      </c>
      <c r="F286" s="21" t="n">
        <v>0.3462972523430587</v>
      </c>
      <c r="G286" s="21" t="n">
        <v>0.04605565265403757</v>
      </c>
      <c r="H286" s="21" t="n">
        <v>1.045231190217083</v>
      </c>
    </row>
    <row r="287">
      <c r="A287" s="10" t="n">
        <v>0.275</v>
      </c>
      <c r="B287" s="21" t="n">
        <v>1.611766588505161</v>
      </c>
      <c r="C287" s="21" t="n">
        <v>1.485455614683562</v>
      </c>
      <c r="D287" s="21" t="n">
        <v>0.828150307193967</v>
      </c>
      <c r="E287" s="21" t="n">
        <v>0.7527245463193921</v>
      </c>
      <c r="F287" s="21" t="n">
        <v>0.3876235903988968</v>
      </c>
      <c r="G287" s="21" t="n">
        <v>0.05343805793936178</v>
      </c>
      <c r="H287" s="21" t="n">
        <v>1.040292801843481</v>
      </c>
    </row>
    <row r="288">
      <c r="A288" s="10" t="n">
        <v>0.285</v>
      </c>
      <c r="B288" s="21" t="n">
        <v>1.512204871740371</v>
      </c>
      <c r="C288" s="21" t="n">
        <v>1.477754883847776</v>
      </c>
      <c r="D288" s="21" t="n">
        <v>0.8728232506337613</v>
      </c>
      <c r="E288" s="21" t="n">
        <v>0.7995177396976744</v>
      </c>
      <c r="F288" s="21" t="n">
        <v>0.4208541900928954</v>
      </c>
      <c r="G288" s="21" t="n">
        <v>0.06187596032772372</v>
      </c>
      <c r="H288" s="21" t="n">
        <v>1.068264767883656</v>
      </c>
    </row>
    <row r="289">
      <c r="A289" s="10" t="n">
        <v>0.295</v>
      </c>
      <c r="B289" s="21" t="n">
        <v>1.4771506186782</v>
      </c>
      <c r="C289" s="21" t="n">
        <v>1.511887657694827</v>
      </c>
      <c r="D289" s="21" t="n">
        <v>0.9528914632412202</v>
      </c>
      <c r="E289" s="21" t="n">
        <v>0.8368077078781045</v>
      </c>
      <c r="F289" s="21" t="n">
        <v>0.4532120001880418</v>
      </c>
      <c r="G289" s="21" t="n">
        <v>0.07537219718722728</v>
      </c>
      <c r="H289" s="21" t="n">
        <v>1.070827889435947</v>
      </c>
    </row>
    <row r="290">
      <c r="A290" s="10" t="n">
        <v>0.305</v>
      </c>
      <c r="B290" s="21" t="n">
        <v>1.384889201257644</v>
      </c>
      <c r="C290" s="21" t="n">
        <v>1.551464012440128</v>
      </c>
      <c r="D290" s="21" t="n">
        <v>1.015919185979853</v>
      </c>
      <c r="E290" s="21" t="n">
        <v>0.8975433726614062</v>
      </c>
      <c r="F290" s="21" t="n">
        <v>0.4915614783269594</v>
      </c>
      <c r="G290" s="21" t="n">
        <v>0.08282261906731699</v>
      </c>
      <c r="H290" s="21" t="n">
        <v>1.101434999326872</v>
      </c>
    </row>
    <row r="291">
      <c r="A291" s="10" t="n">
        <v>0.315</v>
      </c>
      <c r="B291" s="21" t="n">
        <v>1.359486099195345</v>
      </c>
      <c r="C291" s="21" t="n">
        <v>1.577460164118228</v>
      </c>
      <c r="D291" s="21" t="n">
        <v>1.087301106177969</v>
      </c>
      <c r="E291" s="21" t="n">
        <v>0.9089402282496353</v>
      </c>
      <c r="F291" s="21" t="n">
        <v>0.5009704089463448</v>
      </c>
      <c r="G291" s="21" t="n">
        <v>0.09145890665227946</v>
      </c>
      <c r="H291" s="21" t="n">
        <v>1.114175543965295</v>
      </c>
    </row>
    <row r="292">
      <c r="A292" s="10" t="n">
        <v>0.325</v>
      </c>
      <c r="B292" s="21" t="n">
        <v>1.319003033206428</v>
      </c>
      <c r="C292" s="21" t="n">
        <v>1.589297658068999</v>
      </c>
      <c r="D292" s="21" t="n">
        <v>1.120620559643122</v>
      </c>
      <c r="E292" s="21" t="n">
        <v>0.9155430322998916</v>
      </c>
      <c r="F292" s="21" t="n">
        <v>0.5075216230038136</v>
      </c>
      <c r="G292" s="21" t="n">
        <v>0.09637803209713222</v>
      </c>
      <c r="H292" s="21" t="n">
        <v>1.121377665099582</v>
      </c>
    </row>
    <row r="293">
      <c r="A293" s="10" t="n">
        <v>0.335</v>
      </c>
      <c r="B293" s="21" t="n">
        <v>1.331771915234954</v>
      </c>
      <c r="C293" s="21" t="n">
        <v>1.710292823490802</v>
      </c>
      <c r="D293" s="21" t="n">
        <v>1.225670023200564</v>
      </c>
      <c r="E293" s="21" t="n">
        <v>1.012809975419565</v>
      </c>
      <c r="F293" s="21" t="n">
        <v>0.5512115126275583</v>
      </c>
      <c r="G293" s="21" t="n">
        <v>0.1040760875204846</v>
      </c>
      <c r="H293" s="21" t="n">
        <v>1.183819373541064</v>
      </c>
    </row>
    <row r="294">
      <c r="A294" s="10" t="n">
        <v>0.345</v>
      </c>
      <c r="B294" s="21" t="n">
        <v>1.277058158717245</v>
      </c>
      <c r="C294" s="21" t="n">
        <v>1.714698693946772</v>
      </c>
      <c r="D294" s="21" t="n">
        <v>1.273682468078202</v>
      </c>
      <c r="E294" s="21" t="n">
        <v>1.079625474540814</v>
      </c>
      <c r="F294" s="21" t="n">
        <v>0.6096430672797774</v>
      </c>
      <c r="G294" s="21" t="n">
        <v>0.1172937511526989</v>
      </c>
      <c r="H294" s="21" t="n">
        <v>1.209086661436964</v>
      </c>
    </row>
    <row r="295">
      <c r="A295" s="10" t="n">
        <v>0.355</v>
      </c>
      <c r="B295" s="21" t="n">
        <v>1.23712534756455</v>
      </c>
      <c r="C295" s="21" t="n">
        <v>1.703902297522899</v>
      </c>
      <c r="D295" s="21" t="n">
        <v>1.286479711920193</v>
      </c>
      <c r="E295" s="21" t="n">
        <v>1.073213089473632</v>
      </c>
      <c r="F295" s="21" t="n">
        <v>0.6338932323110875</v>
      </c>
      <c r="G295" s="21" t="n">
        <v>0.1253252721839695</v>
      </c>
      <c r="H295" s="21" t="n">
        <v>1.212150123810534</v>
      </c>
    </row>
    <row r="296">
      <c r="A296" s="10" t="n">
        <v>0.365</v>
      </c>
      <c r="B296" s="21" t="n">
        <v>1.053193803025613</v>
      </c>
      <c r="C296" s="21" t="n">
        <v>1.761304782799816</v>
      </c>
      <c r="D296" s="21" t="n">
        <v>1.345680193900195</v>
      </c>
      <c r="E296" s="21" t="n">
        <v>1.134159691549925</v>
      </c>
      <c r="F296" s="21" t="n">
        <v>0.7285916098313495</v>
      </c>
      <c r="G296" s="21" t="n">
        <v>0.1465607241790732</v>
      </c>
      <c r="H296" s="21" t="n">
        <v>1.308841376396863</v>
      </c>
    </row>
    <row r="297">
      <c r="A297" s="10" t="n">
        <v>0.375</v>
      </c>
      <c r="B297" s="21" t="n">
        <v>1.017077288200095</v>
      </c>
      <c r="C297" s="21" t="n">
        <v>1.768239039153844</v>
      </c>
      <c r="D297" s="21" t="n">
        <v>1.355702364689551</v>
      </c>
      <c r="E297" s="21" t="n">
        <v>1.149627719903717</v>
      </c>
      <c r="F297" s="21" t="n">
        <v>0.7490792142053918</v>
      </c>
      <c r="G297" s="21" t="n">
        <v>0.1499390077442338</v>
      </c>
      <c r="H297" s="21" t="n">
        <v>1.322686536227154</v>
      </c>
    </row>
    <row r="298">
      <c r="A298" s="10" t="n">
        <v>0.385</v>
      </c>
      <c r="B298" s="21" t="n">
        <v>1.01590133929091</v>
      </c>
      <c r="C298" s="21" t="n">
        <v>1.778689767165705</v>
      </c>
      <c r="D298" s="21" t="n">
        <v>1.365272567775957</v>
      </c>
      <c r="E298" s="21" t="n">
        <v>1.157492082279026</v>
      </c>
      <c r="F298" s="21" t="n">
        <v>0.7596227055337893</v>
      </c>
      <c r="G298" s="21" t="n">
        <v>0.1521528739795946</v>
      </c>
      <c r="H298" s="21" t="n">
        <v>1.323824127706144</v>
      </c>
    </row>
    <row r="299">
      <c r="A299" s="10" t="n">
        <v>0.395</v>
      </c>
      <c r="B299" s="21" t="n">
        <v>0.9309896241532615</v>
      </c>
      <c r="C299" s="21" t="n">
        <v>1.772568827379781</v>
      </c>
      <c r="D299" s="21" t="n">
        <v>1.465419640138685</v>
      </c>
      <c r="E299" s="21" t="n">
        <v>1.181192244175596</v>
      </c>
      <c r="F299" s="21" t="n">
        <v>0.821759198629131</v>
      </c>
      <c r="G299" s="21" t="n">
        <v>0.1685038897501371</v>
      </c>
      <c r="H299" s="21" t="n">
        <v>1.307573737496844</v>
      </c>
    </row>
    <row r="300">
      <c r="A300" s="10" t="n">
        <v>0.405</v>
      </c>
      <c r="B300" s="21" t="n">
        <v>0.8409269686894607</v>
      </c>
      <c r="C300" s="21" t="n">
        <v>1.749372358399774</v>
      </c>
      <c r="D300" s="21" t="n">
        <v>1.541570049693198</v>
      </c>
      <c r="E300" s="21" t="n">
        <v>1.247453972259276</v>
      </c>
      <c r="F300" s="21" t="n">
        <v>0.9041354702371444</v>
      </c>
      <c r="G300" s="21" t="n">
        <v>0.2054078287242844</v>
      </c>
      <c r="H300" s="21" t="n">
        <v>1.316429522307889</v>
      </c>
    </row>
    <row r="301">
      <c r="A301" s="10" t="n">
        <v>0.415</v>
      </c>
      <c r="B301" s="21" t="n">
        <v>0.8336723156654415</v>
      </c>
      <c r="C301" s="21" t="n">
        <v>1.706659259966717</v>
      </c>
      <c r="D301" s="21" t="n">
        <v>1.501986531447183</v>
      </c>
      <c r="E301" s="21" t="n">
        <v>1.262015189594767</v>
      </c>
      <c r="F301" s="21" t="n">
        <v>0.9121649559292418</v>
      </c>
      <c r="G301" s="21" t="n">
        <v>0.2183389219049952</v>
      </c>
      <c r="H301" s="21" t="n">
        <v>1.312885281857304</v>
      </c>
    </row>
    <row r="302">
      <c r="A302" s="10" t="n">
        <v>0.425</v>
      </c>
      <c r="B302" s="21" t="n">
        <v>0.7476182723534991</v>
      </c>
      <c r="C302" s="21" t="n">
        <v>1.763856606633141</v>
      </c>
      <c r="D302" s="21" t="n">
        <v>1.594326493273305</v>
      </c>
      <c r="E302" s="21" t="n">
        <v>1.325133599418898</v>
      </c>
      <c r="F302" s="21" t="n">
        <v>0.9720162710223791</v>
      </c>
      <c r="G302" s="21" t="n">
        <v>0.2338336135211042</v>
      </c>
      <c r="H302" s="21" t="n">
        <v>1.334602684817294</v>
      </c>
    </row>
    <row r="303">
      <c r="A303" s="10" t="n">
        <v>0.435</v>
      </c>
      <c r="B303" s="21" t="n">
        <v>0.6336735104429132</v>
      </c>
      <c r="C303" s="21" t="n">
        <v>1.855286953911498</v>
      </c>
      <c r="D303" s="21" t="n">
        <v>1.630408376420414</v>
      </c>
      <c r="E303" s="21" t="n">
        <v>1.355188057119107</v>
      </c>
      <c r="F303" s="21" t="n">
        <v>1.037016746832173</v>
      </c>
      <c r="G303" s="21" t="n">
        <v>0.2572729145464616</v>
      </c>
      <c r="H303" s="21" t="n">
        <v>1.324460409880321</v>
      </c>
    </row>
    <row r="304">
      <c r="A304" s="10" t="n">
        <v>0.445</v>
      </c>
      <c r="B304" s="21" t="n">
        <v>0.6285853498472974</v>
      </c>
      <c r="C304" s="21" t="n">
        <v>1.865875392964114</v>
      </c>
      <c r="D304" s="21" t="n">
        <v>1.638552598401043</v>
      </c>
      <c r="E304" s="21" t="n">
        <v>1.3682372943787</v>
      </c>
      <c r="F304" s="21" t="n">
        <v>1.052378197772353</v>
      </c>
      <c r="G304" s="21" t="n">
        <v>0.269390655994144</v>
      </c>
      <c r="H304" s="21" t="n">
        <v>1.338991535769289</v>
      </c>
    </row>
    <row r="305">
      <c r="A305" s="10" t="n">
        <v>0.455</v>
      </c>
      <c r="B305" s="21" t="n">
        <v>0.5858344712826956</v>
      </c>
      <c r="C305" s="21" t="n">
        <v>1.856270423168423</v>
      </c>
      <c r="D305" s="21" t="n">
        <v>1.675434411784736</v>
      </c>
      <c r="E305" s="21" t="n">
        <v>1.394501375534828</v>
      </c>
      <c r="F305" s="21" t="n">
        <v>1.103602577372385</v>
      </c>
      <c r="G305" s="21" t="n">
        <v>0.3163066818001504</v>
      </c>
      <c r="H305" s="21" t="n">
        <v>1.341710059707812</v>
      </c>
    </row>
    <row r="306">
      <c r="A306" s="10" t="n">
        <v>0.465</v>
      </c>
      <c r="B306" s="21" t="n">
        <v>0.5135278285331698</v>
      </c>
      <c r="C306" s="21" t="n">
        <v>1.862048219253404</v>
      </c>
      <c r="D306" s="21" t="n">
        <v>1.804179855100433</v>
      </c>
      <c r="E306" s="21" t="n">
        <v>1.480372609644213</v>
      </c>
      <c r="F306" s="21" t="n">
        <v>1.20052220251899</v>
      </c>
      <c r="G306" s="21" t="n">
        <v>0.373591204565408</v>
      </c>
      <c r="H306" s="21" t="n">
        <v>1.351067994989449</v>
      </c>
    </row>
    <row r="307">
      <c r="A307" s="10" t="n">
        <v>0.475</v>
      </c>
      <c r="B307" s="21" t="n">
        <v>0.5070392029427701</v>
      </c>
      <c r="C307" s="21" t="n">
        <v>1.835892115994761</v>
      </c>
      <c r="D307" s="21" t="n">
        <v>1.791747101317773</v>
      </c>
      <c r="E307" s="21" t="n">
        <v>1.476267753276517</v>
      </c>
      <c r="F307" s="21" t="n">
        <v>1.189394427216779</v>
      </c>
      <c r="G307" s="21" t="n">
        <v>0.3764683791149131</v>
      </c>
      <c r="H307" s="21" t="n">
        <v>1.337272348204959</v>
      </c>
    </row>
    <row r="308">
      <c r="A308" s="10" t="n">
        <v>0.485</v>
      </c>
      <c r="B308" s="21" t="n">
        <v>0.4877158054138793</v>
      </c>
      <c r="C308" s="21" t="n">
        <v>1.919433885889201</v>
      </c>
      <c r="D308" s="21" t="n">
        <v>1.930651109039887</v>
      </c>
      <c r="E308" s="21" t="n">
        <v>1.577271759989688</v>
      </c>
      <c r="F308" s="21" t="n">
        <v>1.284922725662017</v>
      </c>
      <c r="G308" s="21" t="n">
        <v>0.4204683044667323</v>
      </c>
      <c r="H308" s="21" t="n">
        <v>1.399033199672945</v>
      </c>
    </row>
    <row r="309">
      <c r="A309" s="10" t="n">
        <v>0.495</v>
      </c>
      <c r="B309" s="21" t="n">
        <v>0.4267050886775714</v>
      </c>
      <c r="C309" s="21" t="n">
        <v>1.912802338225873</v>
      </c>
      <c r="D309" s="21" t="n">
        <v>2.031183656297872</v>
      </c>
      <c r="E309" s="21" t="n">
        <v>1.633111409729338</v>
      </c>
      <c r="F309" s="21" t="n">
        <v>1.370607990434747</v>
      </c>
      <c r="G309" s="21" t="n">
        <v>0.4430966482315101</v>
      </c>
      <c r="H309" s="21" t="n">
        <v>1.40901050814062</v>
      </c>
    </row>
    <row r="310">
      <c r="A310" s="10" t="n">
        <v>0.505</v>
      </c>
      <c r="B310" s="21" t="n">
        <v>0.360336687069042</v>
      </c>
      <c r="C310" s="21" t="n">
        <v>1.786245728811305</v>
      </c>
      <c r="D310" s="21" t="n">
        <v>1.98232162863189</v>
      </c>
      <c r="E310" s="21" t="n">
        <v>1.57331323559935</v>
      </c>
      <c r="F310" s="21" t="n">
        <v>1.372537203029902</v>
      </c>
      <c r="G310" s="21" t="n">
        <v>0.4485968327469269</v>
      </c>
      <c r="H310" s="21" t="n">
        <v>1.349946259262264</v>
      </c>
    </row>
    <row r="311">
      <c r="A311" s="10" t="n">
        <v>0.515</v>
      </c>
      <c r="B311" s="21" t="n">
        <v>0.3289948339681332</v>
      </c>
      <c r="C311" s="21" t="n">
        <v>1.73189476212343</v>
      </c>
      <c r="D311" s="21" t="n">
        <v>1.973246570426251</v>
      </c>
      <c r="E311" s="21" t="n">
        <v>1.635128867612976</v>
      </c>
      <c r="F311" s="21" t="n">
        <v>1.432899869604342</v>
      </c>
      <c r="G311" s="21" t="n">
        <v>0.48426691826316</v>
      </c>
      <c r="H311" s="21" t="n">
        <v>1.332812742208981</v>
      </c>
    </row>
    <row r="312">
      <c r="A312" s="10" t="n">
        <v>0.525</v>
      </c>
      <c r="B312" s="21" t="n">
        <v>0.3192634440905372</v>
      </c>
      <c r="C312" s="21" t="n">
        <v>1.66833226958949</v>
      </c>
      <c r="D312" s="21" t="n">
        <v>1.914180180697367</v>
      </c>
      <c r="E312" s="21" t="n">
        <v>1.627324087283331</v>
      </c>
      <c r="F312" s="21" t="n">
        <v>1.431114183239035</v>
      </c>
      <c r="G312" s="21" t="n">
        <v>0.5160580670937199</v>
      </c>
      <c r="H312" s="21" t="n">
        <v>1.310118211379389</v>
      </c>
    </row>
    <row r="313">
      <c r="A313" s="10" t="n">
        <v>0.535</v>
      </c>
      <c r="B313" s="21" t="n">
        <v>0.2766876918956579</v>
      </c>
      <c r="C313" s="21" t="n">
        <v>1.557384248527788</v>
      </c>
      <c r="D313" s="21" t="n">
        <v>1.933973818046832</v>
      </c>
      <c r="E313" s="21" t="n">
        <v>1.635822006894047</v>
      </c>
      <c r="F313" s="21" t="n">
        <v>1.597505308627926</v>
      </c>
      <c r="G313" s="21" t="n">
        <v>0.6529321125223817</v>
      </c>
      <c r="H313" s="21" t="n">
        <v>1.331869612873533</v>
      </c>
    </row>
    <row r="314">
      <c r="A314" s="10" t="n">
        <v>0.545</v>
      </c>
      <c r="B314" s="21" t="n">
        <v>0.2612649020119588</v>
      </c>
      <c r="C314" s="21" t="n">
        <v>1.443652151701915</v>
      </c>
      <c r="D314" s="21" t="n">
        <v>1.856332945066459</v>
      </c>
      <c r="E314" s="21" t="n">
        <v>1.615083813793649</v>
      </c>
      <c r="F314" s="21" t="n">
        <v>1.638620621565892</v>
      </c>
      <c r="G314" s="21" t="n">
        <v>0.6713857635462511</v>
      </c>
      <c r="H314" s="21" t="n">
        <v>1.332255870864645</v>
      </c>
    </row>
    <row r="315">
      <c r="A315" s="10" t="n">
        <v>0.555</v>
      </c>
      <c r="B315" s="21" t="n">
        <v>0.2614101213017995</v>
      </c>
      <c r="C315" s="21" t="n">
        <v>1.422994805064685</v>
      </c>
      <c r="D315" s="21" t="n">
        <v>1.824669142142834</v>
      </c>
      <c r="E315" s="21" t="n">
        <v>1.628589557987071</v>
      </c>
      <c r="F315" s="21" t="n">
        <v>1.654122160387689</v>
      </c>
      <c r="G315" s="21" t="n">
        <v>0.6834139415586846</v>
      </c>
      <c r="H315" s="21" t="n">
        <v>1.333028341599065</v>
      </c>
    </row>
    <row r="316">
      <c r="A316" s="10" t="n">
        <v>0.5649999999999999</v>
      </c>
      <c r="B316" s="21" t="n">
        <v>0.2454475404105964</v>
      </c>
      <c r="C316" s="21" t="n">
        <v>1.350289273930015</v>
      </c>
      <c r="D316" s="21" t="n">
        <v>1.746440081213472</v>
      </c>
      <c r="E316" s="21" t="n">
        <v>1.644544585215201</v>
      </c>
      <c r="F316" s="21" t="n">
        <v>1.704003540447595</v>
      </c>
      <c r="G316" s="21" t="n">
        <v>0.7456786174243401</v>
      </c>
      <c r="H316" s="21" t="n">
        <v>1.339784882363197</v>
      </c>
    </row>
    <row r="317">
      <c r="A317" s="10" t="n">
        <v>0.575</v>
      </c>
      <c r="B317" s="21" t="n">
        <v>0.2211685387986921</v>
      </c>
      <c r="C317" s="21" t="n">
        <v>1.289461734459705</v>
      </c>
      <c r="D317" s="21" t="n">
        <v>1.672410473508385</v>
      </c>
      <c r="E317" s="21" t="n">
        <v>1.62858070612981</v>
      </c>
      <c r="F317" s="21" t="n">
        <v>1.709383945724905</v>
      </c>
      <c r="G317" s="21" t="n">
        <v>0.804381599555128</v>
      </c>
      <c r="H317" s="21" t="n">
        <v>1.333497208655508</v>
      </c>
    </row>
    <row r="318">
      <c r="A318" s="10" t="n">
        <v>0.585</v>
      </c>
      <c r="B318" s="21" t="n">
        <v>0.176072712707496</v>
      </c>
      <c r="C318" s="21" t="n">
        <v>1.206369190239969</v>
      </c>
      <c r="D318" s="21" t="n">
        <v>1.655578207699422</v>
      </c>
      <c r="E318" s="21" t="n">
        <v>1.702008249460297</v>
      </c>
      <c r="F318" s="21" t="n">
        <v>1.792668646285923</v>
      </c>
      <c r="G318" s="21" t="n">
        <v>0.9123705095590389</v>
      </c>
      <c r="H318" s="21" t="n">
        <v>1.345558290347903</v>
      </c>
    </row>
    <row r="319">
      <c r="A319" s="10" t="n">
        <v>0.595</v>
      </c>
      <c r="B319" s="21" t="n">
        <v>0.139927911844995</v>
      </c>
      <c r="C319" s="21" t="n">
        <v>1.162590556976391</v>
      </c>
      <c r="D319" s="21" t="n">
        <v>1.639213796672865</v>
      </c>
      <c r="E319" s="21" t="n">
        <v>1.726911226153126</v>
      </c>
      <c r="F319" s="21" t="n">
        <v>1.847274430909992</v>
      </c>
      <c r="G319" s="21" t="n">
        <v>0.9555552929610124</v>
      </c>
      <c r="H319" s="21" t="n">
        <v>1.339792491173958</v>
      </c>
    </row>
    <row r="320">
      <c r="A320" s="10" t="n">
        <v>0.605</v>
      </c>
      <c r="B320" s="21" t="n">
        <v>0.1281649670382148</v>
      </c>
      <c r="C320" s="21" t="n">
        <v>1.112557752074268</v>
      </c>
      <c r="D320" s="21" t="n">
        <v>1.618318403247283</v>
      </c>
      <c r="E320" s="21" t="n">
        <v>1.781558756484259</v>
      </c>
      <c r="F320" s="21" t="n">
        <v>1.910928100954209</v>
      </c>
      <c r="G320" s="21" t="n">
        <v>1.100992891167263</v>
      </c>
      <c r="H320" s="21" t="n">
        <v>1.321581719247251</v>
      </c>
    </row>
    <row r="321">
      <c r="A321" s="10" t="n">
        <v>0.615</v>
      </c>
      <c r="B321" s="21" t="n">
        <v>0.1119108895155579</v>
      </c>
      <c r="C321" s="21" t="n">
        <v>1.046908698381392</v>
      </c>
      <c r="D321" s="21" t="n">
        <v>1.572108038610704</v>
      </c>
      <c r="E321" s="21" t="n">
        <v>1.808304645497501</v>
      </c>
      <c r="F321" s="21" t="n">
        <v>2.013808773586688</v>
      </c>
      <c r="G321" s="21" t="n">
        <v>1.212821121176578</v>
      </c>
      <c r="H321" s="21" t="n">
        <v>1.318661851311235</v>
      </c>
    </row>
    <row r="322">
      <c r="A322" s="10" t="n">
        <v>0.625</v>
      </c>
      <c r="B322" s="21" t="n">
        <v>0.100114034462416</v>
      </c>
      <c r="C322" s="21" t="n">
        <v>0.9669205561094731</v>
      </c>
      <c r="D322" s="21" t="n">
        <v>1.507686774014452</v>
      </c>
      <c r="E322" s="21" t="n">
        <v>1.788538860997527</v>
      </c>
      <c r="F322" s="21" t="n">
        <v>2.042670703053029</v>
      </c>
      <c r="G322" s="21" t="n">
        <v>1.236902019959812</v>
      </c>
      <c r="H322" s="21" t="n">
        <v>1.311168246855394</v>
      </c>
    </row>
    <row r="323">
      <c r="A323" s="10" t="n">
        <v>0.635</v>
      </c>
      <c r="B323" s="21" t="n">
        <v>0.09662999663516025</v>
      </c>
      <c r="C323" s="21" t="n">
        <v>0.9415102916697415</v>
      </c>
      <c r="D323" s="21" t="n">
        <v>1.515631940868794</v>
      </c>
      <c r="E323" s="21" t="n">
        <v>1.761673416039341</v>
      </c>
      <c r="F323" s="21" t="n">
        <v>2.059829061624228</v>
      </c>
      <c r="G323" s="21" t="n">
        <v>1.297053378773948</v>
      </c>
      <c r="H323" s="21" t="n">
        <v>1.302775045192936</v>
      </c>
    </row>
    <row r="324">
      <c r="A324" s="10" t="n">
        <v>0.645</v>
      </c>
      <c r="B324" s="21" t="n">
        <v>0.08926449591032022</v>
      </c>
      <c r="C324" s="21" t="n">
        <v>0.9009212617855916</v>
      </c>
      <c r="D324" s="21" t="n">
        <v>1.511029490412473</v>
      </c>
      <c r="E324" s="21" t="n">
        <v>1.763877993269502</v>
      </c>
      <c r="F324" s="21" t="n">
        <v>2.112085946677959</v>
      </c>
      <c r="G324" s="21" t="n">
        <v>1.423644344848509</v>
      </c>
      <c r="H324" s="21" t="n">
        <v>1.319604589355647</v>
      </c>
    </row>
    <row r="325">
      <c r="A325" s="10" t="n">
        <v>0.655</v>
      </c>
      <c r="B325" s="21" t="n">
        <v>0.08323698091817749</v>
      </c>
      <c r="C325" s="21" t="n">
        <v>0.8757376578835873</v>
      </c>
      <c r="D325" s="21" t="n">
        <v>1.515420216487834</v>
      </c>
      <c r="E325" s="21" t="n">
        <v>1.79262570910243</v>
      </c>
      <c r="F325" s="21" t="n">
        <v>2.187458984441501</v>
      </c>
      <c r="G325" s="21" t="n">
        <v>1.512292293223636</v>
      </c>
      <c r="H325" s="21" t="n">
        <v>1.330430655775519</v>
      </c>
    </row>
    <row r="326">
      <c r="A326" s="10" t="n">
        <v>0.665</v>
      </c>
      <c r="B326" s="21" t="n">
        <v>0.06421751024086882</v>
      </c>
      <c r="C326" s="21" t="n">
        <v>0.7742556872997918</v>
      </c>
      <c r="D326" s="21" t="n">
        <v>1.461061958117574</v>
      </c>
      <c r="E326" s="21" t="n">
        <v>1.815018623784621</v>
      </c>
      <c r="F326" s="21" t="n">
        <v>2.219742569299249</v>
      </c>
      <c r="G326" s="21" t="n">
        <v>1.759792562015134</v>
      </c>
      <c r="H326" s="21" t="n">
        <v>1.307559714508289</v>
      </c>
    </row>
    <row r="327">
      <c r="A327" s="10" t="n">
        <v>0.675</v>
      </c>
      <c r="B327" s="21" t="n">
        <v>0.05389948272548453</v>
      </c>
      <c r="C327" s="21" t="n">
        <v>0.7002274986740222</v>
      </c>
      <c r="D327" s="21" t="n">
        <v>1.401741504511183</v>
      </c>
      <c r="E327" s="21" t="n">
        <v>1.819202523308047</v>
      </c>
      <c r="F327" s="21" t="n">
        <v>2.195777438219997</v>
      </c>
      <c r="G327" s="21" t="n">
        <v>1.936384592904281</v>
      </c>
      <c r="H327" s="21" t="n">
        <v>1.265361900847661</v>
      </c>
    </row>
    <row r="328">
      <c r="A328" s="10" t="n">
        <v>0.6850000000000001</v>
      </c>
      <c r="B328" s="21" t="n">
        <v>0.048995839829928</v>
      </c>
      <c r="C328" s="21" t="n">
        <v>0.6742211015917361</v>
      </c>
      <c r="D328" s="21" t="n">
        <v>1.423933140967968</v>
      </c>
      <c r="E328" s="21" t="n">
        <v>1.830007009232477</v>
      </c>
      <c r="F328" s="21" t="n">
        <v>2.177099102283826</v>
      </c>
      <c r="G328" s="21" t="n">
        <v>2.10956694889639</v>
      </c>
      <c r="H328" s="21" t="n">
        <v>1.210942648393845</v>
      </c>
    </row>
    <row r="329">
      <c r="A329" s="10" t="n">
        <v>0.695</v>
      </c>
      <c r="B329" s="21" t="n">
        <v>0.0430231517998475</v>
      </c>
      <c r="C329" s="21" t="n">
        <v>0.6383928050335751</v>
      </c>
      <c r="D329" s="21" t="n">
        <v>1.427270754771322</v>
      </c>
      <c r="E329" s="21" t="n">
        <v>1.845811882617327</v>
      </c>
      <c r="F329" s="21" t="n">
        <v>2.217900793416789</v>
      </c>
      <c r="G329" s="21" t="n">
        <v>2.225524692116482</v>
      </c>
      <c r="H329" s="21" t="n">
        <v>1.194591963076537</v>
      </c>
    </row>
    <row r="330">
      <c r="A330" s="10" t="n">
        <v>0.705</v>
      </c>
      <c r="B330" s="21" t="n">
        <v>0.02444613926499348</v>
      </c>
      <c r="C330" s="21" t="n">
        <v>0.4994156355128506</v>
      </c>
      <c r="D330" s="21" t="n">
        <v>1.346684764981144</v>
      </c>
      <c r="E330" s="21" t="n">
        <v>1.811163781345571</v>
      </c>
      <c r="F330" s="21" t="n">
        <v>2.237479491343827</v>
      </c>
      <c r="G330" s="21" t="n">
        <v>2.383588702435519</v>
      </c>
      <c r="H330" s="21" t="n">
        <v>1.145357169170246</v>
      </c>
    </row>
    <row r="331">
      <c r="A331" s="10" t="n">
        <v>0.715</v>
      </c>
      <c r="B331" s="21" t="n">
        <v>0.01776574343718037</v>
      </c>
      <c r="C331" s="21" t="n">
        <v>0.4451481876107407</v>
      </c>
      <c r="D331" s="21" t="n">
        <v>1.345361803566783</v>
      </c>
      <c r="E331" s="21" t="n">
        <v>1.820976530002199</v>
      </c>
      <c r="F331" s="21" t="n">
        <v>2.294283521576438</v>
      </c>
      <c r="G331" s="21" t="n">
        <v>2.58524541808328</v>
      </c>
      <c r="H331" s="21" t="n">
        <v>1.104934854320814</v>
      </c>
    </row>
    <row r="332">
      <c r="A332" s="10" t="n">
        <v>0.725</v>
      </c>
      <c r="B332" s="21" t="n">
        <v>0.01429138803916626</v>
      </c>
      <c r="C332" s="21" t="n">
        <v>0.410197612759523</v>
      </c>
      <c r="D332" s="21" t="n">
        <v>1.382930401702537</v>
      </c>
      <c r="E332" s="21" t="n">
        <v>1.820202124735688</v>
      </c>
      <c r="F332" s="21" t="n">
        <v>2.294739170053584</v>
      </c>
      <c r="G332" s="21" t="n">
        <v>2.654919760886207</v>
      </c>
      <c r="H332" s="21" t="n">
        <v>1.090910566208334</v>
      </c>
    </row>
    <row r="333">
      <c r="A333" s="10" t="n">
        <v>0.735</v>
      </c>
      <c r="B333" s="21" t="n">
        <v>0.01300110669031938</v>
      </c>
      <c r="C333" s="21" t="n">
        <v>0.4050334807040982</v>
      </c>
      <c r="D333" s="21" t="n">
        <v>1.417735279519955</v>
      </c>
      <c r="E333" s="21" t="n">
        <v>1.878895831203873</v>
      </c>
      <c r="F333" s="21" t="n">
        <v>2.361532580418399</v>
      </c>
      <c r="G333" s="21" t="n">
        <v>2.86371778917655</v>
      </c>
      <c r="H333" s="21" t="n">
        <v>1.14356995546339</v>
      </c>
    </row>
    <row r="334">
      <c r="A334" s="10" t="n">
        <v>0.745</v>
      </c>
      <c r="B334" s="21" t="n">
        <v>0.01818937649133246</v>
      </c>
      <c r="C334" s="21" t="n">
        <v>0.3943056143809238</v>
      </c>
      <c r="D334" s="21" t="n">
        <v>1.244257104502605</v>
      </c>
      <c r="E334" s="21" t="n">
        <v>1.681098540933679</v>
      </c>
      <c r="F334" s="21" t="n">
        <v>2.142841459105001</v>
      </c>
      <c r="G334" s="21" t="n">
        <v>2.439904120887638</v>
      </c>
      <c r="H334" s="21" t="n">
        <v>1.076847749714527</v>
      </c>
    </row>
    <row r="335">
      <c r="A335" s="10" t="n">
        <v>0.755</v>
      </c>
      <c r="B335" s="21" t="n">
        <v>0.01030085798979447</v>
      </c>
      <c r="C335" s="21" t="n">
        <v>0.315360895941271</v>
      </c>
      <c r="D335" s="21" t="n">
        <v>1.113064033802174</v>
      </c>
      <c r="E335" s="21" t="n">
        <v>1.513785470171745</v>
      </c>
      <c r="F335" s="21" t="n">
        <v>1.919016679773995</v>
      </c>
      <c r="G335" s="21" t="n">
        <v>2.380378872301192</v>
      </c>
      <c r="H335" s="21" t="n">
        <v>0.9870123867554556</v>
      </c>
    </row>
    <row r="336">
      <c r="A336" s="10" t="n">
        <v>0.765</v>
      </c>
      <c r="B336" s="21" t="n">
        <v>0.009171608847333305</v>
      </c>
      <c r="C336" s="21" t="n">
        <v>0.2995053842950039</v>
      </c>
      <c r="D336" s="21" t="n">
        <v>1.083338924842258</v>
      </c>
      <c r="E336" s="21" t="n">
        <v>1.462308508069642</v>
      </c>
      <c r="F336" s="21" t="n">
        <v>1.884765584081017</v>
      </c>
      <c r="G336" s="21" t="n">
        <v>2.306174191834837</v>
      </c>
      <c r="H336" s="21" t="n">
        <v>0.9667141848276236</v>
      </c>
    </row>
    <row r="337">
      <c r="A337" s="10" t="n">
        <v>0.775</v>
      </c>
      <c r="B337" s="21" t="n">
        <v>0.007478466384116591</v>
      </c>
      <c r="C337" s="21" t="n">
        <v>0.2869612069739794</v>
      </c>
      <c r="D337" s="21" t="n">
        <v>1.093807791651719</v>
      </c>
      <c r="E337" s="21" t="n">
        <v>1.453748299059372</v>
      </c>
      <c r="F337" s="21" t="n">
        <v>1.901481646085135</v>
      </c>
      <c r="G337" s="21" t="n">
        <v>2.296336976927536</v>
      </c>
      <c r="H337" s="21" t="n">
        <v>0.9515183095041277</v>
      </c>
    </row>
    <row r="338">
      <c r="A338" s="10" t="n">
        <v>0.785</v>
      </c>
      <c r="B338" s="21" t="n">
        <v>0.002539093123422458</v>
      </c>
      <c r="C338" s="21" t="n">
        <v>0.2450339603609892</v>
      </c>
      <c r="D338" s="21" t="n">
        <v>1.070426293437966</v>
      </c>
      <c r="E338" s="21" t="n">
        <v>1.392821860451532</v>
      </c>
      <c r="F338" s="21" t="n">
        <v>1.894585887125242</v>
      </c>
      <c r="G338" s="21" t="n">
        <v>2.385092274290344</v>
      </c>
      <c r="H338" s="21" t="n">
        <v>0.8883520839829508</v>
      </c>
    </row>
    <row r="339">
      <c r="A339" s="10" t="n">
        <v>0.795</v>
      </c>
      <c r="B339" s="21" t="n">
        <v>0.0005789368010415937</v>
      </c>
      <c r="C339" s="21" t="n">
        <v>0.2195354623430529</v>
      </c>
      <c r="D339" s="21" t="n">
        <v>1.032066429788765</v>
      </c>
      <c r="E339" s="21" t="n">
        <v>1.353835746568694</v>
      </c>
      <c r="F339" s="21" t="n">
        <v>1.889667565844003</v>
      </c>
      <c r="G339" s="21" t="n">
        <v>2.483123748653364</v>
      </c>
      <c r="H339" s="21" t="n">
        <v>0.8641609842584426</v>
      </c>
    </row>
    <row r="340">
      <c r="A340" s="10" t="n">
        <v>0.805</v>
      </c>
      <c r="B340" s="21" t="n">
        <v>0</v>
      </c>
      <c r="C340" s="21" t="n">
        <v>0.1892675976506305</v>
      </c>
      <c r="D340" s="21" t="n">
        <v>0.9144298125549544</v>
      </c>
      <c r="E340" s="21" t="n">
        <v>1.2677973254924</v>
      </c>
      <c r="F340" s="21" t="n">
        <v>1.78915311749474</v>
      </c>
      <c r="G340" s="21" t="n">
        <v>2.530244566372226</v>
      </c>
      <c r="H340" s="21" t="n">
        <v>0.8211673187999171</v>
      </c>
    </row>
    <row r="341">
      <c r="A341" s="10" t="n">
        <v>0.8149999999999999</v>
      </c>
      <c r="B341" s="21" t="n">
        <v>0</v>
      </c>
      <c r="C341" s="21" t="n">
        <v>0.1795189111265913</v>
      </c>
      <c r="D341" s="21" t="n">
        <v>0.8622993529036629</v>
      </c>
      <c r="E341" s="21" t="n">
        <v>1.204959150213291</v>
      </c>
      <c r="F341" s="21" t="n">
        <v>1.707291580414033</v>
      </c>
      <c r="G341" s="21" t="n">
        <v>2.450080956085302</v>
      </c>
      <c r="H341" s="21" t="n">
        <v>0.8118372231505817</v>
      </c>
    </row>
    <row r="342">
      <c r="A342" s="10" t="n">
        <v>0.825</v>
      </c>
      <c r="B342" s="21" t="n">
        <v>0</v>
      </c>
      <c r="C342" s="21" t="n">
        <v>0.1642768886700498</v>
      </c>
      <c r="D342" s="21" t="n">
        <v>0.8353567888488175</v>
      </c>
      <c r="E342" s="21" t="n">
        <v>1.145791521463308</v>
      </c>
      <c r="F342" s="21" t="n">
        <v>1.645236179904062</v>
      </c>
      <c r="G342" s="21" t="n">
        <v>2.454845930440531</v>
      </c>
      <c r="H342" s="21" t="n">
        <v>0.8091383499557233</v>
      </c>
    </row>
    <row r="343">
      <c r="A343" s="10" t="n">
        <v>0.835</v>
      </c>
      <c r="B343" s="21" t="n">
        <v>0</v>
      </c>
      <c r="C343" s="21" t="n">
        <v>0.154196641109611</v>
      </c>
      <c r="D343" s="21" t="n">
        <v>0.8117448505030161</v>
      </c>
      <c r="E343" s="21" t="n">
        <v>1.09397064853255</v>
      </c>
      <c r="F343" s="21" t="n">
        <v>1.586616269502745</v>
      </c>
      <c r="G343" s="21" t="n">
        <v>2.437371778182144</v>
      </c>
      <c r="H343" s="21" t="n">
        <v>0.7905489612582102</v>
      </c>
    </row>
    <row r="344">
      <c r="A344" s="10" t="n">
        <v>0.845</v>
      </c>
      <c r="B344" s="21" t="n">
        <v>0</v>
      </c>
      <c r="C344" s="21" t="n">
        <v>0.1475815483165814</v>
      </c>
      <c r="D344" s="21" t="n">
        <v>0.7998692653536696</v>
      </c>
      <c r="E344" s="21" t="n">
        <v>1.070051352693007</v>
      </c>
      <c r="F344" s="21" t="n">
        <v>1.550711705047312</v>
      </c>
      <c r="G344" s="21" t="n">
        <v>2.438402819381223</v>
      </c>
      <c r="H344" s="21" t="n">
        <v>0.7979165760602795</v>
      </c>
    </row>
    <row r="345">
      <c r="A345" s="10" t="n">
        <v>0.855</v>
      </c>
      <c r="B345" s="21" t="n">
        <v>0</v>
      </c>
      <c r="C345" s="21" t="n">
        <v>0.1210340323618349</v>
      </c>
      <c r="D345" s="21" t="n">
        <v>0.7065188828373581</v>
      </c>
      <c r="E345" s="21" t="n">
        <v>0.9250922571925456</v>
      </c>
      <c r="F345" s="21" t="n">
        <v>1.364383445145424</v>
      </c>
      <c r="G345" s="21" t="n">
        <v>2.388772357365498</v>
      </c>
      <c r="H345" s="21" t="n">
        <v>0.7919397094390882</v>
      </c>
    </row>
    <row r="346">
      <c r="A346" s="10" t="n">
        <v>0.865</v>
      </c>
      <c r="B346" s="21" t="n">
        <v>0</v>
      </c>
      <c r="C346" s="21" t="n">
        <v>0.09695572493762926</v>
      </c>
      <c r="D346" s="21" t="n">
        <v>0.607582671953298</v>
      </c>
      <c r="E346" s="21" t="n">
        <v>0.787806635946199</v>
      </c>
      <c r="F346" s="21" t="n">
        <v>1.198145129676456</v>
      </c>
      <c r="G346" s="21" t="n">
        <v>2.405778473361916</v>
      </c>
      <c r="H346" s="21" t="n">
        <v>0.7708751175326152</v>
      </c>
    </row>
    <row r="347">
      <c r="A347" s="10" t="n">
        <v>0.875</v>
      </c>
      <c r="B347" s="21" t="n">
        <v>0</v>
      </c>
      <c r="C347" s="21" t="n">
        <v>0.09033511897593798</v>
      </c>
      <c r="D347" s="21" t="n">
        <v>0.5731324565374085</v>
      </c>
      <c r="E347" s="21" t="n">
        <v>0.7491913846678461</v>
      </c>
      <c r="F347" s="21" t="n">
        <v>1.158577166244136</v>
      </c>
      <c r="G347" s="21" t="n">
        <v>2.480376236229899</v>
      </c>
      <c r="H347" s="21" t="n">
        <v>0.7596005708994247</v>
      </c>
    </row>
    <row r="348">
      <c r="A348" s="10" t="n">
        <v>0.885</v>
      </c>
      <c r="B348" s="21" t="n">
        <v>0</v>
      </c>
      <c r="C348" s="21" t="n">
        <v>0.08551104597842454</v>
      </c>
      <c r="D348" s="21" t="n">
        <v>0.5513313063263919</v>
      </c>
      <c r="E348" s="21" t="n">
        <v>0.724424372023594</v>
      </c>
      <c r="F348" s="21" t="n">
        <v>1.132287822470451</v>
      </c>
      <c r="G348" s="21" t="n">
        <v>2.580956514318983</v>
      </c>
      <c r="H348" s="21" t="n">
        <v>0.7405873125538013</v>
      </c>
    </row>
    <row r="349">
      <c r="A349" s="10" t="n">
        <v>0.895</v>
      </c>
      <c r="B349" s="21" t="n">
        <v>0</v>
      </c>
      <c r="C349" s="21" t="n">
        <v>0.07245377903743803</v>
      </c>
      <c r="D349" s="21" t="n">
        <v>0.4999437210496426</v>
      </c>
      <c r="E349" s="21" t="n">
        <v>0.6587448993704179</v>
      </c>
      <c r="F349" s="21" t="n">
        <v>1.061635736708036</v>
      </c>
      <c r="G349" s="21" t="n">
        <v>2.656605800011884</v>
      </c>
      <c r="H349" s="21" t="n">
        <v>0.7004191499589456</v>
      </c>
    </row>
    <row r="350">
      <c r="A350" s="10" t="n">
        <v>0.905</v>
      </c>
      <c r="B350" s="21" t="n">
        <v>0</v>
      </c>
      <c r="C350" s="21" t="n">
        <v>0.06078249129132956</v>
      </c>
      <c r="D350" s="21" t="n">
        <v>0.4540170521842647</v>
      </c>
      <c r="E350" s="21" t="n">
        <v>0.5862150144171356</v>
      </c>
      <c r="F350" s="21" t="n">
        <v>0.9687870395744518</v>
      </c>
      <c r="G350" s="21" t="n">
        <v>2.67679392210063</v>
      </c>
      <c r="H350" s="21" t="n">
        <v>0.6459987339479512</v>
      </c>
    </row>
    <row r="351">
      <c r="A351" s="10" t="n">
        <v>0.915</v>
      </c>
      <c r="B351" s="21" t="n">
        <v>0</v>
      </c>
      <c r="C351" s="21" t="n">
        <v>0.06293468413433886</v>
      </c>
      <c r="D351" s="21" t="n">
        <v>0.4498449979395857</v>
      </c>
      <c r="E351" s="21" t="n">
        <v>0.585222418057318</v>
      </c>
      <c r="F351" s="21" t="n">
        <v>0.9839635223505224</v>
      </c>
      <c r="G351" s="21" t="n">
        <v>2.71386172176107</v>
      </c>
      <c r="H351" s="21" t="n">
        <v>0.6570568699902014</v>
      </c>
    </row>
    <row r="352">
      <c r="A352" s="10" t="n">
        <v>0.925</v>
      </c>
      <c r="B352" s="21" t="n">
        <v>0</v>
      </c>
      <c r="C352" s="21" t="n">
        <v>0.05018189299070522</v>
      </c>
      <c r="D352" s="21" t="n">
        <v>0.3770910967303899</v>
      </c>
      <c r="E352" s="21" t="n">
        <v>0.4799712461941283</v>
      </c>
      <c r="F352" s="21" t="n">
        <v>0.8364573506627168</v>
      </c>
      <c r="G352" s="21" t="n">
        <v>2.738855947417034</v>
      </c>
      <c r="H352" s="21" t="n">
        <v>0.6134944904480373</v>
      </c>
    </row>
    <row r="353">
      <c r="A353" s="10" t="n">
        <v>0.9350000000000001</v>
      </c>
      <c r="B353" s="21" t="n">
        <v>0</v>
      </c>
      <c r="C353" s="21" t="n">
        <v>0.0356697041463221</v>
      </c>
      <c r="D353" s="21" t="n">
        <v>0.3178449920833601</v>
      </c>
      <c r="E353" s="21" t="n">
        <v>0.3878798757993763</v>
      </c>
      <c r="F353" s="21" t="n">
        <v>0.6969963900061967</v>
      </c>
      <c r="G353" s="21" t="n">
        <v>2.812563733188327</v>
      </c>
      <c r="H353" s="21" t="n">
        <v>0.5655108023237513</v>
      </c>
    </row>
    <row r="354">
      <c r="A354" s="10" t="n">
        <v>0.945</v>
      </c>
      <c r="B354" s="21" t="n">
        <v>0</v>
      </c>
      <c r="C354" s="21" t="n">
        <v>0.02602035485724445</v>
      </c>
      <c r="D354" s="21" t="n">
        <v>0.2630468570943506</v>
      </c>
      <c r="E354" s="21" t="n">
        <v>0.3093439977746297</v>
      </c>
      <c r="F354" s="21" t="n">
        <v>0.5698551050355966</v>
      </c>
      <c r="G354" s="21" t="n">
        <v>2.615413628351244</v>
      </c>
      <c r="H354" s="21" t="n">
        <v>0.5186983110260376</v>
      </c>
    </row>
    <row r="355">
      <c r="A355" s="10" t="n">
        <v>0.955</v>
      </c>
      <c r="B355" s="21" t="n">
        <v>0</v>
      </c>
      <c r="C355" s="21" t="n">
        <v>0.01886385972198863</v>
      </c>
      <c r="D355" s="21" t="n">
        <v>0.2277839850018687</v>
      </c>
      <c r="E355" s="21" t="n">
        <v>0.2634364014744366</v>
      </c>
      <c r="F355" s="21" t="n">
        <v>0.4920616869443536</v>
      </c>
      <c r="G355" s="21" t="n">
        <v>2.387129081999594</v>
      </c>
      <c r="H355" s="21" t="n">
        <v>0.4966587407077496</v>
      </c>
    </row>
    <row r="356">
      <c r="A356" s="10" t="n">
        <v>0.965</v>
      </c>
      <c r="B356" s="21" t="n">
        <v>0</v>
      </c>
      <c r="C356" s="21" t="n">
        <v>0.01473584757374526</v>
      </c>
      <c r="D356" s="21" t="n">
        <v>0.1889068330886457</v>
      </c>
      <c r="E356" s="21" t="n">
        <v>0.2185343073190695</v>
      </c>
      <c r="F356" s="21" t="n">
        <v>0.4052563747659504</v>
      </c>
      <c r="G356" s="21" t="n">
        <v>1.949383913075404</v>
      </c>
      <c r="H356" s="21" t="n">
        <v>0.4538624796461187</v>
      </c>
    </row>
    <row r="357">
      <c r="A357" s="10" t="n">
        <v>0.975</v>
      </c>
      <c r="B357" s="21" t="n">
        <v>0</v>
      </c>
      <c r="C357" s="21" t="n">
        <v>0.005726634927360963</v>
      </c>
      <c r="D357" s="21" t="n">
        <v>0.1278670108081621</v>
      </c>
      <c r="E357" s="21" t="n">
        <v>0.137726055343484</v>
      </c>
      <c r="F357" s="21" t="n">
        <v>0.2662481530975017</v>
      </c>
      <c r="G357" s="21" t="n">
        <v>1.719950590063982</v>
      </c>
      <c r="H357" s="21" t="n">
        <v>0.3961298290087071</v>
      </c>
    </row>
    <row r="358">
      <c r="A358" s="10" t="n">
        <v>0.985</v>
      </c>
      <c r="B358" s="21" t="n">
        <v>0</v>
      </c>
      <c r="C358" s="21" t="n">
        <v>0.003744184544121625</v>
      </c>
      <c r="D358" s="21" t="n">
        <v>0.1090302304365585</v>
      </c>
      <c r="E358" s="21" t="n">
        <v>0.1133514836403119</v>
      </c>
      <c r="F358" s="21" t="n">
        <v>0.2212899572243325</v>
      </c>
      <c r="G358" s="21" t="n">
        <v>1.61803695437577</v>
      </c>
      <c r="H358" s="21" t="n">
        <v>0.3653078660686528</v>
      </c>
    </row>
    <row r="359">
      <c r="A359" s="10" t="n">
        <v>0.995</v>
      </c>
      <c r="B359" s="21" t="n">
        <v>0</v>
      </c>
      <c r="C359" s="21" t="n">
        <v>0.003753376272358743</v>
      </c>
      <c r="D359" s="21" t="n">
        <v>0.1093530718213389</v>
      </c>
      <c r="E359" s="21" t="n">
        <v>0.1137242775221933</v>
      </c>
      <c r="F359" s="21" t="n">
        <v>0.2218166075083421</v>
      </c>
      <c r="G359" s="21" t="n">
        <v>1.621727356057167</v>
      </c>
      <c r="H359" s="21" t="n">
        <v>0.3660297036440577</v>
      </c>
    </row>
    <row r="383">
      <c r="A383" s="6" t="inlineStr">
        <is>
          <t>■ 案件ごとのワープ(実位置 → 正準位置)</t>
        </is>
      </c>
    </row>
    <row r="384">
      <c r="A384" s="8" t="inlineStr">
        <is>
          <t>案件ID</t>
        </is>
      </c>
      <c r="B384" s="8" t="inlineStr">
        <is>
          <t>名称</t>
        </is>
      </c>
      <c r="C384" s="8" t="inlineStr">
        <is>
          <t>種別</t>
        </is>
      </c>
      <c r="D384" s="8" t="inlineStr">
        <is>
          <t>期間(月)</t>
        </is>
      </c>
      <c r="E384" s="8" t="inlineStr">
        <is>
          <t>プロトタイプ</t>
        </is>
      </c>
      <c r="F384" s="8" t="inlineStr">
        <is>
          <t>α版</t>
        </is>
      </c>
      <c r="G384" s="8" t="inlineStr">
        <is>
          <t>β版</t>
        </is>
      </c>
      <c r="H384" s="8" t="inlineStr">
        <is>
          <t>マスターアップ</t>
        </is>
      </c>
    </row>
    <row r="385">
      <c r="A385" s="10" t="inlineStr">
        <is>
          <t>PJ-2019-A</t>
        </is>
      </c>
      <c r="B385" s="10" t="inlineStr">
        <is>
          <t>蒼穹のレガリア</t>
        </is>
      </c>
      <c r="C385" s="10" t="inlineStr">
        <is>
          <t>新規タイトル開発</t>
        </is>
      </c>
      <c r="D385" s="10" t="n">
        <v>36</v>
      </c>
      <c r="E385" s="21" t="n">
        <v>0.171</v>
      </c>
      <c r="F385" s="21" t="n">
        <v>0.516</v>
      </c>
      <c r="G385" s="21" t="n">
        <v>0.789</v>
      </c>
      <c r="H385" s="21" t="n">
        <v>0.92</v>
      </c>
    </row>
    <row r="386">
      <c r="A386" s="10" t="inlineStr">
        <is>
          <t>PJ-2020-B</t>
        </is>
      </c>
      <c r="B386" s="10" t="inlineStr">
        <is>
          <t>ブレイブフロンティア外伝(後半集中)</t>
        </is>
      </c>
      <c r="C386" s="10" t="inlineStr">
        <is>
          <t>大型アップデート</t>
        </is>
      </c>
      <c r="D386" s="10" t="n">
        <v>14</v>
      </c>
      <c r="E386" s="21" t="n">
        <v/>
      </c>
      <c r="F386" s="21" t="n">
        <v>0.587</v>
      </c>
      <c r="G386" s="21" t="n">
        <v>0.745</v>
      </c>
      <c r="H386" s="21" t="n">
        <v>0.927</v>
      </c>
    </row>
    <row r="387">
      <c r="A387" s="10" t="inlineStr">
        <is>
          <t>PJ-2020-C</t>
        </is>
      </c>
      <c r="B387" s="10" t="inlineStr">
        <is>
          <t>クロノスギア(二山)</t>
        </is>
      </c>
      <c r="C387" s="10" t="inlineStr">
        <is>
          <t>新規タイトル開発</t>
        </is>
      </c>
      <c r="D387" s="10" t="n">
        <v>30</v>
      </c>
      <c r="E387" s="21" t="n">
        <v>0.217</v>
      </c>
      <c r="F387" s="21" t="n">
        <v>0.499</v>
      </c>
      <c r="G387" s="21" t="n">
        <v>0.645</v>
      </c>
      <c r="H387" s="21" t="n">
        <v>0.907</v>
      </c>
    </row>
    <row r="388">
      <c r="A388" s="10" t="inlineStr">
        <is>
          <t>PJ-2021-D</t>
        </is>
      </c>
      <c r="B388" s="10" t="inlineStr">
        <is>
          <t>蒼穹のレガリア HD Edition(前倒し)</t>
        </is>
      </c>
      <c r="C388" s="10" t="inlineStr">
        <is>
          <t>移植・リマスター</t>
        </is>
      </c>
      <c r="D388" s="10" t="n">
        <v>15</v>
      </c>
      <c r="E388" s="21" t="n">
        <v/>
      </c>
      <c r="F388" s="21" t="n">
        <v>0.576</v>
      </c>
      <c r="G388" s="21" t="n">
        <v>0.791</v>
      </c>
      <c r="H388" s="21" t="n">
        <v>0.919</v>
      </c>
    </row>
    <row r="389">
      <c r="A389" s="10" t="inlineStr">
        <is>
          <t>PJ-2021-E</t>
        </is>
      </c>
      <c r="B389" s="10" t="inlineStr">
        <is>
          <t>シャドウヴェイル</t>
        </is>
      </c>
      <c r="C389" s="10" t="inlineStr">
        <is>
          <t>新規タイトル開発</t>
        </is>
      </c>
      <c r="D389" s="10" t="n">
        <v>36</v>
      </c>
      <c r="E389" s="21" t="n">
        <v>0.271</v>
      </c>
      <c r="F389" s="21" t="n">
        <v>0.418</v>
      </c>
      <c r="G389" s="21" t="n">
        <v>0.727</v>
      </c>
      <c r="H389" s="21" t="n">
        <v>0.888</v>
      </c>
    </row>
    <row r="390">
      <c r="A390" s="10" t="inlineStr">
        <is>
          <t>PJ-2022-F</t>
        </is>
      </c>
      <c r="B390" s="10" t="inlineStr">
        <is>
          <t>ネオンハーツ Season2</t>
        </is>
      </c>
      <c r="C390" s="10" t="inlineStr">
        <is>
          <t>大型アップデート</t>
        </is>
      </c>
      <c r="D390" s="10" t="n">
        <v>18</v>
      </c>
      <c r="E390" s="21" t="n">
        <v/>
      </c>
      <c r="F390" s="21" t="n">
        <v>0.461</v>
      </c>
      <c r="G390" s="21" t="n">
        <v>0.799</v>
      </c>
      <c r="H390" s="21" t="n">
        <v>0.905</v>
      </c>
    </row>
    <row r="391">
      <c r="A391" s="10" t="inlineStr">
        <is>
          <t>PJ-2022-G</t>
        </is>
      </c>
      <c r="B391" s="10" t="inlineStr">
        <is>
          <t>ギルドマスターズ(前倒し)</t>
        </is>
      </c>
      <c r="C391" s="10" t="inlineStr">
        <is>
          <t>新規タイトル開発</t>
        </is>
      </c>
      <c r="D391" s="10" t="n">
        <v>24</v>
      </c>
      <c r="E391" s="21" t="n">
        <v>0.217</v>
      </c>
      <c r="F391" s="21" t="n">
        <v>0.46</v>
      </c>
      <c r="G391" s="21" t="n">
        <v>0.739</v>
      </c>
      <c r="H391" s="21" t="n">
        <v>0.931</v>
      </c>
    </row>
    <row r="392">
      <c r="A392" s="10" t="inlineStr">
        <is>
          <t>PJ-2023-H</t>
        </is>
      </c>
      <c r="B392" s="10" t="inlineStr">
        <is>
          <t>クロノスギア:蒼き遺産</t>
        </is>
      </c>
      <c r="C392" s="10" t="inlineStr">
        <is>
          <t>大型アップデート</t>
        </is>
      </c>
      <c r="D392" s="10" t="n">
        <v>20</v>
      </c>
      <c r="E392" s="21" t="n">
        <v/>
      </c>
      <c r="F392" s="21" t="n">
        <v>0.436</v>
      </c>
      <c r="G392" s="21" t="n">
        <v>0.793</v>
      </c>
      <c r="H392" s="21" t="n">
        <v>0.949</v>
      </c>
    </row>
    <row r="393">
      <c r="A393" s="10" t="inlineStr">
        <is>
          <t>PJ-2023-I</t>
        </is>
      </c>
      <c r="B393" s="10" t="inlineStr">
        <is>
          <t>ブレイブフロンティア Remaster</t>
        </is>
      </c>
      <c r="C393" s="10" t="inlineStr">
        <is>
          <t>移植・リマスター</t>
        </is>
      </c>
      <c r="D393" s="10" t="n">
        <v>18</v>
      </c>
      <c r="E393" s="21" t="n">
        <v/>
      </c>
      <c r="F393" s="21" t="n">
        <v>0.494</v>
      </c>
      <c r="G393" s="21" t="n">
        <v>0.667</v>
      </c>
      <c r="H393" s="21" t="n">
        <v>0.931</v>
      </c>
    </row>
    <row r="394">
      <c r="A394" s="10" t="inlineStr">
        <is>
          <t>PJ-2024-J</t>
        </is>
      </c>
      <c r="B394" s="10" t="inlineStr">
        <is>
          <t>オーヴァーロード・サーガ(後半集中)</t>
        </is>
      </c>
      <c r="C394" s="10" t="inlineStr">
        <is>
          <t>新規タイトル開発</t>
        </is>
      </c>
      <c r="D394" s="10" t="n">
        <v>30</v>
      </c>
      <c r="E394" s="21" t="n">
        <v>0.235</v>
      </c>
      <c r="F394" s="21" t="n">
        <v>0.507</v>
      </c>
      <c r="G394" s="21" t="n">
        <v>0.6919999999999999</v>
      </c>
      <c r="H394" s="21" t="n">
        <v>0.929</v>
      </c>
    </row>
    <row r="395">
      <c r="A395" s="10" t="inlineStr">
        <is>
          <t>(正準位置)</t>
        </is>
      </c>
      <c r="B395" s="10" t="inlineStr"/>
      <c r="C395" s="10" t="inlineStr"/>
      <c r="D395" s="10" t="n"/>
      <c r="E395" s="21" t="n"/>
      <c r="F395" s="21" t="n">
        <v>0.495</v>
      </c>
      <c r="G395" s="21" t="n">
        <v>0.739</v>
      </c>
      <c r="H395" s="21" t="n">
        <v>0.921</v>
      </c>
    </row>
  </sheetData>
  <printOptions horizontalCentered="0"/>
  <pageMargins left="0.75" right="0.75" top="1" bottom="1" header="0.5" footer="0.5"/>
  <pageSetup orientation="landscape" fitToHeight="0"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M1561"/>
  <sheetViews>
    <sheetView workbookViewId="0">
      <selection activeCell="A1" sqref="A1"/>
    </sheetView>
  </sheetViews>
  <sheetFormatPr baseColWidth="8" defaultRowHeight="15"/>
  <cols>
    <col width="13" customWidth="1" min="1" max="1"/>
    <col width="22" customWidth="1" min="2" max="2"/>
    <col width="10" customWidth="1" min="3" max="3"/>
    <col width="11" customWidth="1" min="4" max="4"/>
    <col width="11.4" customWidth="1" min="5" max="5"/>
    <col width="11.4" customWidth="1" min="6" max="6"/>
    <col width="11.4" customWidth="1" min="7" max="7"/>
    <col width="11" customWidth="1" min="8" max="8"/>
    <col width="11" customWidth="1" min="9" max="9"/>
    <col width="22.8" customWidth="1" min="10" max="10"/>
    <col width="17.1" customWidth="1" min="11" max="11"/>
    <col width="11.4" customWidth="1" min="12" max="12"/>
    <col width="13.3" customWidth="1" min="13" max="13"/>
  </cols>
  <sheetData>
    <row r="1">
      <c r="A1" s="1" t="inlineStr">
        <is>
          <t>leave-one-out 検証</t>
        </is>
      </c>
    </row>
    <row r="2">
      <c r="A2" s="5" t="inlineStr">
        <is>
          <t>1件を除いた残りで学習し、除いた1件を予測して実績と比較する。工数の量ではなく形を評価するため、予測値は実績合計に正規化してから比較している。</t>
        </is>
      </c>
    </row>
    <row r="3">
      <c r="A3" s="5" t="inlineStr">
        <is>
          <t>WAPE = Σ|予測-実績| / Σ実績。0 が完全一致。</t>
        </is>
      </c>
    </row>
    <row r="5">
      <c r="A5" s="6" t="inlineStr">
        <is>
          <t>■ モード別サマリ</t>
        </is>
      </c>
    </row>
    <row r="6">
      <c r="A6" s="7" t="inlineStr">
        <is>
          <t>モード</t>
        </is>
      </c>
      <c r="B6" s="8" t="inlineStr">
        <is>
          <t>案件数</t>
        </is>
      </c>
      <c r="C6" s="8" t="inlineStr">
        <is>
          <t>月次誤差WAPE_平均</t>
        </is>
      </c>
      <c r="D6" s="8" t="inlineStr">
        <is>
          <t>月次誤差WAPE_最悪</t>
        </is>
      </c>
      <c r="E6" s="8" t="inlineStr">
        <is>
          <t>月×グループ誤差WAPE_平均</t>
        </is>
      </c>
      <c r="F6" s="8" t="inlineStr">
        <is>
          <t>累積カーブ最大乖離_平均</t>
        </is>
      </c>
      <c r="G6" s="8" t="inlineStr">
        <is>
          <t>ピーク月ズレ_絶対値平均</t>
        </is>
      </c>
      <c r="H6" s="8" t="inlineStr">
        <is>
          <t>素朴版比_改善率</t>
        </is>
      </c>
    </row>
    <row r="7">
      <c r="A7" s="10" t="inlineStr">
        <is>
          <t>素朴版／月内均等</t>
        </is>
      </c>
      <c r="B7" s="10" t="n">
        <v>10</v>
      </c>
      <c r="C7" s="21" t="n">
        <v>0.3515</v>
      </c>
      <c r="D7" s="21" t="n">
        <v>0.6358</v>
      </c>
      <c r="E7" s="21" t="n">
        <v>0.4413</v>
      </c>
      <c r="F7" s="21" t="n">
        <v>0.1309</v>
      </c>
      <c r="G7" s="22" t="n">
        <v>3.3</v>
      </c>
      <c r="H7" s="13" t="n">
        <v>0</v>
      </c>
    </row>
    <row r="8">
      <c r="A8" s="10" t="inlineStr">
        <is>
          <t>位置合わせ(MS学習値)／月内均等</t>
        </is>
      </c>
      <c r="B8" s="10" t="n">
        <v>10</v>
      </c>
      <c r="C8" s="21" t="n">
        <v>0.3573</v>
      </c>
      <c r="D8" s="21" t="n">
        <v>0.6336000000000001</v>
      </c>
      <c r="E8" s="21" t="n">
        <v>0.4465</v>
      </c>
      <c r="F8" s="21" t="n">
        <v>0.1364</v>
      </c>
      <c r="G8" s="22" t="n">
        <v>4.6</v>
      </c>
      <c r="H8" s="13" t="n">
        <v>-0.0165</v>
      </c>
    </row>
    <row r="9">
      <c r="A9" s="10" t="inlineStr">
        <is>
          <t>位置合わせ(MS指定)／月内均等</t>
        </is>
      </c>
      <c r="B9" s="10" t="n">
        <v>10</v>
      </c>
      <c r="C9" s="21" t="n">
        <v>0.2786</v>
      </c>
      <c r="D9" s="21" t="n">
        <v>0.4925</v>
      </c>
      <c r="E9" s="21" t="n">
        <v>0.3859</v>
      </c>
      <c r="F9" s="21" t="n">
        <v>0.1127</v>
      </c>
      <c r="G9" s="22" t="n">
        <v>1.6</v>
      </c>
      <c r="H9" s="13" t="n">
        <v>0.2074</v>
      </c>
    </row>
    <row r="10">
      <c r="A10" s="10" t="inlineStr">
        <is>
          <t>素朴版／単調補間</t>
        </is>
      </c>
      <c r="B10" s="10" t="n">
        <v>10</v>
      </c>
      <c r="C10" s="21" t="n">
        <v>0.3512</v>
      </c>
      <c r="D10" s="21" t="n">
        <v>0.6358</v>
      </c>
      <c r="E10" s="21" t="n">
        <v>0.4413</v>
      </c>
      <c r="F10" s="21" t="n">
        <v>0.1311</v>
      </c>
      <c r="G10" s="22" t="n">
        <v>3.4</v>
      </c>
      <c r="H10" s="13" t="n">
        <v>0.0009</v>
      </c>
    </row>
    <row r="11">
      <c r="A11" s="10" t="inlineStr">
        <is>
          <t>位置合わせ(MS学習値)／単調補間</t>
        </is>
      </c>
      <c r="B11" s="10" t="n">
        <v>10</v>
      </c>
      <c r="C11" s="21" t="n">
        <v>0.3575</v>
      </c>
      <c r="D11" s="21" t="n">
        <v>0.6334</v>
      </c>
      <c r="E11" s="21" t="n">
        <v>0.447</v>
      </c>
      <c r="F11" s="21" t="n">
        <v>0.1367</v>
      </c>
      <c r="G11" s="22" t="n">
        <v>4.7</v>
      </c>
      <c r="H11" s="13" t="n">
        <v>-0.0171</v>
      </c>
    </row>
    <row r="12">
      <c r="A12" s="10" t="inlineStr">
        <is>
          <t>位置合わせ(MS指定)／単調補間</t>
        </is>
      </c>
      <c r="B12" s="10" t="n">
        <v>10</v>
      </c>
      <c r="C12" s="21" t="n">
        <v>0.278</v>
      </c>
      <c r="D12" s="21" t="n">
        <v>0.4952</v>
      </c>
      <c r="E12" s="21" t="n">
        <v>0.385</v>
      </c>
      <c r="F12" s="21" t="n">
        <v>0.1125</v>
      </c>
      <c r="G12" s="22" t="n">
        <v>1.6</v>
      </c>
      <c r="H12" s="13" t="n">
        <v>0.2091</v>
      </c>
    </row>
    <row r="14">
      <c r="A14" s="5" t="inlineStr">
        <is>
          <t>素朴版 vs 位置合わせ(MS学習値):平均カーブを鋭くしただけで当たるようになるかを測る。</t>
        </is>
      </c>
    </row>
    <row r="15">
      <c r="A15" s="5" t="inlineStr">
        <is>
          <t>位置合わせ(MS学習値) vs 位置合わせ(MS指定):マイルストーンを手入力する価値を測る。</t>
        </is>
      </c>
    </row>
    <row r="17">
      <c r="A17" s="6" t="inlineStr">
        <is>
          <t>■ 案件別 誤差</t>
        </is>
      </c>
    </row>
    <row r="18">
      <c r="A18" s="7" t="inlineStr">
        <is>
          <t>案件ID</t>
        </is>
      </c>
      <c r="B18" s="8" t="inlineStr">
        <is>
          <t>素朴版／月内均等</t>
        </is>
      </c>
      <c r="C18" s="8" t="inlineStr">
        <is>
          <t>位置合わせ(MS学習値)／月内均等</t>
        </is>
      </c>
      <c r="D18" s="8" t="inlineStr">
        <is>
          <t>位置合わせ(MS指定)／月内均等</t>
        </is>
      </c>
      <c r="E18" s="8" t="inlineStr">
        <is>
          <t>素朴版／単調補間</t>
        </is>
      </c>
      <c r="F18" s="8" t="inlineStr">
        <is>
          <t>位置合わせ(MS学習値)／単調補間</t>
        </is>
      </c>
      <c r="G18" s="8" t="inlineStr">
        <is>
          <t>位置合わせ(MS指定)／単調補間</t>
        </is>
      </c>
    </row>
    <row r="19">
      <c r="A19" s="10" t="inlineStr">
        <is>
          <t>PJ-2019-A</t>
        </is>
      </c>
      <c r="B19" s="21" t="n">
        <v>0.1921</v>
      </c>
      <c r="C19" s="21" t="n">
        <v>0.1982</v>
      </c>
      <c r="D19" s="21" t="n">
        <v>0.1399</v>
      </c>
      <c r="E19" s="21" t="n">
        <v>0.1903</v>
      </c>
      <c r="F19" s="21" t="n">
        <v>0.1973</v>
      </c>
      <c r="G19" s="21" t="n">
        <v>0.1387</v>
      </c>
    </row>
    <row r="20">
      <c r="A20" s="10" t="inlineStr">
        <is>
          <t>PJ-2020-B</t>
        </is>
      </c>
      <c r="B20" s="21" t="n">
        <v>0.6358</v>
      </c>
      <c r="C20" s="21" t="n">
        <v>0.6336000000000001</v>
      </c>
      <c r="D20" s="21" t="n">
        <v>0.3525</v>
      </c>
      <c r="E20" s="21" t="n">
        <v>0.6358</v>
      </c>
      <c r="F20" s="21" t="n">
        <v>0.6334</v>
      </c>
      <c r="G20" s="21" t="n">
        <v>0.3524</v>
      </c>
    </row>
    <row r="21">
      <c r="A21" s="10" t="inlineStr">
        <is>
          <t>PJ-2020-C</t>
        </is>
      </c>
      <c r="B21" s="21" t="n">
        <v>0.3825</v>
      </c>
      <c r="C21" s="21" t="n">
        <v>0.3853</v>
      </c>
      <c r="D21" s="21" t="n">
        <v>0.4925</v>
      </c>
      <c r="E21" s="21" t="n">
        <v>0.385</v>
      </c>
      <c r="F21" s="21" t="n">
        <v>0.3878</v>
      </c>
      <c r="G21" s="21" t="n">
        <v>0.4952</v>
      </c>
    </row>
    <row r="22">
      <c r="A22" s="10" t="inlineStr">
        <is>
          <t>PJ-2021-D</t>
        </is>
      </c>
      <c r="B22" s="21" t="n">
        <v>0.1611</v>
      </c>
      <c r="C22" s="21" t="n">
        <v>0.156</v>
      </c>
      <c r="D22" s="21" t="n">
        <v>0.3284</v>
      </c>
      <c r="E22" s="21" t="n">
        <v>0.1612</v>
      </c>
      <c r="F22" s="21" t="n">
        <v>0.1559</v>
      </c>
      <c r="G22" s="21" t="n">
        <v>0.3286</v>
      </c>
    </row>
    <row r="23">
      <c r="A23" s="10" t="inlineStr">
        <is>
          <t>PJ-2021-E</t>
        </is>
      </c>
      <c r="B23" s="21" t="n">
        <v>0.3767</v>
      </c>
      <c r="C23" s="21" t="n">
        <v>0.3648</v>
      </c>
      <c r="D23" s="21" t="n">
        <v>0.2938</v>
      </c>
      <c r="E23" s="21" t="n">
        <v>0.3774</v>
      </c>
      <c r="F23" s="21" t="n">
        <v>0.3662</v>
      </c>
      <c r="G23" s="21" t="n">
        <v>0.2922</v>
      </c>
    </row>
    <row r="24">
      <c r="A24" s="10" t="inlineStr">
        <is>
          <t>PJ-2022-F</t>
        </is>
      </c>
      <c r="B24" s="21" t="n">
        <v>0.2442</v>
      </c>
      <c r="C24" s="21" t="n">
        <v>0.2647</v>
      </c>
      <c r="D24" s="21" t="n">
        <v>0.1163</v>
      </c>
      <c r="E24" s="21" t="n">
        <v>0.2431</v>
      </c>
      <c r="F24" s="21" t="n">
        <v>0.2656</v>
      </c>
      <c r="G24" s="21" t="n">
        <v>0.1167</v>
      </c>
    </row>
    <row r="25">
      <c r="A25" s="10" t="inlineStr">
        <is>
          <t>PJ-2022-G</t>
        </is>
      </c>
      <c r="B25" s="21" t="n">
        <v>0.4951</v>
      </c>
      <c r="C25" s="21" t="n">
        <v>0.5255</v>
      </c>
      <c r="D25" s="21" t="n">
        <v>0.4354</v>
      </c>
      <c r="E25" s="21" t="n">
        <v>0.4954</v>
      </c>
      <c r="F25" s="21" t="n">
        <v>0.5272</v>
      </c>
      <c r="G25" s="21" t="n">
        <v>0.4369</v>
      </c>
    </row>
    <row r="26">
      <c r="A26" s="10" t="inlineStr">
        <is>
          <t>PJ-2023-H</t>
        </is>
      </c>
      <c r="B26" s="21" t="n">
        <v>0.2502</v>
      </c>
      <c r="C26" s="21" t="n">
        <v>0.301</v>
      </c>
      <c r="D26" s="21" t="n">
        <v>0.1119</v>
      </c>
      <c r="E26" s="21" t="n">
        <v>0.25</v>
      </c>
      <c r="F26" s="21" t="n">
        <v>0.3035</v>
      </c>
      <c r="G26" s="21" t="n">
        <v>0.1112</v>
      </c>
    </row>
    <row r="27">
      <c r="A27" s="10" t="inlineStr">
        <is>
          <t>PJ-2023-I</t>
        </is>
      </c>
      <c r="B27" s="21" t="n">
        <v>0.3793</v>
      </c>
      <c r="C27" s="21" t="n">
        <v>0.3459</v>
      </c>
      <c r="D27" s="21" t="n">
        <v>0.1566</v>
      </c>
      <c r="E27" s="21" t="n">
        <v>0.3792</v>
      </c>
      <c r="F27" s="21" t="n">
        <v>0.3444</v>
      </c>
      <c r="G27" s="21" t="n">
        <v>0.1532</v>
      </c>
    </row>
    <row r="28">
      <c r="A28" s="10" t="inlineStr">
        <is>
          <t>PJ-2024-J</t>
        </is>
      </c>
      <c r="B28" s="21" t="n">
        <v>0.3979</v>
      </c>
      <c r="C28" s="21" t="n">
        <v>0.3979</v>
      </c>
      <c r="D28" s="21" t="n">
        <v>0.3592</v>
      </c>
      <c r="E28" s="21" t="n">
        <v>0.3945</v>
      </c>
      <c r="F28" s="21" t="n">
        <v>0.3941</v>
      </c>
      <c r="G28" s="21" t="n">
        <v>0.3547</v>
      </c>
    </row>
    <row r="50">
      <c r="A50" s="6" t="inlineStr">
        <is>
          <t>■ 案件別 詳細指標</t>
        </is>
      </c>
    </row>
    <row r="51">
      <c r="A51" s="8" t="inlineStr">
        <is>
          <t>案件ID</t>
        </is>
      </c>
      <c r="B51" s="8" t="inlineStr">
        <is>
          <t>名称</t>
        </is>
      </c>
      <c r="C51" s="8" t="inlineStr">
        <is>
          <t>種別</t>
        </is>
      </c>
      <c r="D51" s="8" t="inlineStr">
        <is>
          <t>モード</t>
        </is>
      </c>
      <c r="E51" s="8" t="inlineStr">
        <is>
          <t>復元方式</t>
        </is>
      </c>
      <c r="F51" s="8" t="inlineStr">
        <is>
          <t>契約人月</t>
        </is>
      </c>
      <c r="G51" s="8" t="inlineStr">
        <is>
          <t>期間(月)</t>
        </is>
      </c>
      <c r="H51" s="8" t="inlineStr">
        <is>
          <t>学習件数</t>
        </is>
      </c>
      <c r="I51" s="8" t="inlineStr">
        <is>
          <t>月次誤差WAPE</t>
        </is>
      </c>
      <c r="J51" s="8" t="inlineStr">
        <is>
          <t>月×グループ誤差WAPE</t>
        </is>
      </c>
      <c r="K51" s="8" t="inlineStr">
        <is>
          <t>累積カーブ最大乖離</t>
        </is>
      </c>
      <c r="L51" s="8" t="inlineStr">
        <is>
          <t>ピーク月ズレ</t>
        </is>
      </c>
      <c r="M51" s="8" t="inlineStr">
        <is>
          <t>ピーク高さ誤差</t>
        </is>
      </c>
    </row>
    <row r="52">
      <c r="A52" s="10" t="inlineStr">
        <is>
          <t>PJ-2019-A</t>
        </is>
      </c>
      <c r="B52" s="10" t="inlineStr">
        <is>
          <t>蒼穹のレガリア</t>
        </is>
      </c>
      <c r="C52" s="10" t="inlineStr">
        <is>
          <t>新規タイトル開発</t>
        </is>
      </c>
      <c r="D52" s="10" t="inlineStr">
        <is>
          <t>素朴版／月内均等</t>
        </is>
      </c>
      <c r="E52" s="10" t="inlineStr">
        <is>
          <t>月内均等</t>
        </is>
      </c>
      <c r="F52" s="12" t="n">
        <v>2400</v>
      </c>
      <c r="G52" s="10" t="n">
        <v>36</v>
      </c>
      <c r="H52" s="10" t="n">
        <v>9</v>
      </c>
      <c r="I52" s="21" t="n">
        <v>0.1921</v>
      </c>
      <c r="J52" s="21" t="n">
        <v>0.2332</v>
      </c>
      <c r="K52" s="21" t="n">
        <v>0.0434</v>
      </c>
      <c r="L52" s="10" t="n">
        <v>-5</v>
      </c>
      <c r="M52" s="13" t="n">
        <v>-0.1739</v>
      </c>
    </row>
    <row r="53">
      <c r="A53" s="10" t="inlineStr">
        <is>
          <t>PJ-2019-A</t>
        </is>
      </c>
      <c r="B53" s="10" t="inlineStr">
        <is>
          <t>蒼穹のレガリア</t>
        </is>
      </c>
      <c r="C53" s="10" t="inlineStr">
        <is>
          <t>新規タイトル開発</t>
        </is>
      </c>
      <c r="D53" s="10" t="inlineStr">
        <is>
          <t>位置合わせ(MS学習値)／月内均等</t>
        </is>
      </c>
      <c r="E53" s="10" t="inlineStr">
        <is>
          <t>月内均等</t>
        </is>
      </c>
      <c r="F53" s="12" t="n">
        <v>2400</v>
      </c>
      <c r="G53" s="10" t="n">
        <v>36</v>
      </c>
      <c r="H53" s="10" t="n">
        <v>9</v>
      </c>
      <c r="I53" s="21" t="n">
        <v>0.1982</v>
      </c>
      <c r="J53" s="21" t="n">
        <v>0.2392</v>
      </c>
      <c r="K53" s="21" t="n">
        <v>0.0489</v>
      </c>
      <c r="L53" s="10" t="n">
        <v>-3</v>
      </c>
      <c r="M53" s="13" t="n">
        <v>-0.2003</v>
      </c>
    </row>
    <row r="54">
      <c r="A54" s="10" t="inlineStr">
        <is>
          <t>PJ-2019-A</t>
        </is>
      </c>
      <c r="B54" s="10" t="inlineStr">
        <is>
          <t>蒼穹のレガリア</t>
        </is>
      </c>
      <c r="C54" s="10" t="inlineStr">
        <is>
          <t>新規タイトル開発</t>
        </is>
      </c>
      <c r="D54" s="10" t="inlineStr">
        <is>
          <t>位置合わせ(MS指定)／月内均等</t>
        </is>
      </c>
      <c r="E54" s="10" t="inlineStr">
        <is>
          <t>月内均等</t>
        </is>
      </c>
      <c r="F54" s="12" t="n">
        <v>2400</v>
      </c>
      <c r="G54" s="10" t="n">
        <v>36</v>
      </c>
      <c r="H54" s="10" t="n">
        <v>9</v>
      </c>
      <c r="I54" s="21" t="n">
        <v>0.1399</v>
      </c>
      <c r="J54" s="21" t="n">
        <v>0.1974</v>
      </c>
      <c r="K54" s="21" t="n">
        <v>0.0391</v>
      </c>
      <c r="L54" s="10" t="n">
        <v>0</v>
      </c>
      <c r="M54" s="13" t="n">
        <v>-0.0984</v>
      </c>
    </row>
    <row r="55">
      <c r="A55" s="10" t="inlineStr">
        <is>
          <t>PJ-2019-A</t>
        </is>
      </c>
      <c r="B55" s="10" t="inlineStr">
        <is>
          <t>蒼穹のレガリア</t>
        </is>
      </c>
      <c r="C55" s="10" t="inlineStr">
        <is>
          <t>新規タイトル開発</t>
        </is>
      </c>
      <c r="D55" s="10" t="inlineStr">
        <is>
          <t>素朴版／単調補間</t>
        </is>
      </c>
      <c r="E55" s="10" t="inlineStr">
        <is>
          <t>単調補間</t>
        </is>
      </c>
      <c r="F55" s="12" t="n">
        <v>2400</v>
      </c>
      <c r="G55" s="10" t="n">
        <v>36</v>
      </c>
      <c r="H55" s="10" t="n">
        <v>9</v>
      </c>
      <c r="I55" s="21" t="n">
        <v>0.1903</v>
      </c>
      <c r="J55" s="21" t="n">
        <v>0.2317</v>
      </c>
      <c r="K55" s="21" t="n">
        <v>0.0436</v>
      </c>
      <c r="L55" s="10" t="n">
        <v>-5</v>
      </c>
      <c r="M55" s="13" t="n">
        <v>-0.177</v>
      </c>
    </row>
    <row r="56">
      <c r="A56" s="10" t="inlineStr">
        <is>
          <t>PJ-2019-A</t>
        </is>
      </c>
      <c r="B56" s="10" t="inlineStr">
        <is>
          <t>蒼穹のレガリア</t>
        </is>
      </c>
      <c r="C56" s="10" t="inlineStr">
        <is>
          <t>新規タイトル開発</t>
        </is>
      </c>
      <c r="D56" s="10" t="inlineStr">
        <is>
          <t>位置合わせ(MS学習値)／単調補間</t>
        </is>
      </c>
      <c r="E56" s="10" t="inlineStr">
        <is>
          <t>単調補間</t>
        </is>
      </c>
      <c r="F56" s="12" t="n">
        <v>2400</v>
      </c>
      <c r="G56" s="10" t="n">
        <v>36</v>
      </c>
      <c r="H56" s="10" t="n">
        <v>9</v>
      </c>
      <c r="I56" s="21" t="n">
        <v>0.1973</v>
      </c>
      <c r="J56" s="21" t="n">
        <v>0.2376</v>
      </c>
      <c r="K56" s="21" t="n">
        <v>0.0502</v>
      </c>
      <c r="L56" s="10" t="n">
        <v>-3</v>
      </c>
      <c r="M56" s="13" t="n">
        <v>-0.191</v>
      </c>
    </row>
    <row r="57">
      <c r="A57" s="10" t="inlineStr">
        <is>
          <t>PJ-2019-A</t>
        </is>
      </c>
      <c r="B57" s="10" t="inlineStr">
        <is>
          <t>蒼穹のレガリア</t>
        </is>
      </c>
      <c r="C57" s="10" t="inlineStr">
        <is>
          <t>新規タイトル開発</t>
        </is>
      </c>
      <c r="D57" s="10" t="inlineStr">
        <is>
          <t>位置合わせ(MS指定)／単調補間</t>
        </is>
      </c>
      <c r="E57" s="10" t="inlineStr">
        <is>
          <t>単調補間</t>
        </is>
      </c>
      <c r="F57" s="12" t="n">
        <v>2400</v>
      </c>
      <c r="G57" s="10" t="n">
        <v>36</v>
      </c>
      <c r="H57" s="10" t="n">
        <v>9</v>
      </c>
      <c r="I57" s="21" t="n">
        <v>0.1387</v>
      </c>
      <c r="J57" s="21" t="n">
        <v>0.1934</v>
      </c>
      <c r="K57" s="21" t="n">
        <v>0.0383</v>
      </c>
      <c r="L57" s="10" t="n">
        <v>0</v>
      </c>
      <c r="M57" s="13" t="n">
        <v>-0.1046</v>
      </c>
    </row>
    <row r="58">
      <c r="A58" s="10" t="inlineStr">
        <is>
          <t>PJ-2020-B</t>
        </is>
      </c>
      <c r="B58" s="10" t="inlineStr">
        <is>
          <t>ブレイブフロンティア外伝(後半集中)</t>
        </is>
      </c>
      <c r="C58" s="10" t="inlineStr">
        <is>
          <t>大型アップデート</t>
        </is>
      </c>
      <c r="D58" s="10" t="inlineStr">
        <is>
          <t>素朴版／月内均等</t>
        </is>
      </c>
      <c r="E58" s="10" t="inlineStr">
        <is>
          <t>月内均等</t>
        </is>
      </c>
      <c r="F58" s="12" t="n">
        <v>620</v>
      </c>
      <c r="G58" s="10" t="n">
        <v>14</v>
      </c>
      <c r="H58" s="10" t="n">
        <v>9</v>
      </c>
      <c r="I58" s="21" t="n">
        <v>0.6358</v>
      </c>
      <c r="J58" s="21" t="n">
        <v>0.7104</v>
      </c>
      <c r="K58" s="21" t="n">
        <v>0.3179</v>
      </c>
      <c r="L58" s="10" t="n">
        <v>-2</v>
      </c>
      <c r="M58" s="13" t="n">
        <v>-0.4952</v>
      </c>
    </row>
    <row r="59">
      <c r="A59" s="10" t="inlineStr">
        <is>
          <t>PJ-2020-B</t>
        </is>
      </c>
      <c r="B59" s="10" t="inlineStr">
        <is>
          <t>ブレイブフロンティア外伝(後半集中)</t>
        </is>
      </c>
      <c r="C59" s="10" t="inlineStr">
        <is>
          <t>大型アップデート</t>
        </is>
      </c>
      <c r="D59" s="10" t="inlineStr">
        <is>
          <t>位置合わせ(MS学習値)／月内均等</t>
        </is>
      </c>
      <c r="E59" s="10" t="inlineStr">
        <is>
          <t>月内均等</t>
        </is>
      </c>
      <c r="F59" s="12" t="n">
        <v>620</v>
      </c>
      <c r="G59" s="10" t="n">
        <v>14</v>
      </c>
      <c r="H59" s="10" t="n">
        <v>9</v>
      </c>
      <c r="I59" s="21" t="n">
        <v>0.6336000000000001</v>
      </c>
      <c r="J59" s="21" t="n">
        <v>0.7087</v>
      </c>
      <c r="K59" s="21" t="n">
        <v>0.3168</v>
      </c>
      <c r="L59" s="10" t="n">
        <v>-3</v>
      </c>
      <c r="M59" s="13" t="n">
        <v>-0.493</v>
      </c>
    </row>
    <row r="60">
      <c r="A60" s="10" t="inlineStr">
        <is>
          <t>PJ-2020-B</t>
        </is>
      </c>
      <c r="B60" s="10" t="inlineStr">
        <is>
          <t>ブレイブフロンティア外伝(後半集中)</t>
        </is>
      </c>
      <c r="C60" s="10" t="inlineStr">
        <is>
          <t>大型アップデート</t>
        </is>
      </c>
      <c r="D60" s="10" t="inlineStr">
        <is>
          <t>位置合わせ(MS指定)／月内均等</t>
        </is>
      </c>
      <c r="E60" s="10" t="inlineStr">
        <is>
          <t>月内均等</t>
        </is>
      </c>
      <c r="F60" s="12" t="n">
        <v>620</v>
      </c>
      <c r="G60" s="10" t="n">
        <v>14</v>
      </c>
      <c r="H60" s="10" t="n">
        <v>9</v>
      </c>
      <c r="I60" s="21" t="n">
        <v>0.3525</v>
      </c>
      <c r="J60" s="21" t="n">
        <v>0.452</v>
      </c>
      <c r="K60" s="21" t="n">
        <v>0.1762</v>
      </c>
      <c r="L60" s="10" t="n">
        <v>0</v>
      </c>
      <c r="M60" s="13" t="n">
        <v>-0.2282</v>
      </c>
    </row>
    <row r="61">
      <c r="A61" s="10" t="inlineStr">
        <is>
          <t>PJ-2020-B</t>
        </is>
      </c>
      <c r="B61" s="10" t="inlineStr">
        <is>
          <t>ブレイブフロンティア外伝(後半集中)</t>
        </is>
      </c>
      <c r="C61" s="10" t="inlineStr">
        <is>
          <t>大型アップデート</t>
        </is>
      </c>
      <c r="D61" s="10" t="inlineStr">
        <is>
          <t>素朴版／単調補間</t>
        </is>
      </c>
      <c r="E61" s="10" t="inlineStr">
        <is>
          <t>単調補間</t>
        </is>
      </c>
      <c r="F61" s="12" t="n">
        <v>620</v>
      </c>
      <c r="G61" s="10" t="n">
        <v>14</v>
      </c>
      <c r="H61" s="10" t="n">
        <v>9</v>
      </c>
      <c r="I61" s="21" t="n">
        <v>0.6358</v>
      </c>
      <c r="J61" s="21" t="n">
        <v>0.7108</v>
      </c>
      <c r="K61" s="21" t="n">
        <v>0.3179</v>
      </c>
      <c r="L61" s="10" t="n">
        <v>-2</v>
      </c>
      <c r="M61" s="13" t="n">
        <v>-0.4947</v>
      </c>
    </row>
    <row r="62">
      <c r="A62" s="10" t="inlineStr">
        <is>
          <t>PJ-2020-B</t>
        </is>
      </c>
      <c r="B62" s="10" t="inlineStr">
        <is>
          <t>ブレイブフロンティア外伝(後半集中)</t>
        </is>
      </c>
      <c r="C62" s="10" t="inlineStr">
        <is>
          <t>大型アップデート</t>
        </is>
      </c>
      <c r="D62" s="10" t="inlineStr">
        <is>
          <t>位置合わせ(MS学習値)／単調補間</t>
        </is>
      </c>
      <c r="E62" s="10" t="inlineStr">
        <is>
          <t>単調補間</t>
        </is>
      </c>
      <c r="F62" s="12" t="n">
        <v>620</v>
      </c>
      <c r="G62" s="10" t="n">
        <v>14</v>
      </c>
      <c r="H62" s="10" t="n">
        <v>9</v>
      </c>
      <c r="I62" s="21" t="n">
        <v>0.6334</v>
      </c>
      <c r="J62" s="21" t="n">
        <v>0.709</v>
      </c>
      <c r="K62" s="21" t="n">
        <v>0.3167</v>
      </c>
      <c r="L62" s="10" t="n">
        <v>-3</v>
      </c>
      <c r="M62" s="13" t="n">
        <v>-0.4926</v>
      </c>
    </row>
    <row r="63">
      <c r="A63" s="10" t="inlineStr">
        <is>
          <t>PJ-2020-B</t>
        </is>
      </c>
      <c r="B63" s="10" t="inlineStr">
        <is>
          <t>ブレイブフロンティア外伝(後半集中)</t>
        </is>
      </c>
      <c r="C63" s="10" t="inlineStr">
        <is>
          <t>大型アップデート</t>
        </is>
      </c>
      <c r="D63" s="10" t="inlineStr">
        <is>
          <t>位置合わせ(MS指定)／単調補間</t>
        </is>
      </c>
      <c r="E63" s="10" t="inlineStr">
        <is>
          <t>単調補間</t>
        </is>
      </c>
      <c r="F63" s="12" t="n">
        <v>620</v>
      </c>
      <c r="G63" s="10" t="n">
        <v>14</v>
      </c>
      <c r="H63" s="10" t="n">
        <v>9</v>
      </c>
      <c r="I63" s="21" t="n">
        <v>0.3524</v>
      </c>
      <c r="J63" s="21" t="n">
        <v>0.4519</v>
      </c>
      <c r="K63" s="21" t="n">
        <v>0.1762</v>
      </c>
      <c r="L63" s="10" t="n">
        <v>0</v>
      </c>
      <c r="M63" s="13" t="n">
        <v>-0.2243</v>
      </c>
    </row>
    <row r="64">
      <c r="A64" s="10" t="inlineStr">
        <is>
          <t>PJ-2020-C</t>
        </is>
      </c>
      <c r="B64" s="10" t="inlineStr">
        <is>
          <t>クロノスギア(二山)</t>
        </is>
      </c>
      <c r="C64" s="10" t="inlineStr">
        <is>
          <t>新規タイトル開発</t>
        </is>
      </c>
      <c r="D64" s="10" t="inlineStr">
        <is>
          <t>素朴版／月内均等</t>
        </is>
      </c>
      <c r="E64" s="10" t="inlineStr">
        <is>
          <t>月内均等</t>
        </is>
      </c>
      <c r="F64" s="12" t="n">
        <v>1800</v>
      </c>
      <c r="G64" s="10" t="n">
        <v>30</v>
      </c>
      <c r="H64" s="10" t="n">
        <v>9</v>
      </c>
      <c r="I64" s="21" t="n">
        <v>0.3825</v>
      </c>
      <c r="J64" s="21" t="n">
        <v>0.4106</v>
      </c>
      <c r="K64" s="21" t="n">
        <v>0.089</v>
      </c>
      <c r="L64" s="10" t="n">
        <v>3</v>
      </c>
      <c r="M64" s="13" t="n">
        <v>-0.1047</v>
      </c>
    </row>
    <row r="65">
      <c r="A65" s="10" t="inlineStr">
        <is>
          <t>PJ-2020-C</t>
        </is>
      </c>
      <c r="B65" s="10" t="inlineStr">
        <is>
          <t>クロノスギア(二山)</t>
        </is>
      </c>
      <c r="C65" s="10" t="inlineStr">
        <is>
          <t>新規タイトル開発</t>
        </is>
      </c>
      <c r="D65" s="10" t="inlineStr">
        <is>
          <t>位置合わせ(MS学習値)／月内均等</t>
        </is>
      </c>
      <c r="E65" s="10" t="inlineStr">
        <is>
          <t>月内均等</t>
        </is>
      </c>
      <c r="F65" s="12" t="n">
        <v>1800</v>
      </c>
      <c r="G65" s="10" t="n">
        <v>30</v>
      </c>
      <c r="H65" s="10" t="n">
        <v>9</v>
      </c>
      <c r="I65" s="21" t="n">
        <v>0.3853</v>
      </c>
      <c r="J65" s="21" t="n">
        <v>0.4138</v>
      </c>
      <c r="K65" s="21" t="n">
        <v>0.091</v>
      </c>
      <c r="L65" s="10" t="n">
        <v>7</v>
      </c>
      <c r="M65" s="13" t="n">
        <v>-0.1082</v>
      </c>
    </row>
    <row r="66">
      <c r="A66" s="10" t="inlineStr">
        <is>
          <t>PJ-2020-C</t>
        </is>
      </c>
      <c r="B66" s="10" t="inlineStr">
        <is>
          <t>クロノスギア(二山)</t>
        </is>
      </c>
      <c r="C66" s="10" t="inlineStr">
        <is>
          <t>新規タイトル開発</t>
        </is>
      </c>
      <c r="D66" s="10" t="inlineStr">
        <is>
          <t>位置合わせ(MS指定)／月内均等</t>
        </is>
      </c>
      <c r="E66" s="10" t="inlineStr">
        <is>
          <t>月内均等</t>
        </is>
      </c>
      <c r="F66" s="12" t="n">
        <v>1800</v>
      </c>
      <c r="G66" s="10" t="n">
        <v>30</v>
      </c>
      <c r="H66" s="10" t="n">
        <v>9</v>
      </c>
      <c r="I66" s="21" t="n">
        <v>0.4925</v>
      </c>
      <c r="J66" s="21" t="n">
        <v>0.5124</v>
      </c>
      <c r="K66" s="21" t="n">
        <v>0.1535</v>
      </c>
      <c r="L66" s="10" t="n">
        <v>3</v>
      </c>
      <c r="M66" s="13" t="n">
        <v>0.5201</v>
      </c>
    </row>
    <row r="67">
      <c r="A67" s="10" t="inlineStr">
        <is>
          <t>PJ-2020-C</t>
        </is>
      </c>
      <c r="B67" s="10" t="inlineStr">
        <is>
          <t>クロノスギア(二山)</t>
        </is>
      </c>
      <c r="C67" s="10" t="inlineStr">
        <is>
          <t>新規タイトル開発</t>
        </is>
      </c>
      <c r="D67" s="10" t="inlineStr">
        <is>
          <t>素朴版／単調補間</t>
        </is>
      </c>
      <c r="E67" s="10" t="inlineStr">
        <is>
          <t>単調補間</t>
        </is>
      </c>
      <c r="F67" s="12" t="n">
        <v>1800</v>
      </c>
      <c r="G67" s="10" t="n">
        <v>30</v>
      </c>
      <c r="H67" s="10" t="n">
        <v>9</v>
      </c>
      <c r="I67" s="21" t="n">
        <v>0.385</v>
      </c>
      <c r="J67" s="21" t="n">
        <v>0.4138</v>
      </c>
      <c r="K67" s="21" t="n">
        <v>0.0895</v>
      </c>
      <c r="L67" s="10" t="n">
        <v>3</v>
      </c>
      <c r="M67" s="13" t="n">
        <v>-0.0859</v>
      </c>
    </row>
    <row r="68">
      <c r="A68" s="10" t="inlineStr">
        <is>
          <t>PJ-2020-C</t>
        </is>
      </c>
      <c r="B68" s="10" t="inlineStr">
        <is>
          <t>クロノスギア(二山)</t>
        </is>
      </c>
      <c r="C68" s="10" t="inlineStr">
        <is>
          <t>新規タイトル開発</t>
        </is>
      </c>
      <c r="D68" s="10" t="inlineStr">
        <is>
          <t>位置合わせ(MS学習値)／単調補間</t>
        </is>
      </c>
      <c r="E68" s="10" t="inlineStr">
        <is>
          <t>単調補間</t>
        </is>
      </c>
      <c r="F68" s="12" t="n">
        <v>1800</v>
      </c>
      <c r="G68" s="10" t="n">
        <v>30</v>
      </c>
      <c r="H68" s="10" t="n">
        <v>9</v>
      </c>
      <c r="I68" s="21" t="n">
        <v>0.3878</v>
      </c>
      <c r="J68" s="21" t="n">
        <v>0.4174</v>
      </c>
      <c r="K68" s="21" t="n">
        <v>0.0914</v>
      </c>
      <c r="L68" s="10" t="n">
        <v>7</v>
      </c>
      <c r="M68" s="13" t="n">
        <v>-0.1125</v>
      </c>
    </row>
    <row r="69">
      <c r="A69" s="10" t="inlineStr">
        <is>
          <t>PJ-2020-C</t>
        </is>
      </c>
      <c r="B69" s="10" t="inlineStr">
        <is>
          <t>クロノスギア(二山)</t>
        </is>
      </c>
      <c r="C69" s="10" t="inlineStr">
        <is>
          <t>新規タイトル開発</t>
        </is>
      </c>
      <c r="D69" s="10" t="inlineStr">
        <is>
          <t>位置合わせ(MS指定)／単調補間</t>
        </is>
      </c>
      <c r="E69" s="10" t="inlineStr">
        <is>
          <t>単調補間</t>
        </is>
      </c>
      <c r="F69" s="12" t="n">
        <v>1800</v>
      </c>
      <c r="G69" s="10" t="n">
        <v>30</v>
      </c>
      <c r="H69" s="10" t="n">
        <v>9</v>
      </c>
      <c r="I69" s="21" t="n">
        <v>0.4952</v>
      </c>
      <c r="J69" s="21" t="n">
        <v>0.5161</v>
      </c>
      <c r="K69" s="21" t="n">
        <v>0.1546</v>
      </c>
      <c r="L69" s="10" t="n">
        <v>3</v>
      </c>
      <c r="M69" s="13" t="n">
        <v>0.5342</v>
      </c>
    </row>
    <row r="70">
      <c r="A70" s="10" t="inlineStr">
        <is>
          <t>PJ-2021-D</t>
        </is>
      </c>
      <c r="B70" s="10" t="inlineStr">
        <is>
          <t>蒼穹のレガリア HD Edition(前倒し)</t>
        </is>
      </c>
      <c r="C70" s="10" t="inlineStr">
        <is>
          <t>移植・リマスター</t>
        </is>
      </c>
      <c r="D70" s="10" t="inlineStr">
        <is>
          <t>素朴版／月内均等</t>
        </is>
      </c>
      <c r="E70" s="10" t="inlineStr">
        <is>
          <t>月内均等</t>
        </is>
      </c>
      <c r="F70" s="12" t="n">
        <v>520</v>
      </c>
      <c r="G70" s="10" t="n">
        <v>15</v>
      </c>
      <c r="H70" s="10" t="n">
        <v>9</v>
      </c>
      <c r="I70" s="21" t="n">
        <v>0.1611</v>
      </c>
      <c r="J70" s="21" t="n">
        <v>0.4514</v>
      </c>
      <c r="K70" s="21" t="n">
        <v>0.0493</v>
      </c>
      <c r="L70" s="10" t="n">
        <v>-1</v>
      </c>
      <c r="M70" s="13" t="n">
        <v>-0.0355</v>
      </c>
    </row>
    <row r="71">
      <c r="A71" s="10" t="inlineStr">
        <is>
          <t>PJ-2021-D</t>
        </is>
      </c>
      <c r="B71" s="10" t="inlineStr">
        <is>
          <t>蒼穹のレガリア HD Edition(前倒し)</t>
        </is>
      </c>
      <c r="C71" s="10" t="inlineStr">
        <is>
          <t>移植・リマスター</t>
        </is>
      </c>
      <c r="D71" s="10" t="inlineStr">
        <is>
          <t>位置合わせ(MS学習値)／月内均等</t>
        </is>
      </c>
      <c r="E71" s="10" t="inlineStr">
        <is>
          <t>月内均等</t>
        </is>
      </c>
      <c r="F71" s="12" t="n">
        <v>520</v>
      </c>
      <c r="G71" s="10" t="n">
        <v>15</v>
      </c>
      <c r="H71" s="10" t="n">
        <v>9</v>
      </c>
      <c r="I71" s="21" t="n">
        <v>0.156</v>
      </c>
      <c r="J71" s="21" t="n">
        <v>0.4547</v>
      </c>
      <c r="K71" s="21" t="n">
        <v>0.0588</v>
      </c>
      <c r="L71" s="10" t="n">
        <v>-3</v>
      </c>
      <c r="M71" s="13" t="n">
        <v>-0.0688</v>
      </c>
    </row>
    <row r="72">
      <c r="A72" s="10" t="inlineStr">
        <is>
          <t>PJ-2021-D</t>
        </is>
      </c>
      <c r="B72" s="10" t="inlineStr">
        <is>
          <t>蒼穹のレガリア HD Edition(前倒し)</t>
        </is>
      </c>
      <c r="C72" s="10" t="inlineStr">
        <is>
          <t>移植・リマスター</t>
        </is>
      </c>
      <c r="D72" s="10" t="inlineStr">
        <is>
          <t>位置合わせ(MS指定)／月内均等</t>
        </is>
      </c>
      <c r="E72" s="10" t="inlineStr">
        <is>
          <t>月内均等</t>
        </is>
      </c>
      <c r="F72" s="12" t="n">
        <v>520</v>
      </c>
      <c r="G72" s="10" t="n">
        <v>15</v>
      </c>
      <c r="H72" s="10" t="n">
        <v>9</v>
      </c>
      <c r="I72" s="21" t="n">
        <v>0.3284</v>
      </c>
      <c r="J72" s="21" t="n">
        <v>0.5716</v>
      </c>
      <c r="K72" s="21" t="n">
        <v>0.1578</v>
      </c>
      <c r="L72" s="10" t="n">
        <v>1</v>
      </c>
      <c r="M72" s="13" t="n">
        <v>0.137</v>
      </c>
    </row>
    <row r="73">
      <c r="A73" s="10" t="inlineStr">
        <is>
          <t>PJ-2021-D</t>
        </is>
      </c>
      <c r="B73" s="10" t="inlineStr">
        <is>
          <t>蒼穹のレガリア HD Edition(前倒し)</t>
        </is>
      </c>
      <c r="C73" s="10" t="inlineStr">
        <is>
          <t>移植・リマスター</t>
        </is>
      </c>
      <c r="D73" s="10" t="inlineStr">
        <is>
          <t>素朴版／単調補間</t>
        </is>
      </c>
      <c r="E73" s="10" t="inlineStr">
        <is>
          <t>単調補間</t>
        </is>
      </c>
      <c r="F73" s="12" t="n">
        <v>520</v>
      </c>
      <c r="G73" s="10" t="n">
        <v>15</v>
      </c>
      <c r="H73" s="10" t="n">
        <v>9</v>
      </c>
      <c r="I73" s="21" t="n">
        <v>0.1612</v>
      </c>
      <c r="J73" s="21" t="n">
        <v>0.4505</v>
      </c>
      <c r="K73" s="21" t="n">
        <v>0.0495</v>
      </c>
      <c r="L73" s="10" t="n">
        <v>-1</v>
      </c>
      <c r="M73" s="13" t="n">
        <v>-0.0231</v>
      </c>
    </row>
    <row r="74">
      <c r="A74" s="10" t="inlineStr">
        <is>
          <t>PJ-2021-D</t>
        </is>
      </c>
      <c r="B74" s="10" t="inlineStr">
        <is>
          <t>蒼穹のレガリア HD Edition(前倒し)</t>
        </is>
      </c>
      <c r="C74" s="10" t="inlineStr">
        <is>
          <t>移植・リマスター</t>
        </is>
      </c>
      <c r="D74" s="10" t="inlineStr">
        <is>
          <t>位置合わせ(MS学習値)／単調補間</t>
        </is>
      </c>
      <c r="E74" s="10" t="inlineStr">
        <is>
          <t>単調補間</t>
        </is>
      </c>
      <c r="F74" s="12" t="n">
        <v>520</v>
      </c>
      <c r="G74" s="10" t="n">
        <v>15</v>
      </c>
      <c r="H74" s="10" t="n">
        <v>9</v>
      </c>
      <c r="I74" s="21" t="n">
        <v>0.1559</v>
      </c>
      <c r="J74" s="21" t="n">
        <v>0.4546</v>
      </c>
      <c r="K74" s="21" t="n">
        <v>0.0592</v>
      </c>
      <c r="L74" s="10" t="n">
        <v>-3</v>
      </c>
      <c r="M74" s="13" t="n">
        <v>-0.0747</v>
      </c>
    </row>
    <row r="75">
      <c r="A75" s="10" t="inlineStr">
        <is>
          <t>PJ-2021-D</t>
        </is>
      </c>
      <c r="B75" s="10" t="inlineStr">
        <is>
          <t>蒼穹のレガリア HD Edition(前倒し)</t>
        </is>
      </c>
      <c r="C75" s="10" t="inlineStr">
        <is>
          <t>移植・リマスター</t>
        </is>
      </c>
      <c r="D75" s="10" t="inlineStr">
        <is>
          <t>位置合わせ(MS指定)／単調補間</t>
        </is>
      </c>
      <c r="E75" s="10" t="inlineStr">
        <is>
          <t>単調補間</t>
        </is>
      </c>
      <c r="F75" s="12" t="n">
        <v>520</v>
      </c>
      <c r="G75" s="10" t="n">
        <v>15</v>
      </c>
      <c r="H75" s="10" t="n">
        <v>9</v>
      </c>
      <c r="I75" s="21" t="n">
        <v>0.3286</v>
      </c>
      <c r="J75" s="21" t="n">
        <v>0.5721000000000001</v>
      </c>
      <c r="K75" s="21" t="n">
        <v>0.1585</v>
      </c>
      <c r="L75" s="10" t="n">
        <v>1</v>
      </c>
      <c r="M75" s="13" t="n">
        <v>0.1427</v>
      </c>
    </row>
    <row r="76">
      <c r="A76" s="10" t="inlineStr">
        <is>
          <t>PJ-2021-E</t>
        </is>
      </c>
      <c r="B76" s="10" t="inlineStr">
        <is>
          <t>シャドウヴェイル</t>
        </is>
      </c>
      <c r="C76" s="10" t="inlineStr">
        <is>
          <t>新規タイトル開発</t>
        </is>
      </c>
      <c r="D76" s="10" t="inlineStr">
        <is>
          <t>素朴版／月内均等</t>
        </is>
      </c>
      <c r="E76" s="10" t="inlineStr">
        <is>
          <t>月内均等</t>
        </is>
      </c>
      <c r="F76" s="12" t="n">
        <v>2950</v>
      </c>
      <c r="G76" s="10" t="n">
        <v>36</v>
      </c>
      <c r="H76" s="10" t="n">
        <v>9</v>
      </c>
      <c r="I76" s="21" t="n">
        <v>0.3767</v>
      </c>
      <c r="J76" s="21" t="n">
        <v>0.424</v>
      </c>
      <c r="K76" s="21" t="n">
        <v>0.1218</v>
      </c>
      <c r="L76" s="10" t="n">
        <v>7</v>
      </c>
      <c r="M76" s="13" t="n">
        <v>-0.4668</v>
      </c>
    </row>
    <row r="77">
      <c r="A77" s="10" t="inlineStr">
        <is>
          <t>PJ-2021-E</t>
        </is>
      </c>
      <c r="B77" s="10" t="inlineStr">
        <is>
          <t>シャドウヴェイル</t>
        </is>
      </c>
      <c r="C77" s="10" t="inlineStr">
        <is>
          <t>新規タイトル開発</t>
        </is>
      </c>
      <c r="D77" s="10" t="inlineStr">
        <is>
          <t>位置合わせ(MS学習値)／月内均等</t>
        </is>
      </c>
      <c r="E77" s="10" t="inlineStr">
        <is>
          <t>月内均等</t>
        </is>
      </c>
      <c r="F77" s="12" t="n">
        <v>2950</v>
      </c>
      <c r="G77" s="10" t="n">
        <v>36</v>
      </c>
      <c r="H77" s="10" t="n">
        <v>9</v>
      </c>
      <c r="I77" s="21" t="n">
        <v>0.3648</v>
      </c>
      <c r="J77" s="21" t="n">
        <v>0.4097</v>
      </c>
      <c r="K77" s="21" t="n">
        <v>0.1292</v>
      </c>
      <c r="L77" s="10" t="n">
        <v>10</v>
      </c>
      <c r="M77" s="13" t="n">
        <v>-0.4784</v>
      </c>
    </row>
    <row r="78">
      <c r="A78" s="10" t="inlineStr">
        <is>
          <t>PJ-2021-E</t>
        </is>
      </c>
      <c r="B78" s="10" t="inlineStr">
        <is>
          <t>シャドウヴェイル</t>
        </is>
      </c>
      <c r="C78" s="10" t="inlineStr">
        <is>
          <t>新規タイトル開発</t>
        </is>
      </c>
      <c r="D78" s="10" t="inlineStr">
        <is>
          <t>位置合わせ(MS指定)／月内均等</t>
        </is>
      </c>
      <c r="E78" s="10" t="inlineStr">
        <is>
          <t>月内均等</t>
        </is>
      </c>
      <c r="F78" s="12" t="n">
        <v>2950</v>
      </c>
      <c r="G78" s="10" t="n">
        <v>36</v>
      </c>
      <c r="H78" s="10" t="n">
        <v>9</v>
      </c>
      <c r="I78" s="21" t="n">
        <v>0.2938</v>
      </c>
      <c r="J78" s="21" t="n">
        <v>0.3375</v>
      </c>
      <c r="K78" s="21" t="n">
        <v>0.099</v>
      </c>
      <c r="L78" s="10" t="n">
        <v>0</v>
      </c>
      <c r="M78" s="13" t="n">
        <v>-0.4595</v>
      </c>
    </row>
    <row r="79">
      <c r="A79" s="10" t="inlineStr">
        <is>
          <t>PJ-2021-E</t>
        </is>
      </c>
      <c r="B79" s="10" t="inlineStr">
        <is>
          <t>シャドウヴェイル</t>
        </is>
      </c>
      <c r="C79" s="10" t="inlineStr">
        <is>
          <t>新規タイトル開発</t>
        </is>
      </c>
      <c r="D79" s="10" t="inlineStr">
        <is>
          <t>素朴版／単調補間</t>
        </is>
      </c>
      <c r="E79" s="10" t="inlineStr">
        <is>
          <t>単調補間</t>
        </is>
      </c>
      <c r="F79" s="12" t="n">
        <v>2950</v>
      </c>
      <c r="G79" s="10" t="n">
        <v>36</v>
      </c>
      <c r="H79" s="10" t="n">
        <v>9</v>
      </c>
      <c r="I79" s="21" t="n">
        <v>0.3774</v>
      </c>
      <c r="J79" s="21" t="n">
        <v>0.4243</v>
      </c>
      <c r="K79" s="21" t="n">
        <v>0.1221</v>
      </c>
      <c r="L79" s="10" t="n">
        <v>8</v>
      </c>
      <c r="M79" s="13" t="n">
        <v>-0.4573</v>
      </c>
    </row>
    <row r="80">
      <c r="A80" s="10" t="inlineStr">
        <is>
          <t>PJ-2021-E</t>
        </is>
      </c>
      <c r="B80" s="10" t="inlineStr">
        <is>
          <t>シャドウヴェイル</t>
        </is>
      </c>
      <c r="C80" s="10" t="inlineStr">
        <is>
          <t>新規タイトル開発</t>
        </is>
      </c>
      <c r="D80" s="10" t="inlineStr">
        <is>
          <t>位置合わせ(MS学習値)／単調補間</t>
        </is>
      </c>
      <c r="E80" s="10" t="inlineStr">
        <is>
          <t>単調補間</t>
        </is>
      </c>
      <c r="F80" s="12" t="n">
        <v>2950</v>
      </c>
      <c r="G80" s="10" t="n">
        <v>36</v>
      </c>
      <c r="H80" s="10" t="n">
        <v>9</v>
      </c>
      <c r="I80" s="21" t="n">
        <v>0.3662</v>
      </c>
      <c r="J80" s="21" t="n">
        <v>0.4094</v>
      </c>
      <c r="K80" s="21" t="n">
        <v>0.13</v>
      </c>
      <c r="L80" s="10" t="n">
        <v>10</v>
      </c>
      <c r="M80" s="13" t="n">
        <v>-0.4743</v>
      </c>
    </row>
    <row r="81">
      <c r="A81" s="10" t="inlineStr">
        <is>
          <t>PJ-2021-E</t>
        </is>
      </c>
      <c r="B81" s="10" t="inlineStr">
        <is>
          <t>シャドウヴェイル</t>
        </is>
      </c>
      <c r="C81" s="10" t="inlineStr">
        <is>
          <t>新規タイトル開発</t>
        </is>
      </c>
      <c r="D81" s="10" t="inlineStr">
        <is>
          <t>位置合わせ(MS指定)／単調補間</t>
        </is>
      </c>
      <c r="E81" s="10" t="inlineStr">
        <is>
          <t>単調補間</t>
        </is>
      </c>
      <c r="F81" s="12" t="n">
        <v>2950</v>
      </c>
      <c r="G81" s="10" t="n">
        <v>36</v>
      </c>
      <c r="H81" s="10" t="n">
        <v>9</v>
      </c>
      <c r="I81" s="21" t="n">
        <v>0.2922</v>
      </c>
      <c r="J81" s="21" t="n">
        <v>0.3347</v>
      </c>
      <c r="K81" s="21" t="n">
        <v>0.0985</v>
      </c>
      <c r="L81" s="10" t="n">
        <v>0</v>
      </c>
      <c r="M81" s="13" t="n">
        <v>-0.4627</v>
      </c>
    </row>
    <row r="82">
      <c r="A82" s="10" t="inlineStr">
        <is>
          <t>PJ-2022-F</t>
        </is>
      </c>
      <c r="B82" s="10" t="inlineStr">
        <is>
          <t>ネオンハーツ Season2</t>
        </is>
      </c>
      <c r="C82" s="10" t="inlineStr">
        <is>
          <t>大型アップデート</t>
        </is>
      </c>
      <c r="D82" s="10" t="inlineStr">
        <is>
          <t>素朴版／月内均等</t>
        </is>
      </c>
      <c r="E82" s="10" t="inlineStr">
        <is>
          <t>月内均等</t>
        </is>
      </c>
      <c r="F82" s="12" t="n">
        <v>880</v>
      </c>
      <c r="G82" s="10" t="n">
        <v>18</v>
      </c>
      <c r="H82" s="10" t="n">
        <v>9</v>
      </c>
      <c r="I82" s="21" t="n">
        <v>0.2442</v>
      </c>
      <c r="J82" s="21" t="n">
        <v>0.307</v>
      </c>
      <c r="K82" s="21" t="n">
        <v>0.0552</v>
      </c>
      <c r="L82" s="10" t="n">
        <v>-3</v>
      </c>
      <c r="M82" s="13" t="n">
        <v>-0.1619</v>
      </c>
    </row>
    <row r="83">
      <c r="A83" s="10" t="inlineStr">
        <is>
          <t>PJ-2022-F</t>
        </is>
      </c>
      <c r="B83" s="10" t="inlineStr">
        <is>
          <t>ネオンハーツ Season2</t>
        </is>
      </c>
      <c r="C83" s="10" t="inlineStr">
        <is>
          <t>大型アップデート</t>
        </is>
      </c>
      <c r="D83" s="10" t="inlineStr">
        <is>
          <t>位置合わせ(MS学習値)／月内均等</t>
        </is>
      </c>
      <c r="E83" s="10" t="inlineStr">
        <is>
          <t>月内均等</t>
        </is>
      </c>
      <c r="F83" s="12" t="n">
        <v>880</v>
      </c>
      <c r="G83" s="10" t="n">
        <v>18</v>
      </c>
      <c r="H83" s="10" t="n">
        <v>9</v>
      </c>
      <c r="I83" s="21" t="n">
        <v>0.2647</v>
      </c>
      <c r="J83" s="21" t="n">
        <v>0.3219</v>
      </c>
      <c r="K83" s="21" t="n">
        <v>0.0626</v>
      </c>
      <c r="L83" s="10" t="n">
        <v>-3</v>
      </c>
      <c r="M83" s="13" t="n">
        <v>-0.192</v>
      </c>
    </row>
    <row r="84">
      <c r="A84" s="10" t="inlineStr">
        <is>
          <t>PJ-2022-F</t>
        </is>
      </c>
      <c r="B84" s="10" t="inlineStr">
        <is>
          <t>ネオンハーツ Season2</t>
        </is>
      </c>
      <c r="C84" s="10" t="inlineStr">
        <is>
          <t>大型アップデート</t>
        </is>
      </c>
      <c r="D84" s="10" t="inlineStr">
        <is>
          <t>位置合わせ(MS指定)／月内均等</t>
        </is>
      </c>
      <c r="E84" s="10" t="inlineStr">
        <is>
          <t>月内均等</t>
        </is>
      </c>
      <c r="F84" s="12" t="n">
        <v>880</v>
      </c>
      <c r="G84" s="10" t="n">
        <v>18</v>
      </c>
      <c r="H84" s="10" t="n">
        <v>9</v>
      </c>
      <c r="I84" s="21" t="n">
        <v>0.1163</v>
      </c>
      <c r="J84" s="21" t="n">
        <v>0.2099</v>
      </c>
      <c r="K84" s="21" t="n">
        <v>0.0256</v>
      </c>
      <c r="L84" s="10" t="n">
        <v>0</v>
      </c>
      <c r="M84" s="13" t="n">
        <v>-0.0871</v>
      </c>
    </row>
    <row r="85">
      <c r="A85" s="10" t="inlineStr">
        <is>
          <t>PJ-2022-F</t>
        </is>
      </c>
      <c r="B85" s="10" t="inlineStr">
        <is>
          <t>ネオンハーツ Season2</t>
        </is>
      </c>
      <c r="C85" s="10" t="inlineStr">
        <is>
          <t>大型アップデート</t>
        </is>
      </c>
      <c r="D85" s="10" t="inlineStr">
        <is>
          <t>素朴版／単調補間</t>
        </is>
      </c>
      <c r="E85" s="10" t="inlineStr">
        <is>
          <t>単調補間</t>
        </is>
      </c>
      <c r="F85" s="12" t="n">
        <v>880</v>
      </c>
      <c r="G85" s="10" t="n">
        <v>18</v>
      </c>
      <c r="H85" s="10" t="n">
        <v>9</v>
      </c>
      <c r="I85" s="21" t="n">
        <v>0.2431</v>
      </c>
      <c r="J85" s="21" t="n">
        <v>0.3059</v>
      </c>
      <c r="K85" s="21" t="n">
        <v>0.0558</v>
      </c>
      <c r="L85" s="10" t="n">
        <v>-3</v>
      </c>
      <c r="M85" s="13" t="n">
        <v>-0.1509</v>
      </c>
    </row>
    <row r="86">
      <c r="A86" s="10" t="inlineStr">
        <is>
          <t>PJ-2022-F</t>
        </is>
      </c>
      <c r="B86" s="10" t="inlineStr">
        <is>
          <t>ネオンハーツ Season2</t>
        </is>
      </c>
      <c r="C86" s="10" t="inlineStr">
        <is>
          <t>大型アップデート</t>
        </is>
      </c>
      <c r="D86" s="10" t="inlineStr">
        <is>
          <t>位置合わせ(MS学習値)／単調補間</t>
        </is>
      </c>
      <c r="E86" s="10" t="inlineStr">
        <is>
          <t>単調補間</t>
        </is>
      </c>
      <c r="F86" s="12" t="n">
        <v>880</v>
      </c>
      <c r="G86" s="10" t="n">
        <v>18</v>
      </c>
      <c r="H86" s="10" t="n">
        <v>9</v>
      </c>
      <c r="I86" s="21" t="n">
        <v>0.2656</v>
      </c>
      <c r="J86" s="21" t="n">
        <v>0.3225</v>
      </c>
      <c r="K86" s="21" t="n">
        <v>0.0633</v>
      </c>
      <c r="L86" s="10" t="n">
        <v>-3</v>
      </c>
      <c r="M86" s="13" t="n">
        <v>-0.1851</v>
      </c>
    </row>
    <row r="87">
      <c r="A87" s="10" t="inlineStr">
        <is>
          <t>PJ-2022-F</t>
        </is>
      </c>
      <c r="B87" s="10" t="inlineStr">
        <is>
          <t>ネオンハーツ Season2</t>
        </is>
      </c>
      <c r="C87" s="10" t="inlineStr">
        <is>
          <t>大型アップデート</t>
        </is>
      </c>
      <c r="D87" s="10" t="inlineStr">
        <is>
          <t>位置合わせ(MS指定)／単調補間</t>
        </is>
      </c>
      <c r="E87" s="10" t="inlineStr">
        <is>
          <t>単調補間</t>
        </is>
      </c>
      <c r="F87" s="12" t="n">
        <v>880</v>
      </c>
      <c r="G87" s="10" t="n">
        <v>18</v>
      </c>
      <c r="H87" s="10" t="n">
        <v>9</v>
      </c>
      <c r="I87" s="21" t="n">
        <v>0.1167</v>
      </c>
      <c r="J87" s="21" t="n">
        <v>0.2072</v>
      </c>
      <c r="K87" s="21" t="n">
        <v>0.0246</v>
      </c>
      <c r="L87" s="10" t="n">
        <v>0</v>
      </c>
      <c r="M87" s="13" t="n">
        <v>-0.09229999999999999</v>
      </c>
    </row>
    <row r="88">
      <c r="A88" s="10" t="inlineStr">
        <is>
          <t>PJ-2022-G</t>
        </is>
      </c>
      <c r="B88" s="10" t="inlineStr">
        <is>
          <t>ギルドマスターズ(前倒し)</t>
        </is>
      </c>
      <c r="C88" s="10" t="inlineStr">
        <is>
          <t>新規タイトル開発</t>
        </is>
      </c>
      <c r="D88" s="10" t="inlineStr">
        <is>
          <t>素朴版／月内均等</t>
        </is>
      </c>
      <c r="E88" s="10" t="inlineStr">
        <is>
          <t>月内均等</t>
        </is>
      </c>
      <c r="F88" s="12" t="n">
        <v>1450</v>
      </c>
      <c r="G88" s="10" t="n">
        <v>24</v>
      </c>
      <c r="H88" s="10" t="n">
        <v>9</v>
      </c>
      <c r="I88" s="21" t="n">
        <v>0.4951</v>
      </c>
      <c r="J88" s="21" t="n">
        <v>0.5812</v>
      </c>
      <c r="K88" s="21" t="n">
        <v>0.2476</v>
      </c>
      <c r="L88" s="10" t="n">
        <v>7</v>
      </c>
      <c r="M88" s="13" t="n">
        <v>-0.07489999999999999</v>
      </c>
    </row>
    <row r="89">
      <c r="A89" s="10" t="inlineStr">
        <is>
          <t>PJ-2022-G</t>
        </is>
      </c>
      <c r="B89" s="10" t="inlineStr">
        <is>
          <t>ギルドマスターズ(前倒し)</t>
        </is>
      </c>
      <c r="C89" s="10" t="inlineStr">
        <is>
          <t>新規タイトル開発</t>
        </is>
      </c>
      <c r="D89" s="10" t="inlineStr">
        <is>
          <t>位置合わせ(MS学習値)／月内均等</t>
        </is>
      </c>
      <c r="E89" s="10" t="inlineStr">
        <is>
          <t>月内均等</t>
        </is>
      </c>
      <c r="F89" s="12" t="n">
        <v>1450</v>
      </c>
      <c r="G89" s="10" t="n">
        <v>24</v>
      </c>
      <c r="H89" s="10" t="n">
        <v>9</v>
      </c>
      <c r="I89" s="21" t="n">
        <v>0.5255</v>
      </c>
      <c r="J89" s="21" t="n">
        <v>0.6034</v>
      </c>
      <c r="K89" s="21" t="n">
        <v>0.2628</v>
      </c>
      <c r="L89" s="10" t="n">
        <v>9</v>
      </c>
      <c r="M89" s="13" t="n">
        <v>-0.0525</v>
      </c>
    </row>
    <row r="90">
      <c r="A90" s="10" t="inlineStr">
        <is>
          <t>PJ-2022-G</t>
        </is>
      </c>
      <c r="B90" s="10" t="inlineStr">
        <is>
          <t>ギルドマスターズ(前倒し)</t>
        </is>
      </c>
      <c r="C90" s="10" t="inlineStr">
        <is>
          <t>新規タイトル開発</t>
        </is>
      </c>
      <c r="D90" s="10" t="inlineStr">
        <is>
          <t>位置合わせ(MS指定)／月内均等</t>
        </is>
      </c>
      <c r="E90" s="10" t="inlineStr">
        <is>
          <t>月内均等</t>
        </is>
      </c>
      <c r="F90" s="12" t="n">
        <v>1450</v>
      </c>
      <c r="G90" s="10" t="n">
        <v>24</v>
      </c>
      <c r="H90" s="10" t="n">
        <v>9</v>
      </c>
      <c r="I90" s="21" t="n">
        <v>0.4354</v>
      </c>
      <c r="J90" s="21" t="n">
        <v>0.5101</v>
      </c>
      <c r="K90" s="21" t="n">
        <v>0.2177</v>
      </c>
      <c r="L90" s="10" t="n">
        <v>2</v>
      </c>
      <c r="M90" s="13" t="n">
        <v>-0.0769</v>
      </c>
    </row>
    <row r="91">
      <c r="A91" s="10" t="inlineStr">
        <is>
          <t>PJ-2022-G</t>
        </is>
      </c>
      <c r="B91" s="10" t="inlineStr">
        <is>
          <t>ギルドマスターズ(前倒し)</t>
        </is>
      </c>
      <c r="C91" s="10" t="inlineStr">
        <is>
          <t>新規タイトル開発</t>
        </is>
      </c>
      <c r="D91" s="10" t="inlineStr">
        <is>
          <t>素朴版／単調補間</t>
        </is>
      </c>
      <c r="E91" s="10" t="inlineStr">
        <is>
          <t>単調補間</t>
        </is>
      </c>
      <c r="F91" s="12" t="n">
        <v>1450</v>
      </c>
      <c r="G91" s="10" t="n">
        <v>24</v>
      </c>
      <c r="H91" s="10" t="n">
        <v>9</v>
      </c>
      <c r="I91" s="21" t="n">
        <v>0.4954</v>
      </c>
      <c r="J91" s="21" t="n">
        <v>0.5824</v>
      </c>
      <c r="K91" s="21" t="n">
        <v>0.2477</v>
      </c>
      <c r="L91" s="10" t="n">
        <v>7</v>
      </c>
      <c r="M91" s="13" t="n">
        <v>-0.063</v>
      </c>
    </row>
    <row r="92">
      <c r="A92" s="10" t="inlineStr">
        <is>
          <t>PJ-2022-G</t>
        </is>
      </c>
      <c r="B92" s="10" t="inlineStr">
        <is>
          <t>ギルドマスターズ(前倒し)</t>
        </is>
      </c>
      <c r="C92" s="10" t="inlineStr">
        <is>
          <t>新規タイトル開発</t>
        </is>
      </c>
      <c r="D92" s="10" t="inlineStr">
        <is>
          <t>位置合わせ(MS学習値)／単調補間</t>
        </is>
      </c>
      <c r="E92" s="10" t="inlineStr">
        <is>
          <t>単調補間</t>
        </is>
      </c>
      <c r="F92" s="12" t="n">
        <v>1450</v>
      </c>
      <c r="G92" s="10" t="n">
        <v>24</v>
      </c>
      <c r="H92" s="10" t="n">
        <v>9</v>
      </c>
      <c r="I92" s="21" t="n">
        <v>0.5272</v>
      </c>
      <c r="J92" s="21" t="n">
        <v>0.6055</v>
      </c>
      <c r="K92" s="21" t="n">
        <v>0.2636</v>
      </c>
      <c r="L92" s="10" t="n">
        <v>9</v>
      </c>
      <c r="M92" s="13" t="n">
        <v>-0.0504</v>
      </c>
    </row>
    <row r="93">
      <c r="A93" s="10" t="inlineStr">
        <is>
          <t>PJ-2022-G</t>
        </is>
      </c>
      <c r="B93" s="10" t="inlineStr">
        <is>
          <t>ギルドマスターズ(前倒し)</t>
        </is>
      </c>
      <c r="C93" s="10" t="inlineStr">
        <is>
          <t>新規タイトル開発</t>
        </is>
      </c>
      <c r="D93" s="10" t="inlineStr">
        <is>
          <t>位置合わせ(MS指定)／単調補間</t>
        </is>
      </c>
      <c r="E93" s="10" t="inlineStr">
        <is>
          <t>単調補間</t>
        </is>
      </c>
      <c r="F93" s="12" t="n">
        <v>1450</v>
      </c>
      <c r="G93" s="10" t="n">
        <v>24</v>
      </c>
      <c r="H93" s="10" t="n">
        <v>9</v>
      </c>
      <c r="I93" s="21" t="n">
        <v>0.4369</v>
      </c>
      <c r="J93" s="21" t="n">
        <v>0.5124</v>
      </c>
      <c r="K93" s="21" t="n">
        <v>0.2185</v>
      </c>
      <c r="L93" s="10" t="n">
        <v>2</v>
      </c>
      <c r="M93" s="13" t="n">
        <v>-0.0793</v>
      </c>
    </row>
    <row r="94">
      <c r="A94" s="10" t="inlineStr">
        <is>
          <t>PJ-2023-H</t>
        </is>
      </c>
      <c r="B94" s="10" t="inlineStr">
        <is>
          <t>クロノスギア:蒼き遺産</t>
        </is>
      </c>
      <c r="C94" s="10" t="inlineStr">
        <is>
          <t>大型アップデート</t>
        </is>
      </c>
      <c r="D94" s="10" t="inlineStr">
        <is>
          <t>素朴版／月内均等</t>
        </is>
      </c>
      <c r="E94" s="10" t="inlineStr">
        <is>
          <t>月内均等</t>
        </is>
      </c>
      <c r="F94" s="12" t="n">
        <v>1100</v>
      </c>
      <c r="G94" s="10" t="n">
        <v>20</v>
      </c>
      <c r="H94" s="10" t="n">
        <v>9</v>
      </c>
      <c r="I94" s="21" t="n">
        <v>0.2502</v>
      </c>
      <c r="J94" s="21" t="n">
        <v>0.2853</v>
      </c>
      <c r="K94" s="21" t="n">
        <v>0.0712</v>
      </c>
      <c r="L94" s="10" t="n">
        <v>4</v>
      </c>
      <c r="M94" s="13" t="n">
        <v>0.0164</v>
      </c>
    </row>
    <row r="95">
      <c r="A95" s="10" t="inlineStr">
        <is>
          <t>PJ-2023-H</t>
        </is>
      </c>
      <c r="B95" s="10" t="inlineStr">
        <is>
          <t>クロノスギア:蒼き遺産</t>
        </is>
      </c>
      <c r="C95" s="10" t="inlineStr">
        <is>
          <t>大型アップデート</t>
        </is>
      </c>
      <c r="D95" s="10" t="inlineStr">
        <is>
          <t>位置合わせ(MS学習値)／月内均等</t>
        </is>
      </c>
      <c r="E95" s="10" t="inlineStr">
        <is>
          <t>月内均等</t>
        </is>
      </c>
      <c r="F95" s="12" t="n">
        <v>1100</v>
      </c>
      <c r="G95" s="10" t="n">
        <v>20</v>
      </c>
      <c r="H95" s="10" t="n">
        <v>9</v>
      </c>
      <c r="I95" s="21" t="n">
        <v>0.301</v>
      </c>
      <c r="J95" s="21" t="n">
        <v>0.3244</v>
      </c>
      <c r="K95" s="21" t="n">
        <v>0.08550000000000001</v>
      </c>
      <c r="L95" s="10" t="n">
        <v>4</v>
      </c>
      <c r="M95" s="13" t="n">
        <v>-0.0204</v>
      </c>
    </row>
    <row r="96">
      <c r="A96" s="10" t="inlineStr">
        <is>
          <t>PJ-2023-H</t>
        </is>
      </c>
      <c r="B96" s="10" t="inlineStr">
        <is>
          <t>クロノスギア:蒼き遺産</t>
        </is>
      </c>
      <c r="C96" s="10" t="inlineStr">
        <is>
          <t>大型アップデート</t>
        </is>
      </c>
      <c r="D96" s="10" t="inlineStr">
        <is>
          <t>位置合わせ(MS指定)／月内均等</t>
        </is>
      </c>
      <c r="E96" s="10" t="inlineStr">
        <is>
          <t>月内均等</t>
        </is>
      </c>
      <c r="F96" s="12" t="n">
        <v>1100</v>
      </c>
      <c r="G96" s="10" t="n">
        <v>20</v>
      </c>
      <c r="H96" s="10" t="n">
        <v>9</v>
      </c>
      <c r="I96" s="21" t="n">
        <v>0.1119</v>
      </c>
      <c r="J96" s="21" t="n">
        <v>0.214</v>
      </c>
      <c r="K96" s="21" t="n">
        <v>0.0292</v>
      </c>
      <c r="L96" s="10" t="n">
        <v>8</v>
      </c>
      <c r="M96" s="13" t="n">
        <v>-0.0851</v>
      </c>
    </row>
    <row r="97">
      <c r="A97" s="10" t="inlineStr">
        <is>
          <t>PJ-2023-H</t>
        </is>
      </c>
      <c r="B97" s="10" t="inlineStr">
        <is>
          <t>クロノスギア:蒼き遺産</t>
        </is>
      </c>
      <c r="C97" s="10" t="inlineStr">
        <is>
          <t>大型アップデート</t>
        </is>
      </c>
      <c r="D97" s="10" t="inlineStr">
        <is>
          <t>素朴版／単調補間</t>
        </is>
      </c>
      <c r="E97" s="10" t="inlineStr">
        <is>
          <t>単調補間</t>
        </is>
      </c>
      <c r="F97" s="12" t="n">
        <v>1100</v>
      </c>
      <c r="G97" s="10" t="n">
        <v>20</v>
      </c>
      <c r="H97" s="10" t="n">
        <v>9</v>
      </c>
      <c r="I97" s="21" t="n">
        <v>0.25</v>
      </c>
      <c r="J97" s="21" t="n">
        <v>0.2849</v>
      </c>
      <c r="K97" s="21" t="n">
        <v>0.0713</v>
      </c>
      <c r="L97" s="10" t="n">
        <v>4</v>
      </c>
      <c r="M97" s="13" t="n">
        <v>0.0414</v>
      </c>
    </row>
    <row r="98">
      <c r="A98" s="10" t="inlineStr">
        <is>
          <t>PJ-2023-H</t>
        </is>
      </c>
      <c r="B98" s="10" t="inlineStr">
        <is>
          <t>クロノスギア:蒼き遺産</t>
        </is>
      </c>
      <c r="C98" s="10" t="inlineStr">
        <is>
          <t>大型アップデート</t>
        </is>
      </c>
      <c r="D98" s="10" t="inlineStr">
        <is>
          <t>位置合わせ(MS学習値)／単調補間</t>
        </is>
      </c>
      <c r="E98" s="10" t="inlineStr">
        <is>
          <t>単調補間</t>
        </is>
      </c>
      <c r="F98" s="12" t="n">
        <v>1100</v>
      </c>
      <c r="G98" s="10" t="n">
        <v>20</v>
      </c>
      <c r="H98" s="10" t="n">
        <v>9</v>
      </c>
      <c r="I98" s="21" t="n">
        <v>0.3035</v>
      </c>
      <c r="J98" s="21" t="n">
        <v>0.3266</v>
      </c>
      <c r="K98" s="21" t="n">
        <v>0.0861</v>
      </c>
      <c r="L98" s="10" t="n">
        <v>4</v>
      </c>
      <c r="M98" s="13" t="n">
        <v>-0.0107</v>
      </c>
    </row>
    <row r="99">
      <c r="A99" s="10" t="inlineStr">
        <is>
          <t>PJ-2023-H</t>
        </is>
      </c>
      <c r="B99" s="10" t="inlineStr">
        <is>
          <t>クロノスギア:蒼き遺産</t>
        </is>
      </c>
      <c r="C99" s="10" t="inlineStr">
        <is>
          <t>大型アップデート</t>
        </is>
      </c>
      <c r="D99" s="10" t="inlineStr">
        <is>
          <t>位置合わせ(MS指定)／単調補間</t>
        </is>
      </c>
      <c r="E99" s="10" t="inlineStr">
        <is>
          <t>単調補間</t>
        </is>
      </c>
      <c r="F99" s="12" t="n">
        <v>1100</v>
      </c>
      <c r="G99" s="10" t="n">
        <v>20</v>
      </c>
      <c r="H99" s="10" t="n">
        <v>9</v>
      </c>
      <c r="I99" s="21" t="n">
        <v>0.1112</v>
      </c>
      <c r="J99" s="21" t="n">
        <v>0.2114</v>
      </c>
      <c r="K99" s="21" t="n">
        <v>0.0282</v>
      </c>
      <c r="L99" s="10" t="n">
        <v>8</v>
      </c>
      <c r="M99" s="13" t="n">
        <v>-0.08459999999999999</v>
      </c>
    </row>
    <row r="100">
      <c r="A100" s="10" t="inlineStr">
        <is>
          <t>PJ-2023-I</t>
        </is>
      </c>
      <c r="B100" s="10" t="inlineStr">
        <is>
          <t>ブレイブフロンティア Remaster</t>
        </is>
      </c>
      <c r="C100" s="10" t="inlineStr">
        <is>
          <t>移植・リマスター</t>
        </is>
      </c>
      <c r="D100" s="10" t="inlineStr">
        <is>
          <t>素朴版／月内均等</t>
        </is>
      </c>
      <c r="E100" s="10" t="inlineStr">
        <is>
          <t>月内均等</t>
        </is>
      </c>
      <c r="F100" s="12" t="n">
        <v>700</v>
      </c>
      <c r="G100" s="10" t="n">
        <v>18</v>
      </c>
      <c r="H100" s="10" t="n">
        <v>9</v>
      </c>
      <c r="I100" s="21" t="n">
        <v>0.3793</v>
      </c>
      <c r="J100" s="21" t="n">
        <v>0.5123</v>
      </c>
      <c r="K100" s="21" t="n">
        <v>0.1231</v>
      </c>
      <c r="L100" s="10" t="n">
        <v>0</v>
      </c>
      <c r="M100" s="13" t="n">
        <v>-0.4217</v>
      </c>
    </row>
    <row r="101">
      <c r="A101" s="10" t="inlineStr">
        <is>
          <t>PJ-2023-I</t>
        </is>
      </c>
      <c r="B101" s="10" t="inlineStr">
        <is>
          <t>ブレイブフロンティア Remaster</t>
        </is>
      </c>
      <c r="C101" s="10" t="inlineStr">
        <is>
          <t>移植・リマスター</t>
        </is>
      </c>
      <c r="D101" s="10" t="inlineStr">
        <is>
          <t>位置合わせ(MS学習値)／月内均等</t>
        </is>
      </c>
      <c r="E101" s="10" t="inlineStr">
        <is>
          <t>月内均等</t>
        </is>
      </c>
      <c r="F101" s="12" t="n">
        <v>700</v>
      </c>
      <c r="G101" s="10" t="n">
        <v>18</v>
      </c>
      <c r="H101" s="10" t="n">
        <v>9</v>
      </c>
      <c r="I101" s="21" t="n">
        <v>0.3459</v>
      </c>
      <c r="J101" s="21" t="n">
        <v>0.4994</v>
      </c>
      <c r="K101" s="21" t="n">
        <v>0.1207</v>
      </c>
      <c r="L101" s="10" t="n">
        <v>1</v>
      </c>
      <c r="M101" s="13" t="n">
        <v>-0.4093</v>
      </c>
    </row>
    <row r="102">
      <c r="A102" s="10" t="inlineStr">
        <is>
          <t>PJ-2023-I</t>
        </is>
      </c>
      <c r="B102" s="10" t="inlineStr">
        <is>
          <t>ブレイブフロンティア Remaster</t>
        </is>
      </c>
      <c r="C102" s="10" t="inlineStr">
        <is>
          <t>移植・リマスター</t>
        </is>
      </c>
      <c r="D102" s="10" t="inlineStr">
        <is>
          <t>位置合わせ(MS指定)／月内均等</t>
        </is>
      </c>
      <c r="E102" s="10" t="inlineStr">
        <is>
          <t>月内均等</t>
        </is>
      </c>
      <c r="F102" s="12" t="n">
        <v>700</v>
      </c>
      <c r="G102" s="10" t="n">
        <v>18</v>
      </c>
      <c r="H102" s="10" t="n">
        <v>9</v>
      </c>
      <c r="I102" s="21" t="n">
        <v>0.1566</v>
      </c>
      <c r="J102" s="21" t="n">
        <v>0.3846</v>
      </c>
      <c r="K102" s="21" t="n">
        <v>0.054</v>
      </c>
      <c r="L102" s="10" t="n">
        <v>0</v>
      </c>
      <c r="M102" s="13" t="n">
        <v>-0.1585</v>
      </c>
    </row>
    <row r="103">
      <c r="A103" s="10" t="inlineStr">
        <is>
          <t>PJ-2023-I</t>
        </is>
      </c>
      <c r="B103" s="10" t="inlineStr">
        <is>
          <t>ブレイブフロンティア Remaster</t>
        </is>
      </c>
      <c r="C103" s="10" t="inlineStr">
        <is>
          <t>移植・リマスター</t>
        </is>
      </c>
      <c r="D103" s="10" t="inlineStr">
        <is>
          <t>素朴版／単調補間</t>
        </is>
      </c>
      <c r="E103" s="10" t="inlineStr">
        <is>
          <t>単調補間</t>
        </is>
      </c>
      <c r="F103" s="12" t="n">
        <v>700</v>
      </c>
      <c r="G103" s="10" t="n">
        <v>18</v>
      </c>
      <c r="H103" s="10" t="n">
        <v>9</v>
      </c>
      <c r="I103" s="21" t="n">
        <v>0.3792</v>
      </c>
      <c r="J103" s="21" t="n">
        <v>0.5128</v>
      </c>
      <c r="K103" s="21" t="n">
        <v>0.1233</v>
      </c>
      <c r="L103" s="10" t="n">
        <v>0</v>
      </c>
      <c r="M103" s="13" t="n">
        <v>-0.4153</v>
      </c>
    </row>
    <row r="104">
      <c r="A104" s="10" t="inlineStr">
        <is>
          <t>PJ-2023-I</t>
        </is>
      </c>
      <c r="B104" s="10" t="inlineStr">
        <is>
          <t>ブレイブフロンティア Remaster</t>
        </is>
      </c>
      <c r="C104" s="10" t="inlineStr">
        <is>
          <t>移植・リマスター</t>
        </is>
      </c>
      <c r="D104" s="10" t="inlineStr">
        <is>
          <t>位置合わせ(MS学習値)／単調補間</t>
        </is>
      </c>
      <c r="E104" s="10" t="inlineStr">
        <is>
          <t>単調補間</t>
        </is>
      </c>
      <c r="F104" s="12" t="n">
        <v>700</v>
      </c>
      <c r="G104" s="10" t="n">
        <v>18</v>
      </c>
      <c r="H104" s="10" t="n">
        <v>9</v>
      </c>
      <c r="I104" s="21" t="n">
        <v>0.3444</v>
      </c>
      <c r="J104" s="21" t="n">
        <v>0.4989</v>
      </c>
      <c r="K104" s="21" t="n">
        <v>0.1203</v>
      </c>
      <c r="L104" s="10" t="n">
        <v>1</v>
      </c>
      <c r="M104" s="13" t="n">
        <v>-0.4092</v>
      </c>
    </row>
    <row r="105">
      <c r="A105" s="10" t="inlineStr">
        <is>
          <t>PJ-2023-I</t>
        </is>
      </c>
      <c r="B105" s="10" t="inlineStr">
        <is>
          <t>ブレイブフロンティア Remaster</t>
        </is>
      </c>
      <c r="C105" s="10" t="inlineStr">
        <is>
          <t>移植・リマスター</t>
        </is>
      </c>
      <c r="D105" s="10" t="inlineStr">
        <is>
          <t>位置合わせ(MS指定)／単調補間</t>
        </is>
      </c>
      <c r="E105" s="10" t="inlineStr">
        <is>
          <t>単調補間</t>
        </is>
      </c>
      <c r="F105" s="12" t="n">
        <v>700</v>
      </c>
      <c r="G105" s="10" t="n">
        <v>18</v>
      </c>
      <c r="H105" s="10" t="n">
        <v>9</v>
      </c>
      <c r="I105" s="21" t="n">
        <v>0.1532</v>
      </c>
      <c r="J105" s="21" t="n">
        <v>0.3834</v>
      </c>
      <c r="K105" s="21" t="n">
        <v>0.0537</v>
      </c>
      <c r="L105" s="10" t="n">
        <v>0</v>
      </c>
      <c r="M105" s="13" t="n">
        <v>-0.1558</v>
      </c>
    </row>
    <row r="106">
      <c r="A106" s="10" t="inlineStr">
        <is>
          <t>PJ-2024-J</t>
        </is>
      </c>
      <c r="B106" s="10" t="inlineStr">
        <is>
          <t>オーヴァーロード・サーガ(後半集中)</t>
        </is>
      </c>
      <c r="C106" s="10" t="inlineStr">
        <is>
          <t>新規タイトル開発</t>
        </is>
      </c>
      <c r="D106" s="10" t="inlineStr">
        <is>
          <t>素朴版／月内均等</t>
        </is>
      </c>
      <c r="E106" s="10" t="inlineStr">
        <is>
          <t>月内均等</t>
        </is>
      </c>
      <c r="F106" s="12" t="n">
        <v>2200</v>
      </c>
      <c r="G106" s="10" t="n">
        <v>30</v>
      </c>
      <c r="H106" s="10" t="n">
        <v>9</v>
      </c>
      <c r="I106" s="21" t="n">
        <v>0.3979</v>
      </c>
      <c r="J106" s="21" t="n">
        <v>0.4974</v>
      </c>
      <c r="K106" s="21" t="n">
        <v>0.1903</v>
      </c>
      <c r="L106" s="10" t="n">
        <v>1</v>
      </c>
      <c r="M106" s="13" t="n">
        <v>-0.4662</v>
      </c>
    </row>
    <row r="107">
      <c r="A107" s="10" t="inlineStr">
        <is>
          <t>PJ-2024-J</t>
        </is>
      </c>
      <c r="B107" s="10" t="inlineStr">
        <is>
          <t>オーヴァーロード・サーガ(後半集中)</t>
        </is>
      </c>
      <c r="C107" s="10" t="inlineStr">
        <is>
          <t>新規タイトル開発</t>
        </is>
      </c>
      <c r="D107" s="10" t="inlineStr">
        <is>
          <t>位置合わせ(MS学習値)／月内均等</t>
        </is>
      </c>
      <c r="E107" s="10" t="inlineStr">
        <is>
          <t>月内均等</t>
        </is>
      </c>
      <c r="F107" s="12" t="n">
        <v>2200</v>
      </c>
      <c r="G107" s="10" t="n">
        <v>30</v>
      </c>
      <c r="H107" s="10" t="n">
        <v>9</v>
      </c>
      <c r="I107" s="21" t="n">
        <v>0.3979</v>
      </c>
      <c r="J107" s="21" t="n">
        <v>0.4899</v>
      </c>
      <c r="K107" s="21" t="n">
        <v>0.1875</v>
      </c>
      <c r="L107" s="10" t="n">
        <v>-3</v>
      </c>
      <c r="M107" s="13" t="n">
        <v>-0.4483</v>
      </c>
    </row>
    <row r="108">
      <c r="A108" s="10" t="inlineStr">
        <is>
          <t>PJ-2024-J</t>
        </is>
      </c>
      <c r="B108" s="10" t="inlineStr">
        <is>
          <t>オーヴァーロード・サーガ(後半集中)</t>
        </is>
      </c>
      <c r="C108" s="10" t="inlineStr">
        <is>
          <t>新規タイトル開発</t>
        </is>
      </c>
      <c r="D108" s="10" t="inlineStr">
        <is>
          <t>位置合わせ(MS指定)／月内均等</t>
        </is>
      </c>
      <c r="E108" s="10" t="inlineStr">
        <is>
          <t>月内均等</t>
        </is>
      </c>
      <c r="F108" s="12" t="n">
        <v>2200</v>
      </c>
      <c r="G108" s="10" t="n">
        <v>30</v>
      </c>
      <c r="H108" s="10" t="n">
        <v>9</v>
      </c>
      <c r="I108" s="21" t="n">
        <v>0.3592</v>
      </c>
      <c r="J108" s="21" t="n">
        <v>0.4695</v>
      </c>
      <c r="K108" s="21" t="n">
        <v>0.1753</v>
      </c>
      <c r="L108" s="10" t="n">
        <v>2</v>
      </c>
      <c r="M108" s="13" t="n">
        <v>-0.2734</v>
      </c>
    </row>
    <row r="109">
      <c r="A109" s="10" t="inlineStr">
        <is>
          <t>PJ-2024-J</t>
        </is>
      </c>
      <c r="B109" s="10" t="inlineStr">
        <is>
          <t>オーヴァーロード・サーガ(後半集中)</t>
        </is>
      </c>
      <c r="C109" s="10" t="inlineStr">
        <is>
          <t>新規タイトル開発</t>
        </is>
      </c>
      <c r="D109" s="10" t="inlineStr">
        <is>
          <t>素朴版／単調補間</t>
        </is>
      </c>
      <c r="E109" s="10" t="inlineStr">
        <is>
          <t>単調補間</t>
        </is>
      </c>
      <c r="F109" s="12" t="n">
        <v>2200</v>
      </c>
      <c r="G109" s="10" t="n">
        <v>30</v>
      </c>
      <c r="H109" s="10" t="n">
        <v>9</v>
      </c>
      <c r="I109" s="21" t="n">
        <v>0.3945</v>
      </c>
      <c r="J109" s="21" t="n">
        <v>0.4961</v>
      </c>
      <c r="K109" s="21" t="n">
        <v>0.1903</v>
      </c>
      <c r="L109" s="10" t="n">
        <v>1</v>
      </c>
      <c r="M109" s="13" t="n">
        <v>-0.4534</v>
      </c>
    </row>
    <row r="110">
      <c r="A110" s="10" t="inlineStr">
        <is>
          <t>PJ-2024-J</t>
        </is>
      </c>
      <c r="B110" s="10" t="inlineStr">
        <is>
          <t>オーヴァーロード・サーガ(後半集中)</t>
        </is>
      </c>
      <c r="C110" s="10" t="inlineStr">
        <is>
          <t>新規タイトル開発</t>
        </is>
      </c>
      <c r="D110" s="10" t="inlineStr">
        <is>
          <t>位置合わせ(MS学習値)／単調補間</t>
        </is>
      </c>
      <c r="E110" s="10" t="inlineStr">
        <is>
          <t>単調補間</t>
        </is>
      </c>
      <c r="F110" s="12" t="n">
        <v>2200</v>
      </c>
      <c r="G110" s="10" t="n">
        <v>30</v>
      </c>
      <c r="H110" s="10" t="n">
        <v>9</v>
      </c>
      <c r="I110" s="21" t="n">
        <v>0.3941</v>
      </c>
      <c r="J110" s="21" t="n">
        <v>0.4882</v>
      </c>
      <c r="K110" s="21" t="n">
        <v>0.1866</v>
      </c>
      <c r="L110" s="10" t="n">
        <v>4</v>
      </c>
      <c r="M110" s="13" t="n">
        <v>-0.4451</v>
      </c>
    </row>
    <row r="111">
      <c r="A111" s="10" t="inlineStr">
        <is>
          <t>PJ-2024-J</t>
        </is>
      </c>
      <c r="B111" s="10" t="inlineStr">
        <is>
          <t>オーヴァーロード・サーガ(後半集中)</t>
        </is>
      </c>
      <c r="C111" s="10" t="inlineStr">
        <is>
          <t>新規タイトル開発</t>
        </is>
      </c>
      <c r="D111" s="10" t="inlineStr">
        <is>
          <t>位置合わせ(MS指定)／単調補間</t>
        </is>
      </c>
      <c r="E111" s="10" t="inlineStr">
        <is>
          <t>単調補間</t>
        </is>
      </c>
      <c r="F111" s="12" t="n">
        <v>2200</v>
      </c>
      <c r="G111" s="10" t="n">
        <v>30</v>
      </c>
      <c r="H111" s="10" t="n">
        <v>9</v>
      </c>
      <c r="I111" s="21" t="n">
        <v>0.3547</v>
      </c>
      <c r="J111" s="21" t="n">
        <v>0.467</v>
      </c>
      <c r="K111" s="21" t="n">
        <v>0.174</v>
      </c>
      <c r="L111" s="10" t="n">
        <v>2</v>
      </c>
      <c r="M111" s="13" t="n">
        <v>-0.2671</v>
      </c>
    </row>
    <row r="113">
      <c r="A113" s="6" t="inlineStr">
        <is>
          <t>■ 月次 予測 vs 実績(全案件・全モード)</t>
        </is>
      </c>
    </row>
    <row r="114">
      <c r="A114" s="5" t="inlineStr">
        <is>
          <t>ピボットテーブルで案件・モードを切り替えて確認できる形にしてある。</t>
        </is>
      </c>
    </row>
    <row r="115">
      <c r="A115" s="8" t="inlineStr">
        <is>
          <t>案件ID</t>
        </is>
      </c>
      <c r="B115" s="8" t="inlineStr">
        <is>
          <t>モード</t>
        </is>
      </c>
      <c r="C115" s="8" t="inlineStr">
        <is>
          <t>月</t>
        </is>
      </c>
      <c r="D115" s="8" t="inlineStr">
        <is>
          <t>月次番号</t>
        </is>
      </c>
      <c r="E115" s="8" t="inlineStr">
        <is>
          <t>予測(時間)</t>
        </is>
      </c>
      <c r="F115" s="8" t="inlineStr">
        <is>
          <t>実績(時間)</t>
        </is>
      </c>
      <c r="G115" s="8" t="inlineStr">
        <is>
          <t>差分(時間)</t>
        </is>
      </c>
      <c r="H115" s="8" t="inlineStr">
        <is>
          <t>予測累積率</t>
        </is>
      </c>
      <c r="I115" s="8" t="inlineStr">
        <is>
          <t>実績累積率</t>
        </is>
      </c>
    </row>
    <row r="116">
      <c r="A116" s="10" t="inlineStr">
        <is>
          <t>PJ-2019-A</t>
        </is>
      </c>
      <c r="B116" s="10" t="inlineStr">
        <is>
          <t>素朴版／月内均等</t>
        </is>
      </c>
      <c r="C116" s="10" t="inlineStr">
        <is>
          <t>2019-04</t>
        </is>
      </c>
      <c r="D116" s="10" t="n">
        <v>1</v>
      </c>
      <c r="E116" s="12" t="n">
        <v>4096.9</v>
      </c>
      <c r="F116" s="12" t="n">
        <v>3071.8</v>
      </c>
      <c r="G116" s="12" t="n">
        <v>1025.1</v>
      </c>
      <c r="H116" s="13" t="n">
        <v>0.0108</v>
      </c>
      <c r="I116" s="13" t="n">
        <v>0.0081</v>
      </c>
    </row>
    <row r="117">
      <c r="A117" s="10" t="inlineStr">
        <is>
          <t>PJ-2019-A</t>
        </is>
      </c>
      <c r="B117" s="10" t="inlineStr">
        <is>
          <t>素朴版／月内均等</t>
        </is>
      </c>
      <c r="C117" s="10" t="inlineStr">
        <is>
          <t>2019-05</t>
        </is>
      </c>
      <c r="D117" s="10" t="n">
        <v>2</v>
      </c>
      <c r="E117" s="12" t="n">
        <v>4746.3</v>
      </c>
      <c r="F117" s="12" t="n">
        <v>5541.4</v>
      </c>
      <c r="G117" s="12" t="n">
        <v>-795.1</v>
      </c>
      <c r="H117" s="13" t="n">
        <v>0.0233</v>
      </c>
      <c r="I117" s="13" t="n">
        <v>0.0227</v>
      </c>
    </row>
    <row r="118">
      <c r="A118" s="10" t="inlineStr">
        <is>
          <t>PJ-2019-A</t>
        </is>
      </c>
      <c r="B118" s="10" t="inlineStr">
        <is>
          <t>素朴版／月内均等</t>
        </is>
      </c>
      <c r="C118" s="10" t="inlineStr">
        <is>
          <t>2019-06</t>
        </is>
      </c>
      <c r="D118" s="10" t="n">
        <v>3</v>
      </c>
      <c r="E118" s="12" t="n">
        <v>5387.8</v>
      </c>
      <c r="F118" s="12" t="n">
        <v>6929.4</v>
      </c>
      <c r="G118" s="12" t="n">
        <v>-1541.6</v>
      </c>
      <c r="H118" s="13" t="n">
        <v>0.0375</v>
      </c>
      <c r="I118" s="13" t="n">
        <v>0.0409</v>
      </c>
    </row>
    <row r="119">
      <c r="A119" s="10" t="inlineStr">
        <is>
          <t>PJ-2019-A</t>
        </is>
      </c>
      <c r="B119" s="10" t="inlineStr">
        <is>
          <t>素朴版／月内均等</t>
        </is>
      </c>
      <c r="C119" s="10" t="inlineStr">
        <is>
          <t>2019-07</t>
        </is>
      </c>
      <c r="D119" s="10" t="n">
        <v>4</v>
      </c>
      <c r="E119" s="12" t="n">
        <v>5921.5</v>
      </c>
      <c r="F119" s="12" t="n">
        <v>8197.200000000001</v>
      </c>
      <c r="G119" s="12" t="n">
        <v>-2275.7</v>
      </c>
      <c r="H119" s="13" t="n">
        <v>0.0531</v>
      </c>
      <c r="I119" s="13" t="n">
        <v>0.0625</v>
      </c>
    </row>
    <row r="120">
      <c r="A120" s="10" t="inlineStr">
        <is>
          <t>PJ-2019-A</t>
        </is>
      </c>
      <c r="B120" s="10" t="inlineStr">
        <is>
          <t>素朴版／月内均等</t>
        </is>
      </c>
      <c r="C120" s="10" t="inlineStr">
        <is>
          <t>2019-08</t>
        </is>
      </c>
      <c r="D120" s="10" t="n">
        <v>5</v>
      </c>
      <c r="E120" s="12" t="n">
        <v>6419.5</v>
      </c>
      <c r="F120" s="12" t="n">
        <v>9127.4</v>
      </c>
      <c r="G120" s="12" t="n">
        <v>-2707.9</v>
      </c>
      <c r="H120" s="13" t="n">
        <v>0.07000000000000001</v>
      </c>
      <c r="I120" s="13" t="n">
        <v>0.0866</v>
      </c>
    </row>
    <row r="121">
      <c r="A121" s="10" t="inlineStr">
        <is>
          <t>PJ-2019-A</t>
        </is>
      </c>
      <c r="B121" s="10" t="inlineStr">
        <is>
          <t>素朴版／月内均等</t>
        </is>
      </c>
      <c r="C121" s="10" t="inlineStr">
        <is>
          <t>2019-09</t>
        </is>
      </c>
      <c r="D121" s="10" t="n">
        <v>6</v>
      </c>
      <c r="E121" s="12" t="n">
        <v>6613.3</v>
      </c>
      <c r="F121" s="12" t="n">
        <v>9824.700000000001</v>
      </c>
      <c r="G121" s="12" t="n">
        <v>-3211.4</v>
      </c>
      <c r="H121" s="13" t="n">
        <v>0.08740000000000001</v>
      </c>
      <c r="I121" s="13" t="n">
        <v>0.1125</v>
      </c>
    </row>
    <row r="122">
      <c r="A122" s="10" t="inlineStr">
        <is>
          <t>PJ-2019-A</t>
        </is>
      </c>
      <c r="B122" s="10" t="inlineStr">
        <is>
          <t>素朴版／月内均等</t>
        </is>
      </c>
      <c r="C122" s="10" t="inlineStr">
        <is>
          <t>2019-10</t>
        </is>
      </c>
      <c r="D122" s="10" t="n">
        <v>7</v>
      </c>
      <c r="E122" s="12" t="n">
        <v>7269.5</v>
      </c>
      <c r="F122" s="12" t="n">
        <v>7570.4</v>
      </c>
      <c r="G122" s="12" t="n">
        <v>-300.9</v>
      </c>
      <c r="H122" s="13" t="n">
        <v>0.1066</v>
      </c>
      <c r="I122" s="13" t="n">
        <v>0.1324</v>
      </c>
    </row>
    <row r="123">
      <c r="A123" s="10" t="inlineStr">
        <is>
          <t>PJ-2019-A</t>
        </is>
      </c>
      <c r="B123" s="10" t="inlineStr">
        <is>
          <t>素朴版／月内均等</t>
        </is>
      </c>
      <c r="C123" s="10" t="inlineStr">
        <is>
          <t>2019-11</t>
        </is>
      </c>
      <c r="D123" s="10" t="n">
        <v>8</v>
      </c>
      <c r="E123" s="12" t="n">
        <v>7328.5</v>
      </c>
      <c r="F123" s="12" t="n">
        <v>7669.4</v>
      </c>
      <c r="G123" s="12" t="n">
        <v>-340.9</v>
      </c>
      <c r="H123" s="13" t="n">
        <v>0.1259</v>
      </c>
      <c r="I123" s="13" t="n">
        <v>0.1526</v>
      </c>
    </row>
    <row r="124">
      <c r="A124" s="10" t="inlineStr">
        <is>
          <t>PJ-2019-A</t>
        </is>
      </c>
      <c r="B124" s="10" t="inlineStr">
        <is>
          <t>素朴版／月内均等</t>
        </is>
      </c>
      <c r="C124" s="10" t="inlineStr">
        <is>
          <t>2019-12</t>
        </is>
      </c>
      <c r="D124" s="10" t="n">
        <v>9</v>
      </c>
      <c r="E124" s="12" t="n">
        <v>8366.4</v>
      </c>
      <c r="F124" s="12" t="n">
        <v>7989.5</v>
      </c>
      <c r="G124" s="12" t="n">
        <v>376.9</v>
      </c>
      <c r="H124" s="13" t="n">
        <v>0.1479</v>
      </c>
      <c r="I124" s="13" t="n">
        <v>0.1737</v>
      </c>
    </row>
    <row r="125">
      <c r="A125" s="10" t="inlineStr">
        <is>
          <t>PJ-2019-A</t>
        </is>
      </c>
      <c r="B125" s="10" t="inlineStr">
        <is>
          <t>素朴版／月内均等</t>
        </is>
      </c>
      <c r="C125" s="10" t="inlineStr">
        <is>
          <t>2020-01</t>
        </is>
      </c>
      <c r="D125" s="10" t="n">
        <v>10</v>
      </c>
      <c r="E125" s="12" t="n">
        <v>9171.200000000001</v>
      </c>
      <c r="F125" s="12" t="n">
        <v>8507.5</v>
      </c>
      <c r="G125" s="12" t="n">
        <v>663.7</v>
      </c>
      <c r="H125" s="13" t="n">
        <v>0.1721</v>
      </c>
      <c r="I125" s="13" t="n">
        <v>0.1961</v>
      </c>
    </row>
    <row r="126">
      <c r="A126" s="10" t="inlineStr">
        <is>
          <t>PJ-2019-A</t>
        </is>
      </c>
      <c r="B126" s="10" t="inlineStr">
        <is>
          <t>素朴版／月内均等</t>
        </is>
      </c>
      <c r="C126" s="10" t="inlineStr">
        <is>
          <t>2020-02</t>
        </is>
      </c>
      <c r="D126" s="10" t="n">
        <v>11</v>
      </c>
      <c r="E126" s="12" t="n">
        <v>10283.8</v>
      </c>
      <c r="F126" s="12" t="n">
        <v>8132.8</v>
      </c>
      <c r="G126" s="12" t="n">
        <v>2151</v>
      </c>
      <c r="H126" s="13" t="n">
        <v>0.1992</v>
      </c>
      <c r="I126" s="13" t="n">
        <v>0.2175</v>
      </c>
    </row>
    <row r="127">
      <c r="A127" s="10" t="inlineStr">
        <is>
          <t>PJ-2019-A</t>
        </is>
      </c>
      <c r="B127" s="10" t="inlineStr">
        <is>
          <t>素朴版／月内均等</t>
        </is>
      </c>
      <c r="C127" s="10" t="inlineStr">
        <is>
          <t>2020-03</t>
        </is>
      </c>
      <c r="D127" s="10" t="n">
        <v>12</v>
      </c>
      <c r="E127" s="12" t="n">
        <v>11513.3</v>
      </c>
      <c r="F127" s="12" t="n">
        <v>9311.5</v>
      </c>
      <c r="G127" s="12" t="n">
        <v>2201.8</v>
      </c>
      <c r="H127" s="13" t="n">
        <v>0.2295</v>
      </c>
      <c r="I127" s="13" t="n">
        <v>0.2421</v>
      </c>
    </row>
    <row r="128">
      <c r="A128" s="10" t="inlineStr">
        <is>
          <t>PJ-2019-A</t>
        </is>
      </c>
      <c r="B128" s="10" t="inlineStr">
        <is>
          <t>素朴版／月内均等</t>
        </is>
      </c>
      <c r="C128" s="10" t="inlineStr">
        <is>
          <t>2020-04</t>
        </is>
      </c>
      <c r="D128" s="10" t="n">
        <v>13</v>
      </c>
      <c r="E128" s="12" t="n">
        <v>12210.6</v>
      </c>
      <c r="F128" s="12" t="n">
        <v>9039.6</v>
      </c>
      <c r="G128" s="12" t="n">
        <v>3171</v>
      </c>
      <c r="H128" s="13" t="n">
        <v>0.2617</v>
      </c>
      <c r="I128" s="13" t="n">
        <v>0.2659</v>
      </c>
    </row>
    <row r="129">
      <c r="A129" s="10" t="inlineStr">
        <is>
          <t>PJ-2019-A</t>
        </is>
      </c>
      <c r="B129" s="10" t="inlineStr">
        <is>
          <t>素朴版／月内均等</t>
        </is>
      </c>
      <c r="C129" s="10" t="inlineStr">
        <is>
          <t>2020-05</t>
        </is>
      </c>
      <c r="D129" s="10" t="n">
        <v>14</v>
      </c>
      <c r="E129" s="12" t="n">
        <v>13289.6</v>
      </c>
      <c r="F129" s="12" t="n">
        <v>9635.799999999999</v>
      </c>
      <c r="G129" s="12" t="n">
        <v>3653.8</v>
      </c>
      <c r="H129" s="13" t="n">
        <v>0.2967</v>
      </c>
      <c r="I129" s="13" t="n">
        <v>0.2913</v>
      </c>
    </row>
    <row r="130">
      <c r="A130" s="10" t="inlineStr">
        <is>
          <t>PJ-2019-A</t>
        </is>
      </c>
      <c r="B130" s="10" t="inlineStr">
        <is>
          <t>素朴版／月内均等</t>
        </is>
      </c>
      <c r="C130" s="10" t="inlineStr">
        <is>
          <t>2020-06</t>
        </is>
      </c>
      <c r="D130" s="10" t="n">
        <v>15</v>
      </c>
      <c r="E130" s="12" t="n">
        <v>14033.4</v>
      </c>
      <c r="F130" s="12" t="n">
        <v>10344.9</v>
      </c>
      <c r="G130" s="12" t="n">
        <v>3688.5</v>
      </c>
      <c r="H130" s="13" t="n">
        <v>0.3337</v>
      </c>
      <c r="I130" s="13" t="n">
        <v>0.3185</v>
      </c>
    </row>
    <row r="131">
      <c r="A131" s="10" t="inlineStr">
        <is>
          <t>PJ-2019-A</t>
        </is>
      </c>
      <c r="B131" s="10" t="inlineStr">
        <is>
          <t>素朴版／月内均等</t>
        </is>
      </c>
      <c r="C131" s="10" t="inlineStr">
        <is>
          <t>2020-07</t>
        </is>
      </c>
      <c r="D131" s="10" t="n">
        <v>16</v>
      </c>
      <c r="E131" s="12" t="n">
        <v>13356.9</v>
      </c>
      <c r="F131" s="12" t="n">
        <v>11426.7</v>
      </c>
      <c r="G131" s="12" t="n">
        <v>1930.2</v>
      </c>
      <c r="H131" s="13" t="n">
        <v>0.3689</v>
      </c>
      <c r="I131" s="13" t="n">
        <v>0.3486</v>
      </c>
    </row>
    <row r="132">
      <c r="A132" s="10" t="inlineStr">
        <is>
          <t>PJ-2019-A</t>
        </is>
      </c>
      <c r="B132" s="10" t="inlineStr">
        <is>
          <t>素朴版／月内均等</t>
        </is>
      </c>
      <c r="C132" s="10" t="inlineStr">
        <is>
          <t>2020-08</t>
        </is>
      </c>
      <c r="D132" s="10" t="n">
        <v>17</v>
      </c>
      <c r="E132" s="12" t="n">
        <v>12731.5</v>
      </c>
      <c r="F132" s="12" t="n">
        <v>12271.1</v>
      </c>
      <c r="G132" s="12" t="n">
        <v>460.4</v>
      </c>
      <c r="H132" s="13" t="n">
        <v>0.4024</v>
      </c>
      <c r="I132" s="13" t="n">
        <v>0.3809</v>
      </c>
    </row>
    <row r="133">
      <c r="A133" s="10" t="inlineStr">
        <is>
          <t>PJ-2019-A</t>
        </is>
      </c>
      <c r="B133" s="10" t="inlineStr">
        <is>
          <t>素朴版／月内均等</t>
        </is>
      </c>
      <c r="C133" s="10" t="inlineStr">
        <is>
          <t>2020-09</t>
        </is>
      </c>
      <c r="D133" s="10" t="n">
        <v>18</v>
      </c>
      <c r="E133" s="12" t="n">
        <v>12074</v>
      </c>
      <c r="F133" s="12" t="n">
        <v>12547.9</v>
      </c>
      <c r="G133" s="12" t="n">
        <v>-473.9</v>
      </c>
      <c r="H133" s="13" t="n">
        <v>0.4342</v>
      </c>
      <c r="I133" s="13" t="n">
        <v>0.414</v>
      </c>
    </row>
    <row r="134">
      <c r="A134" s="10" t="inlineStr">
        <is>
          <t>PJ-2019-A</t>
        </is>
      </c>
      <c r="B134" s="10" t="inlineStr">
        <is>
          <t>素朴版／月内均等</t>
        </is>
      </c>
      <c r="C134" s="10" t="inlineStr">
        <is>
          <t>2020-10</t>
        </is>
      </c>
      <c r="D134" s="10" t="n">
        <v>19</v>
      </c>
      <c r="E134" s="12" t="n">
        <v>14456.3</v>
      </c>
      <c r="F134" s="12" t="n">
        <v>14214.2</v>
      </c>
      <c r="G134" s="12" t="n">
        <v>242.1</v>
      </c>
      <c r="H134" s="13" t="n">
        <v>0.4723</v>
      </c>
      <c r="I134" s="13" t="n">
        <v>0.4515</v>
      </c>
    </row>
    <row r="135">
      <c r="A135" s="10" t="inlineStr">
        <is>
          <t>PJ-2019-A</t>
        </is>
      </c>
      <c r="B135" s="10" t="inlineStr">
        <is>
          <t>素朴版／月内均等</t>
        </is>
      </c>
      <c r="C135" s="10" t="inlineStr">
        <is>
          <t>2020-11</t>
        </is>
      </c>
      <c r="D135" s="10" t="n">
        <v>20</v>
      </c>
      <c r="E135" s="12" t="n">
        <v>14079.4</v>
      </c>
      <c r="F135" s="12" t="n">
        <v>16661.4</v>
      </c>
      <c r="G135" s="12" t="n">
        <v>-2582</v>
      </c>
      <c r="H135" s="13" t="n">
        <v>0.5094</v>
      </c>
      <c r="I135" s="13" t="n">
        <v>0.4953</v>
      </c>
    </row>
    <row r="136">
      <c r="A136" s="10" t="inlineStr">
        <is>
          <t>PJ-2019-A</t>
        </is>
      </c>
      <c r="B136" s="10" t="inlineStr">
        <is>
          <t>素朴版／月内均等</t>
        </is>
      </c>
      <c r="C136" s="10" t="inlineStr">
        <is>
          <t>2020-12</t>
        </is>
      </c>
      <c r="D136" s="10" t="n">
        <v>21</v>
      </c>
      <c r="E136" s="12" t="n">
        <v>15109.9</v>
      </c>
      <c r="F136" s="12" t="n">
        <v>15314.9</v>
      </c>
      <c r="G136" s="12" t="n">
        <v>-205</v>
      </c>
      <c r="H136" s="13" t="n">
        <v>0.5492</v>
      </c>
      <c r="I136" s="13" t="n">
        <v>0.5357</v>
      </c>
    </row>
    <row r="137">
      <c r="A137" s="10" t="inlineStr">
        <is>
          <t>PJ-2019-A</t>
        </is>
      </c>
      <c r="B137" s="10" t="inlineStr">
        <is>
          <t>素朴版／月内均等</t>
        </is>
      </c>
      <c r="C137" s="10" t="inlineStr">
        <is>
          <t>2021-01</t>
        </is>
      </c>
      <c r="D137" s="10" t="n">
        <v>22</v>
      </c>
      <c r="E137" s="12" t="n">
        <v>16302.6</v>
      </c>
      <c r="F137" s="12" t="n">
        <v>13490.4</v>
      </c>
      <c r="G137" s="12" t="n">
        <v>2812.2</v>
      </c>
      <c r="H137" s="13" t="n">
        <v>0.5921999999999999</v>
      </c>
      <c r="I137" s="13" t="n">
        <v>0.5712</v>
      </c>
    </row>
    <row r="138">
      <c r="A138" s="10" t="inlineStr">
        <is>
          <t>PJ-2019-A</t>
        </is>
      </c>
      <c r="B138" s="10" t="inlineStr">
        <is>
          <t>素朴版／月内均等</t>
        </is>
      </c>
      <c r="C138" s="10" t="inlineStr">
        <is>
          <t>2021-02</t>
        </is>
      </c>
      <c r="D138" s="10" t="n">
        <v>23</v>
      </c>
      <c r="E138" s="12" t="n">
        <v>15043.7</v>
      </c>
      <c r="F138" s="12" t="n">
        <v>11965.7</v>
      </c>
      <c r="G138" s="12" t="n">
        <v>3078</v>
      </c>
      <c r="H138" s="13" t="n">
        <v>0.6318</v>
      </c>
      <c r="I138" s="13" t="n">
        <v>0.6028</v>
      </c>
    </row>
    <row r="139">
      <c r="A139" s="10" t="inlineStr">
        <is>
          <t>PJ-2019-A</t>
        </is>
      </c>
      <c r="B139" s="10" t="inlineStr">
        <is>
          <t>素朴版／月内均等</t>
        </is>
      </c>
      <c r="C139" s="10" t="inlineStr">
        <is>
          <t>2021-03</t>
        </is>
      </c>
      <c r="D139" s="10" t="n">
        <v>24</v>
      </c>
      <c r="E139" s="12" t="n">
        <v>16398</v>
      </c>
      <c r="F139" s="12" t="n">
        <v>12853.7</v>
      </c>
      <c r="G139" s="12" t="n">
        <v>3544.3</v>
      </c>
      <c r="H139" s="13" t="n">
        <v>0.675</v>
      </c>
      <c r="I139" s="13" t="n">
        <v>0.6366000000000001</v>
      </c>
    </row>
    <row r="140">
      <c r="A140" s="10" t="inlineStr">
        <is>
          <t>PJ-2019-A</t>
        </is>
      </c>
      <c r="B140" s="10" t="inlineStr">
        <is>
          <t>素朴版／月内均等</t>
        </is>
      </c>
      <c r="C140" s="10" t="inlineStr">
        <is>
          <t>2021-04</t>
        </is>
      </c>
      <c r="D140" s="10" t="n">
        <v>25</v>
      </c>
      <c r="E140" s="12" t="n">
        <v>14442.5</v>
      </c>
      <c r="F140" s="12" t="n">
        <v>12825.4</v>
      </c>
      <c r="G140" s="12" t="n">
        <v>1617.1</v>
      </c>
      <c r="H140" s="13" t="n">
        <v>0.7131</v>
      </c>
      <c r="I140" s="13" t="n">
        <v>0.6704</v>
      </c>
    </row>
    <row r="141">
      <c r="A141" s="10" t="inlineStr">
        <is>
          <t>PJ-2019-A</t>
        </is>
      </c>
      <c r="B141" s="10" t="inlineStr">
        <is>
          <t>素朴版／月内均等</t>
        </is>
      </c>
      <c r="C141" s="10" t="inlineStr">
        <is>
          <t>2021-05</t>
        </is>
      </c>
      <c r="D141" s="10" t="n">
        <v>26</v>
      </c>
      <c r="E141" s="12" t="n">
        <v>14273.6</v>
      </c>
      <c r="F141" s="12" t="n">
        <v>13976.5</v>
      </c>
      <c r="G141" s="12" t="n">
        <v>297.1</v>
      </c>
      <c r="H141" s="13" t="n">
        <v>0.7507</v>
      </c>
      <c r="I141" s="13" t="n">
        <v>0.7072000000000001</v>
      </c>
    </row>
    <row r="142">
      <c r="A142" s="10" t="inlineStr">
        <is>
          <t>PJ-2019-A</t>
        </is>
      </c>
      <c r="B142" s="10" t="inlineStr">
        <is>
          <t>素朴版／月内均等</t>
        </is>
      </c>
      <c r="C142" s="10" t="inlineStr">
        <is>
          <t>2021-06</t>
        </is>
      </c>
      <c r="D142" s="10" t="n">
        <v>27</v>
      </c>
      <c r="E142" s="12" t="n">
        <v>13092.1</v>
      </c>
      <c r="F142" s="12" t="n">
        <v>14724.1</v>
      </c>
      <c r="G142" s="12" t="n">
        <v>-1632</v>
      </c>
      <c r="H142" s="13" t="n">
        <v>0.7851</v>
      </c>
      <c r="I142" s="13" t="n">
        <v>0.746</v>
      </c>
    </row>
    <row r="143">
      <c r="A143" s="10" t="inlineStr">
        <is>
          <t>PJ-2019-A</t>
        </is>
      </c>
      <c r="B143" s="10" t="inlineStr">
        <is>
          <t>素朴版／月内均等</t>
        </is>
      </c>
      <c r="C143" s="10" t="inlineStr">
        <is>
          <t>2021-07</t>
        </is>
      </c>
      <c r="D143" s="10" t="n">
        <v>28</v>
      </c>
      <c r="E143" s="12" t="n">
        <v>13241.6</v>
      </c>
      <c r="F143" s="12" t="n">
        <v>17311.9</v>
      </c>
      <c r="G143" s="12" t="n">
        <v>-4070.3</v>
      </c>
      <c r="H143" s="13" t="n">
        <v>0.82</v>
      </c>
      <c r="I143" s="13" t="n">
        <v>0.7916</v>
      </c>
    </row>
    <row r="144">
      <c r="A144" s="10" t="inlineStr">
        <is>
          <t>PJ-2019-A</t>
        </is>
      </c>
      <c r="B144" s="10" t="inlineStr">
        <is>
          <t>素朴版／月内均等</t>
        </is>
      </c>
      <c r="C144" s="10" t="inlineStr">
        <is>
          <t>2021-08</t>
        </is>
      </c>
      <c r="D144" s="10" t="n">
        <v>29</v>
      </c>
      <c r="E144" s="12" t="n">
        <v>13360</v>
      </c>
      <c r="F144" s="12" t="n">
        <v>19848.8</v>
      </c>
      <c r="G144" s="12" t="n">
        <v>-6488.8</v>
      </c>
      <c r="H144" s="13" t="n">
        <v>0.8552</v>
      </c>
      <c r="I144" s="13" t="n">
        <v>0.8439</v>
      </c>
    </row>
    <row r="145">
      <c r="A145" s="10" t="inlineStr">
        <is>
          <t>PJ-2019-A</t>
        </is>
      </c>
      <c r="B145" s="10" t="inlineStr">
        <is>
          <t>素朴版／月内均等</t>
        </is>
      </c>
      <c r="C145" s="10" t="inlineStr">
        <is>
          <t>2021-09</t>
        </is>
      </c>
      <c r="D145" s="10" t="n">
        <v>30</v>
      </c>
      <c r="E145" s="12" t="n">
        <v>11973.9</v>
      </c>
      <c r="F145" s="12" t="n">
        <v>17282.1</v>
      </c>
      <c r="G145" s="12" t="n">
        <v>-5308.2</v>
      </c>
      <c r="H145" s="13" t="n">
        <v>0.8868</v>
      </c>
      <c r="I145" s="13" t="n">
        <v>0.8895</v>
      </c>
    </row>
    <row r="146">
      <c r="A146" s="10" t="inlineStr">
        <is>
          <t>PJ-2019-A</t>
        </is>
      </c>
      <c r="B146" s="10" t="inlineStr">
        <is>
          <t>素朴版／月内均等</t>
        </is>
      </c>
      <c r="C146" s="10" t="inlineStr">
        <is>
          <t>2021-10</t>
        </is>
      </c>
      <c r="D146" s="10" t="n">
        <v>31</v>
      </c>
      <c r="E146" s="12" t="n">
        <v>10871.4</v>
      </c>
      <c r="F146" s="12" t="n">
        <v>13450.6</v>
      </c>
      <c r="G146" s="12" t="n">
        <v>-2579.2</v>
      </c>
      <c r="H146" s="13" t="n">
        <v>0.9154</v>
      </c>
      <c r="I146" s="13" t="n">
        <v>0.9249000000000001</v>
      </c>
    </row>
    <row r="147">
      <c r="A147" s="10" t="inlineStr">
        <is>
          <t>PJ-2019-A</t>
        </is>
      </c>
      <c r="B147" s="10" t="inlineStr">
        <is>
          <t>素朴版／月内均等</t>
        </is>
      </c>
      <c r="C147" s="10" t="inlineStr">
        <is>
          <t>2021-11</t>
        </is>
      </c>
      <c r="D147" s="10" t="n">
        <v>32</v>
      </c>
      <c r="E147" s="12" t="n">
        <v>8972.6</v>
      </c>
      <c r="F147" s="12" t="n">
        <v>9371.200000000001</v>
      </c>
      <c r="G147" s="12" t="n">
        <v>-398.6</v>
      </c>
      <c r="H147" s="13" t="n">
        <v>0.9391</v>
      </c>
      <c r="I147" s="13" t="n">
        <v>0.9496</v>
      </c>
    </row>
    <row r="148">
      <c r="A148" s="10" t="inlineStr">
        <is>
          <t>PJ-2019-A</t>
        </is>
      </c>
      <c r="B148" s="10" t="inlineStr">
        <is>
          <t>素朴版／月内均等</t>
        </is>
      </c>
      <c r="C148" s="10" t="inlineStr">
        <is>
          <t>2021-12</t>
        </is>
      </c>
      <c r="D148" s="10" t="n">
        <v>33</v>
      </c>
      <c r="E148" s="12" t="n">
        <v>7712.5</v>
      </c>
      <c r="F148" s="12" t="n">
        <v>9266</v>
      </c>
      <c r="G148" s="12" t="n">
        <v>-1553.5</v>
      </c>
      <c r="H148" s="13" t="n">
        <v>0.9594</v>
      </c>
      <c r="I148" s="13" t="n">
        <v>0.974</v>
      </c>
    </row>
    <row r="149">
      <c r="A149" s="10" t="inlineStr">
        <is>
          <t>PJ-2019-A</t>
        </is>
      </c>
      <c r="B149" s="10" t="inlineStr">
        <is>
          <t>素朴版／月内均等</t>
        </is>
      </c>
      <c r="C149" s="10" t="inlineStr">
        <is>
          <t>2022-01</t>
        </is>
      </c>
      <c r="D149" s="10" t="n">
        <v>34</v>
      </c>
      <c r="E149" s="12" t="n">
        <v>7081.5</v>
      </c>
      <c r="F149" s="12" t="n">
        <v>5982.7</v>
      </c>
      <c r="G149" s="12" t="n">
        <v>1098.8</v>
      </c>
      <c r="H149" s="13" t="n">
        <v>0.978</v>
      </c>
      <c r="I149" s="13" t="n">
        <v>0.9898</v>
      </c>
    </row>
    <row r="150">
      <c r="A150" s="10" t="inlineStr">
        <is>
          <t>PJ-2019-A</t>
        </is>
      </c>
      <c r="B150" s="10" t="inlineStr">
        <is>
          <t>素朴版／月内均等</t>
        </is>
      </c>
      <c r="C150" s="10" t="inlineStr">
        <is>
          <t>2022-02</t>
        </is>
      </c>
      <c r="D150" s="10" t="n">
        <v>35</v>
      </c>
      <c r="E150" s="12" t="n">
        <v>4682.4</v>
      </c>
      <c r="F150" s="12" t="n">
        <v>2863</v>
      </c>
      <c r="G150" s="12" t="n">
        <v>1819.4</v>
      </c>
      <c r="H150" s="13" t="n">
        <v>0.9903999999999999</v>
      </c>
      <c r="I150" s="13" t="n">
        <v>0.9973</v>
      </c>
    </row>
    <row r="151">
      <c r="A151" s="10" t="inlineStr">
        <is>
          <t>PJ-2019-A</t>
        </is>
      </c>
      <c r="B151" s="10" t="inlineStr">
        <is>
          <t>素朴版／月内均等</t>
        </is>
      </c>
      <c r="C151" s="10" t="inlineStr">
        <is>
          <t>2022-03</t>
        </is>
      </c>
      <c r="D151" s="10" t="n">
        <v>36</v>
      </c>
      <c r="E151" s="12" t="n">
        <v>3653.2</v>
      </c>
      <c r="F151" s="12" t="n">
        <v>1019.3</v>
      </c>
      <c r="G151" s="12" t="n">
        <v>2633.9</v>
      </c>
      <c r="H151" s="13" t="n">
        <v>1</v>
      </c>
      <c r="I151" s="13" t="n">
        <v>1</v>
      </c>
    </row>
    <row r="152">
      <c r="A152" s="10" t="inlineStr">
        <is>
          <t>PJ-2019-A</t>
        </is>
      </c>
      <c r="B152" s="10" t="inlineStr">
        <is>
          <t>位置合わせ(MS学習値)／月内均等</t>
        </is>
      </c>
      <c r="C152" s="10" t="inlineStr">
        <is>
          <t>2019-04</t>
        </is>
      </c>
      <c r="D152" s="10" t="n">
        <v>1</v>
      </c>
      <c r="E152" s="12" t="n">
        <v>4126.4</v>
      </c>
      <c r="F152" s="12" t="n">
        <v>3071.8</v>
      </c>
      <c r="G152" s="12" t="n">
        <v>1054.6</v>
      </c>
      <c r="H152" s="13" t="n">
        <v>0.0109</v>
      </c>
      <c r="I152" s="13" t="n">
        <v>0.0081</v>
      </c>
    </row>
    <row r="153">
      <c r="A153" s="10" t="inlineStr">
        <is>
          <t>PJ-2019-A</t>
        </is>
      </c>
      <c r="B153" s="10" t="inlineStr">
        <is>
          <t>位置合わせ(MS学習値)／月内均等</t>
        </is>
      </c>
      <c r="C153" s="10" t="inlineStr">
        <is>
          <t>2019-05</t>
        </is>
      </c>
      <c r="D153" s="10" t="n">
        <v>2</v>
      </c>
      <c r="E153" s="12" t="n">
        <v>4678.6</v>
      </c>
      <c r="F153" s="12" t="n">
        <v>5541.4</v>
      </c>
      <c r="G153" s="12" t="n">
        <v>-862.8</v>
      </c>
      <c r="H153" s="13" t="n">
        <v>0.0232</v>
      </c>
      <c r="I153" s="13" t="n">
        <v>0.0227</v>
      </c>
    </row>
    <row r="154">
      <c r="A154" s="10" t="inlineStr">
        <is>
          <t>PJ-2019-A</t>
        </is>
      </c>
      <c r="B154" s="10" t="inlineStr">
        <is>
          <t>位置合わせ(MS学習値)／月内均等</t>
        </is>
      </c>
      <c r="C154" s="10" t="inlineStr">
        <is>
          <t>2019-06</t>
        </is>
      </c>
      <c r="D154" s="10" t="n">
        <v>3</v>
      </c>
      <c r="E154" s="12" t="n">
        <v>5374.4</v>
      </c>
      <c r="F154" s="12" t="n">
        <v>6929.4</v>
      </c>
      <c r="G154" s="12" t="n">
        <v>-1555</v>
      </c>
      <c r="H154" s="13" t="n">
        <v>0.0374</v>
      </c>
      <c r="I154" s="13" t="n">
        <v>0.0409</v>
      </c>
    </row>
    <row r="155">
      <c r="A155" s="10" t="inlineStr">
        <is>
          <t>PJ-2019-A</t>
        </is>
      </c>
      <c r="B155" s="10" t="inlineStr">
        <is>
          <t>位置合わせ(MS学習値)／月内均等</t>
        </is>
      </c>
      <c r="C155" s="10" t="inlineStr">
        <is>
          <t>2019-07</t>
        </is>
      </c>
      <c r="D155" s="10" t="n">
        <v>4</v>
      </c>
      <c r="E155" s="12" t="n">
        <v>5762.1</v>
      </c>
      <c r="F155" s="12" t="n">
        <v>8197.200000000001</v>
      </c>
      <c r="G155" s="12" t="n">
        <v>-2435.1</v>
      </c>
      <c r="H155" s="13" t="n">
        <v>0.0525</v>
      </c>
      <c r="I155" s="13" t="n">
        <v>0.0625</v>
      </c>
    </row>
    <row r="156">
      <c r="A156" s="10" t="inlineStr">
        <is>
          <t>PJ-2019-A</t>
        </is>
      </c>
      <c r="B156" s="10" t="inlineStr">
        <is>
          <t>位置合わせ(MS学習値)／月内均等</t>
        </is>
      </c>
      <c r="C156" s="10" t="inlineStr">
        <is>
          <t>2019-08</t>
        </is>
      </c>
      <c r="D156" s="10" t="n">
        <v>5</v>
      </c>
      <c r="E156" s="12" t="n">
        <v>6388.3</v>
      </c>
      <c r="F156" s="12" t="n">
        <v>9127.4</v>
      </c>
      <c r="G156" s="12" t="n">
        <v>-2739.1</v>
      </c>
      <c r="H156" s="13" t="n">
        <v>0.0694</v>
      </c>
      <c r="I156" s="13" t="n">
        <v>0.0866</v>
      </c>
    </row>
    <row r="157">
      <c r="A157" s="10" t="inlineStr">
        <is>
          <t>PJ-2019-A</t>
        </is>
      </c>
      <c r="B157" s="10" t="inlineStr">
        <is>
          <t>位置合わせ(MS学習値)／月内均等</t>
        </is>
      </c>
      <c r="C157" s="10" t="inlineStr">
        <is>
          <t>2019-09</t>
        </is>
      </c>
      <c r="D157" s="10" t="n">
        <v>6</v>
      </c>
      <c r="E157" s="12" t="n">
        <v>6412</v>
      </c>
      <c r="F157" s="12" t="n">
        <v>9824.700000000001</v>
      </c>
      <c r="G157" s="12" t="n">
        <v>-3412.7</v>
      </c>
      <c r="H157" s="13" t="n">
        <v>0.0863</v>
      </c>
      <c r="I157" s="13" t="n">
        <v>0.1125</v>
      </c>
    </row>
    <row r="158">
      <c r="A158" s="10" t="inlineStr">
        <is>
          <t>PJ-2019-A</t>
        </is>
      </c>
      <c r="B158" s="10" t="inlineStr">
        <is>
          <t>位置合わせ(MS学習値)／月内均等</t>
        </is>
      </c>
      <c r="C158" s="10" t="inlineStr">
        <is>
          <t>2019-10</t>
        </is>
      </c>
      <c r="D158" s="10" t="n">
        <v>7</v>
      </c>
      <c r="E158" s="12" t="n">
        <v>7239.6</v>
      </c>
      <c r="F158" s="12" t="n">
        <v>7570.4</v>
      </c>
      <c r="G158" s="12" t="n">
        <v>-330.8</v>
      </c>
      <c r="H158" s="13" t="n">
        <v>0.1053</v>
      </c>
      <c r="I158" s="13" t="n">
        <v>0.1324</v>
      </c>
    </row>
    <row r="159">
      <c r="A159" s="10" t="inlineStr">
        <is>
          <t>PJ-2019-A</t>
        </is>
      </c>
      <c r="B159" s="10" t="inlineStr">
        <is>
          <t>位置合わせ(MS学習値)／月内均等</t>
        </is>
      </c>
      <c r="C159" s="10" t="inlineStr">
        <is>
          <t>2019-11</t>
        </is>
      </c>
      <c r="D159" s="10" t="n">
        <v>8</v>
      </c>
      <c r="E159" s="12" t="n">
        <v>7144.1</v>
      </c>
      <c r="F159" s="12" t="n">
        <v>7669.4</v>
      </c>
      <c r="G159" s="12" t="n">
        <v>-525.3</v>
      </c>
      <c r="H159" s="13" t="n">
        <v>0.1242</v>
      </c>
      <c r="I159" s="13" t="n">
        <v>0.1526</v>
      </c>
    </row>
    <row r="160">
      <c r="A160" s="10" t="inlineStr">
        <is>
          <t>PJ-2019-A</t>
        </is>
      </c>
      <c r="B160" s="10" t="inlineStr">
        <is>
          <t>位置合わせ(MS学習値)／月内均等</t>
        </is>
      </c>
      <c r="C160" s="10" t="inlineStr">
        <is>
          <t>2019-12</t>
        </is>
      </c>
      <c r="D160" s="10" t="n">
        <v>9</v>
      </c>
      <c r="E160" s="12" t="n">
        <v>8225.6</v>
      </c>
      <c r="F160" s="12" t="n">
        <v>7989.5</v>
      </c>
      <c r="G160" s="12" t="n">
        <v>236.1</v>
      </c>
      <c r="H160" s="13" t="n">
        <v>0.1458</v>
      </c>
      <c r="I160" s="13" t="n">
        <v>0.1737</v>
      </c>
    </row>
    <row r="161">
      <c r="A161" s="10" t="inlineStr">
        <is>
          <t>PJ-2019-A</t>
        </is>
      </c>
      <c r="B161" s="10" t="inlineStr">
        <is>
          <t>位置合わせ(MS学習値)／月内均等</t>
        </is>
      </c>
      <c r="C161" s="10" t="inlineStr">
        <is>
          <t>2020-01</t>
        </is>
      </c>
      <c r="D161" s="10" t="n">
        <v>10</v>
      </c>
      <c r="E161" s="12" t="n">
        <v>8675.200000000001</v>
      </c>
      <c r="F161" s="12" t="n">
        <v>8507.5</v>
      </c>
      <c r="G161" s="12" t="n">
        <v>167.7</v>
      </c>
      <c r="H161" s="13" t="n">
        <v>0.1687</v>
      </c>
      <c r="I161" s="13" t="n">
        <v>0.1961</v>
      </c>
    </row>
    <row r="162">
      <c r="A162" s="10" t="inlineStr">
        <is>
          <t>PJ-2019-A</t>
        </is>
      </c>
      <c r="B162" s="10" t="inlineStr">
        <is>
          <t>位置合わせ(MS学習値)／月内均等</t>
        </is>
      </c>
      <c r="C162" s="10" t="inlineStr">
        <is>
          <t>2020-02</t>
        </is>
      </c>
      <c r="D162" s="10" t="n">
        <v>11</v>
      </c>
      <c r="E162" s="12" t="n">
        <v>8923.700000000001</v>
      </c>
      <c r="F162" s="12" t="n">
        <v>8132.8</v>
      </c>
      <c r="G162" s="12" t="n">
        <v>790.9</v>
      </c>
      <c r="H162" s="13" t="n">
        <v>0.1922</v>
      </c>
      <c r="I162" s="13" t="n">
        <v>0.2175</v>
      </c>
    </row>
    <row r="163">
      <c r="A163" s="10" t="inlineStr">
        <is>
          <t>PJ-2019-A</t>
        </is>
      </c>
      <c r="B163" s="10" t="inlineStr">
        <is>
          <t>位置合わせ(MS学習値)／月内均等</t>
        </is>
      </c>
      <c r="C163" s="10" t="inlineStr">
        <is>
          <t>2020-03</t>
        </is>
      </c>
      <c r="D163" s="10" t="n">
        <v>12</v>
      </c>
      <c r="E163" s="12" t="n">
        <v>10516.3</v>
      </c>
      <c r="F163" s="12" t="n">
        <v>9311.5</v>
      </c>
      <c r="G163" s="12" t="n">
        <v>1204.8</v>
      </c>
      <c r="H163" s="13" t="n">
        <v>0.2199</v>
      </c>
      <c r="I163" s="13" t="n">
        <v>0.2421</v>
      </c>
    </row>
    <row r="164">
      <c r="A164" s="10" t="inlineStr">
        <is>
          <t>PJ-2019-A</t>
        </is>
      </c>
      <c r="B164" s="10" t="inlineStr">
        <is>
          <t>位置合わせ(MS学習値)／月内均等</t>
        </is>
      </c>
      <c r="C164" s="10" t="inlineStr">
        <is>
          <t>2020-04</t>
        </is>
      </c>
      <c r="D164" s="10" t="n">
        <v>13</v>
      </c>
      <c r="E164" s="12" t="n">
        <v>11509.9</v>
      </c>
      <c r="F164" s="12" t="n">
        <v>9039.6</v>
      </c>
      <c r="G164" s="12" t="n">
        <v>2470.3</v>
      </c>
      <c r="H164" s="13" t="n">
        <v>0.2502</v>
      </c>
      <c r="I164" s="13" t="n">
        <v>0.2659</v>
      </c>
    </row>
    <row r="165">
      <c r="A165" s="10" t="inlineStr">
        <is>
          <t>PJ-2019-A</t>
        </is>
      </c>
      <c r="B165" s="10" t="inlineStr">
        <is>
          <t>位置合わせ(MS学習値)／月内均等</t>
        </is>
      </c>
      <c r="C165" s="10" t="inlineStr">
        <is>
          <t>2020-05</t>
        </is>
      </c>
      <c r="D165" s="10" t="n">
        <v>14</v>
      </c>
      <c r="E165" s="12" t="n">
        <v>12330.4</v>
      </c>
      <c r="F165" s="12" t="n">
        <v>9635.799999999999</v>
      </c>
      <c r="G165" s="12" t="n">
        <v>2694.6</v>
      </c>
      <c r="H165" s="13" t="n">
        <v>0.2827</v>
      </c>
      <c r="I165" s="13" t="n">
        <v>0.2913</v>
      </c>
    </row>
    <row r="166">
      <c r="A166" s="10" t="inlineStr">
        <is>
          <t>PJ-2019-A</t>
        </is>
      </c>
      <c r="B166" s="10" t="inlineStr">
        <is>
          <t>位置合わせ(MS学習値)／月内均等</t>
        </is>
      </c>
      <c r="C166" s="10" t="inlineStr">
        <is>
          <t>2020-06</t>
        </is>
      </c>
      <c r="D166" s="10" t="n">
        <v>15</v>
      </c>
      <c r="E166" s="12" t="n">
        <v>12598.7</v>
      </c>
      <c r="F166" s="12" t="n">
        <v>10344.9</v>
      </c>
      <c r="G166" s="12" t="n">
        <v>2253.8</v>
      </c>
      <c r="H166" s="13" t="n">
        <v>0.3159</v>
      </c>
      <c r="I166" s="13" t="n">
        <v>0.3185</v>
      </c>
    </row>
    <row r="167">
      <c r="A167" s="10" t="inlineStr">
        <is>
          <t>PJ-2019-A</t>
        </is>
      </c>
      <c r="B167" s="10" t="inlineStr">
        <is>
          <t>位置合わせ(MS学習値)／月内均等</t>
        </is>
      </c>
      <c r="C167" s="10" t="inlineStr">
        <is>
          <t>2020-07</t>
        </is>
      </c>
      <c r="D167" s="10" t="n">
        <v>16</v>
      </c>
      <c r="E167" s="12" t="n">
        <v>13948.7</v>
      </c>
      <c r="F167" s="12" t="n">
        <v>11426.7</v>
      </c>
      <c r="G167" s="12" t="n">
        <v>2522</v>
      </c>
      <c r="H167" s="13" t="n">
        <v>0.3527</v>
      </c>
      <c r="I167" s="13" t="n">
        <v>0.3486</v>
      </c>
    </row>
    <row r="168">
      <c r="A168" s="10" t="inlineStr">
        <is>
          <t>PJ-2019-A</t>
        </is>
      </c>
      <c r="B168" s="10" t="inlineStr">
        <is>
          <t>位置合わせ(MS学習値)／月内均等</t>
        </is>
      </c>
      <c r="C168" s="10" t="inlineStr">
        <is>
          <t>2020-08</t>
        </is>
      </c>
      <c r="D168" s="10" t="n">
        <v>17</v>
      </c>
      <c r="E168" s="12" t="n">
        <v>14696.9</v>
      </c>
      <c r="F168" s="12" t="n">
        <v>12271.1</v>
      </c>
      <c r="G168" s="12" t="n">
        <v>2425.8</v>
      </c>
      <c r="H168" s="13" t="n">
        <v>0.3914</v>
      </c>
      <c r="I168" s="13" t="n">
        <v>0.3809</v>
      </c>
    </row>
    <row r="169">
      <c r="A169" s="10" t="inlineStr">
        <is>
          <t>PJ-2019-A</t>
        </is>
      </c>
      <c r="B169" s="10" t="inlineStr">
        <is>
          <t>位置合わせ(MS学習値)／月内均等</t>
        </is>
      </c>
      <c r="C169" s="10" t="inlineStr">
        <is>
          <t>2020-09</t>
        </is>
      </c>
      <c r="D169" s="10" t="n">
        <v>18</v>
      </c>
      <c r="E169" s="12" t="n">
        <v>15474.5</v>
      </c>
      <c r="F169" s="12" t="n">
        <v>12547.9</v>
      </c>
      <c r="G169" s="12" t="n">
        <v>2926.6</v>
      </c>
      <c r="H169" s="13" t="n">
        <v>0.4321</v>
      </c>
      <c r="I169" s="13" t="n">
        <v>0.414</v>
      </c>
    </row>
    <row r="170">
      <c r="A170" s="10" t="inlineStr">
        <is>
          <t>PJ-2019-A</t>
        </is>
      </c>
      <c r="B170" s="10" t="inlineStr">
        <is>
          <t>位置合わせ(MS学習値)／月内均等</t>
        </is>
      </c>
      <c r="C170" s="10" t="inlineStr">
        <is>
          <t>2020-10</t>
        </is>
      </c>
      <c r="D170" s="10" t="n">
        <v>19</v>
      </c>
      <c r="E170" s="12" t="n">
        <v>15701</v>
      </c>
      <c r="F170" s="12" t="n">
        <v>14214.2</v>
      </c>
      <c r="G170" s="12" t="n">
        <v>1486.8</v>
      </c>
      <c r="H170" s="13" t="n">
        <v>0.4735</v>
      </c>
      <c r="I170" s="13" t="n">
        <v>0.4515</v>
      </c>
    </row>
    <row r="171">
      <c r="A171" s="10" t="inlineStr">
        <is>
          <t>PJ-2019-A</t>
        </is>
      </c>
      <c r="B171" s="10" t="inlineStr">
        <is>
          <t>位置合わせ(MS学習値)／月内均等</t>
        </is>
      </c>
      <c r="C171" s="10" t="inlineStr">
        <is>
          <t>2020-11</t>
        </is>
      </c>
      <c r="D171" s="10" t="n">
        <v>20</v>
      </c>
      <c r="E171" s="12" t="n">
        <v>15016.8</v>
      </c>
      <c r="F171" s="12" t="n">
        <v>16661.4</v>
      </c>
      <c r="G171" s="12" t="n">
        <v>-1644.6</v>
      </c>
      <c r="H171" s="13" t="n">
        <v>0.5131</v>
      </c>
      <c r="I171" s="13" t="n">
        <v>0.4953</v>
      </c>
    </row>
    <row r="172">
      <c r="A172" s="10" t="inlineStr">
        <is>
          <t>PJ-2019-A</t>
        </is>
      </c>
      <c r="B172" s="10" t="inlineStr">
        <is>
          <t>位置合わせ(MS学習値)／月内均等</t>
        </is>
      </c>
      <c r="C172" s="10" t="inlineStr">
        <is>
          <t>2020-12</t>
        </is>
      </c>
      <c r="D172" s="10" t="n">
        <v>21</v>
      </c>
      <c r="E172" s="12" t="n">
        <v>15360.8</v>
      </c>
      <c r="F172" s="12" t="n">
        <v>15314.9</v>
      </c>
      <c r="G172" s="12" t="n">
        <v>45.9</v>
      </c>
      <c r="H172" s="13" t="n">
        <v>0.5535</v>
      </c>
      <c r="I172" s="13" t="n">
        <v>0.5357</v>
      </c>
    </row>
    <row r="173">
      <c r="A173" s="10" t="inlineStr">
        <is>
          <t>PJ-2019-A</t>
        </is>
      </c>
      <c r="B173" s="10" t="inlineStr">
        <is>
          <t>位置合わせ(MS学習値)／月内均等</t>
        </is>
      </c>
      <c r="C173" s="10" t="inlineStr">
        <is>
          <t>2021-01</t>
        </is>
      </c>
      <c r="D173" s="10" t="n">
        <v>22</v>
      </c>
      <c r="E173" s="12" t="n">
        <v>15660.3</v>
      </c>
      <c r="F173" s="12" t="n">
        <v>13490.4</v>
      </c>
      <c r="G173" s="12" t="n">
        <v>2169.9</v>
      </c>
      <c r="H173" s="13" t="n">
        <v>0.5948</v>
      </c>
      <c r="I173" s="13" t="n">
        <v>0.5712</v>
      </c>
    </row>
    <row r="174">
      <c r="A174" s="10" t="inlineStr">
        <is>
          <t>PJ-2019-A</t>
        </is>
      </c>
      <c r="B174" s="10" t="inlineStr">
        <is>
          <t>位置合わせ(MS学習値)／月内均等</t>
        </is>
      </c>
      <c r="C174" s="10" t="inlineStr">
        <is>
          <t>2021-02</t>
        </is>
      </c>
      <c r="D174" s="10" t="n">
        <v>23</v>
      </c>
      <c r="E174" s="12" t="n">
        <v>14018.4</v>
      </c>
      <c r="F174" s="12" t="n">
        <v>11965.7</v>
      </c>
      <c r="G174" s="12" t="n">
        <v>2052.7</v>
      </c>
      <c r="H174" s="13" t="n">
        <v>0.6317</v>
      </c>
      <c r="I174" s="13" t="n">
        <v>0.6028</v>
      </c>
    </row>
    <row r="175">
      <c r="A175" s="10" t="inlineStr">
        <is>
          <t>PJ-2019-A</t>
        </is>
      </c>
      <c r="B175" s="10" t="inlineStr">
        <is>
          <t>位置合わせ(MS学習値)／月内均等</t>
        </is>
      </c>
      <c r="C175" s="10" t="inlineStr">
        <is>
          <t>2021-03</t>
        </is>
      </c>
      <c r="D175" s="10" t="n">
        <v>24</v>
      </c>
      <c r="E175" s="12" t="n">
        <v>15810.8</v>
      </c>
      <c r="F175" s="12" t="n">
        <v>12853.7</v>
      </c>
      <c r="G175" s="12" t="n">
        <v>2957.1</v>
      </c>
      <c r="H175" s="13" t="n">
        <v>0.6734</v>
      </c>
      <c r="I175" s="13" t="n">
        <v>0.6366000000000001</v>
      </c>
    </row>
    <row r="176">
      <c r="A176" s="10" t="inlineStr">
        <is>
          <t>PJ-2019-A</t>
        </is>
      </c>
      <c r="B176" s="10" t="inlineStr">
        <is>
          <t>位置合わせ(MS学習値)／月内均等</t>
        </is>
      </c>
      <c r="C176" s="10" t="inlineStr">
        <is>
          <t>2021-04</t>
        </is>
      </c>
      <c r="D176" s="10" t="n">
        <v>25</v>
      </c>
      <c r="E176" s="12" t="n">
        <v>15533.4</v>
      </c>
      <c r="F176" s="12" t="n">
        <v>12825.4</v>
      </c>
      <c r="G176" s="12" t="n">
        <v>2708</v>
      </c>
      <c r="H176" s="13" t="n">
        <v>0.7143</v>
      </c>
      <c r="I176" s="13" t="n">
        <v>0.6704</v>
      </c>
    </row>
    <row r="177">
      <c r="A177" s="10" t="inlineStr">
        <is>
          <t>PJ-2019-A</t>
        </is>
      </c>
      <c r="B177" s="10" t="inlineStr">
        <is>
          <t>位置合わせ(MS学習値)／月内均等</t>
        </is>
      </c>
      <c r="C177" s="10" t="inlineStr">
        <is>
          <t>2021-05</t>
        </is>
      </c>
      <c r="D177" s="10" t="n">
        <v>26</v>
      </c>
      <c r="E177" s="12" t="n">
        <v>15873.6</v>
      </c>
      <c r="F177" s="12" t="n">
        <v>13976.5</v>
      </c>
      <c r="G177" s="12" t="n">
        <v>1897.1</v>
      </c>
      <c r="H177" s="13" t="n">
        <v>0.7561</v>
      </c>
      <c r="I177" s="13" t="n">
        <v>0.7072000000000001</v>
      </c>
    </row>
    <row r="178">
      <c r="A178" s="10" t="inlineStr">
        <is>
          <t>PJ-2019-A</t>
        </is>
      </c>
      <c r="B178" s="10" t="inlineStr">
        <is>
          <t>位置合わせ(MS学習値)／月内均等</t>
        </is>
      </c>
      <c r="C178" s="10" t="inlineStr">
        <is>
          <t>2021-06</t>
        </is>
      </c>
      <c r="D178" s="10" t="n">
        <v>27</v>
      </c>
      <c r="E178" s="12" t="n">
        <v>14621.4</v>
      </c>
      <c r="F178" s="12" t="n">
        <v>14724.1</v>
      </c>
      <c r="G178" s="12" t="n">
        <v>-102.7</v>
      </c>
      <c r="H178" s="13" t="n">
        <v>0.7947</v>
      </c>
      <c r="I178" s="13" t="n">
        <v>0.746</v>
      </c>
    </row>
    <row r="179">
      <c r="A179" s="10" t="inlineStr">
        <is>
          <t>PJ-2019-A</t>
        </is>
      </c>
      <c r="B179" s="10" t="inlineStr">
        <is>
          <t>位置合わせ(MS学習値)／月内均等</t>
        </is>
      </c>
      <c r="C179" s="10" t="inlineStr">
        <is>
          <t>2021-07</t>
        </is>
      </c>
      <c r="D179" s="10" t="n">
        <v>28</v>
      </c>
      <c r="E179" s="12" t="n">
        <v>12750.9</v>
      </c>
      <c r="F179" s="12" t="n">
        <v>17311.9</v>
      </c>
      <c r="G179" s="12" t="n">
        <v>-4561</v>
      </c>
      <c r="H179" s="13" t="n">
        <v>0.8283</v>
      </c>
      <c r="I179" s="13" t="n">
        <v>0.7916</v>
      </c>
    </row>
    <row r="180">
      <c r="A180" s="10" t="inlineStr">
        <is>
          <t>PJ-2019-A</t>
        </is>
      </c>
      <c r="B180" s="10" t="inlineStr">
        <is>
          <t>位置合わせ(MS学習値)／月内均等</t>
        </is>
      </c>
      <c r="C180" s="10" t="inlineStr">
        <is>
          <t>2021-08</t>
        </is>
      </c>
      <c r="D180" s="10" t="n">
        <v>29</v>
      </c>
      <c r="E180" s="12" t="n">
        <v>12185</v>
      </c>
      <c r="F180" s="12" t="n">
        <v>19848.8</v>
      </c>
      <c r="G180" s="12" t="n">
        <v>-7663.8</v>
      </c>
      <c r="H180" s="13" t="n">
        <v>0.8604000000000001</v>
      </c>
      <c r="I180" s="13" t="n">
        <v>0.8439</v>
      </c>
    </row>
    <row r="181">
      <c r="A181" s="10" t="inlineStr">
        <is>
          <t>PJ-2019-A</t>
        </is>
      </c>
      <c r="B181" s="10" t="inlineStr">
        <is>
          <t>位置合わせ(MS学習値)／月内均等</t>
        </is>
      </c>
      <c r="C181" s="10" t="inlineStr">
        <is>
          <t>2021-09</t>
        </is>
      </c>
      <c r="D181" s="10" t="n">
        <v>30</v>
      </c>
      <c r="E181" s="12" t="n">
        <v>10790.3</v>
      </c>
      <c r="F181" s="12" t="n">
        <v>17282.1</v>
      </c>
      <c r="G181" s="12" t="n">
        <v>-6491.8</v>
      </c>
      <c r="H181" s="13" t="n">
        <v>0.8888</v>
      </c>
      <c r="I181" s="13" t="n">
        <v>0.8895</v>
      </c>
    </row>
    <row r="182">
      <c r="A182" s="10" t="inlineStr">
        <is>
          <t>PJ-2019-A</t>
        </is>
      </c>
      <c r="B182" s="10" t="inlineStr">
        <is>
          <t>位置合わせ(MS学習値)／月内均等</t>
        </is>
      </c>
      <c r="C182" s="10" t="inlineStr">
        <is>
          <t>2021-10</t>
        </is>
      </c>
      <c r="D182" s="10" t="n">
        <v>31</v>
      </c>
      <c r="E182" s="12" t="n">
        <v>10144.7</v>
      </c>
      <c r="F182" s="12" t="n">
        <v>13450.6</v>
      </c>
      <c r="G182" s="12" t="n">
        <v>-3305.9</v>
      </c>
      <c r="H182" s="13" t="n">
        <v>0.9155</v>
      </c>
      <c r="I182" s="13" t="n">
        <v>0.9249000000000001</v>
      </c>
    </row>
    <row r="183">
      <c r="A183" s="10" t="inlineStr">
        <is>
          <t>PJ-2019-A</t>
        </is>
      </c>
      <c r="B183" s="10" t="inlineStr">
        <is>
          <t>位置合わせ(MS学習値)／月内均等</t>
        </is>
      </c>
      <c r="C183" s="10" t="inlineStr">
        <is>
          <t>2021-11</t>
        </is>
      </c>
      <c r="D183" s="10" t="n">
        <v>32</v>
      </c>
      <c r="E183" s="12" t="n">
        <v>8543.9</v>
      </c>
      <c r="F183" s="12" t="n">
        <v>9371.200000000001</v>
      </c>
      <c r="G183" s="12" t="n">
        <v>-827.3</v>
      </c>
      <c r="H183" s="13" t="n">
        <v>0.9379999999999999</v>
      </c>
      <c r="I183" s="13" t="n">
        <v>0.9496</v>
      </c>
    </row>
    <row r="184">
      <c r="A184" s="10" t="inlineStr">
        <is>
          <t>PJ-2019-A</t>
        </is>
      </c>
      <c r="B184" s="10" t="inlineStr">
        <is>
          <t>位置合わせ(MS学習値)／月内均等</t>
        </is>
      </c>
      <c r="C184" s="10" t="inlineStr">
        <is>
          <t>2021-12</t>
        </is>
      </c>
      <c r="D184" s="10" t="n">
        <v>33</v>
      </c>
      <c r="E184" s="12" t="n">
        <v>8105.6</v>
      </c>
      <c r="F184" s="12" t="n">
        <v>9266</v>
      </c>
      <c r="G184" s="12" t="n">
        <v>-1160.4</v>
      </c>
      <c r="H184" s="13" t="n">
        <v>0.9594</v>
      </c>
      <c r="I184" s="13" t="n">
        <v>0.974</v>
      </c>
    </row>
    <row r="185">
      <c r="A185" s="10" t="inlineStr">
        <is>
          <t>PJ-2019-A</t>
        </is>
      </c>
      <c r="B185" s="10" t="inlineStr">
        <is>
          <t>位置合わせ(MS学習値)／月内均等</t>
        </is>
      </c>
      <c r="C185" s="10" t="inlineStr">
        <is>
          <t>2022-01</t>
        </is>
      </c>
      <c r="D185" s="10" t="n">
        <v>34</v>
      </c>
      <c r="E185" s="12" t="n">
        <v>7077.6</v>
      </c>
      <c r="F185" s="12" t="n">
        <v>5982.7</v>
      </c>
      <c r="G185" s="12" t="n">
        <v>1094.9</v>
      </c>
      <c r="H185" s="13" t="n">
        <v>0.978</v>
      </c>
      <c r="I185" s="13" t="n">
        <v>0.9898</v>
      </c>
    </row>
    <row r="186">
      <c r="A186" s="10" t="inlineStr">
        <is>
          <t>PJ-2019-A</t>
        </is>
      </c>
      <c r="B186" s="10" t="inlineStr">
        <is>
          <t>位置合わせ(MS学習値)／月内均等</t>
        </is>
      </c>
      <c r="C186" s="10" t="inlineStr">
        <is>
          <t>2022-02</t>
        </is>
      </c>
      <c r="D186" s="10" t="n">
        <v>35</v>
      </c>
      <c r="E186" s="12" t="n">
        <v>4733.4</v>
      </c>
      <c r="F186" s="12" t="n">
        <v>2863</v>
      </c>
      <c r="G186" s="12" t="n">
        <v>1870.4</v>
      </c>
      <c r="H186" s="13" t="n">
        <v>0.9905</v>
      </c>
      <c r="I186" s="13" t="n">
        <v>0.9973</v>
      </c>
    </row>
    <row r="187">
      <c r="A187" s="10" t="inlineStr">
        <is>
          <t>PJ-2019-A</t>
        </is>
      </c>
      <c r="B187" s="10" t="inlineStr">
        <is>
          <t>位置合わせ(MS学習値)／月内均等</t>
        </is>
      </c>
      <c r="C187" s="10" t="inlineStr">
        <is>
          <t>2022-03</t>
        </is>
      </c>
      <c r="D187" s="10" t="n">
        <v>36</v>
      </c>
      <c r="E187" s="12" t="n">
        <v>3607.6</v>
      </c>
      <c r="F187" s="12" t="n">
        <v>1019.3</v>
      </c>
      <c r="G187" s="12" t="n">
        <v>2588.3</v>
      </c>
      <c r="H187" s="13" t="n">
        <v>1</v>
      </c>
      <c r="I187" s="13" t="n">
        <v>1</v>
      </c>
    </row>
    <row r="188">
      <c r="A188" s="10" t="inlineStr">
        <is>
          <t>PJ-2019-A</t>
        </is>
      </c>
      <c r="B188" s="10" t="inlineStr">
        <is>
          <t>位置合わせ(MS指定)／月内均等</t>
        </is>
      </c>
      <c r="C188" s="10" t="inlineStr">
        <is>
          <t>2019-04</t>
        </is>
      </c>
      <c r="D188" s="10" t="n">
        <v>1</v>
      </c>
      <c r="E188" s="12" t="n">
        <v>3938.7</v>
      </c>
      <c r="F188" s="12" t="n">
        <v>3071.8</v>
      </c>
      <c r="G188" s="12" t="n">
        <v>866.9</v>
      </c>
      <c r="H188" s="13" t="n">
        <v>0.0104</v>
      </c>
      <c r="I188" s="13" t="n">
        <v>0.0081</v>
      </c>
    </row>
    <row r="189">
      <c r="A189" s="10" t="inlineStr">
        <is>
          <t>PJ-2019-A</t>
        </is>
      </c>
      <c r="B189" s="10" t="inlineStr">
        <is>
          <t>位置合わせ(MS指定)／月内均等</t>
        </is>
      </c>
      <c r="C189" s="10" t="inlineStr">
        <is>
          <t>2019-05</t>
        </is>
      </c>
      <c r="D189" s="10" t="n">
        <v>2</v>
      </c>
      <c r="E189" s="12" t="n">
        <v>4426</v>
      </c>
      <c r="F189" s="12" t="n">
        <v>5541.4</v>
      </c>
      <c r="G189" s="12" t="n">
        <v>-1115.4</v>
      </c>
      <c r="H189" s="13" t="n">
        <v>0.022</v>
      </c>
      <c r="I189" s="13" t="n">
        <v>0.0227</v>
      </c>
    </row>
    <row r="190">
      <c r="A190" s="10" t="inlineStr">
        <is>
          <t>PJ-2019-A</t>
        </is>
      </c>
      <c r="B190" s="10" t="inlineStr">
        <is>
          <t>位置合わせ(MS指定)／月内均等</t>
        </is>
      </c>
      <c r="C190" s="10" t="inlineStr">
        <is>
          <t>2019-06</t>
        </is>
      </c>
      <c r="D190" s="10" t="n">
        <v>3</v>
      </c>
      <c r="E190" s="12" t="n">
        <v>5112.8</v>
      </c>
      <c r="F190" s="12" t="n">
        <v>6929.4</v>
      </c>
      <c r="G190" s="12" t="n">
        <v>-1816.6</v>
      </c>
      <c r="H190" s="13" t="n">
        <v>0.0355</v>
      </c>
      <c r="I190" s="13" t="n">
        <v>0.0409</v>
      </c>
    </row>
    <row r="191">
      <c r="A191" s="10" t="inlineStr">
        <is>
          <t>PJ-2019-A</t>
        </is>
      </c>
      <c r="B191" s="10" t="inlineStr">
        <is>
          <t>位置合わせ(MS指定)／月内均等</t>
        </is>
      </c>
      <c r="C191" s="10" t="inlineStr">
        <is>
          <t>2019-07</t>
        </is>
      </c>
      <c r="D191" s="10" t="n">
        <v>4</v>
      </c>
      <c r="E191" s="12" t="n">
        <v>5436</v>
      </c>
      <c r="F191" s="12" t="n">
        <v>8197.200000000001</v>
      </c>
      <c r="G191" s="12" t="n">
        <v>-2761.2</v>
      </c>
      <c r="H191" s="13" t="n">
        <v>0.0498</v>
      </c>
      <c r="I191" s="13" t="n">
        <v>0.0625</v>
      </c>
    </row>
    <row r="192">
      <c r="A192" s="10" t="inlineStr">
        <is>
          <t>PJ-2019-A</t>
        </is>
      </c>
      <c r="B192" s="10" t="inlineStr">
        <is>
          <t>位置合わせ(MS指定)／月内均等</t>
        </is>
      </c>
      <c r="C192" s="10" t="inlineStr">
        <is>
          <t>2019-08</t>
        </is>
      </c>
      <c r="D192" s="10" t="n">
        <v>5</v>
      </c>
      <c r="E192" s="12" t="n">
        <v>5962</v>
      </c>
      <c r="F192" s="12" t="n">
        <v>9127.4</v>
      </c>
      <c r="G192" s="12" t="n">
        <v>-3165.4</v>
      </c>
      <c r="H192" s="13" t="n">
        <v>0.0655</v>
      </c>
      <c r="I192" s="13" t="n">
        <v>0.0866</v>
      </c>
    </row>
    <row r="193">
      <c r="A193" s="10" t="inlineStr">
        <is>
          <t>PJ-2019-A</t>
        </is>
      </c>
      <c r="B193" s="10" t="inlineStr">
        <is>
          <t>位置合わせ(MS指定)／月内均等</t>
        </is>
      </c>
      <c r="C193" s="10" t="inlineStr">
        <is>
          <t>2019-09</t>
        </is>
      </c>
      <c r="D193" s="10" t="n">
        <v>6</v>
      </c>
      <c r="E193" s="12" t="n">
        <v>6140.6</v>
      </c>
      <c r="F193" s="12" t="n">
        <v>9824.700000000001</v>
      </c>
      <c r="G193" s="12" t="n">
        <v>-3684.1</v>
      </c>
      <c r="H193" s="13" t="n">
        <v>0.08169999999999999</v>
      </c>
      <c r="I193" s="13" t="n">
        <v>0.1125</v>
      </c>
    </row>
    <row r="194">
      <c r="A194" s="10" t="inlineStr">
        <is>
          <t>PJ-2019-A</t>
        </is>
      </c>
      <c r="B194" s="10" t="inlineStr">
        <is>
          <t>位置合わせ(MS指定)／月内均等</t>
        </is>
      </c>
      <c r="C194" s="10" t="inlineStr">
        <is>
          <t>2019-10</t>
        </is>
      </c>
      <c r="D194" s="10" t="n">
        <v>7</v>
      </c>
      <c r="E194" s="12" t="n">
        <v>6694.6</v>
      </c>
      <c r="F194" s="12" t="n">
        <v>7570.4</v>
      </c>
      <c r="G194" s="12" t="n">
        <v>-875.8</v>
      </c>
      <c r="H194" s="13" t="n">
        <v>0.0994</v>
      </c>
      <c r="I194" s="13" t="n">
        <v>0.1324</v>
      </c>
    </row>
    <row r="195">
      <c r="A195" s="10" t="inlineStr">
        <is>
          <t>PJ-2019-A</t>
        </is>
      </c>
      <c r="B195" s="10" t="inlineStr">
        <is>
          <t>位置合わせ(MS指定)／月内均等</t>
        </is>
      </c>
      <c r="C195" s="10" t="inlineStr">
        <is>
          <t>2019-11</t>
        </is>
      </c>
      <c r="D195" s="10" t="n">
        <v>8</v>
      </c>
      <c r="E195" s="12" t="n">
        <v>6838.2</v>
      </c>
      <c r="F195" s="12" t="n">
        <v>7669.4</v>
      </c>
      <c r="G195" s="12" t="n">
        <v>-831.2</v>
      </c>
      <c r="H195" s="13" t="n">
        <v>0.1174</v>
      </c>
      <c r="I195" s="13" t="n">
        <v>0.1526</v>
      </c>
    </row>
    <row r="196">
      <c r="A196" s="10" t="inlineStr">
        <is>
          <t>PJ-2019-A</t>
        </is>
      </c>
      <c r="B196" s="10" t="inlineStr">
        <is>
          <t>位置合わせ(MS指定)／月内均等</t>
        </is>
      </c>
      <c r="C196" s="10" t="inlineStr">
        <is>
          <t>2019-12</t>
        </is>
      </c>
      <c r="D196" s="10" t="n">
        <v>9</v>
      </c>
      <c r="E196" s="12" t="n">
        <v>7440.5</v>
      </c>
      <c r="F196" s="12" t="n">
        <v>7989.5</v>
      </c>
      <c r="G196" s="12" t="n">
        <v>-549</v>
      </c>
      <c r="H196" s="13" t="n">
        <v>0.137</v>
      </c>
      <c r="I196" s="13" t="n">
        <v>0.1737</v>
      </c>
    </row>
    <row r="197">
      <c r="A197" s="10" t="inlineStr">
        <is>
          <t>PJ-2019-A</t>
        </is>
      </c>
      <c r="B197" s="10" t="inlineStr">
        <is>
          <t>位置合わせ(MS指定)／月内均等</t>
        </is>
      </c>
      <c r="C197" s="10" t="inlineStr">
        <is>
          <t>2020-01</t>
        </is>
      </c>
      <c r="D197" s="10" t="n">
        <v>10</v>
      </c>
      <c r="E197" s="12" t="n">
        <v>8139.7</v>
      </c>
      <c r="F197" s="12" t="n">
        <v>8507.5</v>
      </c>
      <c r="G197" s="12" t="n">
        <v>-367.8</v>
      </c>
      <c r="H197" s="13" t="n">
        <v>0.1584</v>
      </c>
      <c r="I197" s="13" t="n">
        <v>0.1961</v>
      </c>
    </row>
    <row r="198">
      <c r="A198" s="10" t="inlineStr">
        <is>
          <t>PJ-2019-A</t>
        </is>
      </c>
      <c r="B198" s="10" t="inlineStr">
        <is>
          <t>位置合わせ(MS指定)／月内均等</t>
        </is>
      </c>
      <c r="C198" s="10" t="inlineStr">
        <is>
          <t>2020-02</t>
        </is>
      </c>
      <c r="D198" s="10" t="n">
        <v>11</v>
      </c>
      <c r="E198" s="12" t="n">
        <v>8063.1</v>
      </c>
      <c r="F198" s="12" t="n">
        <v>8132.8</v>
      </c>
      <c r="G198" s="12" t="n">
        <v>-69.7</v>
      </c>
      <c r="H198" s="13" t="n">
        <v>0.1797</v>
      </c>
      <c r="I198" s="13" t="n">
        <v>0.2175</v>
      </c>
    </row>
    <row r="199">
      <c r="A199" s="10" t="inlineStr">
        <is>
          <t>PJ-2019-A</t>
        </is>
      </c>
      <c r="B199" s="10" t="inlineStr">
        <is>
          <t>位置合わせ(MS指定)／月内均等</t>
        </is>
      </c>
      <c r="C199" s="10" t="inlineStr">
        <is>
          <t>2020-03</t>
        </is>
      </c>
      <c r="D199" s="10" t="n">
        <v>12</v>
      </c>
      <c r="E199" s="12" t="n">
        <v>9545.299999999999</v>
      </c>
      <c r="F199" s="12" t="n">
        <v>9311.5</v>
      </c>
      <c r="G199" s="12" t="n">
        <v>233.8</v>
      </c>
      <c r="H199" s="13" t="n">
        <v>0.2048</v>
      </c>
      <c r="I199" s="13" t="n">
        <v>0.2421</v>
      </c>
    </row>
    <row r="200">
      <c r="A200" s="10" t="inlineStr">
        <is>
          <t>PJ-2019-A</t>
        </is>
      </c>
      <c r="B200" s="10" t="inlineStr">
        <is>
          <t>位置合わせ(MS指定)／月内均等</t>
        </is>
      </c>
      <c r="C200" s="10" t="inlineStr">
        <is>
          <t>2020-04</t>
        </is>
      </c>
      <c r="D200" s="10" t="n">
        <v>13</v>
      </c>
      <c r="E200" s="12" t="n">
        <v>10384.8</v>
      </c>
      <c r="F200" s="12" t="n">
        <v>9039.6</v>
      </c>
      <c r="G200" s="12" t="n">
        <v>1345.2</v>
      </c>
      <c r="H200" s="13" t="n">
        <v>0.2322</v>
      </c>
      <c r="I200" s="13" t="n">
        <v>0.2659</v>
      </c>
    </row>
    <row r="201">
      <c r="A201" s="10" t="inlineStr">
        <is>
          <t>PJ-2019-A</t>
        </is>
      </c>
      <c r="B201" s="10" t="inlineStr">
        <is>
          <t>位置合わせ(MS指定)／月内均等</t>
        </is>
      </c>
      <c r="C201" s="10" t="inlineStr">
        <is>
          <t>2020-05</t>
        </is>
      </c>
      <c r="D201" s="10" t="n">
        <v>14</v>
      </c>
      <c r="E201" s="12" t="n">
        <v>11532.8</v>
      </c>
      <c r="F201" s="12" t="n">
        <v>9635.799999999999</v>
      </c>
      <c r="G201" s="12" t="n">
        <v>1897</v>
      </c>
      <c r="H201" s="13" t="n">
        <v>0.2626</v>
      </c>
      <c r="I201" s="13" t="n">
        <v>0.2913</v>
      </c>
    </row>
    <row r="202">
      <c r="A202" s="10" t="inlineStr">
        <is>
          <t>PJ-2019-A</t>
        </is>
      </c>
      <c r="B202" s="10" t="inlineStr">
        <is>
          <t>位置合わせ(MS指定)／月内均等</t>
        </is>
      </c>
      <c r="C202" s="10" t="inlineStr">
        <is>
          <t>2020-06</t>
        </is>
      </c>
      <c r="D202" s="10" t="n">
        <v>15</v>
      </c>
      <c r="E202" s="12" t="n">
        <v>11698.2</v>
      </c>
      <c r="F202" s="12" t="n">
        <v>10344.9</v>
      </c>
      <c r="G202" s="12" t="n">
        <v>1353.3</v>
      </c>
      <c r="H202" s="13" t="n">
        <v>0.2934</v>
      </c>
      <c r="I202" s="13" t="n">
        <v>0.3185</v>
      </c>
    </row>
    <row r="203">
      <c r="A203" s="10" t="inlineStr">
        <is>
          <t>PJ-2019-A</t>
        </is>
      </c>
      <c r="B203" s="10" t="inlineStr">
        <is>
          <t>位置合わせ(MS指定)／月内均等</t>
        </is>
      </c>
      <c r="C203" s="10" t="inlineStr">
        <is>
          <t>2020-07</t>
        </is>
      </c>
      <c r="D203" s="10" t="n">
        <v>16</v>
      </c>
      <c r="E203" s="12" t="n">
        <v>12617.9</v>
      </c>
      <c r="F203" s="12" t="n">
        <v>11426.7</v>
      </c>
      <c r="G203" s="12" t="n">
        <v>1191.2</v>
      </c>
      <c r="H203" s="13" t="n">
        <v>0.3266</v>
      </c>
      <c r="I203" s="13" t="n">
        <v>0.3486</v>
      </c>
    </row>
    <row r="204">
      <c r="A204" s="10" t="inlineStr">
        <is>
          <t>PJ-2019-A</t>
        </is>
      </c>
      <c r="B204" s="10" t="inlineStr">
        <is>
          <t>位置合わせ(MS指定)／月内均等</t>
        </is>
      </c>
      <c r="C204" s="10" t="inlineStr">
        <is>
          <t>2020-08</t>
        </is>
      </c>
      <c r="D204" s="10" t="n">
        <v>17</v>
      </c>
      <c r="E204" s="12" t="n">
        <v>13406.2</v>
      </c>
      <c r="F204" s="12" t="n">
        <v>12271.1</v>
      </c>
      <c r="G204" s="12" t="n">
        <v>1135.1</v>
      </c>
      <c r="H204" s="13" t="n">
        <v>0.3619</v>
      </c>
      <c r="I204" s="13" t="n">
        <v>0.3809</v>
      </c>
    </row>
    <row r="205">
      <c r="A205" s="10" t="inlineStr">
        <is>
          <t>PJ-2019-A</t>
        </is>
      </c>
      <c r="B205" s="10" t="inlineStr">
        <is>
          <t>位置合わせ(MS指定)／月内均等</t>
        </is>
      </c>
      <c r="C205" s="10" t="inlineStr">
        <is>
          <t>2020-09</t>
        </is>
      </c>
      <c r="D205" s="10" t="n">
        <v>18</v>
      </c>
      <c r="E205" s="12" t="n">
        <v>13839</v>
      </c>
      <c r="F205" s="12" t="n">
        <v>12547.9</v>
      </c>
      <c r="G205" s="12" t="n">
        <v>1291.1</v>
      </c>
      <c r="H205" s="13" t="n">
        <v>0.3984</v>
      </c>
      <c r="I205" s="13" t="n">
        <v>0.414</v>
      </c>
    </row>
    <row r="206">
      <c r="A206" s="10" t="inlineStr">
        <is>
          <t>PJ-2019-A</t>
        </is>
      </c>
      <c r="B206" s="10" t="inlineStr">
        <is>
          <t>位置合わせ(MS指定)／月内均等</t>
        </is>
      </c>
      <c r="C206" s="10" t="inlineStr">
        <is>
          <t>2020-10</t>
        </is>
      </c>
      <c r="D206" s="10" t="n">
        <v>19</v>
      </c>
      <c r="E206" s="12" t="n">
        <v>14896.9</v>
      </c>
      <c r="F206" s="12" t="n">
        <v>14214.2</v>
      </c>
      <c r="G206" s="12" t="n">
        <v>682.7</v>
      </c>
      <c r="H206" s="13" t="n">
        <v>0.4376</v>
      </c>
      <c r="I206" s="13" t="n">
        <v>0.4515</v>
      </c>
    </row>
    <row r="207">
      <c r="A207" s="10" t="inlineStr">
        <is>
          <t>PJ-2019-A</t>
        </is>
      </c>
      <c r="B207" s="10" t="inlineStr">
        <is>
          <t>位置合わせ(MS指定)／月内均等</t>
        </is>
      </c>
      <c r="C207" s="10" t="inlineStr">
        <is>
          <t>2020-11</t>
        </is>
      </c>
      <c r="D207" s="10" t="n">
        <v>20</v>
      </c>
      <c r="E207" s="12" t="n">
        <v>13339.7</v>
      </c>
      <c r="F207" s="12" t="n">
        <v>16661.4</v>
      </c>
      <c r="G207" s="12" t="n">
        <v>-3321.7</v>
      </c>
      <c r="H207" s="13" t="n">
        <v>0.4728</v>
      </c>
      <c r="I207" s="13" t="n">
        <v>0.4953</v>
      </c>
    </row>
    <row r="208">
      <c r="A208" s="10" t="inlineStr">
        <is>
          <t>PJ-2019-A</t>
        </is>
      </c>
      <c r="B208" s="10" t="inlineStr">
        <is>
          <t>位置合わせ(MS指定)／月内均等</t>
        </is>
      </c>
      <c r="C208" s="10" t="inlineStr">
        <is>
          <t>2020-12</t>
        </is>
      </c>
      <c r="D208" s="10" t="n">
        <v>21</v>
      </c>
      <c r="E208" s="12" t="n">
        <v>13658.7</v>
      </c>
      <c r="F208" s="12" t="n">
        <v>15314.9</v>
      </c>
      <c r="G208" s="12" t="n">
        <v>-1656.2</v>
      </c>
      <c r="H208" s="13" t="n">
        <v>0.5088</v>
      </c>
      <c r="I208" s="13" t="n">
        <v>0.5357</v>
      </c>
    </row>
    <row r="209">
      <c r="A209" s="10" t="inlineStr">
        <is>
          <t>PJ-2019-A</t>
        </is>
      </c>
      <c r="B209" s="10" t="inlineStr">
        <is>
          <t>位置合わせ(MS指定)／月内均等</t>
        </is>
      </c>
      <c r="C209" s="10" t="inlineStr">
        <is>
          <t>2021-01</t>
        </is>
      </c>
      <c r="D209" s="10" t="n">
        <v>22</v>
      </c>
      <c r="E209" s="12" t="n">
        <v>13477.1</v>
      </c>
      <c r="F209" s="12" t="n">
        <v>13490.4</v>
      </c>
      <c r="G209" s="12" t="n">
        <v>-13.3</v>
      </c>
      <c r="H209" s="13" t="n">
        <v>0.5443</v>
      </c>
      <c r="I209" s="13" t="n">
        <v>0.5712</v>
      </c>
    </row>
    <row r="210">
      <c r="A210" s="10" t="inlineStr">
        <is>
          <t>PJ-2019-A</t>
        </is>
      </c>
      <c r="B210" s="10" t="inlineStr">
        <is>
          <t>位置合わせ(MS指定)／月内均等</t>
        </is>
      </c>
      <c r="C210" s="10" t="inlineStr">
        <is>
          <t>2021-02</t>
        </is>
      </c>
      <c r="D210" s="10" t="n">
        <v>23</v>
      </c>
      <c r="E210" s="12" t="n">
        <v>12338.8</v>
      </c>
      <c r="F210" s="12" t="n">
        <v>11965.7</v>
      </c>
      <c r="G210" s="12" t="n">
        <v>373.1</v>
      </c>
      <c r="H210" s="13" t="n">
        <v>0.5768</v>
      </c>
      <c r="I210" s="13" t="n">
        <v>0.6028</v>
      </c>
    </row>
    <row r="211">
      <c r="A211" s="10" t="inlineStr">
        <is>
          <t>PJ-2019-A</t>
        </is>
      </c>
      <c r="B211" s="10" t="inlineStr">
        <is>
          <t>位置合わせ(MS指定)／月内均等</t>
        </is>
      </c>
      <c r="C211" s="10" t="inlineStr">
        <is>
          <t>2021-03</t>
        </is>
      </c>
      <c r="D211" s="10" t="n">
        <v>24</v>
      </c>
      <c r="E211" s="12" t="n">
        <v>13705.8</v>
      </c>
      <c r="F211" s="12" t="n">
        <v>12853.7</v>
      </c>
      <c r="G211" s="12" t="n">
        <v>852.1</v>
      </c>
      <c r="H211" s="13" t="n">
        <v>0.6129</v>
      </c>
      <c r="I211" s="13" t="n">
        <v>0.6366000000000001</v>
      </c>
    </row>
    <row r="212">
      <c r="A212" s="10" t="inlineStr">
        <is>
          <t>PJ-2019-A</t>
        </is>
      </c>
      <c r="B212" s="10" t="inlineStr">
        <is>
          <t>位置合わせ(MS指定)／月内均等</t>
        </is>
      </c>
      <c r="C212" s="10" t="inlineStr">
        <is>
          <t>2021-04</t>
        </is>
      </c>
      <c r="D212" s="10" t="n">
        <v>25</v>
      </c>
      <c r="E212" s="12" t="n">
        <v>13255.1</v>
      </c>
      <c r="F212" s="12" t="n">
        <v>12825.4</v>
      </c>
      <c r="G212" s="12" t="n">
        <v>429.7</v>
      </c>
      <c r="H212" s="13" t="n">
        <v>0.6478</v>
      </c>
      <c r="I212" s="13" t="n">
        <v>0.6704</v>
      </c>
    </row>
    <row r="213">
      <c r="A213" s="10" t="inlineStr">
        <is>
          <t>PJ-2019-A</t>
        </is>
      </c>
      <c r="B213" s="10" t="inlineStr">
        <is>
          <t>位置合わせ(MS指定)／月内均等</t>
        </is>
      </c>
      <c r="C213" s="10" t="inlineStr">
        <is>
          <t>2021-05</t>
        </is>
      </c>
      <c r="D213" s="10" t="n">
        <v>26</v>
      </c>
      <c r="E213" s="12" t="n">
        <v>14035.1</v>
      </c>
      <c r="F213" s="12" t="n">
        <v>13976.5</v>
      </c>
      <c r="G213" s="12" t="n">
        <v>58.6</v>
      </c>
      <c r="H213" s="13" t="n">
        <v>0.6848</v>
      </c>
      <c r="I213" s="13" t="n">
        <v>0.7072000000000001</v>
      </c>
    </row>
    <row r="214">
      <c r="A214" s="10" t="inlineStr">
        <is>
          <t>PJ-2019-A</t>
        </is>
      </c>
      <c r="B214" s="10" t="inlineStr">
        <is>
          <t>位置合わせ(MS指定)／月内均等</t>
        </is>
      </c>
      <c r="C214" s="10" t="inlineStr">
        <is>
          <t>2021-06</t>
        </is>
      </c>
      <c r="D214" s="10" t="n">
        <v>27</v>
      </c>
      <c r="E214" s="12" t="n">
        <v>13601.5</v>
      </c>
      <c r="F214" s="12" t="n">
        <v>14724.1</v>
      </c>
      <c r="G214" s="12" t="n">
        <v>-1122.6</v>
      </c>
      <c r="H214" s="13" t="n">
        <v>0.7206</v>
      </c>
      <c r="I214" s="13" t="n">
        <v>0.746</v>
      </c>
    </row>
    <row r="215">
      <c r="A215" s="10" t="inlineStr">
        <is>
          <t>PJ-2019-A</t>
        </is>
      </c>
      <c r="B215" s="10" t="inlineStr">
        <is>
          <t>位置合わせ(MS指定)／月内均等</t>
        </is>
      </c>
      <c r="C215" s="10" t="inlineStr">
        <is>
          <t>2021-07</t>
        </is>
      </c>
      <c r="D215" s="10" t="n">
        <v>28</v>
      </c>
      <c r="E215" s="12" t="n">
        <v>14058.9</v>
      </c>
      <c r="F215" s="12" t="n">
        <v>17311.9</v>
      </c>
      <c r="G215" s="12" t="n">
        <v>-3253</v>
      </c>
      <c r="H215" s="13" t="n">
        <v>0.7577</v>
      </c>
      <c r="I215" s="13" t="n">
        <v>0.7916</v>
      </c>
    </row>
    <row r="216">
      <c r="A216" s="10" t="inlineStr">
        <is>
          <t>PJ-2019-A</t>
        </is>
      </c>
      <c r="B216" s="10" t="inlineStr">
        <is>
          <t>位置合わせ(MS指定)／月内均等</t>
        </is>
      </c>
      <c r="C216" s="10" t="inlineStr">
        <is>
          <t>2021-08</t>
        </is>
      </c>
      <c r="D216" s="10" t="n">
        <v>29</v>
      </c>
      <c r="E216" s="12" t="n">
        <v>17894.8</v>
      </c>
      <c r="F216" s="12" t="n">
        <v>19848.8</v>
      </c>
      <c r="G216" s="12" t="n">
        <v>-1954</v>
      </c>
      <c r="H216" s="13" t="n">
        <v>0.8048</v>
      </c>
      <c r="I216" s="13" t="n">
        <v>0.8439</v>
      </c>
    </row>
    <row r="217">
      <c r="A217" s="10" t="inlineStr">
        <is>
          <t>PJ-2019-A</t>
        </is>
      </c>
      <c r="B217" s="10" t="inlineStr">
        <is>
          <t>位置合わせ(MS指定)／月内均等</t>
        </is>
      </c>
      <c r="C217" s="10" t="inlineStr">
        <is>
          <t>2021-09</t>
        </is>
      </c>
      <c r="D217" s="10" t="n">
        <v>30</v>
      </c>
      <c r="E217" s="12" t="n">
        <v>17534.1</v>
      </c>
      <c r="F217" s="12" t="n">
        <v>17282.1</v>
      </c>
      <c r="G217" s="12" t="n">
        <v>252</v>
      </c>
      <c r="H217" s="13" t="n">
        <v>0.851</v>
      </c>
      <c r="I217" s="13" t="n">
        <v>0.8895</v>
      </c>
    </row>
    <row r="218">
      <c r="A218" s="10" t="inlineStr">
        <is>
          <t>PJ-2019-A</t>
        </is>
      </c>
      <c r="B218" s="10" t="inlineStr">
        <is>
          <t>位置合わせ(MS指定)／月内均等</t>
        </is>
      </c>
      <c r="C218" s="10" t="inlineStr">
        <is>
          <t>2021-10</t>
        </is>
      </c>
      <c r="D218" s="10" t="n">
        <v>31</v>
      </c>
      <c r="E218" s="12" t="n">
        <v>16036.8</v>
      </c>
      <c r="F218" s="12" t="n">
        <v>13450.6</v>
      </c>
      <c r="G218" s="12" t="n">
        <v>2586.2</v>
      </c>
      <c r="H218" s="13" t="n">
        <v>0.8933</v>
      </c>
      <c r="I218" s="13" t="n">
        <v>0.9249000000000001</v>
      </c>
    </row>
    <row r="219">
      <c r="A219" s="10" t="inlineStr">
        <is>
          <t>PJ-2019-A</t>
        </is>
      </c>
      <c r="B219" s="10" t="inlineStr">
        <is>
          <t>位置合わせ(MS指定)／月内均等</t>
        </is>
      </c>
      <c r="C219" s="10" t="inlineStr">
        <is>
          <t>2021-11</t>
        </is>
      </c>
      <c r="D219" s="10" t="n">
        <v>32</v>
      </c>
      <c r="E219" s="12" t="n">
        <v>13371.1</v>
      </c>
      <c r="F219" s="12" t="n">
        <v>9371.200000000001</v>
      </c>
      <c r="G219" s="12" t="n">
        <v>3999.9</v>
      </c>
      <c r="H219" s="13" t="n">
        <v>0.9285</v>
      </c>
      <c r="I219" s="13" t="n">
        <v>0.9496</v>
      </c>
    </row>
    <row r="220">
      <c r="A220" s="10" t="inlineStr">
        <is>
          <t>PJ-2019-A</t>
        </is>
      </c>
      <c r="B220" s="10" t="inlineStr">
        <is>
          <t>位置合わせ(MS指定)／月内均等</t>
        </is>
      </c>
      <c r="C220" s="10" t="inlineStr">
        <is>
          <t>2021-12</t>
        </is>
      </c>
      <c r="D220" s="10" t="n">
        <v>33</v>
      </c>
      <c r="E220" s="12" t="n">
        <v>11862.9</v>
      </c>
      <c r="F220" s="12" t="n">
        <v>9266</v>
      </c>
      <c r="G220" s="12" t="n">
        <v>2596.9</v>
      </c>
      <c r="H220" s="13" t="n">
        <v>0.9598</v>
      </c>
      <c r="I220" s="13" t="n">
        <v>0.974</v>
      </c>
    </row>
    <row r="221">
      <c r="A221" s="10" t="inlineStr">
        <is>
          <t>PJ-2019-A</t>
        </is>
      </c>
      <c r="B221" s="10" t="inlineStr">
        <is>
          <t>位置合わせ(MS指定)／月内均等</t>
        </is>
      </c>
      <c r="C221" s="10" t="inlineStr">
        <is>
          <t>2022-01</t>
        </is>
      </c>
      <c r="D221" s="10" t="n">
        <v>34</v>
      </c>
      <c r="E221" s="12" t="n">
        <v>7101.6</v>
      </c>
      <c r="F221" s="12" t="n">
        <v>5982.7</v>
      </c>
      <c r="G221" s="12" t="n">
        <v>1118.9</v>
      </c>
      <c r="H221" s="13" t="n">
        <v>0.9785</v>
      </c>
      <c r="I221" s="13" t="n">
        <v>0.9898</v>
      </c>
    </row>
    <row r="222">
      <c r="A222" s="10" t="inlineStr">
        <is>
          <t>PJ-2019-A</t>
        </is>
      </c>
      <c r="B222" s="10" t="inlineStr">
        <is>
          <t>位置合わせ(MS指定)／月内均等</t>
        </is>
      </c>
      <c r="C222" s="10" t="inlineStr">
        <is>
          <t>2022-02</t>
        </is>
      </c>
      <c r="D222" s="10" t="n">
        <v>35</v>
      </c>
      <c r="E222" s="12" t="n">
        <v>4637.5</v>
      </c>
      <c r="F222" s="12" t="n">
        <v>2863</v>
      </c>
      <c r="G222" s="12" t="n">
        <v>1774.5</v>
      </c>
      <c r="H222" s="13" t="n">
        <v>0.9907</v>
      </c>
      <c r="I222" s="13" t="n">
        <v>0.9973</v>
      </c>
    </row>
    <row r="223">
      <c r="A223" s="10" t="inlineStr">
        <is>
          <t>PJ-2019-A</t>
        </is>
      </c>
      <c r="B223" s="10" t="inlineStr">
        <is>
          <t>位置合わせ(MS指定)／月内均等</t>
        </is>
      </c>
      <c r="C223" s="10" t="inlineStr">
        <is>
          <t>2022-03</t>
        </is>
      </c>
      <c r="D223" s="10" t="n">
        <v>36</v>
      </c>
      <c r="E223" s="12" t="n">
        <v>3538</v>
      </c>
      <c r="F223" s="12" t="n">
        <v>1019.3</v>
      </c>
      <c r="G223" s="12" t="n">
        <v>2518.7</v>
      </c>
      <c r="H223" s="13" t="n">
        <v>1</v>
      </c>
      <c r="I223" s="13" t="n">
        <v>1</v>
      </c>
    </row>
    <row r="224">
      <c r="A224" s="10" t="inlineStr">
        <is>
          <t>PJ-2019-A</t>
        </is>
      </c>
      <c r="B224" s="10" t="inlineStr">
        <is>
          <t>素朴版／単調補間</t>
        </is>
      </c>
      <c r="C224" s="10" t="inlineStr">
        <is>
          <t>2019-04</t>
        </is>
      </c>
      <c r="D224" s="10" t="n">
        <v>1</v>
      </c>
      <c r="E224" s="12" t="n">
        <v>3955.2</v>
      </c>
      <c r="F224" s="12" t="n">
        <v>3071.8</v>
      </c>
      <c r="G224" s="12" t="n">
        <v>883.4</v>
      </c>
      <c r="H224" s="13" t="n">
        <v>0.0104</v>
      </c>
      <c r="I224" s="13" t="n">
        <v>0.0081</v>
      </c>
    </row>
    <row r="225">
      <c r="A225" s="10" t="inlineStr">
        <is>
          <t>PJ-2019-A</t>
        </is>
      </c>
      <c r="B225" s="10" t="inlineStr">
        <is>
          <t>素朴版／単調補間</t>
        </is>
      </c>
      <c r="C225" s="10" t="inlineStr">
        <is>
          <t>2019-05</t>
        </is>
      </c>
      <c r="D225" s="10" t="n">
        <v>2</v>
      </c>
      <c r="E225" s="12" t="n">
        <v>4793.2</v>
      </c>
      <c r="F225" s="12" t="n">
        <v>5541.4</v>
      </c>
      <c r="G225" s="12" t="n">
        <v>-748.2</v>
      </c>
      <c r="H225" s="13" t="n">
        <v>0.023</v>
      </c>
      <c r="I225" s="13" t="n">
        <v>0.0227</v>
      </c>
    </row>
    <row r="226">
      <c r="A226" s="10" t="inlineStr">
        <is>
          <t>PJ-2019-A</t>
        </is>
      </c>
      <c r="B226" s="10" t="inlineStr">
        <is>
          <t>素朴版／単調補間</t>
        </is>
      </c>
      <c r="C226" s="10" t="inlineStr">
        <is>
          <t>2019-06</t>
        </is>
      </c>
      <c r="D226" s="10" t="n">
        <v>3</v>
      </c>
      <c r="E226" s="12" t="n">
        <v>5272.7</v>
      </c>
      <c r="F226" s="12" t="n">
        <v>6929.4</v>
      </c>
      <c r="G226" s="12" t="n">
        <v>-1656.7</v>
      </c>
      <c r="H226" s="13" t="n">
        <v>0.0369</v>
      </c>
      <c r="I226" s="13" t="n">
        <v>0.0409</v>
      </c>
    </row>
    <row r="227">
      <c r="A227" s="10" t="inlineStr">
        <is>
          <t>PJ-2019-A</t>
        </is>
      </c>
      <c r="B227" s="10" t="inlineStr">
        <is>
          <t>素朴版／単調補間</t>
        </is>
      </c>
      <c r="C227" s="10" t="inlineStr">
        <is>
          <t>2019-07</t>
        </is>
      </c>
      <c r="D227" s="10" t="n">
        <v>4</v>
      </c>
      <c r="E227" s="12" t="n">
        <v>5999.8</v>
      </c>
      <c r="F227" s="12" t="n">
        <v>8197.200000000001</v>
      </c>
      <c r="G227" s="12" t="n">
        <v>-2197.4</v>
      </c>
      <c r="H227" s="13" t="n">
        <v>0.0527</v>
      </c>
      <c r="I227" s="13" t="n">
        <v>0.0625</v>
      </c>
    </row>
    <row r="228">
      <c r="A228" s="10" t="inlineStr">
        <is>
          <t>PJ-2019-A</t>
        </is>
      </c>
      <c r="B228" s="10" t="inlineStr">
        <is>
          <t>素朴版／単調補間</t>
        </is>
      </c>
      <c r="C228" s="10" t="inlineStr">
        <is>
          <t>2019-08</t>
        </is>
      </c>
      <c r="D228" s="10" t="n">
        <v>5</v>
      </c>
      <c r="E228" s="12" t="n">
        <v>6402.2</v>
      </c>
      <c r="F228" s="12" t="n">
        <v>9127.4</v>
      </c>
      <c r="G228" s="12" t="n">
        <v>-2725.2</v>
      </c>
      <c r="H228" s="13" t="n">
        <v>0.0696</v>
      </c>
      <c r="I228" s="13" t="n">
        <v>0.0866</v>
      </c>
    </row>
    <row r="229">
      <c r="A229" s="10" t="inlineStr">
        <is>
          <t>PJ-2019-A</t>
        </is>
      </c>
      <c r="B229" s="10" t="inlineStr">
        <is>
          <t>素朴版／単調補間</t>
        </is>
      </c>
      <c r="C229" s="10" t="inlineStr">
        <is>
          <t>2019-09</t>
        </is>
      </c>
      <c r="D229" s="10" t="n">
        <v>6</v>
      </c>
      <c r="E229" s="12" t="n">
        <v>6621.9</v>
      </c>
      <c r="F229" s="12" t="n">
        <v>9824.700000000001</v>
      </c>
      <c r="G229" s="12" t="n">
        <v>-3202.8</v>
      </c>
      <c r="H229" s="13" t="n">
        <v>0.0871</v>
      </c>
      <c r="I229" s="13" t="n">
        <v>0.1125</v>
      </c>
    </row>
    <row r="230">
      <c r="A230" s="10" t="inlineStr">
        <is>
          <t>PJ-2019-A</t>
        </is>
      </c>
      <c r="B230" s="10" t="inlineStr">
        <is>
          <t>素朴版／単調補間</t>
        </is>
      </c>
      <c r="C230" s="10" t="inlineStr">
        <is>
          <t>2019-10</t>
        </is>
      </c>
      <c r="D230" s="10" t="n">
        <v>7</v>
      </c>
      <c r="E230" s="12" t="n">
        <v>7262.9</v>
      </c>
      <c r="F230" s="12" t="n">
        <v>7570.4</v>
      </c>
      <c r="G230" s="12" t="n">
        <v>-307.5</v>
      </c>
      <c r="H230" s="13" t="n">
        <v>0.1062</v>
      </c>
      <c r="I230" s="13" t="n">
        <v>0.1324</v>
      </c>
    </row>
    <row r="231">
      <c r="A231" s="10" t="inlineStr">
        <is>
          <t>PJ-2019-A</t>
        </is>
      </c>
      <c r="B231" s="10" t="inlineStr">
        <is>
          <t>素朴版／単調補間</t>
        </is>
      </c>
      <c r="C231" s="10" t="inlineStr">
        <is>
          <t>2019-11</t>
        </is>
      </c>
      <c r="D231" s="10" t="n">
        <v>8</v>
      </c>
      <c r="E231" s="12" t="n">
        <v>7319.7</v>
      </c>
      <c r="F231" s="12" t="n">
        <v>7669.4</v>
      </c>
      <c r="G231" s="12" t="n">
        <v>-349.7</v>
      </c>
      <c r="H231" s="13" t="n">
        <v>0.1255</v>
      </c>
      <c r="I231" s="13" t="n">
        <v>0.1526</v>
      </c>
    </row>
    <row r="232">
      <c r="A232" s="10" t="inlineStr">
        <is>
          <t>PJ-2019-A</t>
        </is>
      </c>
      <c r="B232" s="10" t="inlineStr">
        <is>
          <t>素朴版／単調補間</t>
        </is>
      </c>
      <c r="C232" s="10" t="inlineStr">
        <is>
          <t>2019-12</t>
        </is>
      </c>
      <c r="D232" s="10" t="n">
        <v>9</v>
      </c>
      <c r="E232" s="12" t="n">
        <v>8322</v>
      </c>
      <c r="F232" s="12" t="n">
        <v>7989.5</v>
      </c>
      <c r="G232" s="12" t="n">
        <v>332.5</v>
      </c>
      <c r="H232" s="13" t="n">
        <v>0.1474</v>
      </c>
      <c r="I232" s="13" t="n">
        <v>0.1737</v>
      </c>
    </row>
    <row r="233">
      <c r="A233" s="10" t="inlineStr">
        <is>
          <t>PJ-2019-A</t>
        </is>
      </c>
      <c r="B233" s="10" t="inlineStr">
        <is>
          <t>素朴版／単調補間</t>
        </is>
      </c>
      <c r="C233" s="10" t="inlineStr">
        <is>
          <t>2020-01</t>
        </is>
      </c>
      <c r="D233" s="10" t="n">
        <v>10</v>
      </c>
      <c r="E233" s="12" t="n">
        <v>9205.700000000001</v>
      </c>
      <c r="F233" s="12" t="n">
        <v>8507.5</v>
      </c>
      <c r="G233" s="12" t="n">
        <v>698.2</v>
      </c>
      <c r="H233" s="13" t="n">
        <v>0.1717</v>
      </c>
      <c r="I233" s="13" t="n">
        <v>0.1961</v>
      </c>
    </row>
    <row r="234">
      <c r="A234" s="10" t="inlineStr">
        <is>
          <t>PJ-2019-A</t>
        </is>
      </c>
      <c r="B234" s="10" t="inlineStr">
        <is>
          <t>素朴版／単調補間</t>
        </is>
      </c>
      <c r="C234" s="10" t="inlineStr">
        <is>
          <t>2020-02</t>
        </is>
      </c>
      <c r="D234" s="10" t="n">
        <v>11</v>
      </c>
      <c r="E234" s="12" t="n">
        <v>10201.9</v>
      </c>
      <c r="F234" s="12" t="n">
        <v>8132.8</v>
      </c>
      <c r="G234" s="12" t="n">
        <v>2069.1</v>
      </c>
      <c r="H234" s="13" t="n">
        <v>0.1985</v>
      </c>
      <c r="I234" s="13" t="n">
        <v>0.2175</v>
      </c>
    </row>
    <row r="235">
      <c r="A235" s="10" t="inlineStr">
        <is>
          <t>PJ-2019-A</t>
        </is>
      </c>
      <c r="B235" s="10" t="inlineStr">
        <is>
          <t>素朴版／単調補間</t>
        </is>
      </c>
      <c r="C235" s="10" t="inlineStr">
        <is>
          <t>2020-03</t>
        </is>
      </c>
      <c r="D235" s="10" t="n">
        <v>12</v>
      </c>
      <c r="E235" s="12" t="n">
        <v>11624.3</v>
      </c>
      <c r="F235" s="12" t="n">
        <v>9311.5</v>
      </c>
      <c r="G235" s="12" t="n">
        <v>2312.8</v>
      </c>
      <c r="H235" s="13" t="n">
        <v>0.2292</v>
      </c>
      <c r="I235" s="13" t="n">
        <v>0.2421</v>
      </c>
    </row>
    <row r="236">
      <c r="A236" s="10" t="inlineStr">
        <is>
          <t>PJ-2019-A</t>
        </is>
      </c>
      <c r="B236" s="10" t="inlineStr">
        <is>
          <t>素朴版／単調補間</t>
        </is>
      </c>
      <c r="C236" s="10" t="inlineStr">
        <is>
          <t>2020-04</t>
        </is>
      </c>
      <c r="D236" s="10" t="n">
        <v>13</v>
      </c>
      <c r="E236" s="12" t="n">
        <v>12143</v>
      </c>
      <c r="F236" s="12" t="n">
        <v>9039.6</v>
      </c>
      <c r="G236" s="12" t="n">
        <v>3103.4</v>
      </c>
      <c r="H236" s="13" t="n">
        <v>0.2612</v>
      </c>
      <c r="I236" s="13" t="n">
        <v>0.2659</v>
      </c>
    </row>
    <row r="237">
      <c r="A237" s="10" t="inlineStr">
        <is>
          <t>PJ-2019-A</t>
        </is>
      </c>
      <c r="B237" s="10" t="inlineStr">
        <is>
          <t>素朴版／単調補間</t>
        </is>
      </c>
      <c r="C237" s="10" t="inlineStr">
        <is>
          <t>2020-05</t>
        </is>
      </c>
      <c r="D237" s="10" t="n">
        <v>14</v>
      </c>
      <c r="E237" s="12" t="n">
        <v>13392.3</v>
      </c>
      <c r="F237" s="12" t="n">
        <v>9635.799999999999</v>
      </c>
      <c r="G237" s="12" t="n">
        <v>3756.5</v>
      </c>
      <c r="H237" s="13" t="n">
        <v>0.2964</v>
      </c>
      <c r="I237" s="13" t="n">
        <v>0.2913</v>
      </c>
    </row>
    <row r="238">
      <c r="A238" s="10" t="inlineStr">
        <is>
          <t>PJ-2019-A</t>
        </is>
      </c>
      <c r="B238" s="10" t="inlineStr">
        <is>
          <t>素朴版／単調補間</t>
        </is>
      </c>
      <c r="C238" s="10" t="inlineStr">
        <is>
          <t>2020-06</t>
        </is>
      </c>
      <c r="D238" s="10" t="n">
        <v>15</v>
      </c>
      <c r="E238" s="12" t="n">
        <v>14106</v>
      </c>
      <c r="F238" s="12" t="n">
        <v>10344.9</v>
      </c>
      <c r="G238" s="12" t="n">
        <v>3761.1</v>
      </c>
      <c r="H238" s="13" t="n">
        <v>0.3336</v>
      </c>
      <c r="I238" s="13" t="n">
        <v>0.3185</v>
      </c>
    </row>
    <row r="239">
      <c r="A239" s="10" t="inlineStr">
        <is>
          <t>PJ-2019-A</t>
        </is>
      </c>
      <c r="B239" s="10" t="inlineStr">
        <is>
          <t>素朴版／単調補間</t>
        </is>
      </c>
      <c r="C239" s="10" t="inlineStr">
        <is>
          <t>2020-07</t>
        </is>
      </c>
      <c r="D239" s="10" t="n">
        <v>16</v>
      </c>
      <c r="E239" s="12" t="n">
        <v>13421</v>
      </c>
      <c r="F239" s="12" t="n">
        <v>11426.7</v>
      </c>
      <c r="G239" s="12" t="n">
        <v>1994.3</v>
      </c>
      <c r="H239" s="13" t="n">
        <v>0.369</v>
      </c>
      <c r="I239" s="13" t="n">
        <v>0.3486</v>
      </c>
    </row>
    <row r="240">
      <c r="A240" s="10" t="inlineStr">
        <is>
          <t>PJ-2019-A</t>
        </is>
      </c>
      <c r="B240" s="10" t="inlineStr">
        <is>
          <t>素朴版／単調補間</t>
        </is>
      </c>
      <c r="C240" s="10" t="inlineStr">
        <is>
          <t>2020-08</t>
        </is>
      </c>
      <c r="D240" s="10" t="n">
        <v>17</v>
      </c>
      <c r="E240" s="12" t="n">
        <v>12612.9</v>
      </c>
      <c r="F240" s="12" t="n">
        <v>12271.1</v>
      </c>
      <c r="G240" s="12" t="n">
        <v>341.8</v>
      </c>
      <c r="H240" s="13" t="n">
        <v>0.4022</v>
      </c>
      <c r="I240" s="13" t="n">
        <v>0.3809</v>
      </c>
    </row>
    <row r="241">
      <c r="A241" s="10" t="inlineStr">
        <is>
          <t>PJ-2019-A</t>
        </is>
      </c>
      <c r="B241" s="10" t="inlineStr">
        <is>
          <t>素朴版／単調補間</t>
        </is>
      </c>
      <c r="C241" s="10" t="inlineStr">
        <is>
          <t>2020-09</t>
        </is>
      </c>
      <c r="D241" s="10" t="n">
        <v>18</v>
      </c>
      <c r="E241" s="12" t="n">
        <v>12129.6</v>
      </c>
      <c r="F241" s="12" t="n">
        <v>12547.9</v>
      </c>
      <c r="G241" s="12" t="n">
        <v>-418.3</v>
      </c>
      <c r="H241" s="13" t="n">
        <v>0.4341</v>
      </c>
      <c r="I241" s="13" t="n">
        <v>0.414</v>
      </c>
    </row>
    <row r="242">
      <c r="A242" s="10" t="inlineStr">
        <is>
          <t>PJ-2019-A</t>
        </is>
      </c>
      <c r="B242" s="10" t="inlineStr">
        <is>
          <t>素朴版／単調補間</t>
        </is>
      </c>
      <c r="C242" s="10" t="inlineStr">
        <is>
          <t>2020-10</t>
        </is>
      </c>
      <c r="D242" s="10" t="n">
        <v>19</v>
      </c>
      <c r="E242" s="12" t="n">
        <v>14360.9</v>
      </c>
      <c r="F242" s="12" t="n">
        <v>14214.2</v>
      </c>
      <c r="G242" s="12" t="n">
        <v>146.7</v>
      </c>
      <c r="H242" s="13" t="n">
        <v>0.472</v>
      </c>
      <c r="I242" s="13" t="n">
        <v>0.4515</v>
      </c>
    </row>
    <row r="243">
      <c r="A243" s="10" t="inlineStr">
        <is>
          <t>PJ-2019-A</t>
        </is>
      </c>
      <c r="B243" s="10" t="inlineStr">
        <is>
          <t>素朴版／単調補間</t>
        </is>
      </c>
      <c r="C243" s="10" t="inlineStr">
        <is>
          <t>2020-11</t>
        </is>
      </c>
      <c r="D243" s="10" t="n">
        <v>20</v>
      </c>
      <c r="E243" s="12" t="n">
        <v>13965.9</v>
      </c>
      <c r="F243" s="12" t="n">
        <v>16661.4</v>
      </c>
      <c r="G243" s="12" t="n">
        <v>-2695.5</v>
      </c>
      <c r="H243" s="13" t="n">
        <v>0.5088</v>
      </c>
      <c r="I243" s="13" t="n">
        <v>0.4953</v>
      </c>
    </row>
    <row r="244">
      <c r="A244" s="10" t="inlineStr">
        <is>
          <t>PJ-2019-A</t>
        </is>
      </c>
      <c r="B244" s="10" t="inlineStr">
        <is>
          <t>素朴版／単調補間</t>
        </is>
      </c>
      <c r="C244" s="10" t="inlineStr">
        <is>
          <t>2020-12</t>
        </is>
      </c>
      <c r="D244" s="10" t="n">
        <v>21</v>
      </c>
      <c r="E244" s="12" t="n">
        <v>15031.4</v>
      </c>
      <c r="F244" s="12" t="n">
        <v>15314.9</v>
      </c>
      <c r="G244" s="12" t="n">
        <v>-283.5</v>
      </c>
      <c r="H244" s="13" t="n">
        <v>0.5484</v>
      </c>
      <c r="I244" s="13" t="n">
        <v>0.5357</v>
      </c>
    </row>
    <row r="245">
      <c r="A245" s="10" t="inlineStr">
        <is>
          <t>PJ-2019-A</t>
        </is>
      </c>
      <c r="B245" s="10" t="inlineStr">
        <is>
          <t>素朴版／単調補間</t>
        </is>
      </c>
      <c r="C245" s="10" t="inlineStr">
        <is>
          <t>2021-01</t>
        </is>
      </c>
      <c r="D245" s="10" t="n">
        <v>22</v>
      </c>
      <c r="E245" s="12" t="n">
        <v>16205.1</v>
      </c>
      <c r="F245" s="12" t="n">
        <v>13490.4</v>
      </c>
      <c r="G245" s="12" t="n">
        <v>2714.7</v>
      </c>
      <c r="H245" s="13" t="n">
        <v>0.5911</v>
      </c>
      <c r="I245" s="13" t="n">
        <v>0.5712</v>
      </c>
    </row>
    <row r="246">
      <c r="A246" s="10" t="inlineStr">
        <is>
          <t>PJ-2019-A</t>
        </is>
      </c>
      <c r="B246" s="10" t="inlineStr">
        <is>
          <t>素朴版／単調補間</t>
        </is>
      </c>
      <c r="C246" s="10" t="inlineStr">
        <is>
          <t>2021-02</t>
        </is>
      </c>
      <c r="D246" s="10" t="n">
        <v>23</v>
      </c>
      <c r="E246" s="12" t="n">
        <v>15532.1</v>
      </c>
      <c r="F246" s="12" t="n">
        <v>11965.7</v>
      </c>
      <c r="G246" s="12" t="n">
        <v>3566.4</v>
      </c>
      <c r="H246" s="13" t="n">
        <v>0.632</v>
      </c>
      <c r="I246" s="13" t="n">
        <v>0.6028</v>
      </c>
    </row>
    <row r="247">
      <c r="A247" s="10" t="inlineStr">
        <is>
          <t>PJ-2019-A</t>
        </is>
      </c>
      <c r="B247" s="10" t="inlineStr">
        <is>
          <t>素朴版／単調補間</t>
        </is>
      </c>
      <c r="C247" s="10" t="inlineStr">
        <is>
          <t>2021-03</t>
        </is>
      </c>
      <c r="D247" s="10" t="n">
        <v>24</v>
      </c>
      <c r="E247" s="12" t="n">
        <v>16336.1</v>
      </c>
      <c r="F247" s="12" t="n">
        <v>12853.7</v>
      </c>
      <c r="G247" s="12" t="n">
        <v>3482.4</v>
      </c>
      <c r="H247" s="13" t="n">
        <v>0.675</v>
      </c>
      <c r="I247" s="13" t="n">
        <v>0.6366000000000001</v>
      </c>
    </row>
    <row r="248">
      <c r="A248" s="10" t="inlineStr">
        <is>
          <t>PJ-2019-A</t>
        </is>
      </c>
      <c r="B248" s="10" t="inlineStr">
        <is>
          <t>素朴版／単調補間</t>
        </is>
      </c>
      <c r="C248" s="10" t="inlineStr">
        <is>
          <t>2021-04</t>
        </is>
      </c>
      <c r="D248" s="10" t="n">
        <v>25</v>
      </c>
      <c r="E248" s="12" t="n">
        <v>14768.7</v>
      </c>
      <c r="F248" s="12" t="n">
        <v>12825.4</v>
      </c>
      <c r="G248" s="12" t="n">
        <v>1943.3</v>
      </c>
      <c r="H248" s="13" t="n">
        <v>0.7139</v>
      </c>
      <c r="I248" s="13" t="n">
        <v>0.6704</v>
      </c>
    </row>
    <row r="249">
      <c r="A249" s="10" t="inlineStr">
        <is>
          <t>PJ-2019-A</t>
        </is>
      </c>
      <c r="B249" s="10" t="inlineStr">
        <is>
          <t>素朴版／単調補間</t>
        </is>
      </c>
      <c r="C249" s="10" t="inlineStr">
        <is>
          <t>2021-05</t>
        </is>
      </c>
      <c r="D249" s="10" t="n">
        <v>26</v>
      </c>
      <c r="E249" s="12" t="n">
        <v>13997.6</v>
      </c>
      <c r="F249" s="12" t="n">
        <v>13976.5</v>
      </c>
      <c r="G249" s="12" t="n">
        <v>21.1</v>
      </c>
      <c r="H249" s="13" t="n">
        <v>0.7508</v>
      </c>
      <c r="I249" s="13" t="n">
        <v>0.7072000000000001</v>
      </c>
    </row>
    <row r="250">
      <c r="A250" s="10" t="inlineStr">
        <is>
          <t>PJ-2019-A</t>
        </is>
      </c>
      <c r="B250" s="10" t="inlineStr">
        <is>
          <t>素朴版／単調補間</t>
        </is>
      </c>
      <c r="C250" s="10" t="inlineStr">
        <is>
          <t>2021-06</t>
        </is>
      </c>
      <c r="D250" s="10" t="n">
        <v>27</v>
      </c>
      <c r="E250" s="12" t="n">
        <v>13157.8</v>
      </c>
      <c r="F250" s="12" t="n">
        <v>14724.1</v>
      </c>
      <c r="G250" s="12" t="n">
        <v>-1566.3</v>
      </c>
      <c r="H250" s="13" t="n">
        <v>0.7855</v>
      </c>
      <c r="I250" s="13" t="n">
        <v>0.746</v>
      </c>
    </row>
    <row r="251">
      <c r="A251" s="10" t="inlineStr">
        <is>
          <t>PJ-2019-A</t>
        </is>
      </c>
      <c r="B251" s="10" t="inlineStr">
        <is>
          <t>素朴版／単調補間</t>
        </is>
      </c>
      <c r="C251" s="10" t="inlineStr">
        <is>
          <t>2021-07</t>
        </is>
      </c>
      <c r="D251" s="10" t="n">
        <v>28</v>
      </c>
      <c r="E251" s="12" t="n">
        <v>13286.2</v>
      </c>
      <c r="F251" s="12" t="n">
        <v>17311.9</v>
      </c>
      <c r="G251" s="12" t="n">
        <v>-4025.7</v>
      </c>
      <c r="H251" s="13" t="n">
        <v>0.8205</v>
      </c>
      <c r="I251" s="13" t="n">
        <v>0.7916</v>
      </c>
    </row>
    <row r="252">
      <c r="A252" s="10" t="inlineStr">
        <is>
          <t>PJ-2019-A</t>
        </is>
      </c>
      <c r="B252" s="10" t="inlineStr">
        <is>
          <t>素朴版／単調補間</t>
        </is>
      </c>
      <c r="C252" s="10" t="inlineStr">
        <is>
          <t>2021-08</t>
        </is>
      </c>
      <c r="D252" s="10" t="n">
        <v>29</v>
      </c>
      <c r="E252" s="12" t="n">
        <v>13401.2</v>
      </c>
      <c r="F252" s="12" t="n">
        <v>19848.8</v>
      </c>
      <c r="G252" s="12" t="n">
        <v>-6447.6</v>
      </c>
      <c r="H252" s="13" t="n">
        <v>0.8558</v>
      </c>
      <c r="I252" s="13" t="n">
        <v>0.8439</v>
      </c>
    </row>
    <row r="253">
      <c r="A253" s="10" t="inlineStr">
        <is>
          <t>PJ-2019-A</t>
        </is>
      </c>
      <c r="B253" s="10" t="inlineStr">
        <is>
          <t>素朴版／単調補間</t>
        </is>
      </c>
      <c r="C253" s="10" t="inlineStr">
        <is>
          <t>2021-09</t>
        </is>
      </c>
      <c r="D253" s="10" t="n">
        <v>30</v>
      </c>
      <c r="E253" s="12" t="n">
        <v>12282.1</v>
      </c>
      <c r="F253" s="12" t="n">
        <v>17282.1</v>
      </c>
      <c r="G253" s="12" t="n">
        <v>-5000</v>
      </c>
      <c r="H253" s="13" t="n">
        <v>0.8882</v>
      </c>
      <c r="I253" s="13" t="n">
        <v>0.8895</v>
      </c>
    </row>
    <row r="254">
      <c r="A254" s="10" t="inlineStr">
        <is>
          <t>PJ-2019-A</t>
        </is>
      </c>
      <c r="B254" s="10" t="inlineStr">
        <is>
          <t>素朴版／単調補間</t>
        </is>
      </c>
      <c r="C254" s="10" t="inlineStr">
        <is>
          <t>2021-10</t>
        </is>
      </c>
      <c r="D254" s="10" t="n">
        <v>31</v>
      </c>
      <c r="E254" s="12" t="n">
        <v>10804</v>
      </c>
      <c r="F254" s="12" t="n">
        <v>13450.6</v>
      </c>
      <c r="G254" s="12" t="n">
        <v>-2646.6</v>
      </c>
      <c r="H254" s="13" t="n">
        <v>0.9166</v>
      </c>
      <c r="I254" s="13" t="n">
        <v>0.9249000000000001</v>
      </c>
    </row>
    <row r="255">
      <c r="A255" s="10" t="inlineStr">
        <is>
          <t>PJ-2019-A</t>
        </is>
      </c>
      <c r="B255" s="10" t="inlineStr">
        <is>
          <t>素朴版／単調補間</t>
        </is>
      </c>
      <c r="C255" s="10" t="inlineStr">
        <is>
          <t>2021-11</t>
        </is>
      </c>
      <c r="D255" s="10" t="n">
        <v>32</v>
      </c>
      <c r="E255" s="12" t="n">
        <v>8898</v>
      </c>
      <c r="F255" s="12" t="n">
        <v>9371.200000000001</v>
      </c>
      <c r="G255" s="12" t="n">
        <v>-473.2</v>
      </c>
      <c r="H255" s="13" t="n">
        <v>0.9401</v>
      </c>
      <c r="I255" s="13" t="n">
        <v>0.9496</v>
      </c>
    </row>
    <row r="256">
      <c r="A256" s="10" t="inlineStr">
        <is>
          <t>PJ-2019-A</t>
        </is>
      </c>
      <c r="B256" s="10" t="inlineStr">
        <is>
          <t>素朴版／単調補間</t>
        </is>
      </c>
      <c r="C256" s="10" t="inlineStr">
        <is>
          <t>2021-12</t>
        </is>
      </c>
      <c r="D256" s="10" t="n">
        <v>33</v>
      </c>
      <c r="E256" s="12" t="n">
        <v>7895.3</v>
      </c>
      <c r="F256" s="12" t="n">
        <v>9266</v>
      </c>
      <c r="G256" s="12" t="n">
        <v>-1370.7</v>
      </c>
      <c r="H256" s="13" t="n">
        <v>0.9609</v>
      </c>
      <c r="I256" s="13" t="n">
        <v>0.974</v>
      </c>
    </row>
    <row r="257">
      <c r="A257" s="10" t="inlineStr">
        <is>
          <t>PJ-2019-A</t>
        </is>
      </c>
      <c r="B257" s="10" t="inlineStr">
        <is>
          <t>素朴版／単調補間</t>
        </is>
      </c>
      <c r="C257" s="10" t="inlineStr">
        <is>
          <t>2022-01</t>
        </is>
      </c>
      <c r="D257" s="10" t="n">
        <v>34</v>
      </c>
      <c r="E257" s="12" t="n">
        <v>6775.9</v>
      </c>
      <c r="F257" s="12" t="n">
        <v>5982.7</v>
      </c>
      <c r="G257" s="12" t="n">
        <v>793.2</v>
      </c>
      <c r="H257" s="13" t="n">
        <v>0.9787</v>
      </c>
      <c r="I257" s="13" t="n">
        <v>0.9898</v>
      </c>
    </row>
    <row r="258">
      <c r="A258" s="10" t="inlineStr">
        <is>
          <t>PJ-2019-A</t>
        </is>
      </c>
      <c r="B258" s="10" t="inlineStr">
        <is>
          <t>素朴版／単調補間</t>
        </is>
      </c>
      <c r="C258" s="10" t="inlineStr">
        <is>
          <t>2022-02</t>
        </is>
      </c>
      <c r="D258" s="10" t="n">
        <v>35</v>
      </c>
      <c r="E258" s="12" t="n">
        <v>4822</v>
      </c>
      <c r="F258" s="12" t="n">
        <v>2863</v>
      </c>
      <c r="G258" s="12" t="n">
        <v>1959</v>
      </c>
      <c r="H258" s="13" t="n">
        <v>0.9913999999999999</v>
      </c>
      <c r="I258" s="13" t="n">
        <v>0.9973</v>
      </c>
    </row>
    <row r="259">
      <c r="A259" s="10" t="inlineStr">
        <is>
          <t>PJ-2019-A</t>
        </is>
      </c>
      <c r="B259" s="10" t="inlineStr">
        <is>
          <t>素朴版／単調補間</t>
        </is>
      </c>
      <c r="C259" s="10" t="inlineStr">
        <is>
          <t>2022-03</t>
        </is>
      </c>
      <c r="D259" s="10" t="n">
        <v>36</v>
      </c>
      <c r="E259" s="12" t="n">
        <v>3254.4</v>
      </c>
      <c r="F259" s="12" t="n">
        <v>1019.3</v>
      </c>
      <c r="G259" s="12" t="n">
        <v>2235.1</v>
      </c>
      <c r="H259" s="13" t="n">
        <v>1</v>
      </c>
      <c r="I259" s="13" t="n">
        <v>1</v>
      </c>
    </row>
    <row r="260">
      <c r="A260" s="10" t="inlineStr">
        <is>
          <t>PJ-2019-A</t>
        </is>
      </c>
      <c r="B260" s="10" t="inlineStr">
        <is>
          <t>位置合わせ(MS学習値)／単調補間</t>
        </is>
      </c>
      <c r="C260" s="10" t="inlineStr">
        <is>
          <t>2019-04</t>
        </is>
      </c>
      <c r="D260" s="10" t="n">
        <v>1</v>
      </c>
      <c r="E260" s="12" t="n">
        <v>3983.4</v>
      </c>
      <c r="F260" s="12" t="n">
        <v>3071.8</v>
      </c>
      <c r="G260" s="12" t="n">
        <v>911.6</v>
      </c>
      <c r="H260" s="13" t="n">
        <v>0.0105</v>
      </c>
      <c r="I260" s="13" t="n">
        <v>0.0081</v>
      </c>
    </row>
    <row r="261">
      <c r="A261" s="10" t="inlineStr">
        <is>
          <t>PJ-2019-A</t>
        </is>
      </c>
      <c r="B261" s="10" t="inlineStr">
        <is>
          <t>位置合わせ(MS学習値)／単調補間</t>
        </is>
      </c>
      <c r="C261" s="10" t="inlineStr">
        <is>
          <t>2019-05</t>
        </is>
      </c>
      <c r="D261" s="10" t="n">
        <v>2</v>
      </c>
      <c r="E261" s="12" t="n">
        <v>4736.5</v>
      </c>
      <c r="F261" s="12" t="n">
        <v>5541.4</v>
      </c>
      <c r="G261" s="12" t="n">
        <v>-804.9</v>
      </c>
      <c r="H261" s="13" t="n">
        <v>0.023</v>
      </c>
      <c r="I261" s="13" t="n">
        <v>0.0227</v>
      </c>
    </row>
    <row r="262">
      <c r="A262" s="10" t="inlineStr">
        <is>
          <t>PJ-2019-A</t>
        </is>
      </c>
      <c r="B262" s="10" t="inlineStr">
        <is>
          <t>位置合わせ(MS学習値)／単調補間</t>
        </is>
      </c>
      <c r="C262" s="10" t="inlineStr">
        <is>
          <t>2019-06</t>
        </is>
      </c>
      <c r="D262" s="10" t="n">
        <v>3</v>
      </c>
      <c r="E262" s="12" t="n">
        <v>5221</v>
      </c>
      <c r="F262" s="12" t="n">
        <v>6929.4</v>
      </c>
      <c r="G262" s="12" t="n">
        <v>-1708.4</v>
      </c>
      <c r="H262" s="13" t="n">
        <v>0.0367</v>
      </c>
      <c r="I262" s="13" t="n">
        <v>0.0409</v>
      </c>
    </row>
    <row r="263">
      <c r="A263" s="10" t="inlineStr">
        <is>
          <t>PJ-2019-A</t>
        </is>
      </c>
      <c r="B263" s="10" t="inlineStr">
        <is>
          <t>位置合わせ(MS学習値)／単調補間</t>
        </is>
      </c>
      <c r="C263" s="10" t="inlineStr">
        <is>
          <t>2019-07</t>
        </is>
      </c>
      <c r="D263" s="10" t="n">
        <v>4</v>
      </c>
      <c r="E263" s="12" t="n">
        <v>5923.2</v>
      </c>
      <c r="F263" s="12" t="n">
        <v>8197.200000000001</v>
      </c>
      <c r="G263" s="12" t="n">
        <v>-2274</v>
      </c>
      <c r="H263" s="13" t="n">
        <v>0.0523</v>
      </c>
      <c r="I263" s="13" t="n">
        <v>0.0625</v>
      </c>
    </row>
    <row r="264">
      <c r="A264" s="10" t="inlineStr">
        <is>
          <t>PJ-2019-A</t>
        </is>
      </c>
      <c r="B264" s="10" t="inlineStr">
        <is>
          <t>位置合わせ(MS学習値)／単調補間</t>
        </is>
      </c>
      <c r="C264" s="10" t="inlineStr">
        <is>
          <t>2019-08</t>
        </is>
      </c>
      <c r="D264" s="10" t="n">
        <v>5</v>
      </c>
      <c r="E264" s="12" t="n">
        <v>6237.4</v>
      </c>
      <c r="F264" s="12" t="n">
        <v>9127.4</v>
      </c>
      <c r="G264" s="12" t="n">
        <v>-2890</v>
      </c>
      <c r="H264" s="13" t="n">
        <v>0.0688</v>
      </c>
      <c r="I264" s="13" t="n">
        <v>0.0866</v>
      </c>
    </row>
    <row r="265">
      <c r="A265" s="10" t="inlineStr">
        <is>
          <t>PJ-2019-A</t>
        </is>
      </c>
      <c r="B265" s="10" t="inlineStr">
        <is>
          <t>位置合わせ(MS学習値)／単調補間</t>
        </is>
      </c>
      <c r="C265" s="10" t="inlineStr">
        <is>
          <t>2019-09</t>
        </is>
      </c>
      <c r="D265" s="10" t="n">
        <v>6</v>
      </c>
      <c r="E265" s="12" t="n">
        <v>6553.4</v>
      </c>
      <c r="F265" s="12" t="n">
        <v>9824.700000000001</v>
      </c>
      <c r="G265" s="12" t="n">
        <v>-3271.3</v>
      </c>
      <c r="H265" s="13" t="n">
        <v>0.08599999999999999</v>
      </c>
      <c r="I265" s="13" t="n">
        <v>0.1125</v>
      </c>
    </row>
    <row r="266">
      <c r="A266" s="10" t="inlineStr">
        <is>
          <t>PJ-2019-A</t>
        </is>
      </c>
      <c r="B266" s="10" t="inlineStr">
        <is>
          <t>位置合わせ(MS学習値)／単調補間</t>
        </is>
      </c>
      <c r="C266" s="10" t="inlineStr">
        <is>
          <t>2019-10</t>
        </is>
      </c>
      <c r="D266" s="10" t="n">
        <v>7</v>
      </c>
      <c r="E266" s="12" t="n">
        <v>7138.2</v>
      </c>
      <c r="F266" s="12" t="n">
        <v>7570.4</v>
      </c>
      <c r="G266" s="12" t="n">
        <v>-432.2</v>
      </c>
      <c r="H266" s="13" t="n">
        <v>0.1048</v>
      </c>
      <c r="I266" s="13" t="n">
        <v>0.1324</v>
      </c>
    </row>
    <row r="267">
      <c r="A267" s="10" t="inlineStr">
        <is>
          <t>PJ-2019-A</t>
        </is>
      </c>
      <c r="B267" s="10" t="inlineStr">
        <is>
          <t>位置合わせ(MS学習値)／単調補間</t>
        </is>
      </c>
      <c r="C267" s="10" t="inlineStr">
        <is>
          <t>2019-11</t>
        </is>
      </c>
      <c r="D267" s="10" t="n">
        <v>8</v>
      </c>
      <c r="E267" s="12" t="n">
        <v>7226.3</v>
      </c>
      <c r="F267" s="12" t="n">
        <v>7669.4</v>
      </c>
      <c r="G267" s="12" t="n">
        <v>-443.1</v>
      </c>
      <c r="H267" s="13" t="n">
        <v>0.1239</v>
      </c>
      <c r="I267" s="13" t="n">
        <v>0.1526</v>
      </c>
    </row>
    <row r="268">
      <c r="A268" s="10" t="inlineStr">
        <is>
          <t>PJ-2019-A</t>
        </is>
      </c>
      <c r="B268" s="10" t="inlineStr">
        <is>
          <t>位置合わせ(MS学習値)／単調補間</t>
        </is>
      </c>
      <c r="C268" s="10" t="inlineStr">
        <is>
          <t>2019-12</t>
        </is>
      </c>
      <c r="D268" s="10" t="n">
        <v>9</v>
      </c>
      <c r="E268" s="12" t="n">
        <v>8101.4</v>
      </c>
      <c r="F268" s="12" t="n">
        <v>7989.5</v>
      </c>
      <c r="G268" s="12" t="n">
        <v>111.9</v>
      </c>
      <c r="H268" s="13" t="n">
        <v>0.1452</v>
      </c>
      <c r="I268" s="13" t="n">
        <v>0.1737</v>
      </c>
    </row>
    <row r="269">
      <c r="A269" s="10" t="inlineStr">
        <is>
          <t>PJ-2019-A</t>
        </is>
      </c>
      <c r="B269" s="10" t="inlineStr">
        <is>
          <t>位置合わせ(MS学習値)／単調補間</t>
        </is>
      </c>
      <c r="C269" s="10" t="inlineStr">
        <is>
          <t>2020-01</t>
        </is>
      </c>
      <c r="D269" s="10" t="n">
        <v>10</v>
      </c>
      <c r="E269" s="12" t="n">
        <v>8724.200000000001</v>
      </c>
      <c r="F269" s="12" t="n">
        <v>8507.5</v>
      </c>
      <c r="G269" s="12" t="n">
        <v>216.7</v>
      </c>
      <c r="H269" s="13" t="n">
        <v>0.1682</v>
      </c>
      <c r="I269" s="13" t="n">
        <v>0.1961</v>
      </c>
    </row>
    <row r="270">
      <c r="A270" s="10" t="inlineStr">
        <is>
          <t>PJ-2019-A</t>
        </is>
      </c>
      <c r="B270" s="10" t="inlineStr">
        <is>
          <t>位置合わせ(MS学習値)／単調補間</t>
        </is>
      </c>
      <c r="C270" s="10" t="inlineStr">
        <is>
          <t>2020-02</t>
        </is>
      </c>
      <c r="D270" s="10" t="n">
        <v>11</v>
      </c>
      <c r="E270" s="12" t="n">
        <v>8851.200000000001</v>
      </c>
      <c r="F270" s="12" t="n">
        <v>8132.8</v>
      </c>
      <c r="G270" s="12" t="n">
        <v>718.4</v>
      </c>
      <c r="H270" s="13" t="n">
        <v>0.1915</v>
      </c>
      <c r="I270" s="13" t="n">
        <v>0.2175</v>
      </c>
    </row>
    <row r="271">
      <c r="A271" s="10" t="inlineStr">
        <is>
          <t>PJ-2019-A</t>
        </is>
      </c>
      <c r="B271" s="10" t="inlineStr">
        <is>
          <t>位置合わせ(MS学習値)／単調補間</t>
        </is>
      </c>
      <c r="C271" s="10" t="inlineStr">
        <is>
          <t>2020-03</t>
        </is>
      </c>
      <c r="D271" s="10" t="n">
        <v>12</v>
      </c>
      <c r="E271" s="12" t="n">
        <v>10554.4</v>
      </c>
      <c r="F271" s="12" t="n">
        <v>9311.5</v>
      </c>
      <c r="G271" s="12" t="n">
        <v>1242.9</v>
      </c>
      <c r="H271" s="13" t="n">
        <v>0.2193</v>
      </c>
      <c r="I271" s="13" t="n">
        <v>0.2421</v>
      </c>
    </row>
    <row r="272">
      <c r="A272" s="10" t="inlineStr">
        <is>
          <t>PJ-2019-A</t>
        </is>
      </c>
      <c r="B272" s="10" t="inlineStr">
        <is>
          <t>位置合わせ(MS学習値)／単調補間</t>
        </is>
      </c>
      <c r="C272" s="10" t="inlineStr">
        <is>
          <t>2020-04</t>
        </is>
      </c>
      <c r="D272" s="10" t="n">
        <v>13</v>
      </c>
      <c r="E272" s="12" t="n">
        <v>11614.9</v>
      </c>
      <c r="F272" s="12" t="n">
        <v>9039.6</v>
      </c>
      <c r="G272" s="12" t="n">
        <v>2575.3</v>
      </c>
      <c r="H272" s="13" t="n">
        <v>0.2499</v>
      </c>
      <c r="I272" s="13" t="n">
        <v>0.2659</v>
      </c>
    </row>
    <row r="273">
      <c r="A273" s="10" t="inlineStr">
        <is>
          <t>PJ-2019-A</t>
        </is>
      </c>
      <c r="B273" s="10" t="inlineStr">
        <is>
          <t>位置合わせ(MS学習値)／単調補間</t>
        </is>
      </c>
      <c r="C273" s="10" t="inlineStr">
        <is>
          <t>2020-05</t>
        </is>
      </c>
      <c r="D273" s="10" t="n">
        <v>14</v>
      </c>
      <c r="E273" s="12" t="n">
        <v>12337.7</v>
      </c>
      <c r="F273" s="12" t="n">
        <v>9635.799999999999</v>
      </c>
      <c r="G273" s="12" t="n">
        <v>2701.9</v>
      </c>
      <c r="H273" s="13" t="n">
        <v>0.2824</v>
      </c>
      <c r="I273" s="13" t="n">
        <v>0.2913</v>
      </c>
    </row>
    <row r="274">
      <c r="A274" s="10" t="inlineStr">
        <is>
          <t>PJ-2019-A</t>
        </is>
      </c>
      <c r="B274" s="10" t="inlineStr">
        <is>
          <t>位置合わせ(MS学習値)／単調補間</t>
        </is>
      </c>
      <c r="C274" s="10" t="inlineStr">
        <is>
          <t>2020-06</t>
        </is>
      </c>
      <c r="D274" s="10" t="n">
        <v>15</v>
      </c>
      <c r="E274" s="12" t="n">
        <v>12575.6</v>
      </c>
      <c r="F274" s="12" t="n">
        <v>10344.9</v>
      </c>
      <c r="G274" s="12" t="n">
        <v>2230.7</v>
      </c>
      <c r="H274" s="13" t="n">
        <v>0.3156</v>
      </c>
      <c r="I274" s="13" t="n">
        <v>0.3185</v>
      </c>
    </row>
    <row r="275">
      <c r="A275" s="10" t="inlineStr">
        <is>
          <t>PJ-2019-A</t>
        </is>
      </c>
      <c r="B275" s="10" t="inlineStr">
        <is>
          <t>位置合わせ(MS学習値)／単調補間</t>
        </is>
      </c>
      <c r="C275" s="10" t="inlineStr">
        <is>
          <t>2020-07</t>
        </is>
      </c>
      <c r="D275" s="10" t="n">
        <v>16</v>
      </c>
      <c r="E275" s="12" t="n">
        <v>13824.4</v>
      </c>
      <c r="F275" s="12" t="n">
        <v>11426.7</v>
      </c>
      <c r="G275" s="12" t="n">
        <v>2397.7</v>
      </c>
      <c r="H275" s="13" t="n">
        <v>0.352</v>
      </c>
      <c r="I275" s="13" t="n">
        <v>0.3486</v>
      </c>
    </row>
    <row r="276">
      <c r="A276" s="10" t="inlineStr">
        <is>
          <t>PJ-2019-A</t>
        </is>
      </c>
      <c r="B276" s="10" t="inlineStr">
        <is>
          <t>位置合わせ(MS学習値)／単調補間</t>
        </is>
      </c>
      <c r="C276" s="10" t="inlineStr">
        <is>
          <t>2020-08</t>
        </is>
      </c>
      <c r="D276" s="10" t="n">
        <v>17</v>
      </c>
      <c r="E276" s="12" t="n">
        <v>14757.8</v>
      </c>
      <c r="F276" s="12" t="n">
        <v>12271.1</v>
      </c>
      <c r="G276" s="12" t="n">
        <v>2486.7</v>
      </c>
      <c r="H276" s="13" t="n">
        <v>0.3909</v>
      </c>
      <c r="I276" s="13" t="n">
        <v>0.3809</v>
      </c>
    </row>
    <row r="277">
      <c r="A277" s="10" t="inlineStr">
        <is>
          <t>PJ-2019-A</t>
        </is>
      </c>
      <c r="B277" s="10" t="inlineStr">
        <is>
          <t>位置合わせ(MS学習値)／単調補間</t>
        </is>
      </c>
      <c r="C277" s="10" t="inlineStr">
        <is>
          <t>2020-09</t>
        </is>
      </c>
      <c r="D277" s="10" t="n">
        <v>18</v>
      </c>
      <c r="E277" s="12" t="n">
        <v>15227.3</v>
      </c>
      <c r="F277" s="12" t="n">
        <v>12547.9</v>
      </c>
      <c r="G277" s="12" t="n">
        <v>2679.4</v>
      </c>
      <c r="H277" s="13" t="n">
        <v>0.431</v>
      </c>
      <c r="I277" s="13" t="n">
        <v>0.414</v>
      </c>
    </row>
    <row r="278">
      <c r="A278" s="10" t="inlineStr">
        <is>
          <t>PJ-2019-A</t>
        </is>
      </c>
      <c r="B278" s="10" t="inlineStr">
        <is>
          <t>位置合わせ(MS学習値)／単調補間</t>
        </is>
      </c>
      <c r="C278" s="10" t="inlineStr">
        <is>
          <t>2020-10</t>
        </is>
      </c>
      <c r="D278" s="10" t="n">
        <v>19</v>
      </c>
      <c r="E278" s="12" t="n">
        <v>15642.8</v>
      </c>
      <c r="F278" s="12" t="n">
        <v>14214.2</v>
      </c>
      <c r="G278" s="12" t="n">
        <v>1428.6</v>
      </c>
      <c r="H278" s="13" t="n">
        <v>0.4722</v>
      </c>
      <c r="I278" s="13" t="n">
        <v>0.4515</v>
      </c>
    </row>
    <row r="279">
      <c r="A279" s="10" t="inlineStr">
        <is>
          <t>PJ-2019-A</t>
        </is>
      </c>
      <c r="B279" s="10" t="inlineStr">
        <is>
          <t>位置合わせ(MS学習値)／単調補間</t>
        </is>
      </c>
      <c r="C279" s="10" t="inlineStr">
        <is>
          <t>2020-11</t>
        </is>
      </c>
      <c r="D279" s="10" t="n">
        <v>20</v>
      </c>
      <c r="E279" s="12" t="n">
        <v>15192.3</v>
      </c>
      <c r="F279" s="12" t="n">
        <v>16661.4</v>
      </c>
      <c r="G279" s="12" t="n">
        <v>-1469.1</v>
      </c>
      <c r="H279" s="13" t="n">
        <v>0.5122</v>
      </c>
      <c r="I279" s="13" t="n">
        <v>0.4953</v>
      </c>
    </row>
    <row r="280">
      <c r="A280" s="10" t="inlineStr">
        <is>
          <t>PJ-2019-A</t>
        </is>
      </c>
      <c r="B280" s="10" t="inlineStr">
        <is>
          <t>位置合わせ(MS学習値)／単調補間</t>
        </is>
      </c>
      <c r="C280" s="10" t="inlineStr">
        <is>
          <t>2020-12</t>
        </is>
      </c>
      <c r="D280" s="10" t="n">
        <v>21</v>
      </c>
      <c r="E280" s="12" t="n">
        <v>15599.2</v>
      </c>
      <c r="F280" s="12" t="n">
        <v>15314.9</v>
      </c>
      <c r="G280" s="12" t="n">
        <v>284.3</v>
      </c>
      <c r="H280" s="13" t="n">
        <v>0.5533</v>
      </c>
      <c r="I280" s="13" t="n">
        <v>0.5357</v>
      </c>
    </row>
    <row r="281">
      <c r="A281" s="10" t="inlineStr">
        <is>
          <t>PJ-2019-A</t>
        </is>
      </c>
      <c r="B281" s="10" t="inlineStr">
        <is>
          <t>位置合わせ(MS学習値)／単調補間</t>
        </is>
      </c>
      <c r="C281" s="10" t="inlineStr">
        <is>
          <t>2021-01</t>
        </is>
      </c>
      <c r="D281" s="10" t="n">
        <v>22</v>
      </c>
      <c r="E281" s="12" t="n">
        <v>15621.4</v>
      </c>
      <c r="F281" s="12" t="n">
        <v>13490.4</v>
      </c>
      <c r="G281" s="12" t="n">
        <v>2131</v>
      </c>
      <c r="H281" s="13" t="n">
        <v>0.5945</v>
      </c>
      <c r="I281" s="13" t="n">
        <v>0.5712</v>
      </c>
    </row>
    <row r="282">
      <c r="A282" s="10" t="inlineStr">
        <is>
          <t>PJ-2019-A</t>
        </is>
      </c>
      <c r="B282" s="10" t="inlineStr">
        <is>
          <t>位置合わせ(MS学習値)／単調補間</t>
        </is>
      </c>
      <c r="C282" s="10" t="inlineStr">
        <is>
          <t>2021-02</t>
        </is>
      </c>
      <c r="D282" s="10" t="n">
        <v>23</v>
      </c>
      <c r="E282" s="12" t="n">
        <v>14244.5</v>
      </c>
      <c r="F282" s="12" t="n">
        <v>11965.7</v>
      </c>
      <c r="G282" s="12" t="n">
        <v>2278.8</v>
      </c>
      <c r="H282" s="13" t="n">
        <v>0.632</v>
      </c>
      <c r="I282" s="13" t="n">
        <v>0.6028</v>
      </c>
    </row>
    <row r="283">
      <c r="A283" s="10" t="inlineStr">
        <is>
          <t>PJ-2019-A</t>
        </is>
      </c>
      <c r="B283" s="10" t="inlineStr">
        <is>
          <t>位置合わせ(MS学習値)／単調補間</t>
        </is>
      </c>
      <c r="C283" s="10" t="inlineStr">
        <is>
          <t>2021-03</t>
        </is>
      </c>
      <c r="D283" s="10" t="n">
        <v>24</v>
      </c>
      <c r="E283" s="12" t="n">
        <v>15852.7</v>
      </c>
      <c r="F283" s="12" t="n">
        <v>12853.7</v>
      </c>
      <c r="G283" s="12" t="n">
        <v>2999</v>
      </c>
      <c r="H283" s="13" t="n">
        <v>0.6738</v>
      </c>
      <c r="I283" s="13" t="n">
        <v>0.6366000000000001</v>
      </c>
    </row>
    <row r="284">
      <c r="A284" s="10" t="inlineStr">
        <is>
          <t>PJ-2019-A</t>
        </is>
      </c>
      <c r="B284" s="10" t="inlineStr">
        <is>
          <t>位置合わせ(MS学習値)／単調補間</t>
        </is>
      </c>
      <c r="C284" s="10" t="inlineStr">
        <is>
          <t>2021-04</t>
        </is>
      </c>
      <c r="D284" s="10" t="n">
        <v>25</v>
      </c>
      <c r="E284" s="12" t="n">
        <v>15702.3</v>
      </c>
      <c r="F284" s="12" t="n">
        <v>12825.4</v>
      </c>
      <c r="G284" s="12" t="n">
        <v>2876.9</v>
      </c>
      <c r="H284" s="13" t="n">
        <v>0.7151999999999999</v>
      </c>
      <c r="I284" s="13" t="n">
        <v>0.6704</v>
      </c>
    </row>
    <row r="285">
      <c r="A285" s="10" t="inlineStr">
        <is>
          <t>PJ-2019-A</t>
        </is>
      </c>
      <c r="B285" s="10" t="inlineStr">
        <is>
          <t>位置合わせ(MS学習値)／単調補間</t>
        </is>
      </c>
      <c r="C285" s="10" t="inlineStr">
        <is>
          <t>2021-05</t>
        </is>
      </c>
      <c r="D285" s="10" t="n">
        <v>26</v>
      </c>
      <c r="E285" s="12" t="n">
        <v>16057.5</v>
      </c>
      <c r="F285" s="12" t="n">
        <v>13976.5</v>
      </c>
      <c r="G285" s="12" t="n">
        <v>2081</v>
      </c>
      <c r="H285" s="13" t="n">
        <v>0.7575</v>
      </c>
      <c r="I285" s="13" t="n">
        <v>0.7072000000000001</v>
      </c>
    </row>
    <row r="286">
      <c r="A286" s="10" t="inlineStr">
        <is>
          <t>PJ-2019-A</t>
        </is>
      </c>
      <c r="B286" s="10" t="inlineStr">
        <is>
          <t>位置合わせ(MS学習値)／単調補間</t>
        </is>
      </c>
      <c r="C286" s="10" t="inlineStr">
        <is>
          <t>2021-06</t>
        </is>
      </c>
      <c r="D286" s="10" t="n">
        <v>27</v>
      </c>
      <c r="E286" s="12" t="n">
        <v>14502.2</v>
      </c>
      <c r="F286" s="12" t="n">
        <v>14724.1</v>
      </c>
      <c r="G286" s="12" t="n">
        <v>-221.9</v>
      </c>
      <c r="H286" s="13" t="n">
        <v>0.7957</v>
      </c>
      <c r="I286" s="13" t="n">
        <v>0.746</v>
      </c>
    </row>
    <row r="287">
      <c r="A287" s="10" t="inlineStr">
        <is>
          <t>PJ-2019-A</t>
        </is>
      </c>
      <c r="B287" s="10" t="inlineStr">
        <is>
          <t>位置合わせ(MS学習値)／単調補間</t>
        </is>
      </c>
      <c r="C287" s="10" t="inlineStr">
        <is>
          <t>2021-07</t>
        </is>
      </c>
      <c r="D287" s="10" t="n">
        <v>28</v>
      </c>
      <c r="E287" s="12" t="n">
        <v>12650.3</v>
      </c>
      <c r="F287" s="12" t="n">
        <v>17311.9</v>
      </c>
      <c r="G287" s="12" t="n">
        <v>-4661.6</v>
      </c>
      <c r="H287" s="13" t="n">
        <v>0.829</v>
      </c>
      <c r="I287" s="13" t="n">
        <v>0.7916</v>
      </c>
    </row>
    <row r="288">
      <c r="A288" s="10" t="inlineStr">
        <is>
          <t>PJ-2019-A</t>
        </is>
      </c>
      <c r="B288" s="10" t="inlineStr">
        <is>
          <t>位置合わせ(MS学習値)／単調補間</t>
        </is>
      </c>
      <c r="C288" s="10" t="inlineStr">
        <is>
          <t>2021-08</t>
        </is>
      </c>
      <c r="D288" s="10" t="n">
        <v>29</v>
      </c>
      <c r="E288" s="12" t="n">
        <v>12351.2</v>
      </c>
      <c r="F288" s="12" t="n">
        <v>19848.8</v>
      </c>
      <c r="G288" s="12" t="n">
        <v>-7497.6</v>
      </c>
      <c r="H288" s="13" t="n">
        <v>0.8615</v>
      </c>
      <c r="I288" s="13" t="n">
        <v>0.8439</v>
      </c>
    </row>
    <row r="289">
      <c r="A289" s="10" t="inlineStr">
        <is>
          <t>PJ-2019-A</t>
        </is>
      </c>
      <c r="B289" s="10" t="inlineStr">
        <is>
          <t>位置合わせ(MS学習値)／単調補間</t>
        </is>
      </c>
      <c r="C289" s="10" t="inlineStr">
        <is>
          <t>2021-09</t>
        </is>
      </c>
      <c r="D289" s="10" t="n">
        <v>30</v>
      </c>
      <c r="E289" s="12" t="n">
        <v>11012.5</v>
      </c>
      <c r="F289" s="12" t="n">
        <v>17282.1</v>
      </c>
      <c r="G289" s="12" t="n">
        <v>-6269.6</v>
      </c>
      <c r="H289" s="13" t="n">
        <v>0.8905</v>
      </c>
      <c r="I289" s="13" t="n">
        <v>0.8895</v>
      </c>
    </row>
    <row r="290">
      <c r="A290" s="10" t="inlineStr">
        <is>
          <t>PJ-2019-A</t>
        </is>
      </c>
      <c r="B290" s="10" t="inlineStr">
        <is>
          <t>位置合わせ(MS学習値)／単調補間</t>
        </is>
      </c>
      <c r="C290" s="10" t="inlineStr">
        <is>
          <t>2021-10</t>
        </is>
      </c>
      <c r="D290" s="10" t="n">
        <v>31</v>
      </c>
      <c r="E290" s="12" t="n">
        <v>9893.1</v>
      </c>
      <c r="F290" s="12" t="n">
        <v>13450.6</v>
      </c>
      <c r="G290" s="12" t="n">
        <v>-3557.5</v>
      </c>
      <c r="H290" s="13" t="n">
        <v>0.9166</v>
      </c>
      <c r="I290" s="13" t="n">
        <v>0.9249000000000001</v>
      </c>
    </row>
    <row r="291">
      <c r="A291" s="10" t="inlineStr">
        <is>
          <t>PJ-2019-A</t>
        </is>
      </c>
      <c r="B291" s="10" t="inlineStr">
        <is>
          <t>位置合わせ(MS学習値)／単調補間</t>
        </is>
      </c>
      <c r="C291" s="10" t="inlineStr">
        <is>
          <t>2021-11</t>
        </is>
      </c>
      <c r="D291" s="10" t="n">
        <v>32</v>
      </c>
      <c r="E291" s="12" t="n">
        <v>8633.5</v>
      </c>
      <c r="F291" s="12" t="n">
        <v>9371.200000000001</v>
      </c>
      <c r="G291" s="12" t="n">
        <v>-737.7</v>
      </c>
      <c r="H291" s="13" t="n">
        <v>0.9394</v>
      </c>
      <c r="I291" s="13" t="n">
        <v>0.9496</v>
      </c>
    </row>
    <row r="292">
      <c r="A292" s="10" t="inlineStr">
        <is>
          <t>PJ-2019-A</t>
        </is>
      </c>
      <c r="B292" s="10" t="inlineStr">
        <is>
          <t>位置合わせ(MS学習値)／単調補間</t>
        </is>
      </c>
      <c r="C292" s="10" t="inlineStr">
        <is>
          <t>2021-12</t>
        </is>
      </c>
      <c r="D292" s="10" t="n">
        <v>33</v>
      </c>
      <c r="E292" s="12" t="n">
        <v>8052.2</v>
      </c>
      <c r="F292" s="12" t="n">
        <v>9266</v>
      </c>
      <c r="G292" s="12" t="n">
        <v>-1213.8</v>
      </c>
      <c r="H292" s="13" t="n">
        <v>0.9606</v>
      </c>
      <c r="I292" s="13" t="n">
        <v>0.974</v>
      </c>
    </row>
    <row r="293">
      <c r="A293" s="10" t="inlineStr">
        <is>
          <t>PJ-2019-A</t>
        </is>
      </c>
      <c r="B293" s="10" t="inlineStr">
        <is>
          <t>位置合わせ(MS学習値)／単調補間</t>
        </is>
      </c>
      <c r="C293" s="10" t="inlineStr">
        <is>
          <t>2022-01</t>
        </is>
      </c>
      <c r="D293" s="10" t="n">
        <v>34</v>
      </c>
      <c r="E293" s="12" t="n">
        <v>7000.5</v>
      </c>
      <c r="F293" s="12" t="n">
        <v>5982.7</v>
      </c>
      <c r="G293" s="12" t="n">
        <v>1017.8</v>
      </c>
      <c r="H293" s="13" t="n">
        <v>0.979</v>
      </c>
      <c r="I293" s="13" t="n">
        <v>0.9898</v>
      </c>
    </row>
    <row r="294">
      <c r="A294" s="10" t="inlineStr">
        <is>
          <t>PJ-2019-A</t>
        </is>
      </c>
      <c r="B294" s="10" t="inlineStr">
        <is>
          <t>位置合わせ(MS学習値)／単調補間</t>
        </is>
      </c>
      <c r="C294" s="10" t="inlineStr">
        <is>
          <t>2022-02</t>
        </is>
      </c>
      <c r="D294" s="10" t="n">
        <v>35</v>
      </c>
      <c r="E294" s="12" t="n">
        <v>4788.9</v>
      </c>
      <c r="F294" s="12" t="n">
        <v>2863</v>
      </c>
      <c r="G294" s="12" t="n">
        <v>1925.9</v>
      </c>
      <c r="H294" s="13" t="n">
        <v>0.9916</v>
      </c>
      <c r="I294" s="13" t="n">
        <v>0.9973</v>
      </c>
    </row>
    <row r="295">
      <c r="A295" s="10" t="inlineStr">
        <is>
          <t>PJ-2019-A</t>
        </is>
      </c>
      <c r="B295" s="10" t="inlineStr">
        <is>
          <t>位置合わせ(MS学習値)／単調補間</t>
        </is>
      </c>
      <c r="C295" s="10" t="inlineStr">
        <is>
          <t>2022-03</t>
        </is>
      </c>
      <c r="D295" s="10" t="n">
        <v>36</v>
      </c>
      <c r="E295" s="12" t="n">
        <v>3175.9</v>
      </c>
      <c r="F295" s="12" t="n">
        <v>1019.3</v>
      </c>
      <c r="G295" s="12" t="n">
        <v>2156.6</v>
      </c>
      <c r="H295" s="13" t="n">
        <v>1</v>
      </c>
      <c r="I295" s="13" t="n">
        <v>1</v>
      </c>
    </row>
    <row r="296">
      <c r="A296" s="10" t="inlineStr">
        <is>
          <t>PJ-2019-A</t>
        </is>
      </c>
      <c r="B296" s="10" t="inlineStr">
        <is>
          <t>位置合わせ(MS指定)／単調補間</t>
        </is>
      </c>
      <c r="C296" s="10" t="inlineStr">
        <is>
          <t>2019-04</t>
        </is>
      </c>
      <c r="D296" s="10" t="n">
        <v>1</v>
      </c>
      <c r="E296" s="12" t="n">
        <v>3791.1</v>
      </c>
      <c r="F296" s="12" t="n">
        <v>3071.8</v>
      </c>
      <c r="G296" s="12" t="n">
        <v>719.3</v>
      </c>
      <c r="H296" s="13" t="n">
        <v>0.01</v>
      </c>
      <c r="I296" s="13" t="n">
        <v>0.0081</v>
      </c>
    </row>
    <row r="297">
      <c r="A297" s="10" t="inlineStr">
        <is>
          <t>PJ-2019-A</t>
        </is>
      </c>
      <c r="B297" s="10" t="inlineStr">
        <is>
          <t>位置合わせ(MS指定)／単調補間</t>
        </is>
      </c>
      <c r="C297" s="10" t="inlineStr">
        <is>
          <t>2019-05</t>
        </is>
      </c>
      <c r="D297" s="10" t="n">
        <v>2</v>
      </c>
      <c r="E297" s="12" t="n">
        <v>4480.3</v>
      </c>
      <c r="F297" s="12" t="n">
        <v>5541.4</v>
      </c>
      <c r="G297" s="12" t="n">
        <v>-1061.1</v>
      </c>
      <c r="H297" s="13" t="n">
        <v>0.0218</v>
      </c>
      <c r="I297" s="13" t="n">
        <v>0.0227</v>
      </c>
    </row>
    <row r="298">
      <c r="A298" s="10" t="inlineStr">
        <is>
          <t>PJ-2019-A</t>
        </is>
      </c>
      <c r="B298" s="10" t="inlineStr">
        <is>
          <t>位置合わせ(MS指定)／単調補間</t>
        </is>
      </c>
      <c r="C298" s="10" t="inlineStr">
        <is>
          <t>2019-06</t>
        </is>
      </c>
      <c r="D298" s="10" t="n">
        <v>3</v>
      </c>
      <c r="E298" s="12" t="n">
        <v>4957.5</v>
      </c>
      <c r="F298" s="12" t="n">
        <v>6929.4</v>
      </c>
      <c r="G298" s="12" t="n">
        <v>-1971.9</v>
      </c>
      <c r="H298" s="13" t="n">
        <v>0.0349</v>
      </c>
      <c r="I298" s="13" t="n">
        <v>0.0409</v>
      </c>
    </row>
    <row r="299">
      <c r="A299" s="10" t="inlineStr">
        <is>
          <t>PJ-2019-A</t>
        </is>
      </c>
      <c r="B299" s="10" t="inlineStr">
        <is>
          <t>位置合わせ(MS指定)／単調補間</t>
        </is>
      </c>
      <c r="C299" s="10" t="inlineStr">
        <is>
          <t>2019-07</t>
        </is>
      </c>
      <c r="D299" s="10" t="n">
        <v>4</v>
      </c>
      <c r="E299" s="12" t="n">
        <v>5582.9</v>
      </c>
      <c r="F299" s="12" t="n">
        <v>8197.200000000001</v>
      </c>
      <c r="G299" s="12" t="n">
        <v>-2614.3</v>
      </c>
      <c r="H299" s="13" t="n">
        <v>0.0496</v>
      </c>
      <c r="I299" s="13" t="n">
        <v>0.0625</v>
      </c>
    </row>
    <row r="300">
      <c r="A300" s="10" t="inlineStr">
        <is>
          <t>PJ-2019-A</t>
        </is>
      </c>
      <c r="B300" s="10" t="inlineStr">
        <is>
          <t>位置合わせ(MS指定)／単調補間</t>
        </is>
      </c>
      <c r="C300" s="10" t="inlineStr">
        <is>
          <t>2019-08</t>
        </is>
      </c>
      <c r="D300" s="10" t="n">
        <v>5</v>
      </c>
      <c r="E300" s="12" t="n">
        <v>5857.1</v>
      </c>
      <c r="F300" s="12" t="n">
        <v>9127.4</v>
      </c>
      <c r="G300" s="12" t="n">
        <v>-3270.3</v>
      </c>
      <c r="H300" s="13" t="n">
        <v>0.065</v>
      </c>
      <c r="I300" s="13" t="n">
        <v>0.0866</v>
      </c>
    </row>
    <row r="301">
      <c r="A301" s="10" t="inlineStr">
        <is>
          <t>PJ-2019-A</t>
        </is>
      </c>
      <c r="B301" s="10" t="inlineStr">
        <is>
          <t>位置合わせ(MS指定)／単調補間</t>
        </is>
      </c>
      <c r="C301" s="10" t="inlineStr">
        <is>
          <t>2019-09</t>
        </is>
      </c>
      <c r="D301" s="10" t="n">
        <v>6</v>
      </c>
      <c r="E301" s="12" t="n">
        <v>6219</v>
      </c>
      <c r="F301" s="12" t="n">
        <v>9824.700000000001</v>
      </c>
      <c r="G301" s="12" t="n">
        <v>-3605.7</v>
      </c>
      <c r="H301" s="13" t="n">
        <v>0.0814</v>
      </c>
      <c r="I301" s="13" t="n">
        <v>0.1125</v>
      </c>
    </row>
    <row r="302">
      <c r="A302" s="10" t="inlineStr">
        <is>
          <t>PJ-2019-A</t>
        </is>
      </c>
      <c r="B302" s="10" t="inlineStr">
        <is>
          <t>位置合わせ(MS指定)／単調補間</t>
        </is>
      </c>
      <c r="C302" s="10" t="inlineStr">
        <is>
          <t>2019-10</t>
        </is>
      </c>
      <c r="D302" s="10" t="n">
        <v>7</v>
      </c>
      <c r="E302" s="12" t="n">
        <v>6669.7</v>
      </c>
      <c r="F302" s="12" t="n">
        <v>7570.4</v>
      </c>
      <c r="G302" s="12" t="n">
        <v>-900.7</v>
      </c>
      <c r="H302" s="13" t="n">
        <v>0.099</v>
      </c>
      <c r="I302" s="13" t="n">
        <v>0.1324</v>
      </c>
    </row>
    <row r="303">
      <c r="A303" s="10" t="inlineStr">
        <is>
          <t>PJ-2019-A</t>
        </is>
      </c>
      <c r="B303" s="10" t="inlineStr">
        <is>
          <t>位置合わせ(MS指定)／単調補間</t>
        </is>
      </c>
      <c r="C303" s="10" t="inlineStr">
        <is>
          <t>2019-11</t>
        </is>
      </c>
      <c r="D303" s="10" t="n">
        <v>8</v>
      </c>
      <c r="E303" s="12" t="n">
        <v>6828.6</v>
      </c>
      <c r="F303" s="12" t="n">
        <v>7669.4</v>
      </c>
      <c r="G303" s="12" t="n">
        <v>-840.8</v>
      </c>
      <c r="H303" s="13" t="n">
        <v>0.1169</v>
      </c>
      <c r="I303" s="13" t="n">
        <v>0.1526</v>
      </c>
    </row>
    <row r="304">
      <c r="A304" s="10" t="inlineStr">
        <is>
          <t>PJ-2019-A</t>
        </is>
      </c>
      <c r="B304" s="10" t="inlineStr">
        <is>
          <t>位置合わせ(MS指定)／単調補間</t>
        </is>
      </c>
      <c r="C304" s="10" t="inlineStr">
        <is>
          <t>2019-12</t>
        </is>
      </c>
      <c r="D304" s="10" t="n">
        <v>9</v>
      </c>
      <c r="E304" s="12" t="n">
        <v>7443</v>
      </c>
      <c r="F304" s="12" t="n">
        <v>7989.5</v>
      </c>
      <c r="G304" s="12" t="n">
        <v>-546.5</v>
      </c>
      <c r="H304" s="13" t="n">
        <v>0.1366</v>
      </c>
      <c r="I304" s="13" t="n">
        <v>0.1737</v>
      </c>
    </row>
    <row r="305">
      <c r="A305" s="10" t="inlineStr">
        <is>
          <t>PJ-2019-A</t>
        </is>
      </c>
      <c r="B305" s="10" t="inlineStr">
        <is>
          <t>位置合わせ(MS指定)／単調補間</t>
        </is>
      </c>
      <c r="C305" s="10" t="inlineStr">
        <is>
          <t>2020-01</t>
        </is>
      </c>
      <c r="D305" s="10" t="n">
        <v>10</v>
      </c>
      <c r="E305" s="12" t="n">
        <v>8084.2</v>
      </c>
      <c r="F305" s="12" t="n">
        <v>8507.5</v>
      </c>
      <c r="G305" s="12" t="n">
        <v>-423.3</v>
      </c>
      <c r="H305" s="13" t="n">
        <v>0.1578</v>
      </c>
      <c r="I305" s="13" t="n">
        <v>0.1961</v>
      </c>
    </row>
    <row r="306">
      <c r="A306" s="10" t="inlineStr">
        <is>
          <t>PJ-2019-A</t>
        </is>
      </c>
      <c r="B306" s="10" t="inlineStr">
        <is>
          <t>位置合わせ(MS指定)／単調補間</t>
        </is>
      </c>
      <c r="C306" s="10" t="inlineStr">
        <is>
          <t>2020-02</t>
        </is>
      </c>
      <c r="D306" s="10" t="n">
        <v>11</v>
      </c>
      <c r="E306" s="12" t="n">
        <v>8096.4</v>
      </c>
      <c r="F306" s="12" t="n">
        <v>8132.8</v>
      </c>
      <c r="G306" s="12" t="n">
        <v>-36.4</v>
      </c>
      <c r="H306" s="13" t="n">
        <v>0.1792</v>
      </c>
      <c r="I306" s="13" t="n">
        <v>0.2175</v>
      </c>
    </row>
    <row r="307">
      <c r="A307" s="10" t="inlineStr">
        <is>
          <t>PJ-2019-A</t>
        </is>
      </c>
      <c r="B307" s="10" t="inlineStr">
        <is>
          <t>位置合わせ(MS指定)／単調補間</t>
        </is>
      </c>
      <c r="C307" s="10" t="inlineStr">
        <is>
          <t>2020-03</t>
        </is>
      </c>
      <c r="D307" s="10" t="n">
        <v>12</v>
      </c>
      <c r="E307" s="12" t="n">
        <v>9433.9</v>
      </c>
      <c r="F307" s="12" t="n">
        <v>9311.5</v>
      </c>
      <c r="G307" s="12" t="n">
        <v>122.4</v>
      </c>
      <c r="H307" s="13" t="n">
        <v>0.204</v>
      </c>
      <c r="I307" s="13" t="n">
        <v>0.2421</v>
      </c>
    </row>
    <row r="308">
      <c r="A308" s="10" t="inlineStr">
        <is>
          <t>PJ-2019-A</t>
        </is>
      </c>
      <c r="B308" s="10" t="inlineStr">
        <is>
          <t>位置合わせ(MS指定)／単調補間</t>
        </is>
      </c>
      <c r="C308" s="10" t="inlineStr">
        <is>
          <t>2020-04</t>
        </is>
      </c>
      <c r="D308" s="10" t="n">
        <v>13</v>
      </c>
      <c r="E308" s="12" t="n">
        <v>10473</v>
      </c>
      <c r="F308" s="12" t="n">
        <v>9039.6</v>
      </c>
      <c r="G308" s="12" t="n">
        <v>1433.4</v>
      </c>
      <c r="H308" s="13" t="n">
        <v>0.2316</v>
      </c>
      <c r="I308" s="13" t="n">
        <v>0.2659</v>
      </c>
    </row>
    <row r="309">
      <c r="A309" s="10" t="inlineStr">
        <is>
          <t>PJ-2019-A</t>
        </is>
      </c>
      <c r="B309" s="10" t="inlineStr">
        <is>
          <t>位置合わせ(MS指定)／単調補間</t>
        </is>
      </c>
      <c r="C309" s="10" t="inlineStr">
        <is>
          <t>2020-05</t>
        </is>
      </c>
      <c r="D309" s="10" t="n">
        <v>14</v>
      </c>
      <c r="E309" s="12" t="n">
        <v>11588.1</v>
      </c>
      <c r="F309" s="12" t="n">
        <v>9635.799999999999</v>
      </c>
      <c r="G309" s="12" t="n">
        <v>1952.3</v>
      </c>
      <c r="H309" s="13" t="n">
        <v>0.2622</v>
      </c>
      <c r="I309" s="13" t="n">
        <v>0.2913</v>
      </c>
    </row>
    <row r="310">
      <c r="A310" s="10" t="inlineStr">
        <is>
          <t>PJ-2019-A</t>
        </is>
      </c>
      <c r="B310" s="10" t="inlineStr">
        <is>
          <t>位置合わせ(MS指定)／単調補間</t>
        </is>
      </c>
      <c r="C310" s="10" t="inlineStr">
        <is>
          <t>2020-06</t>
        </is>
      </c>
      <c r="D310" s="10" t="n">
        <v>15</v>
      </c>
      <c r="E310" s="12" t="n">
        <v>11638.1</v>
      </c>
      <c r="F310" s="12" t="n">
        <v>10344.9</v>
      </c>
      <c r="G310" s="12" t="n">
        <v>1293.2</v>
      </c>
      <c r="H310" s="13" t="n">
        <v>0.2928</v>
      </c>
      <c r="I310" s="13" t="n">
        <v>0.3185</v>
      </c>
    </row>
    <row r="311">
      <c r="A311" s="10" t="inlineStr">
        <is>
          <t>PJ-2019-A</t>
        </is>
      </c>
      <c r="B311" s="10" t="inlineStr">
        <is>
          <t>位置合わせ(MS指定)／単調補間</t>
        </is>
      </c>
      <c r="C311" s="10" t="inlineStr">
        <is>
          <t>2020-07</t>
        </is>
      </c>
      <c r="D311" s="10" t="n">
        <v>16</v>
      </c>
      <c r="E311" s="12" t="n">
        <v>12717.3</v>
      </c>
      <c r="F311" s="12" t="n">
        <v>11426.7</v>
      </c>
      <c r="G311" s="12" t="n">
        <v>1290.6</v>
      </c>
      <c r="H311" s="13" t="n">
        <v>0.3263</v>
      </c>
      <c r="I311" s="13" t="n">
        <v>0.3486</v>
      </c>
    </row>
    <row r="312">
      <c r="A312" s="10" t="inlineStr">
        <is>
          <t>PJ-2019-A</t>
        </is>
      </c>
      <c r="B312" s="10" t="inlineStr">
        <is>
          <t>位置合わせ(MS指定)／単調補間</t>
        </is>
      </c>
      <c r="C312" s="10" t="inlineStr">
        <is>
          <t>2020-08</t>
        </is>
      </c>
      <c r="D312" s="10" t="n">
        <v>17</v>
      </c>
      <c r="E312" s="12" t="n">
        <v>13230.7</v>
      </c>
      <c r="F312" s="12" t="n">
        <v>12271.1</v>
      </c>
      <c r="G312" s="12" t="n">
        <v>959.6</v>
      </c>
      <c r="H312" s="13" t="n">
        <v>0.3612</v>
      </c>
      <c r="I312" s="13" t="n">
        <v>0.3809</v>
      </c>
    </row>
    <row r="313">
      <c r="A313" s="10" t="inlineStr">
        <is>
          <t>PJ-2019-A</t>
        </is>
      </c>
      <c r="B313" s="10" t="inlineStr">
        <is>
          <t>位置合わせ(MS指定)／単調補間</t>
        </is>
      </c>
      <c r="C313" s="10" t="inlineStr">
        <is>
          <t>2020-09</t>
        </is>
      </c>
      <c r="D313" s="10" t="n">
        <v>18</v>
      </c>
      <c r="E313" s="12" t="n">
        <v>14036.1</v>
      </c>
      <c r="F313" s="12" t="n">
        <v>12547.9</v>
      </c>
      <c r="G313" s="12" t="n">
        <v>1488.2</v>
      </c>
      <c r="H313" s="13" t="n">
        <v>0.3982</v>
      </c>
      <c r="I313" s="13" t="n">
        <v>0.414</v>
      </c>
    </row>
    <row r="314">
      <c r="A314" s="10" t="inlineStr">
        <is>
          <t>PJ-2019-A</t>
        </is>
      </c>
      <c r="B314" s="10" t="inlineStr">
        <is>
          <t>位置合わせ(MS指定)／単調補間</t>
        </is>
      </c>
      <c r="C314" s="10" t="inlineStr">
        <is>
          <t>2020-10</t>
        </is>
      </c>
      <c r="D314" s="10" t="n">
        <v>19</v>
      </c>
      <c r="E314" s="12" t="n">
        <v>14512.3</v>
      </c>
      <c r="F314" s="12" t="n">
        <v>14214.2</v>
      </c>
      <c r="G314" s="12" t="n">
        <v>298.1</v>
      </c>
      <c r="H314" s="13" t="n">
        <v>0.4364</v>
      </c>
      <c r="I314" s="13" t="n">
        <v>0.4515</v>
      </c>
    </row>
    <row r="315">
      <c r="A315" s="10" t="inlineStr">
        <is>
          <t>PJ-2019-A</t>
        </is>
      </c>
      <c r="B315" s="10" t="inlineStr">
        <is>
          <t>位置合わせ(MS指定)／単調補間</t>
        </is>
      </c>
      <c r="C315" s="10" t="inlineStr">
        <is>
          <t>2020-11</t>
        </is>
      </c>
      <c r="D315" s="10" t="n">
        <v>20</v>
      </c>
      <c r="E315" s="12" t="n">
        <v>13316.3</v>
      </c>
      <c r="F315" s="12" t="n">
        <v>16661.4</v>
      </c>
      <c r="G315" s="12" t="n">
        <v>-3345.1</v>
      </c>
      <c r="H315" s="13" t="n">
        <v>0.4715</v>
      </c>
      <c r="I315" s="13" t="n">
        <v>0.4953</v>
      </c>
    </row>
    <row r="316">
      <c r="A316" s="10" t="inlineStr">
        <is>
          <t>PJ-2019-A</t>
        </is>
      </c>
      <c r="B316" s="10" t="inlineStr">
        <is>
          <t>位置合わせ(MS指定)／単調補間</t>
        </is>
      </c>
      <c r="C316" s="10" t="inlineStr">
        <is>
          <t>2020-12</t>
        </is>
      </c>
      <c r="D316" s="10" t="n">
        <v>21</v>
      </c>
      <c r="E316" s="12" t="n">
        <v>13797.5</v>
      </c>
      <c r="F316" s="12" t="n">
        <v>15314.9</v>
      </c>
      <c r="G316" s="12" t="n">
        <v>-1517.4</v>
      </c>
      <c r="H316" s="13" t="n">
        <v>0.5078</v>
      </c>
      <c r="I316" s="13" t="n">
        <v>0.5357</v>
      </c>
    </row>
    <row r="317">
      <c r="A317" s="10" t="inlineStr">
        <is>
          <t>PJ-2019-A</t>
        </is>
      </c>
      <c r="B317" s="10" t="inlineStr">
        <is>
          <t>位置合わせ(MS指定)／単調補間</t>
        </is>
      </c>
      <c r="C317" s="10" t="inlineStr">
        <is>
          <t>2021-01</t>
        </is>
      </c>
      <c r="D317" s="10" t="n">
        <v>22</v>
      </c>
      <c r="E317" s="12" t="n">
        <v>13745.7</v>
      </c>
      <c r="F317" s="12" t="n">
        <v>13490.4</v>
      </c>
      <c r="G317" s="12" t="n">
        <v>255.3</v>
      </c>
      <c r="H317" s="13" t="n">
        <v>0.544</v>
      </c>
      <c r="I317" s="13" t="n">
        <v>0.5712</v>
      </c>
    </row>
    <row r="318">
      <c r="A318" s="10" t="inlineStr">
        <is>
          <t>PJ-2019-A</t>
        </is>
      </c>
      <c r="B318" s="10" t="inlineStr">
        <is>
          <t>位置合わせ(MS指定)／単調補間</t>
        </is>
      </c>
      <c r="C318" s="10" t="inlineStr">
        <is>
          <t>2021-02</t>
        </is>
      </c>
      <c r="D318" s="10" t="n">
        <v>23</v>
      </c>
      <c r="E318" s="12" t="n">
        <v>12302.6</v>
      </c>
      <c r="F318" s="12" t="n">
        <v>11965.7</v>
      </c>
      <c r="G318" s="12" t="n">
        <v>336.9</v>
      </c>
      <c r="H318" s="13" t="n">
        <v>0.5765</v>
      </c>
      <c r="I318" s="13" t="n">
        <v>0.6028</v>
      </c>
    </row>
    <row r="319">
      <c r="A319" s="10" t="inlineStr">
        <is>
          <t>PJ-2019-A</t>
        </is>
      </c>
      <c r="B319" s="10" t="inlineStr">
        <is>
          <t>位置合わせ(MS指定)／単調補間</t>
        </is>
      </c>
      <c r="C319" s="10" t="inlineStr">
        <is>
          <t>2021-03</t>
        </is>
      </c>
      <c r="D319" s="10" t="n">
        <v>24</v>
      </c>
      <c r="E319" s="12" t="n">
        <v>13827.5</v>
      </c>
      <c r="F319" s="12" t="n">
        <v>12853.7</v>
      </c>
      <c r="G319" s="12" t="n">
        <v>973.8</v>
      </c>
      <c r="H319" s="13" t="n">
        <v>0.6129</v>
      </c>
      <c r="I319" s="13" t="n">
        <v>0.6366000000000001</v>
      </c>
    </row>
    <row r="320">
      <c r="A320" s="10" t="inlineStr">
        <is>
          <t>PJ-2019-A</t>
        </is>
      </c>
      <c r="B320" s="10" t="inlineStr">
        <is>
          <t>位置合わせ(MS指定)／単調補間</t>
        </is>
      </c>
      <c r="C320" s="10" t="inlineStr">
        <is>
          <t>2021-04</t>
        </is>
      </c>
      <c r="D320" s="10" t="n">
        <v>25</v>
      </c>
      <c r="E320" s="12" t="n">
        <v>13430</v>
      </c>
      <c r="F320" s="12" t="n">
        <v>12825.4</v>
      </c>
      <c r="G320" s="12" t="n">
        <v>604.6</v>
      </c>
      <c r="H320" s="13" t="n">
        <v>0.6483</v>
      </c>
      <c r="I320" s="13" t="n">
        <v>0.6704</v>
      </c>
    </row>
    <row r="321">
      <c r="A321" s="10" t="inlineStr">
        <is>
          <t>PJ-2019-A</t>
        </is>
      </c>
      <c r="B321" s="10" t="inlineStr">
        <is>
          <t>位置合わせ(MS指定)／単調補間</t>
        </is>
      </c>
      <c r="C321" s="10" t="inlineStr">
        <is>
          <t>2021-05</t>
        </is>
      </c>
      <c r="D321" s="10" t="n">
        <v>26</v>
      </c>
      <c r="E321" s="12" t="n">
        <v>14081.5</v>
      </c>
      <c r="F321" s="12" t="n">
        <v>13976.5</v>
      </c>
      <c r="G321" s="12" t="n">
        <v>105</v>
      </c>
      <c r="H321" s="13" t="n">
        <v>0.6854</v>
      </c>
      <c r="I321" s="13" t="n">
        <v>0.7072000000000001</v>
      </c>
    </row>
    <row r="322">
      <c r="A322" s="10" t="inlineStr">
        <is>
          <t>PJ-2019-A</t>
        </is>
      </c>
      <c r="B322" s="10" t="inlineStr">
        <is>
          <t>位置合わせ(MS指定)／単調補間</t>
        </is>
      </c>
      <c r="C322" s="10" t="inlineStr">
        <is>
          <t>2021-06</t>
        </is>
      </c>
      <c r="D322" s="10" t="n">
        <v>27</v>
      </c>
      <c r="E322" s="12" t="n">
        <v>13732.5</v>
      </c>
      <c r="F322" s="12" t="n">
        <v>14724.1</v>
      </c>
      <c r="G322" s="12" t="n">
        <v>-991.6</v>
      </c>
      <c r="H322" s="13" t="n">
        <v>0.7216</v>
      </c>
      <c r="I322" s="13" t="n">
        <v>0.746</v>
      </c>
    </row>
    <row r="323">
      <c r="A323" s="10" t="inlineStr">
        <is>
          <t>PJ-2019-A</t>
        </is>
      </c>
      <c r="B323" s="10" t="inlineStr">
        <is>
          <t>位置合わせ(MS指定)／単調補間</t>
        </is>
      </c>
      <c r="C323" s="10" t="inlineStr">
        <is>
          <t>2021-07</t>
        </is>
      </c>
      <c r="D323" s="10" t="n">
        <v>28</v>
      </c>
      <c r="E323" s="12" t="n">
        <v>14198.7</v>
      </c>
      <c r="F323" s="12" t="n">
        <v>17311.9</v>
      </c>
      <c r="G323" s="12" t="n">
        <v>-3113.2</v>
      </c>
      <c r="H323" s="13" t="n">
        <v>0.759</v>
      </c>
      <c r="I323" s="13" t="n">
        <v>0.7916</v>
      </c>
    </row>
    <row r="324">
      <c r="A324" s="10" t="inlineStr">
        <is>
          <t>PJ-2019-A</t>
        </is>
      </c>
      <c r="B324" s="10" t="inlineStr">
        <is>
          <t>位置合わせ(MS指定)／単調補間</t>
        </is>
      </c>
      <c r="C324" s="10" t="inlineStr">
        <is>
          <t>2021-08</t>
        </is>
      </c>
      <c r="D324" s="10" t="n">
        <v>29</v>
      </c>
      <c r="E324" s="12" t="n">
        <v>17772.6</v>
      </c>
      <c r="F324" s="12" t="n">
        <v>19848.8</v>
      </c>
      <c r="G324" s="12" t="n">
        <v>-2076.2</v>
      </c>
      <c r="H324" s="13" t="n">
        <v>0.8058</v>
      </c>
      <c r="I324" s="13" t="n">
        <v>0.8439</v>
      </c>
    </row>
    <row r="325">
      <c r="A325" s="10" t="inlineStr">
        <is>
          <t>PJ-2019-A</t>
        </is>
      </c>
      <c r="B325" s="10" t="inlineStr">
        <is>
          <t>位置合わせ(MS指定)／単調補間</t>
        </is>
      </c>
      <c r="C325" s="10" t="inlineStr">
        <is>
          <t>2021-09</t>
        </is>
      </c>
      <c r="D325" s="10" t="n">
        <v>30</v>
      </c>
      <c r="E325" s="12" t="n">
        <v>17527.6</v>
      </c>
      <c r="F325" s="12" t="n">
        <v>17282.1</v>
      </c>
      <c r="G325" s="12" t="n">
        <v>245.5</v>
      </c>
      <c r="H325" s="13" t="n">
        <v>0.852</v>
      </c>
      <c r="I325" s="13" t="n">
        <v>0.8895</v>
      </c>
    </row>
    <row r="326">
      <c r="A326" s="10" t="inlineStr">
        <is>
          <t>PJ-2019-A</t>
        </is>
      </c>
      <c r="B326" s="10" t="inlineStr">
        <is>
          <t>位置合わせ(MS指定)／単調補間</t>
        </is>
      </c>
      <c r="C326" s="10" t="inlineStr">
        <is>
          <t>2021-10</t>
        </is>
      </c>
      <c r="D326" s="10" t="n">
        <v>31</v>
      </c>
      <c r="E326" s="12" t="n">
        <v>16346.9</v>
      </c>
      <c r="F326" s="12" t="n">
        <v>13450.6</v>
      </c>
      <c r="G326" s="12" t="n">
        <v>2896.3</v>
      </c>
      <c r="H326" s="13" t="n">
        <v>0.895</v>
      </c>
      <c r="I326" s="13" t="n">
        <v>0.9249000000000001</v>
      </c>
    </row>
    <row r="327">
      <c r="A327" s="10" t="inlineStr">
        <is>
          <t>PJ-2019-A</t>
        </is>
      </c>
      <c r="B327" s="10" t="inlineStr">
        <is>
          <t>位置合わせ(MS指定)／単調補間</t>
        </is>
      </c>
      <c r="C327" s="10" t="inlineStr">
        <is>
          <t>2021-11</t>
        </is>
      </c>
      <c r="D327" s="10" t="n">
        <v>32</v>
      </c>
      <c r="E327" s="12" t="n">
        <v>13232.1</v>
      </c>
      <c r="F327" s="12" t="n">
        <v>9371.200000000001</v>
      </c>
      <c r="G327" s="12" t="n">
        <v>3860.9</v>
      </c>
      <c r="H327" s="13" t="n">
        <v>0.9298999999999999</v>
      </c>
      <c r="I327" s="13" t="n">
        <v>0.9496</v>
      </c>
    </row>
    <row r="328">
      <c r="A328" s="10" t="inlineStr">
        <is>
          <t>PJ-2019-A</t>
        </is>
      </c>
      <c r="B328" s="10" t="inlineStr">
        <is>
          <t>位置合わせ(MS指定)／単調補間</t>
        </is>
      </c>
      <c r="C328" s="10" t="inlineStr">
        <is>
          <t>2021-12</t>
        </is>
      </c>
      <c r="D328" s="10" t="n">
        <v>33</v>
      </c>
      <c r="E328" s="12" t="n">
        <v>11782.7</v>
      </c>
      <c r="F328" s="12" t="n">
        <v>9266</v>
      </c>
      <c r="G328" s="12" t="n">
        <v>2516.7</v>
      </c>
      <c r="H328" s="13" t="n">
        <v>0.9609</v>
      </c>
      <c r="I328" s="13" t="n">
        <v>0.974</v>
      </c>
    </row>
    <row r="329">
      <c r="A329" s="10" t="inlineStr">
        <is>
          <t>PJ-2019-A</t>
        </is>
      </c>
      <c r="B329" s="10" t="inlineStr">
        <is>
          <t>位置合わせ(MS指定)／単調補間</t>
        </is>
      </c>
      <c r="C329" s="10" t="inlineStr">
        <is>
          <t>2022-01</t>
        </is>
      </c>
      <c r="D329" s="10" t="n">
        <v>34</v>
      </c>
      <c r="E329" s="12" t="n">
        <v>7034.1</v>
      </c>
      <c r="F329" s="12" t="n">
        <v>5982.7</v>
      </c>
      <c r="G329" s="12" t="n">
        <v>1051.4</v>
      </c>
      <c r="H329" s="13" t="n">
        <v>0.9795</v>
      </c>
      <c r="I329" s="13" t="n">
        <v>0.9898</v>
      </c>
    </row>
    <row r="330">
      <c r="A330" s="10" t="inlineStr">
        <is>
          <t>PJ-2019-A</t>
        </is>
      </c>
      <c r="B330" s="10" t="inlineStr">
        <is>
          <t>位置合わせ(MS指定)／単調補間</t>
        </is>
      </c>
      <c r="C330" s="10" t="inlineStr">
        <is>
          <t>2022-02</t>
        </is>
      </c>
      <c r="D330" s="10" t="n">
        <v>35</v>
      </c>
      <c r="E330" s="12" t="n">
        <v>4688.3</v>
      </c>
      <c r="F330" s="12" t="n">
        <v>2863</v>
      </c>
      <c r="G330" s="12" t="n">
        <v>1825.3</v>
      </c>
      <c r="H330" s="13" t="n">
        <v>0.9918</v>
      </c>
      <c r="I330" s="13" t="n">
        <v>0.9973</v>
      </c>
    </row>
    <row r="331">
      <c r="A331" s="10" t="inlineStr">
        <is>
          <t>PJ-2019-A</t>
        </is>
      </c>
      <c r="B331" s="10" t="inlineStr">
        <is>
          <t>位置合わせ(MS指定)／単調補間</t>
        </is>
      </c>
      <c r="C331" s="10" t="inlineStr">
        <is>
          <t>2022-03</t>
        </is>
      </c>
      <c r="D331" s="10" t="n">
        <v>36</v>
      </c>
      <c r="E331" s="12" t="n">
        <v>3105.1</v>
      </c>
      <c r="F331" s="12" t="n">
        <v>1019.3</v>
      </c>
      <c r="G331" s="12" t="n">
        <v>2085.8</v>
      </c>
      <c r="H331" s="13" t="n">
        <v>1</v>
      </c>
      <c r="I331" s="13" t="n">
        <v>1</v>
      </c>
    </row>
    <row r="332">
      <c r="A332" s="10" t="inlineStr">
        <is>
          <t>PJ-2020-B</t>
        </is>
      </c>
      <c r="B332" s="10" t="inlineStr">
        <is>
          <t>素朴版／月内均等</t>
        </is>
      </c>
      <c r="C332" s="10" t="inlineStr">
        <is>
          <t>2020-01</t>
        </is>
      </c>
      <c r="D332" s="10" t="n">
        <v>1</v>
      </c>
      <c r="E332" s="12" t="n">
        <v>3552.9</v>
      </c>
      <c r="F332" s="12" t="n">
        <v>320.5</v>
      </c>
      <c r="G332" s="12" t="n">
        <v>3232.4</v>
      </c>
      <c r="H332" s="13" t="n">
        <v>0.0355</v>
      </c>
      <c r="I332" s="13" t="n">
        <v>0.0032</v>
      </c>
    </row>
    <row r="333">
      <c r="A333" s="10" t="inlineStr">
        <is>
          <t>PJ-2020-B</t>
        </is>
      </c>
      <c r="B333" s="10" t="inlineStr">
        <is>
          <t>素朴版／月内均等</t>
        </is>
      </c>
      <c r="C333" s="10" t="inlineStr">
        <is>
          <t>2020-02</t>
        </is>
      </c>
      <c r="D333" s="10" t="n">
        <v>2</v>
      </c>
      <c r="E333" s="12" t="n">
        <v>4365.9</v>
      </c>
      <c r="F333" s="12" t="n">
        <v>930.3</v>
      </c>
      <c r="G333" s="12" t="n">
        <v>3435.6</v>
      </c>
      <c r="H333" s="13" t="n">
        <v>0.07920000000000001</v>
      </c>
      <c r="I333" s="13" t="n">
        <v>0.0125</v>
      </c>
    </row>
    <row r="334">
      <c r="A334" s="10" t="inlineStr">
        <is>
          <t>PJ-2020-B</t>
        </is>
      </c>
      <c r="B334" s="10" t="inlineStr">
        <is>
          <t>素朴版／月内均等</t>
        </is>
      </c>
      <c r="C334" s="10" t="inlineStr">
        <is>
          <t>2020-03</t>
        </is>
      </c>
      <c r="D334" s="10" t="n">
        <v>3</v>
      </c>
      <c r="E334" s="12" t="n">
        <v>5319.9</v>
      </c>
      <c r="F334" s="12" t="n">
        <v>1814.8</v>
      </c>
      <c r="G334" s="12" t="n">
        <v>3505.1</v>
      </c>
      <c r="H334" s="13" t="n">
        <v>0.1324</v>
      </c>
      <c r="I334" s="13" t="n">
        <v>0.0306</v>
      </c>
    </row>
    <row r="335">
      <c r="A335" s="10" t="inlineStr">
        <is>
          <t>PJ-2020-B</t>
        </is>
      </c>
      <c r="B335" s="10" t="inlineStr">
        <is>
          <t>素朴版／月内均等</t>
        </is>
      </c>
      <c r="C335" s="10" t="inlineStr">
        <is>
          <t>2020-04</t>
        </is>
      </c>
      <c r="D335" s="10" t="n">
        <v>4</v>
      </c>
      <c r="E335" s="12" t="n">
        <v>6152.9</v>
      </c>
      <c r="F335" s="12" t="n">
        <v>2405.7</v>
      </c>
      <c r="G335" s="12" t="n">
        <v>3747.2</v>
      </c>
      <c r="H335" s="13" t="n">
        <v>0.1939</v>
      </c>
      <c r="I335" s="13" t="n">
        <v>0.0547</v>
      </c>
    </row>
    <row r="336">
      <c r="A336" s="10" t="inlineStr">
        <is>
          <t>PJ-2020-B</t>
        </is>
      </c>
      <c r="B336" s="10" t="inlineStr">
        <is>
          <t>素朴版／月内均等</t>
        </is>
      </c>
      <c r="C336" s="10" t="inlineStr">
        <is>
          <t>2020-05</t>
        </is>
      </c>
      <c r="D336" s="10" t="n">
        <v>5</v>
      </c>
      <c r="E336" s="12" t="n">
        <v>8301.299999999999</v>
      </c>
      <c r="F336" s="12" t="n">
        <v>3424.8</v>
      </c>
      <c r="G336" s="12" t="n">
        <v>4876.5</v>
      </c>
      <c r="H336" s="13" t="n">
        <v>0.2769</v>
      </c>
      <c r="I336" s="13" t="n">
        <v>0.08890000000000001</v>
      </c>
    </row>
    <row r="337">
      <c r="A337" s="10" t="inlineStr">
        <is>
          <t>PJ-2020-B</t>
        </is>
      </c>
      <c r="B337" s="10" t="inlineStr">
        <is>
          <t>素朴版／月内均等</t>
        </is>
      </c>
      <c r="C337" s="10" t="inlineStr">
        <is>
          <t>2020-06</t>
        </is>
      </c>
      <c r="D337" s="10" t="n">
        <v>6</v>
      </c>
      <c r="E337" s="12" t="n">
        <v>9396.4</v>
      </c>
      <c r="F337" s="12" t="n">
        <v>4082.4</v>
      </c>
      <c r="G337" s="12" t="n">
        <v>5314</v>
      </c>
      <c r="H337" s="13" t="n">
        <v>0.3708</v>
      </c>
      <c r="I337" s="13" t="n">
        <v>0.1298</v>
      </c>
    </row>
    <row r="338">
      <c r="A338" s="10" t="inlineStr">
        <is>
          <t>PJ-2020-B</t>
        </is>
      </c>
      <c r="B338" s="10" t="inlineStr">
        <is>
          <t>素朴版／月内均等</t>
        </is>
      </c>
      <c r="C338" s="10" t="inlineStr">
        <is>
          <t>2020-07</t>
        </is>
      </c>
      <c r="D338" s="10" t="n">
        <v>7</v>
      </c>
      <c r="E338" s="12" t="n">
        <v>9074.200000000001</v>
      </c>
      <c r="F338" s="12" t="n">
        <v>5263.5</v>
      </c>
      <c r="G338" s="12" t="n">
        <v>3810.7</v>
      </c>
      <c r="H338" s="13" t="n">
        <v>0.4615</v>
      </c>
      <c r="I338" s="13" t="n">
        <v>0.1824</v>
      </c>
    </row>
    <row r="339">
      <c r="A339" s="10" t="inlineStr">
        <is>
          <t>PJ-2020-B</t>
        </is>
      </c>
      <c r="B339" s="10" t="inlineStr">
        <is>
          <t>素朴版／月内均等</t>
        </is>
      </c>
      <c r="C339" s="10" t="inlineStr">
        <is>
          <t>2020-08</t>
        </is>
      </c>
      <c r="D339" s="10" t="n">
        <v>8</v>
      </c>
      <c r="E339" s="12" t="n">
        <v>10342</v>
      </c>
      <c r="F339" s="12" t="n">
        <v>6466.9</v>
      </c>
      <c r="G339" s="12" t="n">
        <v>3875.1</v>
      </c>
      <c r="H339" s="13" t="n">
        <v>0.5649</v>
      </c>
      <c r="I339" s="13" t="n">
        <v>0.247</v>
      </c>
    </row>
    <row r="340">
      <c r="A340" s="10" t="inlineStr">
        <is>
          <t>PJ-2020-B</t>
        </is>
      </c>
      <c r="B340" s="10" t="inlineStr">
        <is>
          <t>素朴版／月内均等</t>
        </is>
      </c>
      <c r="C340" s="10" t="inlineStr">
        <is>
          <t>2020-09</t>
        </is>
      </c>
      <c r="D340" s="10" t="n">
        <v>9</v>
      </c>
      <c r="E340" s="12" t="n">
        <v>10101</v>
      </c>
      <c r="F340" s="12" t="n">
        <v>15257.1</v>
      </c>
      <c r="G340" s="12" t="n">
        <v>-5156.1</v>
      </c>
      <c r="H340" s="13" t="n">
        <v>0.6659</v>
      </c>
      <c r="I340" s="13" t="n">
        <v>0.3996</v>
      </c>
    </row>
    <row r="341">
      <c r="A341" s="10" t="inlineStr">
        <is>
          <t>PJ-2020-B</t>
        </is>
      </c>
      <c r="B341" s="10" t="inlineStr">
        <is>
          <t>素朴版／月内均等</t>
        </is>
      </c>
      <c r="C341" s="10" t="inlineStr">
        <is>
          <t>2020-10</t>
        </is>
      </c>
      <c r="D341" s="10" t="n">
        <v>10</v>
      </c>
      <c r="E341" s="12" t="n">
        <v>9046.799999999999</v>
      </c>
      <c r="F341" s="12" t="n">
        <v>20485.7</v>
      </c>
      <c r="G341" s="12" t="n">
        <v>-11438.9</v>
      </c>
      <c r="H341" s="13" t="n">
        <v>0.7564</v>
      </c>
      <c r="I341" s="13" t="n">
        <v>0.6044</v>
      </c>
    </row>
    <row r="342">
      <c r="A342" s="10" t="inlineStr">
        <is>
          <t>PJ-2020-B</t>
        </is>
      </c>
      <c r="B342" s="10" t="inlineStr">
        <is>
          <t>素朴版／月内均等</t>
        </is>
      </c>
      <c r="C342" s="10" t="inlineStr">
        <is>
          <t>2020-11</t>
        </is>
      </c>
      <c r="D342" s="10" t="n">
        <v>11</v>
      </c>
      <c r="E342" s="12" t="n">
        <v>8484.700000000001</v>
      </c>
      <c r="F342" s="12" t="n">
        <v>14239.1</v>
      </c>
      <c r="G342" s="12" t="n">
        <v>-5754.4</v>
      </c>
      <c r="H342" s="13" t="n">
        <v>0.8411999999999999</v>
      </c>
      <c r="I342" s="13" t="n">
        <v>0.7468</v>
      </c>
    </row>
    <row r="343">
      <c r="A343" s="10" t="inlineStr">
        <is>
          <t>PJ-2020-B</t>
        </is>
      </c>
      <c r="B343" s="10" t="inlineStr">
        <is>
          <t>素朴版／月内均等</t>
        </is>
      </c>
      <c r="C343" s="10" t="inlineStr">
        <is>
          <t>2020-12</t>
        </is>
      </c>
      <c r="D343" s="10" t="n">
        <v>12</v>
      </c>
      <c r="E343" s="12" t="n">
        <v>7961.4</v>
      </c>
      <c r="F343" s="12" t="n">
        <v>13215.8</v>
      </c>
      <c r="G343" s="12" t="n">
        <v>-5254.4</v>
      </c>
      <c r="H343" s="13" t="n">
        <v>0.9208</v>
      </c>
      <c r="I343" s="13" t="n">
        <v>0.8789</v>
      </c>
    </row>
    <row r="344">
      <c r="A344" s="10" t="inlineStr">
        <is>
          <t>PJ-2020-B</t>
        </is>
      </c>
      <c r="B344" s="10" t="inlineStr">
        <is>
          <t>素朴版／月内均等</t>
        </is>
      </c>
      <c r="C344" s="10" t="inlineStr">
        <is>
          <t>2021-01</t>
        </is>
      </c>
      <c r="D344" s="10" t="n">
        <v>13</v>
      </c>
      <c r="E344" s="12" t="n">
        <v>5351.7</v>
      </c>
      <c r="F344" s="12" t="n">
        <v>7968.1</v>
      </c>
      <c r="G344" s="12" t="n">
        <v>-2616.4</v>
      </c>
      <c r="H344" s="13" t="n">
        <v>0.9743000000000001</v>
      </c>
      <c r="I344" s="13" t="n">
        <v>0.9586</v>
      </c>
    </row>
    <row r="345">
      <c r="A345" s="10" t="inlineStr">
        <is>
          <t>PJ-2020-B</t>
        </is>
      </c>
      <c r="B345" s="10" t="inlineStr">
        <is>
          <t>素朴版／月内均等</t>
        </is>
      </c>
      <c r="C345" s="10" t="inlineStr">
        <is>
          <t>2021-02</t>
        </is>
      </c>
      <c r="D345" s="10" t="n">
        <v>14</v>
      </c>
      <c r="E345" s="12" t="n">
        <v>2569.2</v>
      </c>
      <c r="F345" s="12" t="n">
        <v>4145.7</v>
      </c>
      <c r="G345" s="12" t="n">
        <v>-1576.5</v>
      </c>
      <c r="H345" s="13" t="n">
        <v>1</v>
      </c>
      <c r="I345" s="13" t="n">
        <v>1</v>
      </c>
    </row>
    <row r="346">
      <c r="A346" s="10" t="inlineStr">
        <is>
          <t>PJ-2020-B</t>
        </is>
      </c>
      <c r="B346" s="10" t="inlineStr">
        <is>
          <t>位置合わせ(MS学習値)／月内均等</t>
        </is>
      </c>
      <c r="C346" s="10" t="inlineStr">
        <is>
          <t>2020-01</t>
        </is>
      </c>
      <c r="D346" s="10" t="n">
        <v>1</v>
      </c>
      <c r="E346" s="12" t="n">
        <v>3614.5</v>
      </c>
      <c r="F346" s="12" t="n">
        <v>320.5</v>
      </c>
      <c r="G346" s="12" t="n">
        <v>3294</v>
      </c>
      <c r="H346" s="13" t="n">
        <v>0.0361</v>
      </c>
      <c r="I346" s="13" t="n">
        <v>0.0032</v>
      </c>
    </row>
    <row r="347">
      <c r="A347" s="10" t="inlineStr">
        <is>
          <t>PJ-2020-B</t>
        </is>
      </c>
      <c r="B347" s="10" t="inlineStr">
        <is>
          <t>位置合わせ(MS学習値)／月内均等</t>
        </is>
      </c>
      <c r="C347" s="10" t="inlineStr">
        <is>
          <t>2020-02</t>
        </is>
      </c>
      <c r="D347" s="10" t="n">
        <v>2</v>
      </c>
      <c r="E347" s="12" t="n">
        <v>4394.2</v>
      </c>
      <c r="F347" s="12" t="n">
        <v>930.3</v>
      </c>
      <c r="G347" s="12" t="n">
        <v>3463.9</v>
      </c>
      <c r="H347" s="13" t="n">
        <v>0.0801</v>
      </c>
      <c r="I347" s="13" t="n">
        <v>0.0125</v>
      </c>
    </row>
    <row r="348">
      <c r="A348" s="10" t="inlineStr">
        <is>
          <t>PJ-2020-B</t>
        </is>
      </c>
      <c r="B348" s="10" t="inlineStr">
        <is>
          <t>位置合わせ(MS学習値)／月内均等</t>
        </is>
      </c>
      <c r="C348" s="10" t="inlineStr">
        <is>
          <t>2020-03</t>
        </is>
      </c>
      <c r="D348" s="10" t="n">
        <v>3</v>
      </c>
      <c r="E348" s="12" t="n">
        <v>5271.4</v>
      </c>
      <c r="F348" s="12" t="n">
        <v>1814.8</v>
      </c>
      <c r="G348" s="12" t="n">
        <v>3456.6</v>
      </c>
      <c r="H348" s="13" t="n">
        <v>0.1328</v>
      </c>
      <c r="I348" s="13" t="n">
        <v>0.0306</v>
      </c>
    </row>
    <row r="349">
      <c r="A349" s="10" t="inlineStr">
        <is>
          <t>PJ-2020-B</t>
        </is>
      </c>
      <c r="B349" s="10" t="inlineStr">
        <is>
          <t>位置合わせ(MS学習値)／月内均等</t>
        </is>
      </c>
      <c r="C349" s="10" t="inlineStr">
        <is>
          <t>2020-04</t>
        </is>
      </c>
      <c r="D349" s="10" t="n">
        <v>4</v>
      </c>
      <c r="E349" s="12" t="n">
        <v>5953.1</v>
      </c>
      <c r="F349" s="12" t="n">
        <v>2405.7</v>
      </c>
      <c r="G349" s="12" t="n">
        <v>3547.4</v>
      </c>
      <c r="H349" s="13" t="n">
        <v>0.1923</v>
      </c>
      <c r="I349" s="13" t="n">
        <v>0.0547</v>
      </c>
    </row>
    <row r="350">
      <c r="A350" s="10" t="inlineStr">
        <is>
          <t>PJ-2020-B</t>
        </is>
      </c>
      <c r="B350" s="10" t="inlineStr">
        <is>
          <t>位置合わせ(MS学習値)／月内均等</t>
        </is>
      </c>
      <c r="C350" s="10" t="inlineStr">
        <is>
          <t>2020-05</t>
        </is>
      </c>
      <c r="D350" s="10" t="n">
        <v>5</v>
      </c>
      <c r="E350" s="12" t="n">
        <v>7747.1</v>
      </c>
      <c r="F350" s="12" t="n">
        <v>3424.8</v>
      </c>
      <c r="G350" s="12" t="n">
        <v>4322.3</v>
      </c>
      <c r="H350" s="13" t="n">
        <v>0.2697</v>
      </c>
      <c r="I350" s="13" t="n">
        <v>0.08890000000000001</v>
      </c>
    </row>
    <row r="351">
      <c r="A351" s="10" t="inlineStr">
        <is>
          <t>PJ-2020-B</t>
        </is>
      </c>
      <c r="B351" s="10" t="inlineStr">
        <is>
          <t>位置合わせ(MS学習値)／月内均等</t>
        </is>
      </c>
      <c r="C351" s="10" t="inlineStr">
        <is>
          <t>2020-06</t>
        </is>
      </c>
      <c r="D351" s="10" t="n">
        <v>6</v>
      </c>
      <c r="E351" s="12" t="n">
        <v>8862.200000000001</v>
      </c>
      <c r="F351" s="12" t="n">
        <v>4082.4</v>
      </c>
      <c r="G351" s="12" t="n">
        <v>4779.8</v>
      </c>
      <c r="H351" s="13" t="n">
        <v>0.3584</v>
      </c>
      <c r="I351" s="13" t="n">
        <v>0.1298</v>
      </c>
    </row>
    <row r="352">
      <c r="A352" s="10" t="inlineStr">
        <is>
          <t>PJ-2020-B</t>
        </is>
      </c>
      <c r="B352" s="10" t="inlineStr">
        <is>
          <t>位置合わせ(MS学習値)／月内均等</t>
        </is>
      </c>
      <c r="C352" s="10" t="inlineStr">
        <is>
          <t>2020-07</t>
        </is>
      </c>
      <c r="D352" s="10" t="n">
        <v>7</v>
      </c>
      <c r="E352" s="12" t="n">
        <v>10387.2</v>
      </c>
      <c r="F352" s="12" t="n">
        <v>5263.5</v>
      </c>
      <c r="G352" s="12" t="n">
        <v>5123.7</v>
      </c>
      <c r="H352" s="13" t="n">
        <v>0.4622</v>
      </c>
      <c r="I352" s="13" t="n">
        <v>0.1824</v>
      </c>
    </row>
    <row r="353">
      <c r="A353" s="10" t="inlineStr">
        <is>
          <t>PJ-2020-B</t>
        </is>
      </c>
      <c r="B353" s="10" t="inlineStr">
        <is>
          <t>位置合わせ(MS学習値)／月内均等</t>
        </is>
      </c>
      <c r="C353" s="10" t="inlineStr">
        <is>
          <t>2020-08</t>
        </is>
      </c>
      <c r="D353" s="10" t="n">
        <v>8</v>
      </c>
      <c r="E353" s="12" t="n">
        <v>10165.6</v>
      </c>
      <c r="F353" s="12" t="n">
        <v>6466.9</v>
      </c>
      <c r="G353" s="12" t="n">
        <v>3698.7</v>
      </c>
      <c r="H353" s="13" t="n">
        <v>0.5638</v>
      </c>
      <c r="I353" s="13" t="n">
        <v>0.247</v>
      </c>
    </row>
    <row r="354">
      <c r="A354" s="10" t="inlineStr">
        <is>
          <t>PJ-2020-B</t>
        </is>
      </c>
      <c r="B354" s="10" t="inlineStr">
        <is>
          <t>位置合わせ(MS学習値)／月内均等</t>
        </is>
      </c>
      <c r="C354" s="10" t="inlineStr">
        <is>
          <t>2020-09</t>
        </is>
      </c>
      <c r="D354" s="10" t="n">
        <v>9</v>
      </c>
      <c r="E354" s="12" t="n">
        <v>9431.6</v>
      </c>
      <c r="F354" s="12" t="n">
        <v>15257.1</v>
      </c>
      <c r="G354" s="12" t="n">
        <v>-5825.5</v>
      </c>
      <c r="H354" s="13" t="n">
        <v>0.6581</v>
      </c>
      <c r="I354" s="13" t="n">
        <v>0.3996</v>
      </c>
    </row>
    <row r="355">
      <c r="A355" s="10" t="inlineStr">
        <is>
          <t>PJ-2020-B</t>
        </is>
      </c>
      <c r="B355" s="10" t="inlineStr">
        <is>
          <t>位置合わせ(MS学習値)／月内均等</t>
        </is>
      </c>
      <c r="C355" s="10" t="inlineStr">
        <is>
          <t>2020-10</t>
        </is>
      </c>
      <c r="D355" s="10" t="n">
        <v>10</v>
      </c>
      <c r="E355" s="12" t="n">
        <v>10198.5</v>
      </c>
      <c r="F355" s="12" t="n">
        <v>20485.7</v>
      </c>
      <c r="G355" s="12" t="n">
        <v>-10287.2</v>
      </c>
      <c r="H355" s="13" t="n">
        <v>0.7601</v>
      </c>
      <c r="I355" s="13" t="n">
        <v>0.6044</v>
      </c>
    </row>
    <row r="356">
      <c r="A356" s="10" t="inlineStr">
        <is>
          <t>PJ-2020-B</t>
        </is>
      </c>
      <c r="B356" s="10" t="inlineStr">
        <is>
          <t>位置合わせ(MS学習値)／月内均等</t>
        </is>
      </c>
      <c r="C356" s="10" t="inlineStr">
        <is>
          <t>2020-11</t>
        </is>
      </c>
      <c r="D356" s="10" t="n">
        <v>11</v>
      </c>
      <c r="E356" s="12" t="n">
        <v>9016.1</v>
      </c>
      <c r="F356" s="12" t="n">
        <v>14239.1</v>
      </c>
      <c r="G356" s="12" t="n">
        <v>-5223</v>
      </c>
      <c r="H356" s="13" t="n">
        <v>0.8502</v>
      </c>
      <c r="I356" s="13" t="n">
        <v>0.7468</v>
      </c>
    </row>
    <row r="357">
      <c r="A357" s="10" t="inlineStr">
        <is>
          <t>PJ-2020-B</t>
        </is>
      </c>
      <c r="B357" s="10" t="inlineStr">
        <is>
          <t>位置合わせ(MS学習値)／月内均等</t>
        </is>
      </c>
      <c r="C357" s="10" t="inlineStr">
        <is>
          <t>2020-12</t>
        </is>
      </c>
      <c r="D357" s="10" t="n">
        <v>12</v>
      </c>
      <c r="E357" s="12" t="n">
        <v>7052</v>
      </c>
      <c r="F357" s="12" t="n">
        <v>13215.8</v>
      </c>
      <c r="G357" s="12" t="n">
        <v>-6163.8</v>
      </c>
      <c r="H357" s="13" t="n">
        <v>0.9207</v>
      </c>
      <c r="I357" s="13" t="n">
        <v>0.8789</v>
      </c>
    </row>
    <row r="358">
      <c r="A358" s="10" t="inlineStr">
        <is>
          <t>PJ-2020-B</t>
        </is>
      </c>
      <c r="B358" s="10" t="inlineStr">
        <is>
          <t>位置合わせ(MS学習値)／月内均等</t>
        </is>
      </c>
      <c r="C358" s="10" t="inlineStr">
        <is>
          <t>2021-01</t>
        </is>
      </c>
      <c r="D358" s="10" t="n">
        <v>13</v>
      </c>
      <c r="E358" s="12" t="n">
        <v>5357.6</v>
      </c>
      <c r="F358" s="12" t="n">
        <v>7968.1</v>
      </c>
      <c r="G358" s="12" t="n">
        <v>-2610.5</v>
      </c>
      <c r="H358" s="13" t="n">
        <v>0.9743000000000001</v>
      </c>
      <c r="I358" s="13" t="n">
        <v>0.9586</v>
      </c>
    </row>
    <row r="359">
      <c r="A359" s="10" t="inlineStr">
        <is>
          <t>PJ-2020-B</t>
        </is>
      </c>
      <c r="B359" s="10" t="inlineStr">
        <is>
          <t>位置合わせ(MS学習値)／月内均等</t>
        </is>
      </c>
      <c r="C359" s="10" t="inlineStr">
        <is>
          <t>2021-02</t>
        </is>
      </c>
      <c r="D359" s="10" t="n">
        <v>14</v>
      </c>
      <c r="E359" s="12" t="n">
        <v>2569.3</v>
      </c>
      <c r="F359" s="12" t="n">
        <v>4145.7</v>
      </c>
      <c r="G359" s="12" t="n">
        <v>-1576.4</v>
      </c>
      <c r="H359" s="13" t="n">
        <v>1</v>
      </c>
      <c r="I359" s="13" t="n">
        <v>1</v>
      </c>
    </row>
    <row r="360">
      <c r="A360" s="10" t="inlineStr">
        <is>
          <t>PJ-2020-B</t>
        </is>
      </c>
      <c r="B360" s="10" t="inlineStr">
        <is>
          <t>位置合わせ(MS指定)／月内均等</t>
        </is>
      </c>
      <c r="C360" s="10" t="inlineStr">
        <is>
          <t>2020-01</t>
        </is>
      </c>
      <c r="D360" s="10" t="n">
        <v>1</v>
      </c>
      <c r="E360" s="12" t="n">
        <v>2866.1</v>
      </c>
      <c r="F360" s="12" t="n">
        <v>320.5</v>
      </c>
      <c r="G360" s="12" t="n">
        <v>2545.6</v>
      </c>
      <c r="H360" s="13" t="n">
        <v>0.0287</v>
      </c>
      <c r="I360" s="13" t="n">
        <v>0.0032</v>
      </c>
    </row>
    <row r="361">
      <c r="A361" s="10" t="inlineStr">
        <is>
          <t>PJ-2020-B</t>
        </is>
      </c>
      <c r="B361" s="10" t="inlineStr">
        <is>
          <t>位置合わせ(MS指定)／月内均等</t>
        </is>
      </c>
      <c r="C361" s="10" t="inlineStr">
        <is>
          <t>2020-02</t>
        </is>
      </c>
      <c r="D361" s="10" t="n">
        <v>2</v>
      </c>
      <c r="E361" s="12" t="n">
        <v>3458.3</v>
      </c>
      <c r="F361" s="12" t="n">
        <v>930.3</v>
      </c>
      <c r="G361" s="12" t="n">
        <v>2528</v>
      </c>
      <c r="H361" s="13" t="n">
        <v>0.06320000000000001</v>
      </c>
      <c r="I361" s="13" t="n">
        <v>0.0125</v>
      </c>
    </row>
    <row r="362">
      <c r="A362" s="10" t="inlineStr">
        <is>
          <t>PJ-2020-B</t>
        </is>
      </c>
      <c r="B362" s="10" t="inlineStr">
        <is>
          <t>位置合わせ(MS指定)／月内均等</t>
        </is>
      </c>
      <c r="C362" s="10" t="inlineStr">
        <is>
          <t>2020-03</t>
        </is>
      </c>
      <c r="D362" s="10" t="n">
        <v>3</v>
      </c>
      <c r="E362" s="12" t="n">
        <v>4203.6</v>
      </c>
      <c r="F362" s="12" t="n">
        <v>1814.8</v>
      </c>
      <c r="G362" s="12" t="n">
        <v>2388.8</v>
      </c>
      <c r="H362" s="13" t="n">
        <v>0.1053</v>
      </c>
      <c r="I362" s="13" t="n">
        <v>0.0306</v>
      </c>
    </row>
    <row r="363">
      <c r="A363" s="10" t="inlineStr">
        <is>
          <t>PJ-2020-B</t>
        </is>
      </c>
      <c r="B363" s="10" t="inlineStr">
        <is>
          <t>位置合わせ(MS指定)／月内均等</t>
        </is>
      </c>
      <c r="C363" s="10" t="inlineStr">
        <is>
          <t>2020-04</t>
        </is>
      </c>
      <c r="D363" s="10" t="n">
        <v>4</v>
      </c>
      <c r="E363" s="12" t="n">
        <v>4431.3</v>
      </c>
      <c r="F363" s="12" t="n">
        <v>2405.7</v>
      </c>
      <c r="G363" s="12" t="n">
        <v>2025.6</v>
      </c>
      <c r="H363" s="13" t="n">
        <v>0.1496</v>
      </c>
      <c r="I363" s="13" t="n">
        <v>0.0547</v>
      </c>
    </row>
    <row r="364">
      <c r="A364" s="10" t="inlineStr">
        <is>
          <t>PJ-2020-B</t>
        </is>
      </c>
      <c r="B364" s="10" t="inlineStr">
        <is>
          <t>位置合わせ(MS指定)／月内均等</t>
        </is>
      </c>
      <c r="C364" s="10" t="inlineStr">
        <is>
          <t>2020-05</t>
        </is>
      </c>
      <c r="D364" s="10" t="n">
        <v>5</v>
      </c>
      <c r="E364" s="12" t="n">
        <v>5269.6</v>
      </c>
      <c r="F364" s="12" t="n">
        <v>3424.8</v>
      </c>
      <c r="G364" s="12" t="n">
        <v>1844.8</v>
      </c>
      <c r="H364" s="13" t="n">
        <v>0.2022</v>
      </c>
      <c r="I364" s="13" t="n">
        <v>0.08890000000000001</v>
      </c>
    </row>
    <row r="365">
      <c r="A365" s="10" t="inlineStr">
        <is>
          <t>PJ-2020-B</t>
        </is>
      </c>
      <c r="B365" s="10" t="inlineStr">
        <is>
          <t>位置合わせ(MS指定)／月内均等</t>
        </is>
      </c>
      <c r="C365" s="10" t="inlineStr">
        <is>
          <t>2020-06</t>
        </is>
      </c>
      <c r="D365" s="10" t="n">
        <v>6</v>
      </c>
      <c r="E365" s="12" t="n">
        <v>6285.3</v>
      </c>
      <c r="F365" s="12" t="n">
        <v>4082.4</v>
      </c>
      <c r="G365" s="12" t="n">
        <v>2202.9</v>
      </c>
      <c r="H365" s="13" t="n">
        <v>0.2651</v>
      </c>
      <c r="I365" s="13" t="n">
        <v>0.1298</v>
      </c>
    </row>
    <row r="366">
      <c r="A366" s="10" t="inlineStr">
        <is>
          <t>PJ-2020-B</t>
        </is>
      </c>
      <c r="B366" s="10" t="inlineStr">
        <is>
          <t>位置合わせ(MS指定)／月内均等</t>
        </is>
      </c>
      <c r="C366" s="10" t="inlineStr">
        <is>
          <t>2020-07</t>
        </is>
      </c>
      <c r="D366" s="10" t="n">
        <v>7</v>
      </c>
      <c r="E366" s="12" t="n">
        <v>7443.8</v>
      </c>
      <c r="F366" s="12" t="n">
        <v>5263.5</v>
      </c>
      <c r="G366" s="12" t="n">
        <v>2180.3</v>
      </c>
      <c r="H366" s="13" t="n">
        <v>0.3395</v>
      </c>
      <c r="I366" s="13" t="n">
        <v>0.1824</v>
      </c>
    </row>
    <row r="367">
      <c r="A367" s="10" t="inlineStr">
        <is>
          <t>PJ-2020-B</t>
        </is>
      </c>
      <c r="B367" s="10" t="inlineStr">
        <is>
          <t>位置合わせ(MS指定)／月内均等</t>
        </is>
      </c>
      <c r="C367" s="10" t="inlineStr">
        <is>
          <t>2020-08</t>
        </is>
      </c>
      <c r="D367" s="10" t="n">
        <v>8</v>
      </c>
      <c r="E367" s="12" t="n">
        <v>8379.4</v>
      </c>
      <c r="F367" s="12" t="n">
        <v>6466.9</v>
      </c>
      <c r="G367" s="12" t="n">
        <v>1912.5</v>
      </c>
      <c r="H367" s="13" t="n">
        <v>0.4233</v>
      </c>
      <c r="I367" s="13" t="n">
        <v>0.247</v>
      </c>
    </row>
    <row r="368">
      <c r="A368" s="10" t="inlineStr">
        <is>
          <t>PJ-2020-B</t>
        </is>
      </c>
      <c r="B368" s="10" t="inlineStr">
        <is>
          <t>位置合わせ(MS指定)／月内均等</t>
        </is>
      </c>
      <c r="C368" s="10" t="inlineStr">
        <is>
          <t>2020-09</t>
        </is>
      </c>
      <c r="D368" s="10" t="n">
        <v>9</v>
      </c>
      <c r="E368" s="12" t="n">
        <v>14594.4</v>
      </c>
      <c r="F368" s="12" t="n">
        <v>15257.1</v>
      </c>
      <c r="G368" s="12" t="n">
        <v>-662.7</v>
      </c>
      <c r="H368" s="13" t="n">
        <v>0.5692</v>
      </c>
      <c r="I368" s="13" t="n">
        <v>0.3996</v>
      </c>
    </row>
    <row r="369">
      <c r="A369" s="10" t="inlineStr">
        <is>
          <t>PJ-2020-B</t>
        </is>
      </c>
      <c r="B369" s="10" t="inlineStr">
        <is>
          <t>位置合わせ(MS指定)／月内均等</t>
        </is>
      </c>
      <c r="C369" s="10" t="inlineStr">
        <is>
          <t>2020-10</t>
        </is>
      </c>
      <c r="D369" s="10" t="n">
        <v>10</v>
      </c>
      <c r="E369" s="12" t="n">
        <v>15811.5</v>
      </c>
      <c r="F369" s="12" t="n">
        <v>20485.7</v>
      </c>
      <c r="G369" s="12" t="n">
        <v>-4674.2</v>
      </c>
      <c r="H369" s="13" t="n">
        <v>0.7272999999999999</v>
      </c>
      <c r="I369" s="13" t="n">
        <v>0.6044</v>
      </c>
    </row>
    <row r="370">
      <c r="A370" s="10" t="inlineStr">
        <is>
          <t>PJ-2020-B</t>
        </is>
      </c>
      <c r="B370" s="10" t="inlineStr">
        <is>
          <t>位置合わせ(MS指定)／月内均等</t>
        </is>
      </c>
      <c r="C370" s="10" t="inlineStr">
        <is>
          <t>2020-11</t>
        </is>
      </c>
      <c r="D370" s="10" t="n">
        <v>11</v>
      </c>
      <c r="E370" s="12" t="n">
        <v>11477.2</v>
      </c>
      <c r="F370" s="12" t="n">
        <v>14239.1</v>
      </c>
      <c r="G370" s="12" t="n">
        <v>-2761.9</v>
      </c>
      <c r="H370" s="13" t="n">
        <v>0.842</v>
      </c>
      <c r="I370" s="13" t="n">
        <v>0.7468</v>
      </c>
    </row>
    <row r="371">
      <c r="A371" s="10" t="inlineStr">
        <is>
          <t>PJ-2020-B</t>
        </is>
      </c>
      <c r="B371" s="10" t="inlineStr">
        <is>
          <t>位置合わせ(MS指定)／月内均等</t>
        </is>
      </c>
      <c r="C371" s="10" t="inlineStr">
        <is>
          <t>2020-12</t>
        </is>
      </c>
      <c r="D371" s="10" t="n">
        <v>12</v>
      </c>
      <c r="E371" s="12" t="n">
        <v>7272.5</v>
      </c>
      <c r="F371" s="12" t="n">
        <v>13215.8</v>
      </c>
      <c r="G371" s="12" t="n">
        <v>-5943.3</v>
      </c>
      <c r="H371" s="13" t="n">
        <v>0.9147</v>
      </c>
      <c r="I371" s="13" t="n">
        <v>0.8789</v>
      </c>
    </row>
    <row r="372">
      <c r="A372" s="10" t="inlineStr">
        <is>
          <t>PJ-2020-B</t>
        </is>
      </c>
      <c r="B372" s="10" t="inlineStr">
        <is>
          <t>位置合わせ(MS指定)／月内均等</t>
        </is>
      </c>
      <c r="C372" s="10" t="inlineStr">
        <is>
          <t>2021-01</t>
        </is>
      </c>
      <c r="D372" s="10" t="n">
        <v>13</v>
      </c>
      <c r="E372" s="12" t="n">
        <v>5577.1</v>
      </c>
      <c r="F372" s="12" t="n">
        <v>7968.1</v>
      </c>
      <c r="G372" s="12" t="n">
        <v>-2391</v>
      </c>
      <c r="H372" s="13" t="n">
        <v>0.9705</v>
      </c>
      <c r="I372" s="13" t="n">
        <v>0.9586</v>
      </c>
    </row>
    <row r="373">
      <c r="A373" s="10" t="inlineStr">
        <is>
          <t>PJ-2020-B</t>
        </is>
      </c>
      <c r="B373" s="10" t="inlineStr">
        <is>
          <t>位置合わせ(MS指定)／月内均等</t>
        </is>
      </c>
      <c r="C373" s="10" t="inlineStr">
        <is>
          <t>2021-02</t>
        </is>
      </c>
      <c r="D373" s="10" t="n">
        <v>14</v>
      </c>
      <c r="E373" s="12" t="n">
        <v>2950.4</v>
      </c>
      <c r="F373" s="12" t="n">
        <v>4145.7</v>
      </c>
      <c r="G373" s="12" t="n">
        <v>-1195.3</v>
      </c>
      <c r="H373" s="13" t="n">
        <v>1</v>
      </c>
      <c r="I373" s="13" t="n">
        <v>1</v>
      </c>
    </row>
    <row r="374">
      <c r="A374" s="10" t="inlineStr">
        <is>
          <t>PJ-2020-B</t>
        </is>
      </c>
      <c r="B374" s="10" t="inlineStr">
        <is>
          <t>素朴版／単調補間</t>
        </is>
      </c>
      <c r="C374" s="10" t="inlineStr">
        <is>
          <t>2020-01</t>
        </is>
      </c>
      <c r="D374" s="10" t="n">
        <v>1</v>
      </c>
      <c r="E374" s="12" t="n">
        <v>3498.3</v>
      </c>
      <c r="F374" s="12" t="n">
        <v>320.5</v>
      </c>
      <c r="G374" s="12" t="n">
        <v>3177.8</v>
      </c>
      <c r="H374" s="13" t="n">
        <v>0.035</v>
      </c>
      <c r="I374" s="13" t="n">
        <v>0.0032</v>
      </c>
    </row>
    <row r="375">
      <c r="A375" s="10" t="inlineStr">
        <is>
          <t>PJ-2020-B</t>
        </is>
      </c>
      <c r="B375" s="10" t="inlineStr">
        <is>
          <t>素朴版／単調補間</t>
        </is>
      </c>
      <c r="C375" s="10" t="inlineStr">
        <is>
          <t>2020-02</t>
        </is>
      </c>
      <c r="D375" s="10" t="n">
        <v>2</v>
      </c>
      <c r="E375" s="12" t="n">
        <v>4383.3</v>
      </c>
      <c r="F375" s="12" t="n">
        <v>930.3</v>
      </c>
      <c r="G375" s="12" t="n">
        <v>3453</v>
      </c>
      <c r="H375" s="13" t="n">
        <v>0.0788</v>
      </c>
      <c r="I375" s="13" t="n">
        <v>0.0125</v>
      </c>
    </row>
    <row r="376">
      <c r="A376" s="10" t="inlineStr">
        <is>
          <t>PJ-2020-B</t>
        </is>
      </c>
      <c r="B376" s="10" t="inlineStr">
        <is>
          <t>素朴版／単調補間</t>
        </is>
      </c>
      <c r="C376" s="10" t="inlineStr">
        <is>
          <t>2020-03</t>
        </is>
      </c>
      <c r="D376" s="10" t="n">
        <v>3</v>
      </c>
      <c r="E376" s="12" t="n">
        <v>5322.1</v>
      </c>
      <c r="F376" s="12" t="n">
        <v>1814.8</v>
      </c>
      <c r="G376" s="12" t="n">
        <v>3507.3</v>
      </c>
      <c r="H376" s="13" t="n">
        <v>0.132</v>
      </c>
      <c r="I376" s="13" t="n">
        <v>0.0306</v>
      </c>
    </row>
    <row r="377">
      <c r="A377" s="10" t="inlineStr">
        <is>
          <t>PJ-2020-B</t>
        </is>
      </c>
      <c r="B377" s="10" t="inlineStr">
        <is>
          <t>素朴版／単調補間</t>
        </is>
      </c>
      <c r="C377" s="10" t="inlineStr">
        <is>
          <t>2020-04</t>
        </is>
      </c>
      <c r="D377" s="10" t="n">
        <v>4</v>
      </c>
      <c r="E377" s="12" t="n">
        <v>6138</v>
      </c>
      <c r="F377" s="12" t="n">
        <v>2405.7</v>
      </c>
      <c r="G377" s="12" t="n">
        <v>3732.3</v>
      </c>
      <c r="H377" s="13" t="n">
        <v>0.1934</v>
      </c>
      <c r="I377" s="13" t="n">
        <v>0.0547</v>
      </c>
    </row>
    <row r="378">
      <c r="A378" s="10" t="inlineStr">
        <is>
          <t>PJ-2020-B</t>
        </is>
      </c>
      <c r="B378" s="10" t="inlineStr">
        <is>
          <t>素朴版／単調補間</t>
        </is>
      </c>
      <c r="C378" s="10" t="inlineStr">
        <is>
          <t>2020-05</t>
        </is>
      </c>
      <c r="D378" s="10" t="n">
        <v>5</v>
      </c>
      <c r="E378" s="12" t="n">
        <v>8303.200000000001</v>
      </c>
      <c r="F378" s="12" t="n">
        <v>3424.8</v>
      </c>
      <c r="G378" s="12" t="n">
        <v>4878.4</v>
      </c>
      <c r="H378" s="13" t="n">
        <v>0.2764</v>
      </c>
      <c r="I378" s="13" t="n">
        <v>0.08890000000000001</v>
      </c>
    </row>
    <row r="379">
      <c r="A379" s="10" t="inlineStr">
        <is>
          <t>PJ-2020-B</t>
        </is>
      </c>
      <c r="B379" s="10" t="inlineStr">
        <is>
          <t>素朴版／単調補間</t>
        </is>
      </c>
      <c r="C379" s="10" t="inlineStr">
        <is>
          <t>2020-06</t>
        </is>
      </c>
      <c r="D379" s="10" t="n">
        <v>6</v>
      </c>
      <c r="E379" s="12" t="n">
        <v>9473.5</v>
      </c>
      <c r="F379" s="12" t="n">
        <v>4082.4</v>
      </c>
      <c r="G379" s="12" t="n">
        <v>5391.1</v>
      </c>
      <c r="H379" s="13" t="n">
        <v>0.3711</v>
      </c>
      <c r="I379" s="13" t="n">
        <v>0.1298</v>
      </c>
    </row>
    <row r="380">
      <c r="A380" s="10" t="inlineStr">
        <is>
          <t>PJ-2020-B</t>
        </is>
      </c>
      <c r="B380" s="10" t="inlineStr">
        <is>
          <t>素朴版／単調補間</t>
        </is>
      </c>
      <c r="C380" s="10" t="inlineStr">
        <is>
          <t>2020-07</t>
        </is>
      </c>
      <c r="D380" s="10" t="n">
        <v>7</v>
      </c>
      <c r="E380" s="12" t="n">
        <v>9033.700000000001</v>
      </c>
      <c r="F380" s="12" t="n">
        <v>5263.5</v>
      </c>
      <c r="G380" s="12" t="n">
        <v>3770.2</v>
      </c>
      <c r="H380" s="13" t="n">
        <v>0.4614</v>
      </c>
      <c r="I380" s="13" t="n">
        <v>0.1824</v>
      </c>
    </row>
    <row r="381">
      <c r="A381" s="10" t="inlineStr">
        <is>
          <t>PJ-2020-B</t>
        </is>
      </c>
      <c r="B381" s="10" t="inlineStr">
        <is>
          <t>素朴版／単調補間</t>
        </is>
      </c>
      <c r="C381" s="10" t="inlineStr">
        <is>
          <t>2020-08</t>
        </is>
      </c>
      <c r="D381" s="10" t="n">
        <v>8</v>
      </c>
      <c r="E381" s="12" t="n">
        <v>10351.3</v>
      </c>
      <c r="F381" s="12" t="n">
        <v>6466.9</v>
      </c>
      <c r="G381" s="12" t="n">
        <v>3884.4</v>
      </c>
      <c r="H381" s="13" t="n">
        <v>0.5649</v>
      </c>
      <c r="I381" s="13" t="n">
        <v>0.247</v>
      </c>
    </row>
    <row r="382">
      <c r="A382" s="10" t="inlineStr">
        <is>
          <t>PJ-2020-B</t>
        </is>
      </c>
      <c r="B382" s="10" t="inlineStr">
        <is>
          <t>素朴版／単調補間</t>
        </is>
      </c>
      <c r="C382" s="10" t="inlineStr">
        <is>
          <t>2020-09</t>
        </is>
      </c>
      <c r="D382" s="10" t="n">
        <v>9</v>
      </c>
      <c r="E382" s="12" t="n">
        <v>10172.6</v>
      </c>
      <c r="F382" s="12" t="n">
        <v>15257.1</v>
      </c>
      <c r="G382" s="12" t="n">
        <v>-5084.5</v>
      </c>
      <c r="H382" s="13" t="n">
        <v>0.6666</v>
      </c>
      <c r="I382" s="13" t="n">
        <v>0.3996</v>
      </c>
    </row>
    <row r="383">
      <c r="A383" s="10" t="inlineStr">
        <is>
          <t>PJ-2020-B</t>
        </is>
      </c>
      <c r="B383" s="10" t="inlineStr">
        <is>
          <t>素朴版／単調補間</t>
        </is>
      </c>
      <c r="C383" s="10" t="inlineStr">
        <is>
          <t>2020-10</t>
        </is>
      </c>
      <c r="D383" s="10" t="n">
        <v>10</v>
      </c>
      <c r="E383" s="12" t="n">
        <v>8993.1</v>
      </c>
      <c r="F383" s="12" t="n">
        <v>20485.7</v>
      </c>
      <c r="G383" s="12" t="n">
        <v>-11492.6</v>
      </c>
      <c r="H383" s="13" t="n">
        <v>0.7565</v>
      </c>
      <c r="I383" s="13" t="n">
        <v>0.6044</v>
      </c>
    </row>
    <row r="384">
      <c r="A384" s="10" t="inlineStr">
        <is>
          <t>PJ-2020-B</t>
        </is>
      </c>
      <c r="B384" s="10" t="inlineStr">
        <is>
          <t>素朴版／単調補間</t>
        </is>
      </c>
      <c r="C384" s="10" t="inlineStr">
        <is>
          <t>2020-11</t>
        </is>
      </c>
      <c r="D384" s="10" t="n">
        <v>11</v>
      </c>
      <c r="E384" s="12" t="n">
        <v>8487.1</v>
      </c>
      <c r="F384" s="12" t="n">
        <v>14239.1</v>
      </c>
      <c r="G384" s="12" t="n">
        <v>-5752</v>
      </c>
      <c r="H384" s="13" t="n">
        <v>0.8414</v>
      </c>
      <c r="I384" s="13" t="n">
        <v>0.7468</v>
      </c>
    </row>
    <row r="385">
      <c r="A385" s="10" t="inlineStr">
        <is>
          <t>PJ-2020-B</t>
        </is>
      </c>
      <c r="B385" s="10" t="inlineStr">
        <is>
          <t>素朴版／単調補間</t>
        </is>
      </c>
      <c r="C385" s="10" t="inlineStr">
        <is>
          <t>2020-12</t>
        </is>
      </c>
      <c r="D385" s="10" t="n">
        <v>12</v>
      </c>
      <c r="E385" s="12" t="n">
        <v>8053.4</v>
      </c>
      <c r="F385" s="12" t="n">
        <v>13215.8</v>
      </c>
      <c r="G385" s="12" t="n">
        <v>-5162.4</v>
      </c>
      <c r="H385" s="13" t="n">
        <v>0.9219000000000001</v>
      </c>
      <c r="I385" s="13" t="n">
        <v>0.8789</v>
      </c>
    </row>
    <row r="386">
      <c r="A386" s="10" t="inlineStr">
        <is>
          <t>PJ-2020-B</t>
        </is>
      </c>
      <c r="B386" s="10" t="inlineStr">
        <is>
          <t>素朴版／単調補間</t>
        </is>
      </c>
      <c r="C386" s="10" t="inlineStr">
        <is>
          <t>2021-01</t>
        </is>
      </c>
      <c r="D386" s="10" t="n">
        <v>13</v>
      </c>
      <c r="E386" s="12" t="n">
        <v>5326.7</v>
      </c>
      <c r="F386" s="12" t="n">
        <v>7968.1</v>
      </c>
      <c r="G386" s="12" t="n">
        <v>-2641.4</v>
      </c>
      <c r="H386" s="13" t="n">
        <v>0.9752</v>
      </c>
      <c r="I386" s="13" t="n">
        <v>0.9586</v>
      </c>
    </row>
    <row r="387">
      <c r="A387" s="10" t="inlineStr">
        <is>
          <t>PJ-2020-B</t>
        </is>
      </c>
      <c r="B387" s="10" t="inlineStr">
        <is>
          <t>素朴版／単調補間</t>
        </is>
      </c>
      <c r="C387" s="10" t="inlineStr">
        <is>
          <t>2021-02</t>
        </is>
      </c>
      <c r="D387" s="10" t="n">
        <v>14</v>
      </c>
      <c r="E387" s="12" t="n">
        <v>2484.2</v>
      </c>
      <c r="F387" s="12" t="n">
        <v>4145.7</v>
      </c>
      <c r="G387" s="12" t="n">
        <v>-1661.5</v>
      </c>
      <c r="H387" s="13" t="n">
        <v>1</v>
      </c>
      <c r="I387" s="13" t="n">
        <v>1</v>
      </c>
    </row>
    <row r="388">
      <c r="A388" s="10" t="inlineStr">
        <is>
          <t>PJ-2020-B</t>
        </is>
      </c>
      <c r="B388" s="10" t="inlineStr">
        <is>
          <t>位置合わせ(MS学習値)／単調補間</t>
        </is>
      </c>
      <c r="C388" s="10" t="inlineStr">
        <is>
          <t>2020-01</t>
        </is>
      </c>
      <c r="D388" s="10" t="n">
        <v>1</v>
      </c>
      <c r="E388" s="12" t="n">
        <v>3556.5</v>
      </c>
      <c r="F388" s="12" t="n">
        <v>320.5</v>
      </c>
      <c r="G388" s="12" t="n">
        <v>3236</v>
      </c>
      <c r="H388" s="13" t="n">
        <v>0.0356</v>
      </c>
      <c r="I388" s="13" t="n">
        <v>0.0032</v>
      </c>
    </row>
    <row r="389">
      <c r="A389" s="10" t="inlineStr">
        <is>
          <t>PJ-2020-B</t>
        </is>
      </c>
      <c r="B389" s="10" t="inlineStr">
        <is>
          <t>位置合わせ(MS学習値)／単調補間</t>
        </is>
      </c>
      <c r="C389" s="10" t="inlineStr">
        <is>
          <t>2020-02</t>
        </is>
      </c>
      <c r="D389" s="10" t="n">
        <v>2</v>
      </c>
      <c r="E389" s="12" t="n">
        <v>4404.1</v>
      </c>
      <c r="F389" s="12" t="n">
        <v>930.3</v>
      </c>
      <c r="G389" s="12" t="n">
        <v>3473.8</v>
      </c>
      <c r="H389" s="13" t="n">
        <v>0.0796</v>
      </c>
      <c r="I389" s="13" t="n">
        <v>0.0125</v>
      </c>
    </row>
    <row r="390">
      <c r="A390" s="10" t="inlineStr">
        <is>
          <t>PJ-2020-B</t>
        </is>
      </c>
      <c r="B390" s="10" t="inlineStr">
        <is>
          <t>位置合わせ(MS学習値)／単調補間</t>
        </is>
      </c>
      <c r="C390" s="10" t="inlineStr">
        <is>
          <t>2020-03</t>
        </is>
      </c>
      <c r="D390" s="10" t="n">
        <v>3</v>
      </c>
      <c r="E390" s="12" t="n">
        <v>5291.8</v>
      </c>
      <c r="F390" s="12" t="n">
        <v>1814.8</v>
      </c>
      <c r="G390" s="12" t="n">
        <v>3477</v>
      </c>
      <c r="H390" s="13" t="n">
        <v>0.1325</v>
      </c>
      <c r="I390" s="13" t="n">
        <v>0.0306</v>
      </c>
    </row>
    <row r="391">
      <c r="A391" s="10" t="inlineStr">
        <is>
          <t>PJ-2020-B</t>
        </is>
      </c>
      <c r="B391" s="10" t="inlineStr">
        <is>
          <t>位置合わせ(MS学習値)／単調補間</t>
        </is>
      </c>
      <c r="C391" s="10" t="inlineStr">
        <is>
          <t>2020-04</t>
        </is>
      </c>
      <c r="D391" s="10" t="n">
        <v>4</v>
      </c>
      <c r="E391" s="12" t="n">
        <v>5939.1</v>
      </c>
      <c r="F391" s="12" t="n">
        <v>2405.7</v>
      </c>
      <c r="G391" s="12" t="n">
        <v>3533.4</v>
      </c>
      <c r="H391" s="13" t="n">
        <v>0.1919</v>
      </c>
      <c r="I391" s="13" t="n">
        <v>0.0547</v>
      </c>
    </row>
    <row r="392">
      <c r="A392" s="10" t="inlineStr">
        <is>
          <t>PJ-2020-B</t>
        </is>
      </c>
      <c r="B392" s="10" t="inlineStr">
        <is>
          <t>位置合わせ(MS学習値)／単調補間</t>
        </is>
      </c>
      <c r="C392" s="10" t="inlineStr">
        <is>
          <t>2020-05</t>
        </is>
      </c>
      <c r="D392" s="10" t="n">
        <v>5</v>
      </c>
      <c r="E392" s="12" t="n">
        <v>7756.4</v>
      </c>
      <c r="F392" s="12" t="n">
        <v>3424.8</v>
      </c>
      <c r="G392" s="12" t="n">
        <v>4331.6</v>
      </c>
      <c r="H392" s="13" t="n">
        <v>0.2694</v>
      </c>
      <c r="I392" s="13" t="n">
        <v>0.08890000000000001</v>
      </c>
    </row>
    <row r="393">
      <c r="A393" s="10" t="inlineStr">
        <is>
          <t>PJ-2020-B</t>
        </is>
      </c>
      <c r="B393" s="10" t="inlineStr">
        <is>
          <t>位置合わせ(MS学習値)／単調補間</t>
        </is>
      </c>
      <c r="C393" s="10" t="inlineStr">
        <is>
          <t>2020-06</t>
        </is>
      </c>
      <c r="D393" s="10" t="n">
        <v>6</v>
      </c>
      <c r="E393" s="12" t="n">
        <v>8869.700000000001</v>
      </c>
      <c r="F393" s="12" t="n">
        <v>4082.4</v>
      </c>
      <c r="G393" s="12" t="n">
        <v>4787.3</v>
      </c>
      <c r="H393" s="13" t="n">
        <v>0.3581</v>
      </c>
      <c r="I393" s="13" t="n">
        <v>0.1298</v>
      </c>
    </row>
    <row r="394">
      <c r="A394" s="10" t="inlineStr">
        <is>
          <t>PJ-2020-B</t>
        </is>
      </c>
      <c r="B394" s="10" t="inlineStr">
        <is>
          <t>位置合わせ(MS学習値)／単調補間</t>
        </is>
      </c>
      <c r="C394" s="10" t="inlineStr">
        <is>
          <t>2020-07</t>
        </is>
      </c>
      <c r="D394" s="10" t="n">
        <v>7</v>
      </c>
      <c r="E394" s="12" t="n">
        <v>10395.3</v>
      </c>
      <c r="F394" s="12" t="n">
        <v>5263.5</v>
      </c>
      <c r="G394" s="12" t="n">
        <v>5131.8</v>
      </c>
      <c r="H394" s="13" t="n">
        <v>0.462</v>
      </c>
      <c r="I394" s="13" t="n">
        <v>0.1824</v>
      </c>
    </row>
    <row r="395">
      <c r="A395" s="10" t="inlineStr">
        <is>
          <t>PJ-2020-B</t>
        </is>
      </c>
      <c r="B395" s="10" t="inlineStr">
        <is>
          <t>位置合わせ(MS学習値)／単調補間</t>
        </is>
      </c>
      <c r="C395" s="10" t="inlineStr">
        <is>
          <t>2020-08</t>
        </is>
      </c>
      <c r="D395" s="10" t="n">
        <v>8</v>
      </c>
      <c r="E395" s="12" t="n">
        <v>10172</v>
      </c>
      <c r="F395" s="12" t="n">
        <v>6466.9</v>
      </c>
      <c r="G395" s="12" t="n">
        <v>3705.1</v>
      </c>
      <c r="H395" s="13" t="n">
        <v>0.5637</v>
      </c>
      <c r="I395" s="13" t="n">
        <v>0.247</v>
      </c>
    </row>
    <row r="396">
      <c r="A396" s="10" t="inlineStr">
        <is>
          <t>PJ-2020-B</t>
        </is>
      </c>
      <c r="B396" s="10" t="inlineStr">
        <is>
          <t>位置合わせ(MS学習値)／単調補間</t>
        </is>
      </c>
      <c r="C396" s="10" t="inlineStr">
        <is>
          <t>2020-09</t>
        </is>
      </c>
      <c r="D396" s="10" t="n">
        <v>9</v>
      </c>
      <c r="E396" s="12" t="n">
        <v>9451.200000000001</v>
      </c>
      <c r="F396" s="12" t="n">
        <v>15257.1</v>
      </c>
      <c r="G396" s="12" t="n">
        <v>-5805.9</v>
      </c>
      <c r="H396" s="13" t="n">
        <v>0.6582</v>
      </c>
      <c r="I396" s="13" t="n">
        <v>0.3996</v>
      </c>
    </row>
    <row r="397">
      <c r="A397" s="10" t="inlineStr">
        <is>
          <t>PJ-2020-B</t>
        </is>
      </c>
      <c r="B397" s="10" t="inlineStr">
        <is>
          <t>位置合わせ(MS学習値)／単調補間</t>
        </is>
      </c>
      <c r="C397" s="10" t="inlineStr">
        <is>
          <t>2020-10</t>
        </is>
      </c>
      <c r="D397" s="10" t="n">
        <v>10</v>
      </c>
      <c r="E397" s="12" t="n">
        <v>10290.1</v>
      </c>
      <c r="F397" s="12" t="n">
        <v>20485.7</v>
      </c>
      <c r="G397" s="12" t="n">
        <v>-10195.6</v>
      </c>
      <c r="H397" s="13" t="n">
        <v>0.7611</v>
      </c>
      <c r="I397" s="13" t="n">
        <v>0.6044</v>
      </c>
    </row>
    <row r="398">
      <c r="A398" s="10" t="inlineStr">
        <is>
          <t>PJ-2020-B</t>
        </is>
      </c>
      <c r="B398" s="10" t="inlineStr">
        <is>
          <t>位置合わせ(MS学習値)／単調補間</t>
        </is>
      </c>
      <c r="C398" s="10" t="inlineStr">
        <is>
          <t>2020-11</t>
        </is>
      </c>
      <c r="D398" s="10" t="n">
        <v>11</v>
      </c>
      <c r="E398" s="12" t="n">
        <v>9007.4</v>
      </c>
      <c r="F398" s="12" t="n">
        <v>14239.1</v>
      </c>
      <c r="G398" s="12" t="n">
        <v>-5231.7</v>
      </c>
      <c r="H398" s="13" t="n">
        <v>0.8512</v>
      </c>
      <c r="I398" s="13" t="n">
        <v>0.7468</v>
      </c>
    </row>
    <row r="399">
      <c r="A399" s="10" t="inlineStr">
        <is>
          <t>PJ-2020-B</t>
        </is>
      </c>
      <c r="B399" s="10" t="inlineStr">
        <is>
          <t>位置合わせ(MS学習値)／単調補間</t>
        </is>
      </c>
      <c r="C399" s="10" t="inlineStr">
        <is>
          <t>2020-12</t>
        </is>
      </c>
      <c r="D399" s="10" t="n">
        <v>12</v>
      </c>
      <c r="E399" s="12" t="n">
        <v>7057.9</v>
      </c>
      <c r="F399" s="12" t="n">
        <v>13215.8</v>
      </c>
      <c r="G399" s="12" t="n">
        <v>-6157.9</v>
      </c>
      <c r="H399" s="13" t="n">
        <v>0.9217</v>
      </c>
      <c r="I399" s="13" t="n">
        <v>0.8789</v>
      </c>
    </row>
    <row r="400">
      <c r="A400" s="10" t="inlineStr">
        <is>
          <t>PJ-2020-B</t>
        </is>
      </c>
      <c r="B400" s="10" t="inlineStr">
        <is>
          <t>位置合わせ(MS学習値)／単調補間</t>
        </is>
      </c>
      <c r="C400" s="10" t="inlineStr">
        <is>
          <t>2021-01</t>
        </is>
      </c>
      <c r="D400" s="10" t="n">
        <v>13</v>
      </c>
      <c r="E400" s="12" t="n">
        <v>5353.6</v>
      </c>
      <c r="F400" s="12" t="n">
        <v>7968.1</v>
      </c>
      <c r="G400" s="12" t="n">
        <v>-2614.5</v>
      </c>
      <c r="H400" s="13" t="n">
        <v>0.9752999999999999</v>
      </c>
      <c r="I400" s="13" t="n">
        <v>0.9586</v>
      </c>
    </row>
    <row r="401">
      <c r="A401" s="10" t="inlineStr">
        <is>
          <t>PJ-2020-B</t>
        </is>
      </c>
      <c r="B401" s="10" t="inlineStr">
        <is>
          <t>位置合わせ(MS学習値)／単調補間</t>
        </is>
      </c>
      <c r="C401" s="10" t="inlineStr">
        <is>
          <t>2021-02</t>
        </is>
      </c>
      <c r="D401" s="10" t="n">
        <v>14</v>
      </c>
      <c r="E401" s="12" t="n">
        <v>2475.4</v>
      </c>
      <c r="F401" s="12" t="n">
        <v>4145.7</v>
      </c>
      <c r="G401" s="12" t="n">
        <v>-1670.3</v>
      </c>
      <c r="H401" s="13" t="n">
        <v>1</v>
      </c>
      <c r="I401" s="13" t="n">
        <v>1</v>
      </c>
    </row>
    <row r="402">
      <c r="A402" s="10" t="inlineStr">
        <is>
          <t>PJ-2020-B</t>
        </is>
      </c>
      <c r="B402" s="10" t="inlineStr">
        <is>
          <t>位置合わせ(MS指定)／単調補間</t>
        </is>
      </c>
      <c r="C402" s="10" t="inlineStr">
        <is>
          <t>2020-01</t>
        </is>
      </c>
      <c r="D402" s="10" t="n">
        <v>1</v>
      </c>
      <c r="E402" s="12" t="n">
        <v>2837.1</v>
      </c>
      <c r="F402" s="12" t="n">
        <v>320.5</v>
      </c>
      <c r="G402" s="12" t="n">
        <v>2516.6</v>
      </c>
      <c r="H402" s="13" t="n">
        <v>0.0284</v>
      </c>
      <c r="I402" s="13" t="n">
        <v>0.0032</v>
      </c>
    </row>
    <row r="403">
      <c r="A403" s="10" t="inlineStr">
        <is>
          <t>PJ-2020-B</t>
        </is>
      </c>
      <c r="B403" s="10" t="inlineStr">
        <is>
          <t>位置合わせ(MS指定)／単調補間</t>
        </is>
      </c>
      <c r="C403" s="10" t="inlineStr">
        <is>
          <t>2020-02</t>
        </is>
      </c>
      <c r="D403" s="10" t="n">
        <v>2</v>
      </c>
      <c r="E403" s="12" t="n">
        <v>3458.7</v>
      </c>
      <c r="F403" s="12" t="n">
        <v>930.3</v>
      </c>
      <c r="G403" s="12" t="n">
        <v>2528.4</v>
      </c>
      <c r="H403" s="13" t="n">
        <v>0.0629</v>
      </c>
      <c r="I403" s="13" t="n">
        <v>0.0125</v>
      </c>
    </row>
    <row r="404">
      <c r="A404" s="10" t="inlineStr">
        <is>
          <t>PJ-2020-B</t>
        </is>
      </c>
      <c r="B404" s="10" t="inlineStr">
        <is>
          <t>位置合わせ(MS指定)／単調補間</t>
        </is>
      </c>
      <c r="C404" s="10" t="inlineStr">
        <is>
          <t>2020-03</t>
        </is>
      </c>
      <c r="D404" s="10" t="n">
        <v>3</v>
      </c>
      <c r="E404" s="12" t="n">
        <v>4203.6</v>
      </c>
      <c r="F404" s="12" t="n">
        <v>1814.8</v>
      </c>
      <c r="G404" s="12" t="n">
        <v>2388.8</v>
      </c>
      <c r="H404" s="13" t="n">
        <v>0.105</v>
      </c>
      <c r="I404" s="13" t="n">
        <v>0.0306</v>
      </c>
    </row>
    <row r="405">
      <c r="A405" s="10" t="inlineStr">
        <is>
          <t>PJ-2020-B</t>
        </is>
      </c>
      <c r="B405" s="10" t="inlineStr">
        <is>
          <t>位置合わせ(MS指定)／単調補間</t>
        </is>
      </c>
      <c r="C405" s="10" t="inlineStr">
        <is>
          <t>2020-04</t>
        </is>
      </c>
      <c r="D405" s="10" t="n">
        <v>4</v>
      </c>
      <c r="E405" s="12" t="n">
        <v>4415.1</v>
      </c>
      <c r="F405" s="12" t="n">
        <v>2405.7</v>
      </c>
      <c r="G405" s="12" t="n">
        <v>2009.4</v>
      </c>
      <c r="H405" s="13" t="n">
        <v>0.1491</v>
      </c>
      <c r="I405" s="13" t="n">
        <v>0.0547</v>
      </c>
    </row>
    <row r="406">
      <c r="A406" s="10" t="inlineStr">
        <is>
          <t>PJ-2020-B</t>
        </is>
      </c>
      <c r="B406" s="10" t="inlineStr">
        <is>
          <t>位置合わせ(MS指定)／単調補間</t>
        </is>
      </c>
      <c r="C406" s="10" t="inlineStr">
        <is>
          <t>2020-05</t>
        </is>
      </c>
      <c r="D406" s="10" t="n">
        <v>5</v>
      </c>
      <c r="E406" s="12" t="n">
        <v>5257.9</v>
      </c>
      <c r="F406" s="12" t="n">
        <v>3424.8</v>
      </c>
      <c r="G406" s="12" t="n">
        <v>1833.1</v>
      </c>
      <c r="H406" s="13" t="n">
        <v>0.2017</v>
      </c>
      <c r="I406" s="13" t="n">
        <v>0.08890000000000001</v>
      </c>
    </row>
    <row r="407">
      <c r="A407" s="10" t="inlineStr">
        <is>
          <t>PJ-2020-B</t>
        </is>
      </c>
      <c r="B407" s="10" t="inlineStr">
        <is>
          <t>位置合わせ(MS指定)／単調補間</t>
        </is>
      </c>
      <c r="C407" s="10" t="inlineStr">
        <is>
          <t>2020-06</t>
        </is>
      </c>
      <c r="D407" s="10" t="n">
        <v>6</v>
      </c>
      <c r="E407" s="12" t="n">
        <v>6307.7</v>
      </c>
      <c r="F407" s="12" t="n">
        <v>4082.4</v>
      </c>
      <c r="G407" s="12" t="n">
        <v>2225.3</v>
      </c>
      <c r="H407" s="13" t="n">
        <v>0.2647</v>
      </c>
      <c r="I407" s="13" t="n">
        <v>0.1298</v>
      </c>
    </row>
    <row r="408">
      <c r="A408" s="10" t="inlineStr">
        <is>
          <t>PJ-2020-B</t>
        </is>
      </c>
      <c r="B408" s="10" t="inlineStr">
        <is>
          <t>位置合わせ(MS指定)／単調補間</t>
        </is>
      </c>
      <c r="C408" s="10" t="inlineStr">
        <is>
          <t>2020-07</t>
        </is>
      </c>
      <c r="D408" s="10" t="n">
        <v>7</v>
      </c>
      <c r="E408" s="12" t="n">
        <v>7447.4</v>
      </c>
      <c r="F408" s="12" t="n">
        <v>5263.5</v>
      </c>
      <c r="G408" s="12" t="n">
        <v>2183.9</v>
      </c>
      <c r="H408" s="13" t="n">
        <v>0.3392</v>
      </c>
      <c r="I408" s="13" t="n">
        <v>0.1824</v>
      </c>
    </row>
    <row r="409">
      <c r="A409" s="10" t="inlineStr">
        <is>
          <t>PJ-2020-B</t>
        </is>
      </c>
      <c r="B409" s="10" t="inlineStr">
        <is>
          <t>位置合わせ(MS指定)／単調補間</t>
        </is>
      </c>
      <c r="C409" s="10" t="inlineStr">
        <is>
          <t>2020-08</t>
        </is>
      </c>
      <c r="D409" s="10" t="n">
        <v>8</v>
      </c>
      <c r="E409" s="12" t="n">
        <v>8402.9</v>
      </c>
      <c r="F409" s="12" t="n">
        <v>6466.9</v>
      </c>
      <c r="G409" s="12" t="n">
        <v>1936</v>
      </c>
      <c r="H409" s="13" t="n">
        <v>0.4232</v>
      </c>
      <c r="I409" s="13" t="n">
        <v>0.247</v>
      </c>
    </row>
    <row r="410">
      <c r="A410" s="10" t="inlineStr">
        <is>
          <t>PJ-2020-B</t>
        </is>
      </c>
      <c r="B410" s="10" t="inlineStr">
        <is>
          <t>位置合わせ(MS指定)／単調補間</t>
        </is>
      </c>
      <c r="C410" s="10" t="inlineStr">
        <is>
          <t>2020-09</t>
        </is>
      </c>
      <c r="D410" s="10" t="n">
        <v>9</v>
      </c>
      <c r="E410" s="12" t="n">
        <v>14588</v>
      </c>
      <c r="F410" s="12" t="n">
        <v>15257.1</v>
      </c>
      <c r="G410" s="12" t="n">
        <v>-669.1</v>
      </c>
      <c r="H410" s="13" t="n">
        <v>0.5691000000000001</v>
      </c>
      <c r="I410" s="13" t="n">
        <v>0.3996</v>
      </c>
    </row>
    <row r="411">
      <c r="A411" s="10" t="inlineStr">
        <is>
          <t>PJ-2020-B</t>
        </is>
      </c>
      <c r="B411" s="10" t="inlineStr">
        <is>
          <t>位置合わせ(MS指定)／単調補間</t>
        </is>
      </c>
      <c r="C411" s="10" t="inlineStr">
        <is>
          <t>2020-10</t>
        </is>
      </c>
      <c r="D411" s="10" t="n">
        <v>10</v>
      </c>
      <c r="E411" s="12" t="n">
        <v>15891.6</v>
      </c>
      <c r="F411" s="12" t="n">
        <v>20485.7</v>
      </c>
      <c r="G411" s="12" t="n">
        <v>-4594.1</v>
      </c>
      <c r="H411" s="13" t="n">
        <v>0.728</v>
      </c>
      <c r="I411" s="13" t="n">
        <v>0.6044</v>
      </c>
    </row>
    <row r="412">
      <c r="A412" s="10" t="inlineStr">
        <is>
          <t>PJ-2020-B</t>
        </is>
      </c>
      <c r="B412" s="10" t="inlineStr">
        <is>
          <t>位置合わせ(MS指定)／単調補間</t>
        </is>
      </c>
      <c r="C412" s="10" t="inlineStr">
        <is>
          <t>2020-11</t>
        </is>
      </c>
      <c r="D412" s="10" t="n">
        <v>11</v>
      </c>
      <c r="E412" s="12" t="n">
        <v>11495</v>
      </c>
      <c r="F412" s="12" t="n">
        <v>14239.1</v>
      </c>
      <c r="G412" s="12" t="n">
        <v>-2744.1</v>
      </c>
      <c r="H412" s="13" t="n">
        <v>0.8429</v>
      </c>
      <c r="I412" s="13" t="n">
        <v>0.7468</v>
      </c>
    </row>
    <row r="413">
      <c r="A413" s="10" t="inlineStr">
        <is>
          <t>PJ-2020-B</t>
        </is>
      </c>
      <c r="B413" s="10" t="inlineStr">
        <is>
          <t>位置合わせ(MS指定)／単調補間</t>
        </is>
      </c>
      <c r="C413" s="10" t="inlineStr">
        <is>
          <t>2020-12</t>
        </is>
      </c>
      <c r="D413" s="10" t="n">
        <v>12</v>
      </c>
      <c r="E413" s="12" t="n">
        <v>7286.9</v>
      </c>
      <c r="F413" s="12" t="n">
        <v>13215.8</v>
      </c>
      <c r="G413" s="12" t="n">
        <v>-5928.9</v>
      </c>
      <c r="H413" s="13" t="n">
        <v>0.9157</v>
      </c>
      <c r="I413" s="13" t="n">
        <v>0.8789</v>
      </c>
    </row>
    <row r="414">
      <c r="A414" s="10" t="inlineStr">
        <is>
          <t>PJ-2020-B</t>
        </is>
      </c>
      <c r="B414" s="10" t="inlineStr">
        <is>
          <t>位置合わせ(MS指定)／単調補間</t>
        </is>
      </c>
      <c r="C414" s="10" t="inlineStr">
        <is>
          <t>2021-01</t>
        </is>
      </c>
      <c r="D414" s="10" t="n">
        <v>13</v>
      </c>
      <c r="E414" s="12" t="n">
        <v>5578</v>
      </c>
      <c r="F414" s="12" t="n">
        <v>7968.1</v>
      </c>
      <c r="G414" s="12" t="n">
        <v>-2390.1</v>
      </c>
      <c r="H414" s="13" t="n">
        <v>0.9715</v>
      </c>
      <c r="I414" s="13" t="n">
        <v>0.9586</v>
      </c>
    </row>
    <row r="415">
      <c r="A415" s="10" t="inlineStr">
        <is>
          <t>PJ-2020-B</t>
        </is>
      </c>
      <c r="B415" s="10" t="inlineStr">
        <is>
          <t>位置合わせ(MS指定)／単調補間</t>
        </is>
      </c>
      <c r="C415" s="10" t="inlineStr">
        <is>
          <t>2021-02</t>
        </is>
      </c>
      <c r="D415" s="10" t="n">
        <v>14</v>
      </c>
      <c r="E415" s="12" t="n">
        <v>2850.6</v>
      </c>
      <c r="F415" s="12" t="n">
        <v>4145.7</v>
      </c>
      <c r="G415" s="12" t="n">
        <v>-1295.1</v>
      </c>
      <c r="H415" s="13" t="n">
        <v>1</v>
      </c>
      <c r="I415" s="13" t="n">
        <v>1</v>
      </c>
    </row>
    <row r="416">
      <c r="A416" s="10" t="inlineStr">
        <is>
          <t>PJ-2020-C</t>
        </is>
      </c>
      <c r="B416" s="10" t="inlineStr">
        <is>
          <t>素朴版／月内均等</t>
        </is>
      </c>
      <c r="C416" s="10" t="inlineStr">
        <is>
          <t>2020-07</t>
        </is>
      </c>
      <c r="D416" s="10" t="n">
        <v>1</v>
      </c>
      <c r="E416" s="12" t="n">
        <v>3236.2</v>
      </c>
      <c r="F416" s="12" t="n">
        <v>9891.799999999999</v>
      </c>
      <c r="G416" s="12" t="n">
        <v>-6655.6</v>
      </c>
      <c r="H416" s="13" t="n">
        <v>0.0112</v>
      </c>
      <c r="I416" s="13" t="n">
        <v>0.0342</v>
      </c>
    </row>
    <row r="417">
      <c r="A417" s="10" t="inlineStr">
        <is>
          <t>PJ-2020-C</t>
        </is>
      </c>
      <c r="B417" s="10" t="inlineStr">
        <is>
          <t>素朴版／月内均等</t>
        </is>
      </c>
      <c r="C417" s="10" t="inlineStr">
        <is>
          <t>2020-08</t>
        </is>
      </c>
      <c r="D417" s="10" t="n">
        <v>2</v>
      </c>
      <c r="E417" s="12" t="n">
        <v>4033.6</v>
      </c>
      <c r="F417" s="12" t="n">
        <v>11800.4</v>
      </c>
      <c r="G417" s="12" t="n">
        <v>-7766.8</v>
      </c>
      <c r="H417" s="13" t="n">
        <v>0.0252</v>
      </c>
      <c r="I417" s="13" t="n">
        <v>0.075</v>
      </c>
    </row>
    <row r="418">
      <c r="A418" s="10" t="inlineStr">
        <is>
          <t>PJ-2020-C</t>
        </is>
      </c>
      <c r="B418" s="10" t="inlineStr">
        <is>
          <t>素朴版／月内均等</t>
        </is>
      </c>
      <c r="C418" s="10" t="inlineStr">
        <is>
          <t>2020-09</t>
        </is>
      </c>
      <c r="D418" s="10" t="n">
        <v>3</v>
      </c>
      <c r="E418" s="12" t="n">
        <v>4728.3</v>
      </c>
      <c r="F418" s="12" t="n">
        <v>9726.200000000001</v>
      </c>
      <c r="G418" s="12" t="n">
        <v>-4997.9</v>
      </c>
      <c r="H418" s="13" t="n">
        <v>0.0415</v>
      </c>
      <c r="I418" s="13" t="n">
        <v>0.1087</v>
      </c>
    </row>
    <row r="419">
      <c r="A419" s="10" t="inlineStr">
        <is>
          <t>PJ-2020-C</t>
        </is>
      </c>
      <c r="B419" s="10" t="inlineStr">
        <is>
          <t>素朴版／月内均等</t>
        </is>
      </c>
      <c r="C419" s="10" t="inlineStr">
        <is>
          <t>2020-10</t>
        </is>
      </c>
      <c r="D419" s="10" t="n">
        <v>4</v>
      </c>
      <c r="E419" s="12" t="n">
        <v>5649.5</v>
      </c>
      <c r="F419" s="12" t="n">
        <v>8645.4</v>
      </c>
      <c r="G419" s="12" t="n">
        <v>-2995.9</v>
      </c>
      <c r="H419" s="13" t="n">
        <v>0.0611</v>
      </c>
      <c r="I419" s="13" t="n">
        <v>0.1386</v>
      </c>
    </row>
    <row r="420">
      <c r="A420" s="10" t="inlineStr">
        <is>
          <t>PJ-2020-C</t>
        </is>
      </c>
      <c r="B420" s="10" t="inlineStr">
        <is>
          <t>素朴版／月内均等</t>
        </is>
      </c>
      <c r="C420" s="10" t="inlineStr">
        <is>
          <t>2020-11</t>
        </is>
      </c>
      <c r="D420" s="10" t="n">
        <v>5</v>
      </c>
      <c r="E420" s="12" t="n">
        <v>6087.6</v>
      </c>
      <c r="F420" s="12" t="n">
        <v>7717.1</v>
      </c>
      <c r="G420" s="12" t="n">
        <v>-1629.5</v>
      </c>
      <c r="H420" s="13" t="n">
        <v>0.08210000000000001</v>
      </c>
      <c r="I420" s="13" t="n">
        <v>0.1653</v>
      </c>
    </row>
    <row r="421">
      <c r="A421" s="10" t="inlineStr">
        <is>
          <t>PJ-2020-C</t>
        </is>
      </c>
      <c r="B421" s="10" t="inlineStr">
        <is>
          <t>素朴版／月内均等</t>
        </is>
      </c>
      <c r="C421" s="10" t="inlineStr">
        <is>
          <t>2020-12</t>
        </is>
      </c>
      <c r="D421" s="10" t="n">
        <v>6</v>
      </c>
      <c r="E421" s="12" t="n">
        <v>6533.2</v>
      </c>
      <c r="F421" s="12" t="n">
        <v>7821.7</v>
      </c>
      <c r="G421" s="12" t="n">
        <v>-1288.5</v>
      </c>
      <c r="H421" s="13" t="n">
        <v>0.1047</v>
      </c>
      <c r="I421" s="13" t="n">
        <v>0.1924</v>
      </c>
    </row>
    <row r="422">
      <c r="A422" s="10" t="inlineStr">
        <is>
          <t>PJ-2020-C</t>
        </is>
      </c>
      <c r="B422" s="10" t="inlineStr">
        <is>
          <t>素朴版／月内均等</t>
        </is>
      </c>
      <c r="C422" s="10" t="inlineStr">
        <is>
          <t>2021-01</t>
        </is>
      </c>
      <c r="D422" s="10" t="n">
        <v>7</v>
      </c>
      <c r="E422" s="12" t="n">
        <v>7153.6</v>
      </c>
      <c r="F422" s="12" t="n">
        <v>7531.5</v>
      </c>
      <c r="G422" s="12" t="n">
        <v>-377.9</v>
      </c>
      <c r="H422" s="13" t="n">
        <v>0.1295</v>
      </c>
      <c r="I422" s="13" t="n">
        <v>0.2184</v>
      </c>
    </row>
    <row r="423">
      <c r="A423" s="10" t="inlineStr">
        <is>
          <t>PJ-2020-C</t>
        </is>
      </c>
      <c r="B423" s="10" t="inlineStr">
        <is>
          <t>素朴版／月内均等</t>
        </is>
      </c>
      <c r="C423" s="10" t="inlineStr">
        <is>
          <t>2021-02</t>
        </is>
      </c>
      <c r="D423" s="10" t="n">
        <v>8</v>
      </c>
      <c r="E423" s="12" t="n">
        <v>7233.8</v>
      </c>
      <c r="F423" s="12" t="n">
        <v>6551.1</v>
      </c>
      <c r="G423" s="12" t="n">
        <v>682.7</v>
      </c>
      <c r="H423" s="13" t="n">
        <v>0.1545</v>
      </c>
      <c r="I423" s="13" t="n">
        <v>0.2411</v>
      </c>
    </row>
    <row r="424">
      <c r="A424" s="10" t="inlineStr">
        <is>
          <t>PJ-2020-C</t>
        </is>
      </c>
      <c r="B424" s="10" t="inlineStr">
        <is>
          <t>素朴版／月内均等</t>
        </is>
      </c>
      <c r="C424" s="10" t="inlineStr">
        <is>
          <t>2021-03</t>
        </is>
      </c>
      <c r="D424" s="10" t="n">
        <v>9</v>
      </c>
      <c r="E424" s="12" t="n">
        <v>9365.799999999999</v>
      </c>
      <c r="F424" s="12" t="n">
        <v>7387.7</v>
      </c>
      <c r="G424" s="12" t="n">
        <v>1978.1</v>
      </c>
      <c r="H424" s="13" t="n">
        <v>0.1869</v>
      </c>
      <c r="I424" s="13" t="n">
        <v>0.2666</v>
      </c>
    </row>
    <row r="425">
      <c r="A425" s="10" t="inlineStr">
        <is>
          <t>PJ-2020-C</t>
        </is>
      </c>
      <c r="B425" s="10" t="inlineStr">
        <is>
          <t>素朴版／月内均等</t>
        </is>
      </c>
      <c r="C425" s="10" t="inlineStr">
        <is>
          <t>2021-04</t>
        </is>
      </c>
      <c r="D425" s="10" t="n">
        <v>10</v>
      </c>
      <c r="E425" s="12" t="n">
        <v>10351.8</v>
      </c>
      <c r="F425" s="12" t="n">
        <v>6822.6</v>
      </c>
      <c r="G425" s="12" t="n">
        <v>3529.2</v>
      </c>
      <c r="H425" s="13" t="n">
        <v>0.2227</v>
      </c>
      <c r="I425" s="13" t="n">
        <v>0.2903</v>
      </c>
    </row>
    <row r="426">
      <c r="A426" s="10" t="inlineStr">
        <is>
          <t>PJ-2020-C</t>
        </is>
      </c>
      <c r="B426" s="10" t="inlineStr">
        <is>
          <t>素朴版／月内均等</t>
        </is>
      </c>
      <c r="C426" s="10" t="inlineStr">
        <is>
          <t>2021-05</t>
        </is>
      </c>
      <c r="D426" s="10" t="n">
        <v>11</v>
      </c>
      <c r="E426" s="12" t="n">
        <v>11734</v>
      </c>
      <c r="F426" s="12" t="n">
        <v>6920.5</v>
      </c>
      <c r="G426" s="12" t="n">
        <v>4813.5</v>
      </c>
      <c r="H426" s="13" t="n">
        <v>0.2633</v>
      </c>
      <c r="I426" s="13" t="n">
        <v>0.3142</v>
      </c>
    </row>
    <row r="427">
      <c r="A427" s="10" t="inlineStr">
        <is>
          <t>PJ-2020-C</t>
        </is>
      </c>
      <c r="B427" s="10" t="inlineStr">
        <is>
          <t>素朴版／月内均等</t>
        </is>
      </c>
      <c r="C427" s="10" t="inlineStr">
        <is>
          <t>2021-06</t>
        </is>
      </c>
      <c r="D427" s="10" t="n">
        <v>12</v>
      </c>
      <c r="E427" s="12" t="n">
        <v>12223.7</v>
      </c>
      <c r="F427" s="12" t="n">
        <v>7298.5</v>
      </c>
      <c r="G427" s="12" t="n">
        <v>4925.2</v>
      </c>
      <c r="H427" s="13" t="n">
        <v>0.3056</v>
      </c>
      <c r="I427" s="13" t="n">
        <v>0.3394</v>
      </c>
    </row>
    <row r="428">
      <c r="A428" s="10" t="inlineStr">
        <is>
          <t>PJ-2020-C</t>
        </is>
      </c>
      <c r="B428" s="10" t="inlineStr">
        <is>
          <t>素朴版／月内均等</t>
        </is>
      </c>
      <c r="C428" s="10" t="inlineStr">
        <is>
          <t>2021-07</t>
        </is>
      </c>
      <c r="D428" s="10" t="n">
        <v>13</v>
      </c>
      <c r="E428" s="12" t="n">
        <v>12943</v>
      </c>
      <c r="F428" s="12" t="n">
        <v>8554.799999999999</v>
      </c>
      <c r="G428" s="12" t="n">
        <v>4388.2</v>
      </c>
      <c r="H428" s="13" t="n">
        <v>0.3504</v>
      </c>
      <c r="I428" s="13" t="n">
        <v>0.369</v>
      </c>
    </row>
    <row r="429">
      <c r="A429" s="10" t="inlineStr">
        <is>
          <t>PJ-2020-C</t>
        </is>
      </c>
      <c r="B429" s="10" t="inlineStr">
        <is>
          <t>素朴版／月内均等</t>
        </is>
      </c>
      <c r="C429" s="10" t="inlineStr">
        <is>
          <t>2021-08</t>
        </is>
      </c>
      <c r="D429" s="10" t="n">
        <v>14</v>
      </c>
      <c r="E429" s="12" t="n">
        <v>12124.9</v>
      </c>
      <c r="F429" s="12" t="n">
        <v>8486.799999999999</v>
      </c>
      <c r="G429" s="12" t="n">
        <v>3638.1</v>
      </c>
      <c r="H429" s="13" t="n">
        <v>0.3923</v>
      </c>
      <c r="I429" s="13" t="n">
        <v>0.3984</v>
      </c>
    </row>
    <row r="430">
      <c r="A430" s="10" t="inlineStr">
        <is>
          <t>PJ-2020-C</t>
        </is>
      </c>
      <c r="B430" s="10" t="inlineStr">
        <is>
          <t>素朴版／月内均等</t>
        </is>
      </c>
      <c r="C430" s="10" t="inlineStr">
        <is>
          <t>2021-09</t>
        </is>
      </c>
      <c r="D430" s="10" t="n">
        <v>15</v>
      </c>
      <c r="E430" s="12" t="n">
        <v>11246.4</v>
      </c>
      <c r="F430" s="12" t="n">
        <v>9279.9</v>
      </c>
      <c r="G430" s="12" t="n">
        <v>1966.5</v>
      </c>
      <c r="H430" s="13" t="n">
        <v>0.4312</v>
      </c>
      <c r="I430" s="13" t="n">
        <v>0.4305</v>
      </c>
    </row>
    <row r="431">
      <c r="A431" s="10" t="inlineStr">
        <is>
          <t>PJ-2020-C</t>
        </is>
      </c>
      <c r="B431" s="10" t="inlineStr">
        <is>
          <t>素朴版／月内均等</t>
        </is>
      </c>
      <c r="C431" s="10" t="inlineStr">
        <is>
          <t>2021-10</t>
        </is>
      </c>
      <c r="D431" s="10" t="n">
        <v>16</v>
      </c>
      <c r="E431" s="12" t="n">
        <v>12812.1</v>
      </c>
      <c r="F431" s="12" t="n">
        <v>16636.5</v>
      </c>
      <c r="G431" s="12" t="n">
        <v>-3824.4</v>
      </c>
      <c r="H431" s="13" t="n">
        <v>0.4756</v>
      </c>
      <c r="I431" s="13" t="n">
        <v>0.4881</v>
      </c>
    </row>
    <row r="432">
      <c r="A432" s="10" t="inlineStr">
        <is>
          <t>PJ-2020-C</t>
        </is>
      </c>
      <c r="B432" s="10" t="inlineStr">
        <is>
          <t>素朴版／月内均等</t>
        </is>
      </c>
      <c r="C432" s="10" t="inlineStr">
        <is>
          <t>2021-11</t>
        </is>
      </c>
      <c r="D432" s="10" t="n">
        <v>17</v>
      </c>
      <c r="E432" s="12" t="n">
        <v>12822.3</v>
      </c>
      <c r="F432" s="12" t="n">
        <v>14453.3</v>
      </c>
      <c r="G432" s="12" t="n">
        <v>-1631</v>
      </c>
      <c r="H432" s="13" t="n">
        <v>0.5199</v>
      </c>
      <c r="I432" s="13" t="n">
        <v>0.5381</v>
      </c>
    </row>
    <row r="433">
      <c r="A433" s="10" t="inlineStr">
        <is>
          <t>PJ-2020-C</t>
        </is>
      </c>
      <c r="B433" s="10" t="inlineStr">
        <is>
          <t>素朴版／月内均等</t>
        </is>
      </c>
      <c r="C433" s="10" t="inlineStr">
        <is>
          <t>2021-12</t>
        </is>
      </c>
      <c r="D433" s="10" t="n">
        <v>18</v>
      </c>
      <c r="E433" s="12" t="n">
        <v>14386.9</v>
      </c>
      <c r="F433" s="12" t="n">
        <v>13884.1</v>
      </c>
      <c r="G433" s="12" t="n">
        <v>502.8</v>
      </c>
      <c r="H433" s="13" t="n">
        <v>0.5697</v>
      </c>
      <c r="I433" s="13" t="n">
        <v>0.5861</v>
      </c>
    </row>
    <row r="434">
      <c r="A434" s="10" t="inlineStr">
        <is>
          <t>PJ-2020-C</t>
        </is>
      </c>
      <c r="B434" s="10" t="inlineStr">
        <is>
          <t>素朴版／月内均等</t>
        </is>
      </c>
      <c r="C434" s="10" t="inlineStr">
        <is>
          <t>2022-01</t>
        </is>
      </c>
      <c r="D434" s="10" t="n">
        <v>19</v>
      </c>
      <c r="E434" s="12" t="n">
        <v>14894.3</v>
      </c>
      <c r="F434" s="12" t="n">
        <v>15419</v>
      </c>
      <c r="G434" s="12" t="n">
        <v>-524.7</v>
      </c>
      <c r="H434" s="13" t="n">
        <v>0.6212</v>
      </c>
      <c r="I434" s="13" t="n">
        <v>0.6395</v>
      </c>
    </row>
    <row r="435">
      <c r="A435" s="10" t="inlineStr">
        <is>
          <t>PJ-2020-C</t>
        </is>
      </c>
      <c r="B435" s="10" t="inlineStr">
        <is>
          <t>素朴版／月内均等</t>
        </is>
      </c>
      <c r="C435" s="10" t="inlineStr">
        <is>
          <t>2022-02</t>
        </is>
      </c>
      <c r="D435" s="10" t="n">
        <v>20</v>
      </c>
      <c r="E435" s="12" t="n">
        <v>13841.2</v>
      </c>
      <c r="F435" s="12" t="n">
        <v>8277.799999999999</v>
      </c>
      <c r="G435" s="12" t="n">
        <v>5563.4</v>
      </c>
      <c r="H435" s="13" t="n">
        <v>0.6691</v>
      </c>
      <c r="I435" s="13" t="n">
        <v>0.6681</v>
      </c>
    </row>
    <row r="436">
      <c r="A436" s="10" t="inlineStr">
        <is>
          <t>PJ-2020-C</t>
        </is>
      </c>
      <c r="B436" s="10" t="inlineStr">
        <is>
          <t>素朴版／月内均等</t>
        </is>
      </c>
      <c r="C436" s="10" t="inlineStr">
        <is>
          <t>2022-03</t>
        </is>
      </c>
      <c r="D436" s="10" t="n">
        <v>21</v>
      </c>
      <c r="E436" s="12" t="n">
        <v>14289.1</v>
      </c>
      <c r="F436" s="12" t="n">
        <v>6160.3</v>
      </c>
      <c r="G436" s="12" t="n">
        <v>8128.8</v>
      </c>
      <c r="H436" s="13" t="n">
        <v>0.7185</v>
      </c>
      <c r="I436" s="13" t="n">
        <v>0.6894</v>
      </c>
    </row>
    <row r="437">
      <c r="A437" s="10" t="inlineStr">
        <is>
          <t>PJ-2020-C</t>
        </is>
      </c>
      <c r="B437" s="10" t="inlineStr">
        <is>
          <t>素朴版／月内均等</t>
        </is>
      </c>
      <c r="C437" s="10" t="inlineStr">
        <is>
          <t>2022-04</t>
        </is>
      </c>
      <c r="D437" s="10" t="n">
        <v>22</v>
      </c>
      <c r="E437" s="12" t="n">
        <v>12949.2</v>
      </c>
      <c r="F437" s="12" t="n">
        <v>7057.5</v>
      </c>
      <c r="G437" s="12" t="n">
        <v>5891.7</v>
      </c>
      <c r="H437" s="13" t="n">
        <v>0.7633</v>
      </c>
      <c r="I437" s="13" t="n">
        <v>0.7138</v>
      </c>
    </row>
    <row r="438">
      <c r="A438" s="10" t="inlineStr">
        <is>
          <t>PJ-2020-C</t>
        </is>
      </c>
      <c r="B438" s="10" t="inlineStr">
        <is>
          <t>素朴版／月内均等</t>
        </is>
      </c>
      <c r="C438" s="10" t="inlineStr">
        <is>
          <t>2022-05</t>
        </is>
      </c>
      <c r="D438" s="10" t="n">
        <v>23</v>
      </c>
      <c r="E438" s="12" t="n">
        <v>12947.5</v>
      </c>
      <c r="F438" s="12" t="n">
        <v>8005.3</v>
      </c>
      <c r="G438" s="12" t="n">
        <v>4942.2</v>
      </c>
      <c r="H438" s="13" t="n">
        <v>0.8081</v>
      </c>
      <c r="I438" s="13" t="n">
        <v>0.7415</v>
      </c>
    </row>
    <row r="439">
      <c r="A439" s="10" t="inlineStr">
        <is>
          <t>PJ-2020-C</t>
        </is>
      </c>
      <c r="B439" s="10" t="inlineStr">
        <is>
          <t>素朴版／月内均等</t>
        </is>
      </c>
      <c r="C439" s="10" t="inlineStr">
        <is>
          <t>2022-06</t>
        </is>
      </c>
      <c r="D439" s="10" t="n">
        <v>24</v>
      </c>
      <c r="E439" s="12" t="n">
        <v>12737.7</v>
      </c>
      <c r="F439" s="12" t="n">
        <v>9533.200000000001</v>
      </c>
      <c r="G439" s="12" t="n">
        <v>3204.5</v>
      </c>
      <c r="H439" s="13" t="n">
        <v>0.8522</v>
      </c>
      <c r="I439" s="13" t="n">
        <v>0.7745</v>
      </c>
    </row>
    <row r="440">
      <c r="A440" s="10" t="inlineStr">
        <is>
          <t>PJ-2020-C</t>
        </is>
      </c>
      <c r="B440" s="10" t="inlineStr">
        <is>
          <t>素朴版／月内均等</t>
        </is>
      </c>
      <c r="C440" s="10" t="inlineStr">
        <is>
          <t>2022-07</t>
        </is>
      </c>
      <c r="D440" s="10" t="n">
        <v>25</v>
      </c>
      <c r="E440" s="12" t="n">
        <v>12041</v>
      </c>
      <c r="F440" s="12" t="n">
        <v>10920.6</v>
      </c>
      <c r="G440" s="12" t="n">
        <v>1120.4</v>
      </c>
      <c r="H440" s="13" t="n">
        <v>0.8939</v>
      </c>
      <c r="I440" s="13" t="n">
        <v>0.8123</v>
      </c>
    </row>
    <row r="441">
      <c r="A441" s="10" t="inlineStr">
        <is>
          <t>PJ-2020-C</t>
        </is>
      </c>
      <c r="B441" s="10" t="inlineStr">
        <is>
          <t>素朴版／月内均等</t>
        </is>
      </c>
      <c r="C441" s="10" t="inlineStr">
        <is>
          <t>2022-08</t>
        </is>
      </c>
      <c r="D441" s="10" t="n">
        <v>26</v>
      </c>
      <c r="E441" s="12" t="n">
        <v>9966.799999999999</v>
      </c>
      <c r="F441" s="12" t="n">
        <v>11191.5</v>
      </c>
      <c r="G441" s="12" t="n">
        <v>-1224.7</v>
      </c>
      <c r="H441" s="13" t="n">
        <v>0.9284</v>
      </c>
      <c r="I441" s="13" t="n">
        <v>0.851</v>
      </c>
    </row>
    <row r="442">
      <c r="A442" s="10" t="inlineStr">
        <is>
          <t>PJ-2020-C</t>
        </is>
      </c>
      <c r="B442" s="10" t="inlineStr">
        <is>
          <t>素朴版／月内均等</t>
        </is>
      </c>
      <c r="C442" s="10" t="inlineStr">
        <is>
          <t>2022-09</t>
        </is>
      </c>
      <c r="D442" s="10" t="n">
        <v>27</v>
      </c>
      <c r="E442" s="12" t="n">
        <v>7474.4</v>
      </c>
      <c r="F442" s="12" t="n">
        <v>10812.6</v>
      </c>
      <c r="G442" s="12" t="n">
        <v>-3338.2</v>
      </c>
      <c r="H442" s="13" t="n">
        <v>0.9542</v>
      </c>
      <c r="I442" s="13" t="n">
        <v>0.8884</v>
      </c>
    </row>
    <row r="443">
      <c r="A443" s="10" t="inlineStr">
        <is>
          <t>PJ-2020-C</t>
        </is>
      </c>
      <c r="B443" s="10" t="inlineStr">
        <is>
          <t>素朴版／月内均等</t>
        </is>
      </c>
      <c r="C443" s="10" t="inlineStr">
        <is>
          <t>2022-10</t>
        </is>
      </c>
      <c r="D443" s="10" t="n">
        <v>28</v>
      </c>
      <c r="E443" s="12" t="n">
        <v>6338.3</v>
      </c>
      <c r="F443" s="12" t="n">
        <v>11977</v>
      </c>
      <c r="G443" s="12" t="n">
        <v>-5638.7</v>
      </c>
      <c r="H443" s="13" t="n">
        <v>0.9761</v>
      </c>
      <c r="I443" s="13" t="n">
        <v>0.9298</v>
      </c>
    </row>
    <row r="444">
      <c r="A444" s="10" t="inlineStr">
        <is>
          <t>PJ-2020-C</t>
        </is>
      </c>
      <c r="B444" s="10" t="inlineStr">
        <is>
          <t>素朴版／月内均等</t>
        </is>
      </c>
      <c r="C444" s="10" t="inlineStr">
        <is>
          <t>2022-11</t>
        </is>
      </c>
      <c r="D444" s="10" t="n">
        <v>29</v>
      </c>
      <c r="E444" s="12" t="n">
        <v>4348.4</v>
      </c>
      <c r="F444" s="12" t="n">
        <v>12035.5</v>
      </c>
      <c r="G444" s="12" t="n">
        <v>-7687.1</v>
      </c>
      <c r="H444" s="13" t="n">
        <v>0.9912</v>
      </c>
      <c r="I444" s="13" t="n">
        <v>0.9715</v>
      </c>
    </row>
    <row r="445">
      <c r="A445" s="10" t="inlineStr">
        <is>
          <t>PJ-2020-C</t>
        </is>
      </c>
      <c r="B445" s="10" t="inlineStr">
        <is>
          <t>素朴版／月内均等</t>
        </is>
      </c>
      <c r="C445" s="10" t="inlineStr">
        <is>
          <t>2022-12</t>
        </is>
      </c>
      <c r="D445" s="10" t="n">
        <v>30</v>
      </c>
      <c r="E445" s="12" t="n">
        <v>2548.1</v>
      </c>
      <c r="F445" s="12" t="n">
        <v>8242.299999999999</v>
      </c>
      <c r="G445" s="12" t="n">
        <v>-5694.2</v>
      </c>
      <c r="H445" s="13" t="n">
        <v>1</v>
      </c>
      <c r="I445" s="13" t="n">
        <v>1</v>
      </c>
    </row>
    <row r="446">
      <c r="A446" s="10" t="inlineStr">
        <is>
          <t>PJ-2020-C</t>
        </is>
      </c>
      <c r="B446" s="10" t="inlineStr">
        <is>
          <t>位置合わせ(MS学習値)／月内均等</t>
        </is>
      </c>
      <c r="C446" s="10" t="inlineStr">
        <is>
          <t>2020-07</t>
        </is>
      </c>
      <c r="D446" s="10" t="n">
        <v>1</v>
      </c>
      <c r="E446" s="12" t="n">
        <v>3253.2</v>
      </c>
      <c r="F446" s="12" t="n">
        <v>9891.799999999999</v>
      </c>
      <c r="G446" s="12" t="n">
        <v>-6638.6</v>
      </c>
      <c r="H446" s="13" t="n">
        <v>0.0113</v>
      </c>
      <c r="I446" s="13" t="n">
        <v>0.0342</v>
      </c>
    </row>
    <row r="447">
      <c r="A447" s="10" t="inlineStr">
        <is>
          <t>PJ-2020-C</t>
        </is>
      </c>
      <c r="B447" s="10" t="inlineStr">
        <is>
          <t>位置合わせ(MS学習値)／月内均等</t>
        </is>
      </c>
      <c r="C447" s="10" t="inlineStr">
        <is>
          <t>2020-08</t>
        </is>
      </c>
      <c r="D447" s="10" t="n">
        <v>2</v>
      </c>
      <c r="E447" s="12" t="n">
        <v>3975</v>
      </c>
      <c r="F447" s="12" t="n">
        <v>11800.4</v>
      </c>
      <c r="G447" s="12" t="n">
        <v>-7825.4</v>
      </c>
      <c r="H447" s="13" t="n">
        <v>0.025</v>
      </c>
      <c r="I447" s="13" t="n">
        <v>0.075</v>
      </c>
    </row>
    <row r="448">
      <c r="A448" s="10" t="inlineStr">
        <is>
          <t>PJ-2020-C</t>
        </is>
      </c>
      <c r="B448" s="10" t="inlineStr">
        <is>
          <t>位置合わせ(MS学習値)／月内均等</t>
        </is>
      </c>
      <c r="C448" s="10" t="inlineStr">
        <is>
          <t>2020-09</t>
        </is>
      </c>
      <c r="D448" s="10" t="n">
        <v>3</v>
      </c>
      <c r="E448" s="12" t="n">
        <v>4681.6</v>
      </c>
      <c r="F448" s="12" t="n">
        <v>9726.200000000001</v>
      </c>
      <c r="G448" s="12" t="n">
        <v>-5044.6</v>
      </c>
      <c r="H448" s="13" t="n">
        <v>0.0412</v>
      </c>
      <c r="I448" s="13" t="n">
        <v>0.1087</v>
      </c>
    </row>
    <row r="449">
      <c r="A449" s="10" t="inlineStr">
        <is>
          <t>PJ-2020-C</t>
        </is>
      </c>
      <c r="B449" s="10" t="inlineStr">
        <is>
          <t>位置合わせ(MS学習値)／月内均等</t>
        </is>
      </c>
      <c r="C449" s="10" t="inlineStr">
        <is>
          <t>2020-10</t>
        </is>
      </c>
      <c r="D449" s="10" t="n">
        <v>4</v>
      </c>
      <c r="E449" s="12" t="n">
        <v>5581.6</v>
      </c>
      <c r="F449" s="12" t="n">
        <v>8645.4</v>
      </c>
      <c r="G449" s="12" t="n">
        <v>-3063.8</v>
      </c>
      <c r="H449" s="13" t="n">
        <v>0.0605</v>
      </c>
      <c r="I449" s="13" t="n">
        <v>0.1386</v>
      </c>
    </row>
    <row r="450">
      <c r="A450" s="10" t="inlineStr">
        <is>
          <t>PJ-2020-C</t>
        </is>
      </c>
      <c r="B450" s="10" t="inlineStr">
        <is>
          <t>位置合わせ(MS学習値)／月内均等</t>
        </is>
      </c>
      <c r="C450" s="10" t="inlineStr">
        <is>
          <t>2020-11</t>
        </is>
      </c>
      <c r="D450" s="10" t="n">
        <v>5</v>
      </c>
      <c r="E450" s="12" t="n">
        <v>5909.1</v>
      </c>
      <c r="F450" s="12" t="n">
        <v>7717.1</v>
      </c>
      <c r="G450" s="12" t="n">
        <v>-1808</v>
      </c>
      <c r="H450" s="13" t="n">
        <v>0.081</v>
      </c>
      <c r="I450" s="13" t="n">
        <v>0.1653</v>
      </c>
    </row>
    <row r="451">
      <c r="A451" s="10" t="inlineStr">
        <is>
          <t>PJ-2020-C</t>
        </is>
      </c>
      <c r="B451" s="10" t="inlineStr">
        <is>
          <t>位置合わせ(MS学習値)／月内均等</t>
        </is>
      </c>
      <c r="C451" s="10" t="inlineStr">
        <is>
          <t>2020-12</t>
        </is>
      </c>
      <c r="D451" s="10" t="n">
        <v>6</v>
      </c>
      <c r="E451" s="12" t="n">
        <v>6515.6</v>
      </c>
      <c r="F451" s="12" t="n">
        <v>7821.7</v>
      </c>
      <c r="G451" s="12" t="n">
        <v>-1306.1</v>
      </c>
      <c r="H451" s="13" t="n">
        <v>0.1035</v>
      </c>
      <c r="I451" s="13" t="n">
        <v>0.1924</v>
      </c>
    </row>
    <row r="452">
      <c r="A452" s="10" t="inlineStr">
        <is>
          <t>PJ-2020-C</t>
        </is>
      </c>
      <c r="B452" s="10" t="inlineStr">
        <is>
          <t>位置合わせ(MS学習値)／月内均等</t>
        </is>
      </c>
      <c r="C452" s="10" t="inlineStr">
        <is>
          <t>2021-01</t>
        </is>
      </c>
      <c r="D452" s="10" t="n">
        <v>7</v>
      </c>
      <c r="E452" s="12" t="n">
        <v>6910.1</v>
      </c>
      <c r="F452" s="12" t="n">
        <v>7531.5</v>
      </c>
      <c r="G452" s="12" t="n">
        <v>-621.4</v>
      </c>
      <c r="H452" s="13" t="n">
        <v>0.1274</v>
      </c>
      <c r="I452" s="13" t="n">
        <v>0.2184</v>
      </c>
    </row>
    <row r="453">
      <c r="A453" s="10" t="inlineStr">
        <is>
          <t>PJ-2020-C</t>
        </is>
      </c>
      <c r="B453" s="10" t="inlineStr">
        <is>
          <t>位置合わせ(MS学習値)／月内均等</t>
        </is>
      </c>
      <c r="C453" s="10" t="inlineStr">
        <is>
          <t>2021-02</t>
        </is>
      </c>
      <c r="D453" s="10" t="n">
        <v>8</v>
      </c>
      <c r="E453" s="12" t="n">
        <v>7029.1</v>
      </c>
      <c r="F453" s="12" t="n">
        <v>6551.1</v>
      </c>
      <c r="G453" s="12" t="n">
        <v>478</v>
      </c>
      <c r="H453" s="13" t="n">
        <v>0.1517</v>
      </c>
      <c r="I453" s="13" t="n">
        <v>0.2411</v>
      </c>
    </row>
    <row r="454">
      <c r="A454" s="10" t="inlineStr">
        <is>
          <t>PJ-2020-C</t>
        </is>
      </c>
      <c r="B454" s="10" t="inlineStr">
        <is>
          <t>位置合わせ(MS学習値)／月内均等</t>
        </is>
      </c>
      <c r="C454" s="10" t="inlineStr">
        <is>
          <t>2021-03</t>
        </is>
      </c>
      <c r="D454" s="10" t="n">
        <v>9</v>
      </c>
      <c r="E454" s="12" t="n">
        <v>8336</v>
      </c>
      <c r="F454" s="12" t="n">
        <v>7387.7</v>
      </c>
      <c r="G454" s="12" t="n">
        <v>948.3</v>
      </c>
      <c r="H454" s="13" t="n">
        <v>0.1806</v>
      </c>
      <c r="I454" s="13" t="n">
        <v>0.2666</v>
      </c>
    </row>
    <row r="455">
      <c r="A455" s="10" t="inlineStr">
        <is>
          <t>PJ-2020-C</t>
        </is>
      </c>
      <c r="B455" s="10" t="inlineStr">
        <is>
          <t>位置合わせ(MS学習値)／月内均等</t>
        </is>
      </c>
      <c r="C455" s="10" t="inlineStr">
        <is>
          <t>2021-04</t>
        </is>
      </c>
      <c r="D455" s="10" t="n">
        <v>10</v>
      </c>
      <c r="E455" s="12" t="n">
        <v>9361.9</v>
      </c>
      <c r="F455" s="12" t="n">
        <v>6822.6</v>
      </c>
      <c r="G455" s="12" t="n">
        <v>2539.3</v>
      </c>
      <c r="H455" s="13" t="n">
        <v>0.213</v>
      </c>
      <c r="I455" s="13" t="n">
        <v>0.2903</v>
      </c>
    </row>
    <row r="456">
      <c r="A456" s="10" t="inlineStr">
        <is>
          <t>PJ-2020-C</t>
        </is>
      </c>
      <c r="B456" s="10" t="inlineStr">
        <is>
          <t>位置合わせ(MS学習値)／月内均等</t>
        </is>
      </c>
      <c r="C456" s="10" t="inlineStr">
        <is>
          <t>2021-05</t>
        </is>
      </c>
      <c r="D456" s="10" t="n">
        <v>11</v>
      </c>
      <c r="E456" s="12" t="n">
        <v>11022.4</v>
      </c>
      <c r="F456" s="12" t="n">
        <v>6920.5</v>
      </c>
      <c r="G456" s="12" t="n">
        <v>4101.9</v>
      </c>
      <c r="H456" s="13" t="n">
        <v>0.2511</v>
      </c>
      <c r="I456" s="13" t="n">
        <v>0.3142</v>
      </c>
    </row>
    <row r="457">
      <c r="A457" s="10" t="inlineStr">
        <is>
          <t>PJ-2020-C</t>
        </is>
      </c>
      <c r="B457" s="10" t="inlineStr">
        <is>
          <t>位置合わせ(MS学習値)／月内均等</t>
        </is>
      </c>
      <c r="C457" s="10" t="inlineStr">
        <is>
          <t>2021-06</t>
        </is>
      </c>
      <c r="D457" s="10" t="n">
        <v>12</v>
      </c>
      <c r="E457" s="12" t="n">
        <v>11238.2</v>
      </c>
      <c r="F457" s="12" t="n">
        <v>7298.5</v>
      </c>
      <c r="G457" s="12" t="n">
        <v>3939.7</v>
      </c>
      <c r="H457" s="13" t="n">
        <v>0.29</v>
      </c>
      <c r="I457" s="13" t="n">
        <v>0.3394</v>
      </c>
    </row>
    <row r="458">
      <c r="A458" s="10" t="inlineStr">
        <is>
          <t>PJ-2020-C</t>
        </is>
      </c>
      <c r="B458" s="10" t="inlineStr">
        <is>
          <t>位置合わせ(MS学習値)／月内均等</t>
        </is>
      </c>
      <c r="C458" s="10" t="inlineStr">
        <is>
          <t>2021-07</t>
        </is>
      </c>
      <c r="D458" s="10" t="n">
        <v>13</v>
      </c>
      <c r="E458" s="12" t="n">
        <v>12446.6</v>
      </c>
      <c r="F458" s="12" t="n">
        <v>8554.799999999999</v>
      </c>
      <c r="G458" s="12" t="n">
        <v>3891.8</v>
      </c>
      <c r="H458" s="13" t="n">
        <v>0.333</v>
      </c>
      <c r="I458" s="13" t="n">
        <v>0.369</v>
      </c>
    </row>
    <row r="459">
      <c r="A459" s="10" t="inlineStr">
        <is>
          <t>PJ-2020-C</t>
        </is>
      </c>
      <c r="B459" s="10" t="inlineStr">
        <is>
          <t>位置合わせ(MS学習値)／月内均等</t>
        </is>
      </c>
      <c r="C459" s="10" t="inlineStr">
        <is>
          <t>2021-08</t>
        </is>
      </c>
      <c r="D459" s="10" t="n">
        <v>14</v>
      </c>
      <c r="E459" s="12" t="n">
        <v>13455.8</v>
      </c>
      <c r="F459" s="12" t="n">
        <v>8486.799999999999</v>
      </c>
      <c r="G459" s="12" t="n">
        <v>4969</v>
      </c>
      <c r="H459" s="13" t="n">
        <v>0.3796</v>
      </c>
      <c r="I459" s="13" t="n">
        <v>0.3984</v>
      </c>
    </row>
    <row r="460">
      <c r="A460" s="10" t="inlineStr">
        <is>
          <t>PJ-2020-C</t>
        </is>
      </c>
      <c r="B460" s="10" t="inlineStr">
        <is>
          <t>位置合わせ(MS学習値)／月内均等</t>
        </is>
      </c>
      <c r="C460" s="10" t="inlineStr">
        <is>
          <t>2021-09</t>
        </is>
      </c>
      <c r="D460" s="10" t="n">
        <v>15</v>
      </c>
      <c r="E460" s="12" t="n">
        <v>14163.7</v>
      </c>
      <c r="F460" s="12" t="n">
        <v>9279.9</v>
      </c>
      <c r="G460" s="12" t="n">
        <v>4883.8</v>
      </c>
      <c r="H460" s="13" t="n">
        <v>0.4286</v>
      </c>
      <c r="I460" s="13" t="n">
        <v>0.4305</v>
      </c>
    </row>
    <row r="461">
      <c r="A461" s="10" t="inlineStr">
        <is>
          <t>PJ-2020-C</t>
        </is>
      </c>
      <c r="B461" s="10" t="inlineStr">
        <is>
          <t>位置合わせ(MS学習値)／月内均等</t>
        </is>
      </c>
      <c r="C461" s="10" t="inlineStr">
        <is>
          <t>2021-10</t>
        </is>
      </c>
      <c r="D461" s="10" t="n">
        <v>16</v>
      </c>
      <c r="E461" s="12" t="n">
        <v>14273.2</v>
      </c>
      <c r="F461" s="12" t="n">
        <v>16636.5</v>
      </c>
      <c r="G461" s="12" t="n">
        <v>-2363.3</v>
      </c>
      <c r="H461" s="13" t="n">
        <v>0.478</v>
      </c>
      <c r="I461" s="13" t="n">
        <v>0.4881</v>
      </c>
    </row>
    <row r="462">
      <c r="A462" s="10" t="inlineStr">
        <is>
          <t>PJ-2020-C</t>
        </is>
      </c>
      <c r="B462" s="10" t="inlineStr">
        <is>
          <t>位置合わせ(MS学習値)／月内均等</t>
        </is>
      </c>
      <c r="C462" s="10" t="inlineStr">
        <is>
          <t>2021-11</t>
        </is>
      </c>
      <c r="D462" s="10" t="n">
        <v>17</v>
      </c>
      <c r="E462" s="12" t="n">
        <v>13549.4</v>
      </c>
      <c r="F462" s="12" t="n">
        <v>14453.3</v>
      </c>
      <c r="G462" s="12" t="n">
        <v>-903.9</v>
      </c>
      <c r="H462" s="13" t="n">
        <v>0.5248</v>
      </c>
      <c r="I462" s="13" t="n">
        <v>0.5381</v>
      </c>
    </row>
    <row r="463">
      <c r="A463" s="10" t="inlineStr">
        <is>
          <t>PJ-2020-C</t>
        </is>
      </c>
      <c r="B463" s="10" t="inlineStr">
        <is>
          <t>位置合わせ(MS学習値)／月内均等</t>
        </is>
      </c>
      <c r="C463" s="10" t="inlineStr">
        <is>
          <t>2021-12</t>
        </is>
      </c>
      <c r="D463" s="10" t="n">
        <v>18</v>
      </c>
      <c r="E463" s="12" t="n">
        <v>13742.6</v>
      </c>
      <c r="F463" s="12" t="n">
        <v>13884.1</v>
      </c>
      <c r="G463" s="12" t="n">
        <v>-141.5</v>
      </c>
      <c r="H463" s="13" t="n">
        <v>0.5724</v>
      </c>
      <c r="I463" s="13" t="n">
        <v>0.5861</v>
      </c>
    </row>
    <row r="464">
      <c r="A464" s="10" t="inlineStr">
        <is>
          <t>PJ-2020-C</t>
        </is>
      </c>
      <c r="B464" s="10" t="inlineStr">
        <is>
          <t>位置合わせ(MS学習値)／月内均等</t>
        </is>
      </c>
      <c r="C464" s="10" t="inlineStr">
        <is>
          <t>2022-01</t>
        </is>
      </c>
      <c r="D464" s="10" t="n">
        <v>19</v>
      </c>
      <c r="E464" s="12" t="n">
        <v>14051.5</v>
      </c>
      <c r="F464" s="12" t="n">
        <v>15419</v>
      </c>
      <c r="G464" s="12" t="n">
        <v>-1367.5</v>
      </c>
      <c r="H464" s="13" t="n">
        <v>0.621</v>
      </c>
      <c r="I464" s="13" t="n">
        <v>0.6395</v>
      </c>
    </row>
    <row r="465">
      <c r="A465" s="10" t="inlineStr">
        <is>
          <t>PJ-2020-C</t>
        </is>
      </c>
      <c r="B465" s="10" t="inlineStr">
        <is>
          <t>位置合わせ(MS学習値)／月内均等</t>
        </is>
      </c>
      <c r="C465" s="10" t="inlineStr">
        <is>
          <t>2022-02</t>
        </is>
      </c>
      <c r="D465" s="10" t="n">
        <v>20</v>
      </c>
      <c r="E465" s="12" t="n">
        <v>12754.9</v>
      </c>
      <c r="F465" s="12" t="n">
        <v>8277.799999999999</v>
      </c>
      <c r="G465" s="12" t="n">
        <v>4477.1</v>
      </c>
      <c r="H465" s="13" t="n">
        <v>0.6651</v>
      </c>
      <c r="I465" s="13" t="n">
        <v>0.6681</v>
      </c>
    </row>
    <row r="466">
      <c r="A466" s="10" t="inlineStr">
        <is>
          <t>PJ-2020-C</t>
        </is>
      </c>
      <c r="B466" s="10" t="inlineStr">
        <is>
          <t>位置合わせ(MS学習値)／月内均等</t>
        </is>
      </c>
      <c r="C466" s="10" t="inlineStr">
        <is>
          <t>2022-03</t>
        </is>
      </c>
      <c r="D466" s="10" t="n">
        <v>21</v>
      </c>
      <c r="E466" s="12" t="n">
        <v>14374.7</v>
      </c>
      <c r="F466" s="12" t="n">
        <v>6160.3</v>
      </c>
      <c r="G466" s="12" t="n">
        <v>8214.4</v>
      </c>
      <c r="H466" s="13" t="n">
        <v>0.7149</v>
      </c>
      <c r="I466" s="13" t="n">
        <v>0.6894</v>
      </c>
    </row>
    <row r="467">
      <c r="A467" s="10" t="inlineStr">
        <is>
          <t>PJ-2020-C</t>
        </is>
      </c>
      <c r="B467" s="10" t="inlineStr">
        <is>
          <t>位置合わせ(MS学習値)／月内均等</t>
        </is>
      </c>
      <c r="C467" s="10" t="inlineStr">
        <is>
          <t>2022-04</t>
        </is>
      </c>
      <c r="D467" s="10" t="n">
        <v>22</v>
      </c>
      <c r="E467" s="12" t="n">
        <v>14098</v>
      </c>
      <c r="F467" s="12" t="n">
        <v>7057.5</v>
      </c>
      <c r="G467" s="12" t="n">
        <v>7040.5</v>
      </c>
      <c r="H467" s="13" t="n">
        <v>0.7635999999999999</v>
      </c>
      <c r="I467" s="13" t="n">
        <v>0.7138</v>
      </c>
    </row>
    <row r="468">
      <c r="A468" s="10" t="inlineStr">
        <is>
          <t>PJ-2020-C</t>
        </is>
      </c>
      <c r="B468" s="10" t="inlineStr">
        <is>
          <t>位置合わせ(MS学習値)／月内均等</t>
        </is>
      </c>
      <c r="C468" s="10" t="inlineStr">
        <is>
          <t>2022-05</t>
        </is>
      </c>
      <c r="D468" s="10" t="n">
        <v>23</v>
      </c>
      <c r="E468" s="12" t="n">
        <v>14836.1</v>
      </c>
      <c r="F468" s="12" t="n">
        <v>8005.3</v>
      </c>
      <c r="G468" s="12" t="n">
        <v>6830.8</v>
      </c>
      <c r="H468" s="13" t="n">
        <v>0.8149999999999999</v>
      </c>
      <c r="I468" s="13" t="n">
        <v>0.7415</v>
      </c>
    </row>
    <row r="469">
      <c r="A469" s="10" t="inlineStr">
        <is>
          <t>PJ-2020-C</t>
        </is>
      </c>
      <c r="B469" s="10" t="inlineStr">
        <is>
          <t>位置合わせ(MS学習値)／月内均等</t>
        </is>
      </c>
      <c r="C469" s="10" t="inlineStr">
        <is>
          <t>2022-06</t>
        </is>
      </c>
      <c r="D469" s="10" t="n">
        <v>24</v>
      </c>
      <c r="E469" s="12" t="n">
        <v>12438.8</v>
      </c>
      <c r="F469" s="12" t="n">
        <v>9533.200000000001</v>
      </c>
      <c r="G469" s="12" t="n">
        <v>2905.6</v>
      </c>
      <c r="H469" s="13" t="n">
        <v>0.858</v>
      </c>
      <c r="I469" s="13" t="n">
        <v>0.7745</v>
      </c>
    </row>
    <row r="470">
      <c r="A470" s="10" t="inlineStr">
        <is>
          <t>PJ-2020-C</t>
        </is>
      </c>
      <c r="B470" s="10" t="inlineStr">
        <is>
          <t>位置合わせ(MS学習値)／月内均等</t>
        </is>
      </c>
      <c r="C470" s="10" t="inlineStr">
        <is>
          <t>2022-07</t>
        </is>
      </c>
      <c r="D470" s="10" t="n">
        <v>25</v>
      </c>
      <c r="E470" s="12" t="n">
        <v>11385.1</v>
      </c>
      <c r="F470" s="12" t="n">
        <v>10920.6</v>
      </c>
      <c r="G470" s="12" t="n">
        <v>464.5</v>
      </c>
      <c r="H470" s="13" t="n">
        <v>0.8974</v>
      </c>
      <c r="I470" s="13" t="n">
        <v>0.8123</v>
      </c>
    </row>
    <row r="471">
      <c r="A471" s="10" t="inlineStr">
        <is>
          <t>PJ-2020-C</t>
        </is>
      </c>
      <c r="B471" s="10" t="inlineStr">
        <is>
          <t>位置合わせ(MS学習値)／月内均等</t>
        </is>
      </c>
      <c r="C471" s="10" t="inlineStr">
        <is>
          <t>2022-08</t>
        </is>
      </c>
      <c r="D471" s="10" t="n">
        <v>26</v>
      </c>
      <c r="E471" s="12" t="n">
        <v>9370.799999999999</v>
      </c>
      <c r="F471" s="12" t="n">
        <v>11191.5</v>
      </c>
      <c r="G471" s="12" t="n">
        <v>-1820.7</v>
      </c>
      <c r="H471" s="13" t="n">
        <v>0.9298</v>
      </c>
      <c r="I471" s="13" t="n">
        <v>0.851</v>
      </c>
    </row>
    <row r="472">
      <c r="A472" s="10" t="inlineStr">
        <is>
          <t>PJ-2020-C</t>
        </is>
      </c>
      <c r="B472" s="10" t="inlineStr">
        <is>
          <t>位置合わせ(MS学習値)／月内均等</t>
        </is>
      </c>
      <c r="C472" s="10" t="inlineStr">
        <is>
          <t>2022-09</t>
        </is>
      </c>
      <c r="D472" s="10" t="n">
        <v>27</v>
      </c>
      <c r="E472" s="12" t="n">
        <v>7247.8</v>
      </c>
      <c r="F472" s="12" t="n">
        <v>10812.6</v>
      </c>
      <c r="G472" s="12" t="n">
        <v>-3564.8</v>
      </c>
      <c r="H472" s="13" t="n">
        <v>0.9549</v>
      </c>
      <c r="I472" s="13" t="n">
        <v>0.8884</v>
      </c>
    </row>
    <row r="473">
      <c r="A473" s="10" t="inlineStr">
        <is>
          <t>PJ-2020-C</t>
        </is>
      </c>
      <c r="B473" s="10" t="inlineStr">
        <is>
          <t>位置合わせ(MS学習値)／月内均等</t>
        </is>
      </c>
      <c r="C473" s="10" t="inlineStr">
        <is>
          <t>2022-10</t>
        </is>
      </c>
      <c r="D473" s="10" t="n">
        <v>28</v>
      </c>
      <c r="E473" s="12" t="n">
        <v>6439.1</v>
      </c>
      <c r="F473" s="12" t="n">
        <v>11977</v>
      </c>
      <c r="G473" s="12" t="n">
        <v>-5537.9</v>
      </c>
      <c r="H473" s="13" t="n">
        <v>0.9772</v>
      </c>
      <c r="I473" s="13" t="n">
        <v>0.9298</v>
      </c>
    </row>
    <row r="474">
      <c r="A474" s="10" t="inlineStr">
        <is>
          <t>PJ-2020-C</t>
        </is>
      </c>
      <c r="B474" s="10" t="inlineStr">
        <is>
          <t>位置合わせ(MS学習値)／月内均等</t>
        </is>
      </c>
      <c r="C474" s="10" t="inlineStr">
        <is>
          <t>2022-11</t>
        </is>
      </c>
      <c r="D474" s="10" t="n">
        <v>29</v>
      </c>
      <c r="E474" s="12" t="n">
        <v>4252.6</v>
      </c>
      <c r="F474" s="12" t="n">
        <v>12035.5</v>
      </c>
      <c r="G474" s="12" t="n">
        <v>-7782.9</v>
      </c>
      <c r="H474" s="13" t="n">
        <v>0.9919</v>
      </c>
      <c r="I474" s="13" t="n">
        <v>0.9715</v>
      </c>
    </row>
    <row r="475">
      <c r="A475" s="10" t="inlineStr">
        <is>
          <t>PJ-2020-C</t>
        </is>
      </c>
      <c r="B475" s="10" t="inlineStr">
        <is>
          <t>位置合わせ(MS学習値)／月内均等</t>
        </is>
      </c>
      <c r="C475" s="10" t="inlineStr">
        <is>
          <t>2022-12</t>
        </is>
      </c>
      <c r="D475" s="10" t="n">
        <v>30</v>
      </c>
      <c r="E475" s="12" t="n">
        <v>2348.1</v>
      </c>
      <c r="F475" s="12" t="n">
        <v>8242.299999999999</v>
      </c>
      <c r="G475" s="12" t="n">
        <v>-5894.2</v>
      </c>
      <c r="H475" s="13" t="n">
        <v>1</v>
      </c>
      <c r="I475" s="13" t="n">
        <v>1</v>
      </c>
    </row>
    <row r="476">
      <c r="A476" s="10" t="inlineStr">
        <is>
          <t>PJ-2020-C</t>
        </is>
      </c>
      <c r="B476" s="10" t="inlineStr">
        <is>
          <t>位置合わせ(MS指定)／月内均等</t>
        </is>
      </c>
      <c r="C476" s="10" t="inlineStr">
        <is>
          <t>2020-07</t>
        </is>
      </c>
      <c r="D476" s="10" t="n">
        <v>1</v>
      </c>
      <c r="E476" s="12" t="n">
        <v>3227.3</v>
      </c>
      <c r="F476" s="12" t="n">
        <v>9891.799999999999</v>
      </c>
      <c r="G476" s="12" t="n">
        <v>-6664.5</v>
      </c>
      <c r="H476" s="13" t="n">
        <v>0.0112</v>
      </c>
      <c r="I476" s="13" t="n">
        <v>0.0342</v>
      </c>
    </row>
    <row r="477">
      <c r="A477" s="10" t="inlineStr">
        <is>
          <t>PJ-2020-C</t>
        </is>
      </c>
      <c r="B477" s="10" t="inlineStr">
        <is>
          <t>位置合わせ(MS指定)／月内均等</t>
        </is>
      </c>
      <c r="C477" s="10" t="inlineStr">
        <is>
          <t>2020-08</t>
        </is>
      </c>
      <c r="D477" s="10" t="n">
        <v>2</v>
      </c>
      <c r="E477" s="12" t="n">
        <v>3896.2</v>
      </c>
      <c r="F477" s="12" t="n">
        <v>11800.4</v>
      </c>
      <c r="G477" s="12" t="n">
        <v>-7904.2</v>
      </c>
      <c r="H477" s="13" t="n">
        <v>0.0246</v>
      </c>
      <c r="I477" s="13" t="n">
        <v>0.075</v>
      </c>
    </row>
    <row r="478">
      <c r="A478" s="10" t="inlineStr">
        <is>
          <t>PJ-2020-C</t>
        </is>
      </c>
      <c r="B478" s="10" t="inlineStr">
        <is>
          <t>位置合わせ(MS指定)／月内均等</t>
        </is>
      </c>
      <c r="C478" s="10" t="inlineStr">
        <is>
          <t>2020-09</t>
        </is>
      </c>
      <c r="D478" s="10" t="n">
        <v>3</v>
      </c>
      <c r="E478" s="12" t="n">
        <v>4637.3</v>
      </c>
      <c r="F478" s="12" t="n">
        <v>9726.200000000001</v>
      </c>
      <c r="G478" s="12" t="n">
        <v>-5088.9</v>
      </c>
      <c r="H478" s="13" t="n">
        <v>0.0407</v>
      </c>
      <c r="I478" s="13" t="n">
        <v>0.1087</v>
      </c>
    </row>
    <row r="479">
      <c r="A479" s="10" t="inlineStr">
        <is>
          <t>PJ-2020-C</t>
        </is>
      </c>
      <c r="B479" s="10" t="inlineStr">
        <is>
          <t>位置合わせ(MS指定)／月内均等</t>
        </is>
      </c>
      <c r="C479" s="10" t="inlineStr">
        <is>
          <t>2020-10</t>
        </is>
      </c>
      <c r="D479" s="10" t="n">
        <v>4</v>
      </c>
      <c r="E479" s="12" t="n">
        <v>5505.3</v>
      </c>
      <c r="F479" s="12" t="n">
        <v>8645.4</v>
      </c>
      <c r="G479" s="12" t="n">
        <v>-3140.1</v>
      </c>
      <c r="H479" s="13" t="n">
        <v>0.0597</v>
      </c>
      <c r="I479" s="13" t="n">
        <v>0.1386</v>
      </c>
    </row>
    <row r="480">
      <c r="A480" s="10" t="inlineStr">
        <is>
          <t>PJ-2020-C</t>
        </is>
      </c>
      <c r="B480" s="10" t="inlineStr">
        <is>
          <t>位置合わせ(MS指定)／月内均等</t>
        </is>
      </c>
      <c r="C480" s="10" t="inlineStr">
        <is>
          <t>2020-11</t>
        </is>
      </c>
      <c r="D480" s="10" t="n">
        <v>5</v>
      </c>
      <c r="E480" s="12" t="n">
        <v>5868</v>
      </c>
      <c r="F480" s="12" t="n">
        <v>7717.1</v>
      </c>
      <c r="G480" s="12" t="n">
        <v>-1849.1</v>
      </c>
      <c r="H480" s="13" t="n">
        <v>0.08</v>
      </c>
      <c r="I480" s="13" t="n">
        <v>0.1653</v>
      </c>
    </row>
    <row r="481">
      <c r="A481" s="10" t="inlineStr">
        <is>
          <t>PJ-2020-C</t>
        </is>
      </c>
      <c r="B481" s="10" t="inlineStr">
        <is>
          <t>位置合わせ(MS指定)／月内均等</t>
        </is>
      </c>
      <c r="C481" s="10" t="inlineStr">
        <is>
          <t>2020-12</t>
        </is>
      </c>
      <c r="D481" s="10" t="n">
        <v>6</v>
      </c>
      <c r="E481" s="12" t="n">
        <v>6437.3</v>
      </c>
      <c r="F481" s="12" t="n">
        <v>7821.7</v>
      </c>
      <c r="G481" s="12" t="n">
        <v>-1384.4</v>
      </c>
      <c r="H481" s="13" t="n">
        <v>0.1023</v>
      </c>
      <c r="I481" s="13" t="n">
        <v>0.1924</v>
      </c>
    </row>
    <row r="482">
      <c r="A482" s="10" t="inlineStr">
        <is>
          <t>PJ-2020-C</t>
        </is>
      </c>
      <c r="B482" s="10" t="inlineStr">
        <is>
          <t>位置合わせ(MS指定)／月内均等</t>
        </is>
      </c>
      <c r="C482" s="10" t="inlineStr">
        <is>
          <t>2021-01</t>
        </is>
      </c>
      <c r="D482" s="10" t="n">
        <v>7</v>
      </c>
      <c r="E482" s="12" t="n">
        <v>6766.7</v>
      </c>
      <c r="F482" s="12" t="n">
        <v>7531.5</v>
      </c>
      <c r="G482" s="12" t="n">
        <v>-764.8</v>
      </c>
      <c r="H482" s="13" t="n">
        <v>0.1257</v>
      </c>
      <c r="I482" s="13" t="n">
        <v>0.2184</v>
      </c>
    </row>
    <row r="483">
      <c r="A483" s="10" t="inlineStr">
        <is>
          <t>PJ-2020-C</t>
        </is>
      </c>
      <c r="B483" s="10" t="inlineStr">
        <is>
          <t>位置合わせ(MS指定)／月内均等</t>
        </is>
      </c>
      <c r="C483" s="10" t="inlineStr">
        <is>
          <t>2021-02</t>
        </is>
      </c>
      <c r="D483" s="10" t="n">
        <v>8</v>
      </c>
      <c r="E483" s="12" t="n">
        <v>6930.2</v>
      </c>
      <c r="F483" s="12" t="n">
        <v>6551.1</v>
      </c>
      <c r="G483" s="12" t="n">
        <v>379.1</v>
      </c>
      <c r="H483" s="13" t="n">
        <v>0.1497</v>
      </c>
      <c r="I483" s="13" t="n">
        <v>0.2411</v>
      </c>
    </row>
    <row r="484">
      <c r="A484" s="10" t="inlineStr">
        <is>
          <t>PJ-2020-C</t>
        </is>
      </c>
      <c r="B484" s="10" t="inlineStr">
        <is>
          <t>位置合わせ(MS指定)／月内均等</t>
        </is>
      </c>
      <c r="C484" s="10" t="inlineStr">
        <is>
          <t>2021-03</t>
        </is>
      </c>
      <c r="D484" s="10" t="n">
        <v>9</v>
      </c>
      <c r="E484" s="12" t="n">
        <v>8211.5</v>
      </c>
      <c r="F484" s="12" t="n">
        <v>7387.7</v>
      </c>
      <c r="G484" s="12" t="n">
        <v>823.8</v>
      </c>
      <c r="H484" s="13" t="n">
        <v>0.1781</v>
      </c>
      <c r="I484" s="13" t="n">
        <v>0.2666</v>
      </c>
    </row>
    <row r="485">
      <c r="A485" s="10" t="inlineStr">
        <is>
          <t>PJ-2020-C</t>
        </is>
      </c>
      <c r="B485" s="10" t="inlineStr">
        <is>
          <t>位置合わせ(MS指定)／月内均等</t>
        </is>
      </c>
      <c r="C485" s="10" t="inlineStr">
        <is>
          <t>2021-04</t>
        </is>
      </c>
      <c r="D485" s="10" t="n">
        <v>10</v>
      </c>
      <c r="E485" s="12" t="n">
        <v>9129.6</v>
      </c>
      <c r="F485" s="12" t="n">
        <v>6822.6</v>
      </c>
      <c r="G485" s="12" t="n">
        <v>2307</v>
      </c>
      <c r="H485" s="13" t="n">
        <v>0.2097</v>
      </c>
      <c r="I485" s="13" t="n">
        <v>0.2903</v>
      </c>
    </row>
    <row r="486">
      <c r="A486" s="10" t="inlineStr">
        <is>
          <t>PJ-2020-C</t>
        </is>
      </c>
      <c r="B486" s="10" t="inlineStr">
        <is>
          <t>位置合わせ(MS指定)／月内均等</t>
        </is>
      </c>
      <c r="C486" s="10" t="inlineStr">
        <is>
          <t>2021-05</t>
        </is>
      </c>
      <c r="D486" s="10" t="n">
        <v>11</v>
      </c>
      <c r="E486" s="12" t="n">
        <v>10798.9</v>
      </c>
      <c r="F486" s="12" t="n">
        <v>6920.5</v>
      </c>
      <c r="G486" s="12" t="n">
        <v>3878.4</v>
      </c>
      <c r="H486" s="13" t="n">
        <v>0.2471</v>
      </c>
      <c r="I486" s="13" t="n">
        <v>0.3142</v>
      </c>
    </row>
    <row r="487">
      <c r="A487" s="10" t="inlineStr">
        <is>
          <t>PJ-2020-C</t>
        </is>
      </c>
      <c r="B487" s="10" t="inlineStr">
        <is>
          <t>位置合わせ(MS指定)／月内均等</t>
        </is>
      </c>
      <c r="C487" s="10" t="inlineStr">
        <is>
          <t>2021-06</t>
        </is>
      </c>
      <c r="D487" s="10" t="n">
        <v>12</v>
      </c>
      <c r="E487" s="12" t="n">
        <v>11078</v>
      </c>
      <c r="F487" s="12" t="n">
        <v>7298.5</v>
      </c>
      <c r="G487" s="12" t="n">
        <v>3779.5</v>
      </c>
      <c r="H487" s="13" t="n">
        <v>0.2854</v>
      </c>
      <c r="I487" s="13" t="n">
        <v>0.3394</v>
      </c>
    </row>
    <row r="488">
      <c r="A488" s="10" t="inlineStr">
        <is>
          <t>PJ-2020-C</t>
        </is>
      </c>
      <c r="B488" s="10" t="inlineStr">
        <is>
          <t>位置合わせ(MS指定)／月内均等</t>
        </is>
      </c>
      <c r="C488" s="10" t="inlineStr">
        <is>
          <t>2021-07</t>
        </is>
      </c>
      <c r="D488" s="10" t="n">
        <v>13</v>
      </c>
      <c r="E488" s="12" t="n">
        <v>12225.2</v>
      </c>
      <c r="F488" s="12" t="n">
        <v>8554.799999999999</v>
      </c>
      <c r="G488" s="12" t="n">
        <v>3670.4</v>
      </c>
      <c r="H488" s="13" t="n">
        <v>0.3277</v>
      </c>
      <c r="I488" s="13" t="n">
        <v>0.369</v>
      </c>
    </row>
    <row r="489">
      <c r="A489" s="10" t="inlineStr">
        <is>
          <t>PJ-2020-C</t>
        </is>
      </c>
      <c r="B489" s="10" t="inlineStr">
        <is>
          <t>位置合わせ(MS指定)／月内均等</t>
        </is>
      </c>
      <c r="C489" s="10" t="inlineStr">
        <is>
          <t>2021-08</t>
        </is>
      </c>
      <c r="D489" s="10" t="n">
        <v>14</v>
      </c>
      <c r="E489" s="12" t="n">
        <v>13248</v>
      </c>
      <c r="F489" s="12" t="n">
        <v>8486.799999999999</v>
      </c>
      <c r="G489" s="12" t="n">
        <v>4761.2</v>
      </c>
      <c r="H489" s="13" t="n">
        <v>0.3735</v>
      </c>
      <c r="I489" s="13" t="n">
        <v>0.3984</v>
      </c>
    </row>
    <row r="490">
      <c r="A490" s="10" t="inlineStr">
        <is>
          <t>PJ-2020-C</t>
        </is>
      </c>
      <c r="B490" s="10" t="inlineStr">
        <is>
          <t>位置合わせ(MS指定)／月内均等</t>
        </is>
      </c>
      <c r="C490" s="10" t="inlineStr">
        <is>
          <t>2021-09</t>
        </is>
      </c>
      <c r="D490" s="10" t="n">
        <v>15</v>
      </c>
      <c r="E490" s="12" t="n">
        <v>14265.2</v>
      </c>
      <c r="F490" s="12" t="n">
        <v>9279.9</v>
      </c>
      <c r="G490" s="12" t="n">
        <v>4985.3</v>
      </c>
      <c r="H490" s="13" t="n">
        <v>0.4229</v>
      </c>
      <c r="I490" s="13" t="n">
        <v>0.4305</v>
      </c>
    </row>
    <row r="491">
      <c r="A491" s="10" t="inlineStr">
        <is>
          <t>PJ-2020-C</t>
        </is>
      </c>
      <c r="B491" s="10" t="inlineStr">
        <is>
          <t>位置合わせ(MS指定)／月内均等</t>
        </is>
      </c>
      <c r="C491" s="10" t="inlineStr">
        <is>
          <t>2021-10</t>
        </is>
      </c>
      <c r="D491" s="10" t="n">
        <v>16</v>
      </c>
      <c r="E491" s="12" t="n">
        <v>24875.2</v>
      </c>
      <c r="F491" s="12" t="n">
        <v>16636.5</v>
      </c>
      <c r="G491" s="12" t="n">
        <v>8238.700000000001</v>
      </c>
      <c r="H491" s="13" t="n">
        <v>0.5089</v>
      </c>
      <c r="I491" s="13" t="n">
        <v>0.4881</v>
      </c>
    </row>
    <row r="492">
      <c r="A492" s="10" t="inlineStr">
        <is>
          <t>PJ-2020-C</t>
        </is>
      </c>
      <c r="B492" s="10" t="inlineStr">
        <is>
          <t>位置合わせ(MS指定)／月内均等</t>
        </is>
      </c>
      <c r="C492" s="10" t="inlineStr">
        <is>
          <t>2021-11</t>
        </is>
      </c>
      <c r="D492" s="10" t="n">
        <v>17</v>
      </c>
      <c r="E492" s="12" t="n">
        <v>23297.2</v>
      </c>
      <c r="F492" s="12" t="n">
        <v>14453.3</v>
      </c>
      <c r="G492" s="12" t="n">
        <v>8843.9</v>
      </c>
      <c r="H492" s="13" t="n">
        <v>0.5895</v>
      </c>
      <c r="I492" s="13" t="n">
        <v>0.5381</v>
      </c>
    </row>
    <row r="493">
      <c r="A493" s="10" t="inlineStr">
        <is>
          <t>PJ-2020-C</t>
        </is>
      </c>
      <c r="B493" s="10" t="inlineStr">
        <is>
          <t>位置合わせ(MS指定)／月内均等</t>
        </is>
      </c>
      <c r="C493" s="10" t="inlineStr">
        <is>
          <t>2021-12</t>
        </is>
      </c>
      <c r="D493" s="10" t="n">
        <v>18</v>
      </c>
      <c r="E493" s="12" t="n">
        <v>24590.4</v>
      </c>
      <c r="F493" s="12" t="n">
        <v>13884.1</v>
      </c>
      <c r="G493" s="12" t="n">
        <v>10706.3</v>
      </c>
      <c r="H493" s="13" t="n">
        <v>0.6746</v>
      </c>
      <c r="I493" s="13" t="n">
        <v>0.5861</v>
      </c>
    </row>
    <row r="494">
      <c r="A494" s="10" t="inlineStr">
        <is>
          <t>PJ-2020-C</t>
        </is>
      </c>
      <c r="B494" s="10" t="inlineStr">
        <is>
          <t>位置合わせ(MS指定)／月内均等</t>
        </is>
      </c>
      <c r="C494" s="10" t="inlineStr">
        <is>
          <t>2022-01</t>
        </is>
      </c>
      <c r="D494" s="10" t="n">
        <v>19</v>
      </c>
      <c r="E494" s="12" t="n">
        <v>25289.1</v>
      </c>
      <c r="F494" s="12" t="n">
        <v>15419</v>
      </c>
      <c r="G494" s="12" t="n">
        <v>9870.1</v>
      </c>
      <c r="H494" s="13" t="n">
        <v>0.7621</v>
      </c>
      <c r="I494" s="13" t="n">
        <v>0.6395</v>
      </c>
    </row>
    <row r="495">
      <c r="A495" s="10" t="inlineStr">
        <is>
          <t>PJ-2020-C</t>
        </is>
      </c>
      <c r="B495" s="10" t="inlineStr">
        <is>
          <t>位置合わせ(MS指定)／月内均等</t>
        </is>
      </c>
      <c r="C495" s="10" t="inlineStr">
        <is>
          <t>2022-02</t>
        </is>
      </c>
      <c r="D495" s="10" t="n">
        <v>20</v>
      </c>
      <c r="E495" s="12" t="n">
        <v>13704.7</v>
      </c>
      <c r="F495" s="12" t="n">
        <v>8277.799999999999</v>
      </c>
      <c r="G495" s="12" t="n">
        <v>5426.9</v>
      </c>
      <c r="H495" s="13" t="n">
        <v>0.8095</v>
      </c>
      <c r="I495" s="13" t="n">
        <v>0.6681</v>
      </c>
    </row>
    <row r="496">
      <c r="A496" s="10" t="inlineStr">
        <is>
          <t>PJ-2020-C</t>
        </is>
      </c>
      <c r="B496" s="10" t="inlineStr">
        <is>
          <t>位置合わせ(MS指定)／月内均等</t>
        </is>
      </c>
      <c r="C496" s="10" t="inlineStr">
        <is>
          <t>2022-03</t>
        </is>
      </c>
      <c r="D496" s="10" t="n">
        <v>21</v>
      </c>
      <c r="E496" s="12" t="n">
        <v>8691.799999999999</v>
      </c>
      <c r="F496" s="12" t="n">
        <v>6160.3</v>
      </c>
      <c r="G496" s="12" t="n">
        <v>2531.5</v>
      </c>
      <c r="H496" s="13" t="n">
        <v>0.8396</v>
      </c>
      <c r="I496" s="13" t="n">
        <v>0.6894</v>
      </c>
    </row>
    <row r="497">
      <c r="A497" s="10" t="inlineStr">
        <is>
          <t>PJ-2020-C</t>
        </is>
      </c>
      <c r="B497" s="10" t="inlineStr">
        <is>
          <t>位置合わせ(MS指定)／月内均等</t>
        </is>
      </c>
      <c r="C497" s="10" t="inlineStr">
        <is>
          <t>2022-04</t>
        </is>
      </c>
      <c r="D497" s="10" t="n">
        <v>22</v>
      </c>
      <c r="E497" s="12" t="n">
        <v>8030.4</v>
      </c>
      <c r="F497" s="12" t="n">
        <v>7057.5</v>
      </c>
      <c r="G497" s="12" t="n">
        <v>972.9</v>
      </c>
      <c r="H497" s="13" t="n">
        <v>0.8673999999999999</v>
      </c>
      <c r="I497" s="13" t="n">
        <v>0.7138</v>
      </c>
    </row>
    <row r="498">
      <c r="A498" s="10" t="inlineStr">
        <is>
          <t>PJ-2020-C</t>
        </is>
      </c>
      <c r="B498" s="10" t="inlineStr">
        <is>
          <t>位置合わせ(MS指定)／月内均等</t>
        </is>
      </c>
      <c r="C498" s="10" t="inlineStr">
        <is>
          <t>2022-05</t>
        </is>
      </c>
      <c r="D498" s="10" t="n">
        <v>23</v>
      </c>
      <c r="E498" s="12" t="n">
        <v>7473.6</v>
      </c>
      <c r="F498" s="12" t="n">
        <v>8005.3</v>
      </c>
      <c r="G498" s="12" t="n">
        <v>-531.7</v>
      </c>
      <c r="H498" s="13" t="n">
        <v>0.8932</v>
      </c>
      <c r="I498" s="13" t="n">
        <v>0.7415</v>
      </c>
    </row>
    <row r="499">
      <c r="A499" s="10" t="inlineStr">
        <is>
          <t>PJ-2020-C</t>
        </is>
      </c>
      <c r="B499" s="10" t="inlineStr">
        <is>
          <t>位置合わせ(MS指定)／月内均等</t>
        </is>
      </c>
      <c r="C499" s="10" t="inlineStr">
        <is>
          <t>2022-06</t>
        </is>
      </c>
      <c r="D499" s="10" t="n">
        <v>24</v>
      </c>
      <c r="E499" s="12" t="n">
        <v>6338.5</v>
      </c>
      <c r="F499" s="12" t="n">
        <v>9533.200000000001</v>
      </c>
      <c r="G499" s="12" t="n">
        <v>-3194.7</v>
      </c>
      <c r="H499" s="13" t="n">
        <v>0.9151</v>
      </c>
      <c r="I499" s="13" t="n">
        <v>0.7745</v>
      </c>
    </row>
    <row r="500">
      <c r="A500" s="10" t="inlineStr">
        <is>
          <t>PJ-2020-C</t>
        </is>
      </c>
      <c r="B500" s="10" t="inlineStr">
        <is>
          <t>位置合わせ(MS指定)／月内均等</t>
        </is>
      </c>
      <c r="C500" s="10" t="inlineStr">
        <is>
          <t>2022-07</t>
        </is>
      </c>
      <c r="D500" s="10" t="n">
        <v>25</v>
      </c>
      <c r="E500" s="12" t="n">
        <v>5619.9</v>
      </c>
      <c r="F500" s="12" t="n">
        <v>10920.6</v>
      </c>
      <c r="G500" s="12" t="n">
        <v>-5300.7</v>
      </c>
      <c r="H500" s="13" t="n">
        <v>0.9346</v>
      </c>
      <c r="I500" s="13" t="n">
        <v>0.8123</v>
      </c>
    </row>
    <row r="501">
      <c r="A501" s="10" t="inlineStr">
        <is>
          <t>PJ-2020-C</t>
        </is>
      </c>
      <c r="B501" s="10" t="inlineStr">
        <is>
          <t>位置合わせ(MS指定)／月内均等</t>
        </is>
      </c>
      <c r="C501" s="10" t="inlineStr">
        <is>
          <t>2022-08</t>
        </is>
      </c>
      <c r="D501" s="10" t="n">
        <v>26</v>
      </c>
      <c r="E501" s="12" t="n">
        <v>4954</v>
      </c>
      <c r="F501" s="12" t="n">
        <v>11191.5</v>
      </c>
      <c r="G501" s="12" t="n">
        <v>-6237.5</v>
      </c>
      <c r="H501" s="13" t="n">
        <v>0.9517</v>
      </c>
      <c r="I501" s="13" t="n">
        <v>0.851</v>
      </c>
    </row>
    <row r="502">
      <c r="A502" s="10" t="inlineStr">
        <is>
          <t>PJ-2020-C</t>
        </is>
      </c>
      <c r="B502" s="10" t="inlineStr">
        <is>
          <t>位置合わせ(MS指定)／月内均等</t>
        </is>
      </c>
      <c r="C502" s="10" t="inlineStr">
        <is>
          <t>2022-09</t>
        </is>
      </c>
      <c r="D502" s="10" t="n">
        <v>27</v>
      </c>
      <c r="E502" s="12" t="n">
        <v>4381.9</v>
      </c>
      <c r="F502" s="12" t="n">
        <v>10812.6</v>
      </c>
      <c r="G502" s="12" t="n">
        <v>-6430.7</v>
      </c>
      <c r="H502" s="13" t="n">
        <v>0.9669</v>
      </c>
      <c r="I502" s="13" t="n">
        <v>0.8884</v>
      </c>
    </row>
    <row r="503">
      <c r="A503" s="10" t="inlineStr">
        <is>
          <t>PJ-2020-C</t>
        </is>
      </c>
      <c r="B503" s="10" t="inlineStr">
        <is>
          <t>位置合わせ(MS指定)／月内均等</t>
        </is>
      </c>
      <c r="C503" s="10" t="inlineStr">
        <is>
          <t>2022-10</t>
        </is>
      </c>
      <c r="D503" s="10" t="n">
        <v>28</v>
      </c>
      <c r="E503" s="12" t="n">
        <v>4643.5</v>
      </c>
      <c r="F503" s="12" t="n">
        <v>11977</v>
      </c>
      <c r="G503" s="12" t="n">
        <v>-7333.5</v>
      </c>
      <c r="H503" s="13" t="n">
        <v>0.983</v>
      </c>
      <c r="I503" s="13" t="n">
        <v>0.9298</v>
      </c>
    </row>
    <row r="504">
      <c r="A504" s="10" t="inlineStr">
        <is>
          <t>PJ-2020-C</t>
        </is>
      </c>
      <c r="B504" s="10" t="inlineStr">
        <is>
          <t>位置合わせ(MS指定)／月内均等</t>
        </is>
      </c>
      <c r="C504" s="10" t="inlineStr">
        <is>
          <t>2022-11</t>
        </is>
      </c>
      <c r="D504" s="10" t="n">
        <v>29</v>
      </c>
      <c r="E504" s="12" t="n">
        <v>3018.5</v>
      </c>
      <c r="F504" s="12" t="n">
        <v>12035.5</v>
      </c>
      <c r="G504" s="12" t="n">
        <v>-9017</v>
      </c>
      <c r="H504" s="13" t="n">
        <v>0.9933999999999999</v>
      </c>
      <c r="I504" s="13" t="n">
        <v>0.9715</v>
      </c>
    </row>
    <row r="505">
      <c r="A505" s="10" t="inlineStr">
        <is>
          <t>PJ-2020-C</t>
        </is>
      </c>
      <c r="B505" s="10" t="inlineStr">
        <is>
          <t>位置合わせ(MS指定)／月内均等</t>
        </is>
      </c>
      <c r="C505" s="10" t="inlineStr">
        <is>
          <t>2022-12</t>
        </is>
      </c>
      <c r="D505" s="10" t="n">
        <v>30</v>
      </c>
      <c r="E505" s="12" t="n">
        <v>1909.2</v>
      </c>
      <c r="F505" s="12" t="n">
        <v>8242.299999999999</v>
      </c>
      <c r="G505" s="12" t="n">
        <v>-6333.1</v>
      </c>
      <c r="H505" s="13" t="n">
        <v>1</v>
      </c>
      <c r="I505" s="13" t="n">
        <v>1</v>
      </c>
    </row>
    <row r="506">
      <c r="A506" s="10" t="inlineStr">
        <is>
          <t>PJ-2020-C</t>
        </is>
      </c>
      <c r="B506" s="10" t="inlineStr">
        <is>
          <t>素朴版／単調補間</t>
        </is>
      </c>
      <c r="C506" s="10" t="inlineStr">
        <is>
          <t>2020-07</t>
        </is>
      </c>
      <c r="D506" s="10" t="n">
        <v>1</v>
      </c>
      <c r="E506" s="12" t="n">
        <v>3132</v>
      </c>
      <c r="F506" s="12" t="n">
        <v>9891.799999999999</v>
      </c>
      <c r="G506" s="12" t="n">
        <v>-6759.8</v>
      </c>
      <c r="H506" s="13" t="n">
        <v>0.0108</v>
      </c>
      <c r="I506" s="13" t="n">
        <v>0.0342</v>
      </c>
    </row>
    <row r="507">
      <c r="A507" s="10" t="inlineStr">
        <is>
          <t>PJ-2020-C</t>
        </is>
      </c>
      <c r="B507" s="10" t="inlineStr">
        <is>
          <t>素朴版／単調補間</t>
        </is>
      </c>
      <c r="C507" s="10" t="inlineStr">
        <is>
          <t>2020-08</t>
        </is>
      </c>
      <c r="D507" s="10" t="n">
        <v>2</v>
      </c>
      <c r="E507" s="12" t="n">
        <v>3984.2</v>
      </c>
      <c r="F507" s="12" t="n">
        <v>11800.4</v>
      </c>
      <c r="G507" s="12" t="n">
        <v>-7816.2</v>
      </c>
      <c r="H507" s="13" t="n">
        <v>0.0246</v>
      </c>
      <c r="I507" s="13" t="n">
        <v>0.075</v>
      </c>
    </row>
    <row r="508">
      <c r="A508" s="10" t="inlineStr">
        <is>
          <t>PJ-2020-C</t>
        </is>
      </c>
      <c r="B508" s="10" t="inlineStr">
        <is>
          <t>素朴版／単調補間</t>
        </is>
      </c>
      <c r="C508" s="10" t="inlineStr">
        <is>
          <t>2020-09</t>
        </is>
      </c>
      <c r="D508" s="10" t="n">
        <v>3</v>
      </c>
      <c r="E508" s="12" t="n">
        <v>4746.2</v>
      </c>
      <c r="F508" s="12" t="n">
        <v>9726.200000000001</v>
      </c>
      <c r="G508" s="12" t="n">
        <v>-4980</v>
      </c>
      <c r="H508" s="13" t="n">
        <v>0.041</v>
      </c>
      <c r="I508" s="13" t="n">
        <v>0.1087</v>
      </c>
    </row>
    <row r="509">
      <c r="A509" s="10" t="inlineStr">
        <is>
          <t>PJ-2020-C</t>
        </is>
      </c>
      <c r="B509" s="10" t="inlineStr">
        <is>
          <t>素朴版／単調補間</t>
        </is>
      </c>
      <c r="C509" s="10" t="inlineStr">
        <is>
          <t>2020-10</t>
        </is>
      </c>
      <c r="D509" s="10" t="n">
        <v>4</v>
      </c>
      <c r="E509" s="12" t="n">
        <v>5654.9</v>
      </c>
      <c r="F509" s="12" t="n">
        <v>8645.4</v>
      </c>
      <c r="G509" s="12" t="n">
        <v>-2990.5</v>
      </c>
      <c r="H509" s="13" t="n">
        <v>0.0606</v>
      </c>
      <c r="I509" s="13" t="n">
        <v>0.1386</v>
      </c>
    </row>
    <row r="510">
      <c r="A510" s="10" t="inlineStr">
        <is>
          <t>PJ-2020-C</t>
        </is>
      </c>
      <c r="B510" s="10" t="inlineStr">
        <is>
          <t>素朴版／単調補間</t>
        </is>
      </c>
      <c r="C510" s="10" t="inlineStr">
        <is>
          <t>2020-11</t>
        </is>
      </c>
      <c r="D510" s="10" t="n">
        <v>5</v>
      </c>
      <c r="E510" s="12" t="n">
        <v>6117.7</v>
      </c>
      <c r="F510" s="12" t="n">
        <v>7717.1</v>
      </c>
      <c r="G510" s="12" t="n">
        <v>-1599.4</v>
      </c>
      <c r="H510" s="13" t="n">
        <v>0.0818</v>
      </c>
      <c r="I510" s="13" t="n">
        <v>0.1653</v>
      </c>
    </row>
    <row r="511">
      <c r="A511" s="10" t="inlineStr">
        <is>
          <t>PJ-2020-C</t>
        </is>
      </c>
      <c r="B511" s="10" t="inlineStr">
        <is>
          <t>素朴版／単調補間</t>
        </is>
      </c>
      <c r="C511" s="10" t="inlineStr">
        <is>
          <t>2020-12</t>
        </is>
      </c>
      <c r="D511" s="10" t="n">
        <v>6</v>
      </c>
      <c r="E511" s="12" t="n">
        <v>6531.6</v>
      </c>
      <c r="F511" s="12" t="n">
        <v>7821.7</v>
      </c>
      <c r="G511" s="12" t="n">
        <v>-1290.1</v>
      </c>
      <c r="H511" s="13" t="n">
        <v>0.1044</v>
      </c>
      <c r="I511" s="13" t="n">
        <v>0.1924</v>
      </c>
    </row>
    <row r="512">
      <c r="A512" s="10" t="inlineStr">
        <is>
          <t>PJ-2020-C</t>
        </is>
      </c>
      <c r="B512" s="10" t="inlineStr">
        <is>
          <t>素朴版／単調補間</t>
        </is>
      </c>
      <c r="C512" s="10" t="inlineStr">
        <is>
          <t>2021-01</t>
        </is>
      </c>
      <c r="D512" s="10" t="n">
        <v>7</v>
      </c>
      <c r="E512" s="12" t="n">
        <v>7087.2</v>
      </c>
      <c r="F512" s="12" t="n">
        <v>7531.5</v>
      </c>
      <c r="G512" s="12" t="n">
        <v>-444.3</v>
      </c>
      <c r="H512" s="13" t="n">
        <v>0.1289</v>
      </c>
      <c r="I512" s="13" t="n">
        <v>0.2184</v>
      </c>
    </row>
    <row r="513">
      <c r="A513" s="10" t="inlineStr">
        <is>
          <t>PJ-2020-C</t>
        </is>
      </c>
      <c r="B513" s="10" t="inlineStr">
        <is>
          <t>素朴版／単調補間</t>
        </is>
      </c>
      <c r="C513" s="10" t="inlineStr">
        <is>
          <t>2021-02</t>
        </is>
      </c>
      <c r="D513" s="10" t="n">
        <v>8</v>
      </c>
      <c r="E513" s="12" t="n">
        <v>7225.9</v>
      </c>
      <c r="F513" s="12" t="n">
        <v>6551.1</v>
      </c>
      <c r="G513" s="12" t="n">
        <v>674.8</v>
      </c>
      <c r="H513" s="13" t="n">
        <v>0.1539</v>
      </c>
      <c r="I513" s="13" t="n">
        <v>0.2411</v>
      </c>
    </row>
    <row r="514">
      <c r="A514" s="10" t="inlineStr">
        <is>
          <t>PJ-2020-C</t>
        </is>
      </c>
      <c r="B514" s="10" t="inlineStr">
        <is>
          <t>素朴版／単調補間</t>
        </is>
      </c>
      <c r="C514" s="10" t="inlineStr">
        <is>
          <t>2021-03</t>
        </is>
      </c>
      <c r="D514" s="10" t="n">
        <v>9</v>
      </c>
      <c r="E514" s="12" t="n">
        <v>9368.700000000001</v>
      </c>
      <c r="F514" s="12" t="n">
        <v>7387.7</v>
      </c>
      <c r="G514" s="12" t="n">
        <v>1981</v>
      </c>
      <c r="H514" s="13" t="n">
        <v>0.1863</v>
      </c>
      <c r="I514" s="13" t="n">
        <v>0.2666</v>
      </c>
    </row>
    <row r="515">
      <c r="A515" s="10" t="inlineStr">
        <is>
          <t>PJ-2020-C</t>
        </is>
      </c>
      <c r="B515" s="10" t="inlineStr">
        <is>
          <t>素朴版／単調補間</t>
        </is>
      </c>
      <c r="C515" s="10" t="inlineStr">
        <is>
          <t>2021-04</t>
        </is>
      </c>
      <c r="D515" s="10" t="n">
        <v>10</v>
      </c>
      <c r="E515" s="12" t="n">
        <v>10419.6</v>
      </c>
      <c r="F515" s="12" t="n">
        <v>6822.6</v>
      </c>
      <c r="G515" s="12" t="n">
        <v>3597</v>
      </c>
      <c r="H515" s="13" t="n">
        <v>0.2223</v>
      </c>
      <c r="I515" s="13" t="n">
        <v>0.2903</v>
      </c>
    </row>
    <row r="516">
      <c r="A516" s="10" t="inlineStr">
        <is>
          <t>PJ-2020-C</t>
        </is>
      </c>
      <c r="B516" s="10" t="inlineStr">
        <is>
          <t>素朴版／単調補間</t>
        </is>
      </c>
      <c r="C516" s="10" t="inlineStr">
        <is>
          <t>2021-05</t>
        </is>
      </c>
      <c r="D516" s="10" t="n">
        <v>11</v>
      </c>
      <c r="E516" s="12" t="n">
        <v>11662.7</v>
      </c>
      <c r="F516" s="12" t="n">
        <v>6920.5</v>
      </c>
      <c r="G516" s="12" t="n">
        <v>4742.2</v>
      </c>
      <c r="H516" s="13" t="n">
        <v>0.2627</v>
      </c>
      <c r="I516" s="13" t="n">
        <v>0.3142</v>
      </c>
    </row>
    <row r="517">
      <c r="A517" s="10" t="inlineStr">
        <is>
          <t>PJ-2020-C</t>
        </is>
      </c>
      <c r="B517" s="10" t="inlineStr">
        <is>
          <t>素朴版／単調補間</t>
        </is>
      </c>
      <c r="C517" s="10" t="inlineStr">
        <is>
          <t>2021-06</t>
        </is>
      </c>
      <c r="D517" s="10" t="n">
        <v>12</v>
      </c>
      <c r="E517" s="12" t="n">
        <v>12375</v>
      </c>
      <c r="F517" s="12" t="n">
        <v>7298.5</v>
      </c>
      <c r="G517" s="12" t="n">
        <v>5076.5</v>
      </c>
      <c r="H517" s="13" t="n">
        <v>0.3055</v>
      </c>
      <c r="I517" s="13" t="n">
        <v>0.3394</v>
      </c>
    </row>
    <row r="518">
      <c r="A518" s="10" t="inlineStr">
        <is>
          <t>PJ-2020-C</t>
        </is>
      </c>
      <c r="B518" s="10" t="inlineStr">
        <is>
          <t>素朴版／単調補間</t>
        </is>
      </c>
      <c r="C518" s="10" t="inlineStr">
        <is>
          <t>2021-07</t>
        </is>
      </c>
      <c r="D518" s="10" t="n">
        <v>13</v>
      </c>
      <c r="E518" s="12" t="n">
        <v>13050.6</v>
      </c>
      <c r="F518" s="12" t="n">
        <v>8554.799999999999</v>
      </c>
      <c r="G518" s="12" t="n">
        <v>4495.8</v>
      </c>
      <c r="H518" s="13" t="n">
        <v>0.3507</v>
      </c>
      <c r="I518" s="13" t="n">
        <v>0.369</v>
      </c>
    </row>
    <row r="519">
      <c r="A519" s="10" t="inlineStr">
        <is>
          <t>PJ-2020-C</t>
        </is>
      </c>
      <c r="B519" s="10" t="inlineStr">
        <is>
          <t>素朴版／単調補間</t>
        </is>
      </c>
      <c r="C519" s="10" t="inlineStr">
        <is>
          <t>2021-08</t>
        </is>
      </c>
      <c r="D519" s="10" t="n">
        <v>14</v>
      </c>
      <c r="E519" s="12" t="n">
        <v>11997.4</v>
      </c>
      <c r="F519" s="12" t="n">
        <v>8486.799999999999</v>
      </c>
      <c r="G519" s="12" t="n">
        <v>3510.6</v>
      </c>
      <c r="H519" s="13" t="n">
        <v>0.3922</v>
      </c>
      <c r="I519" s="13" t="n">
        <v>0.3984</v>
      </c>
    </row>
    <row r="520">
      <c r="A520" s="10" t="inlineStr">
        <is>
          <t>PJ-2020-C</t>
        </is>
      </c>
      <c r="B520" s="10" t="inlineStr">
        <is>
          <t>素朴版／単調補間</t>
        </is>
      </c>
      <c r="C520" s="10" t="inlineStr">
        <is>
          <t>2021-09</t>
        </is>
      </c>
      <c r="D520" s="10" t="n">
        <v>15</v>
      </c>
      <c r="E520" s="12" t="n">
        <v>11284.5</v>
      </c>
      <c r="F520" s="12" t="n">
        <v>9279.9</v>
      </c>
      <c r="G520" s="12" t="n">
        <v>2004.6</v>
      </c>
      <c r="H520" s="13" t="n">
        <v>0.4312</v>
      </c>
      <c r="I520" s="13" t="n">
        <v>0.4305</v>
      </c>
    </row>
    <row r="521">
      <c r="A521" s="10" t="inlineStr">
        <is>
          <t>PJ-2020-C</t>
        </is>
      </c>
      <c r="B521" s="10" t="inlineStr">
        <is>
          <t>素朴版／単調補間</t>
        </is>
      </c>
      <c r="C521" s="10" t="inlineStr">
        <is>
          <t>2021-10</t>
        </is>
      </c>
      <c r="D521" s="10" t="n">
        <v>16</v>
      </c>
      <c r="E521" s="12" t="n">
        <v>12703.6</v>
      </c>
      <c r="F521" s="12" t="n">
        <v>16636.5</v>
      </c>
      <c r="G521" s="12" t="n">
        <v>-3932.9</v>
      </c>
      <c r="H521" s="13" t="n">
        <v>0.4752</v>
      </c>
      <c r="I521" s="13" t="n">
        <v>0.4881</v>
      </c>
    </row>
    <row r="522">
      <c r="A522" s="10" t="inlineStr">
        <is>
          <t>PJ-2020-C</t>
        </is>
      </c>
      <c r="B522" s="10" t="inlineStr">
        <is>
          <t>素朴版／単調補間</t>
        </is>
      </c>
      <c r="C522" s="10" t="inlineStr">
        <is>
          <t>2021-11</t>
        </is>
      </c>
      <c r="D522" s="10" t="n">
        <v>17</v>
      </c>
      <c r="E522" s="12" t="n">
        <v>12845.6</v>
      </c>
      <c r="F522" s="12" t="n">
        <v>14453.3</v>
      </c>
      <c r="G522" s="12" t="n">
        <v>-1607.7</v>
      </c>
      <c r="H522" s="13" t="n">
        <v>0.5196</v>
      </c>
      <c r="I522" s="13" t="n">
        <v>0.5381</v>
      </c>
    </row>
    <row r="523">
      <c r="A523" s="10" t="inlineStr">
        <is>
          <t>PJ-2020-C</t>
        </is>
      </c>
      <c r="B523" s="10" t="inlineStr">
        <is>
          <t>素朴版／単調補間</t>
        </is>
      </c>
      <c r="C523" s="10" t="inlineStr">
        <is>
          <t>2021-12</t>
        </is>
      </c>
      <c r="D523" s="10" t="n">
        <v>18</v>
      </c>
      <c r="E523" s="12" t="n">
        <v>14109.1</v>
      </c>
      <c r="F523" s="12" t="n">
        <v>13884.1</v>
      </c>
      <c r="G523" s="12" t="n">
        <v>225</v>
      </c>
      <c r="H523" s="13" t="n">
        <v>0.5684</v>
      </c>
      <c r="I523" s="13" t="n">
        <v>0.5861</v>
      </c>
    </row>
    <row r="524">
      <c r="A524" s="10" t="inlineStr">
        <is>
          <t>PJ-2020-C</t>
        </is>
      </c>
      <c r="B524" s="10" t="inlineStr">
        <is>
          <t>素朴版／単調補間</t>
        </is>
      </c>
      <c r="C524" s="10" t="inlineStr">
        <is>
          <t>2022-01</t>
        </is>
      </c>
      <c r="D524" s="10" t="n">
        <v>19</v>
      </c>
      <c r="E524" s="12" t="n">
        <v>15207.4</v>
      </c>
      <c r="F524" s="12" t="n">
        <v>15419</v>
      </c>
      <c r="G524" s="12" t="n">
        <v>-211.6</v>
      </c>
      <c r="H524" s="13" t="n">
        <v>0.621</v>
      </c>
      <c r="I524" s="13" t="n">
        <v>0.6395</v>
      </c>
    </row>
    <row r="525">
      <c r="A525" s="10" t="inlineStr">
        <is>
          <t>PJ-2020-C</t>
        </is>
      </c>
      <c r="B525" s="10" t="inlineStr">
        <is>
          <t>素朴版／単調補間</t>
        </is>
      </c>
      <c r="C525" s="10" t="inlineStr">
        <is>
          <t>2022-02</t>
        </is>
      </c>
      <c r="D525" s="10" t="n">
        <v>20</v>
      </c>
      <c r="E525" s="12" t="n">
        <v>13899.4</v>
      </c>
      <c r="F525" s="12" t="n">
        <v>8277.799999999999</v>
      </c>
      <c r="G525" s="12" t="n">
        <v>5621.6</v>
      </c>
      <c r="H525" s="13" t="n">
        <v>0.6691</v>
      </c>
      <c r="I525" s="13" t="n">
        <v>0.6681</v>
      </c>
    </row>
    <row r="526">
      <c r="A526" s="10" t="inlineStr">
        <is>
          <t>PJ-2020-C</t>
        </is>
      </c>
      <c r="B526" s="10" t="inlineStr">
        <is>
          <t>素朴版／単調補間</t>
        </is>
      </c>
      <c r="C526" s="10" t="inlineStr">
        <is>
          <t>2022-03</t>
        </is>
      </c>
      <c r="D526" s="10" t="n">
        <v>21</v>
      </c>
      <c r="E526" s="12" t="n">
        <v>14529</v>
      </c>
      <c r="F526" s="12" t="n">
        <v>6160.3</v>
      </c>
      <c r="G526" s="12" t="n">
        <v>8368.700000000001</v>
      </c>
      <c r="H526" s="13" t="n">
        <v>0.7194</v>
      </c>
      <c r="I526" s="13" t="n">
        <v>0.6894</v>
      </c>
    </row>
    <row r="527">
      <c r="A527" s="10" t="inlineStr">
        <is>
          <t>PJ-2020-C</t>
        </is>
      </c>
      <c r="B527" s="10" t="inlineStr">
        <is>
          <t>素朴版／単調補間</t>
        </is>
      </c>
      <c r="C527" s="10" t="inlineStr">
        <is>
          <t>2022-04</t>
        </is>
      </c>
      <c r="D527" s="10" t="n">
        <v>22</v>
      </c>
      <c r="E527" s="12" t="n">
        <v>12754.8</v>
      </c>
      <c r="F527" s="12" t="n">
        <v>7057.5</v>
      </c>
      <c r="G527" s="12" t="n">
        <v>5697.3</v>
      </c>
      <c r="H527" s="13" t="n">
        <v>0.7635</v>
      </c>
      <c r="I527" s="13" t="n">
        <v>0.7138</v>
      </c>
    </row>
    <row r="528">
      <c r="A528" s="10" t="inlineStr">
        <is>
          <t>PJ-2020-C</t>
        </is>
      </c>
      <c r="B528" s="10" t="inlineStr">
        <is>
          <t>素朴版／単調補間</t>
        </is>
      </c>
      <c r="C528" s="10" t="inlineStr">
        <is>
          <t>2022-05</t>
        </is>
      </c>
      <c r="D528" s="10" t="n">
        <v>23</v>
      </c>
      <c r="E528" s="12" t="n">
        <v>13053.9</v>
      </c>
      <c r="F528" s="12" t="n">
        <v>8005.3</v>
      </c>
      <c r="G528" s="12" t="n">
        <v>5048.6</v>
      </c>
      <c r="H528" s="13" t="n">
        <v>0.8087</v>
      </c>
      <c r="I528" s="13" t="n">
        <v>0.7415</v>
      </c>
    </row>
    <row r="529">
      <c r="A529" s="10" t="inlineStr">
        <is>
          <t>PJ-2020-C</t>
        </is>
      </c>
      <c r="B529" s="10" t="inlineStr">
        <is>
          <t>素朴版／単調補間</t>
        </is>
      </c>
      <c r="C529" s="10" t="inlineStr">
        <is>
          <t>2022-06</t>
        </is>
      </c>
      <c r="D529" s="10" t="n">
        <v>24</v>
      </c>
      <c r="E529" s="12" t="n">
        <v>12663</v>
      </c>
      <c r="F529" s="12" t="n">
        <v>9533.200000000001</v>
      </c>
      <c r="G529" s="12" t="n">
        <v>3129.8</v>
      </c>
      <c r="H529" s="13" t="n">
        <v>0.8525</v>
      </c>
      <c r="I529" s="13" t="n">
        <v>0.7745</v>
      </c>
    </row>
    <row r="530">
      <c r="A530" s="10" t="inlineStr">
        <is>
          <t>PJ-2020-C</t>
        </is>
      </c>
      <c r="B530" s="10" t="inlineStr">
        <is>
          <t>素朴版／単調補間</t>
        </is>
      </c>
      <c r="C530" s="10" t="inlineStr">
        <is>
          <t>2022-07</t>
        </is>
      </c>
      <c r="D530" s="10" t="n">
        <v>25</v>
      </c>
      <c r="E530" s="12" t="n">
        <v>12393.3</v>
      </c>
      <c r="F530" s="12" t="n">
        <v>10920.6</v>
      </c>
      <c r="G530" s="12" t="n">
        <v>1472.7</v>
      </c>
      <c r="H530" s="13" t="n">
        <v>0.8954</v>
      </c>
      <c r="I530" s="13" t="n">
        <v>0.8123</v>
      </c>
    </row>
    <row r="531">
      <c r="A531" s="10" t="inlineStr">
        <is>
          <t>PJ-2020-C</t>
        </is>
      </c>
      <c r="B531" s="10" t="inlineStr">
        <is>
          <t>素朴版／単調補間</t>
        </is>
      </c>
      <c r="C531" s="10" t="inlineStr">
        <is>
          <t>2022-08</t>
        </is>
      </c>
      <c r="D531" s="10" t="n">
        <v>26</v>
      </c>
      <c r="E531" s="12" t="n">
        <v>9904.1</v>
      </c>
      <c r="F531" s="12" t="n">
        <v>11191.5</v>
      </c>
      <c r="G531" s="12" t="n">
        <v>-1287.4</v>
      </c>
      <c r="H531" s="13" t="n">
        <v>0.9296</v>
      </c>
      <c r="I531" s="13" t="n">
        <v>0.851</v>
      </c>
    </row>
    <row r="532">
      <c r="A532" s="10" t="inlineStr">
        <is>
          <t>PJ-2020-C</t>
        </is>
      </c>
      <c r="B532" s="10" t="inlineStr">
        <is>
          <t>素朴版／単調補間</t>
        </is>
      </c>
      <c r="C532" s="10" t="inlineStr">
        <is>
          <t>2022-09</t>
        </is>
      </c>
      <c r="D532" s="10" t="n">
        <v>27</v>
      </c>
      <c r="E532" s="12" t="n">
        <v>7485.3</v>
      </c>
      <c r="F532" s="12" t="n">
        <v>10812.6</v>
      </c>
      <c r="G532" s="12" t="n">
        <v>-3327.3</v>
      </c>
      <c r="H532" s="13" t="n">
        <v>0.9555</v>
      </c>
      <c r="I532" s="13" t="n">
        <v>0.8884</v>
      </c>
    </row>
    <row r="533">
      <c r="A533" s="10" t="inlineStr">
        <is>
          <t>PJ-2020-C</t>
        </is>
      </c>
      <c r="B533" s="10" t="inlineStr">
        <is>
          <t>素朴版／単調補間</t>
        </is>
      </c>
      <c r="C533" s="10" t="inlineStr">
        <is>
          <t>2022-10</t>
        </is>
      </c>
      <c r="D533" s="10" t="n">
        <v>28</v>
      </c>
      <c r="E533" s="12" t="n">
        <v>6270.1</v>
      </c>
      <c r="F533" s="12" t="n">
        <v>11977</v>
      </c>
      <c r="G533" s="12" t="n">
        <v>-5706.9</v>
      </c>
      <c r="H533" s="13" t="n">
        <v>0.9772</v>
      </c>
      <c r="I533" s="13" t="n">
        <v>0.9298</v>
      </c>
    </row>
    <row r="534">
      <c r="A534" s="10" t="inlineStr">
        <is>
          <t>PJ-2020-C</t>
        </is>
      </c>
      <c r="B534" s="10" t="inlineStr">
        <is>
          <t>素朴版／単調補間</t>
        </is>
      </c>
      <c r="C534" s="10" t="inlineStr">
        <is>
          <t>2022-11</t>
        </is>
      </c>
      <c r="D534" s="10" t="n">
        <v>29</v>
      </c>
      <c r="E534" s="12" t="n">
        <v>4326.5</v>
      </c>
      <c r="F534" s="12" t="n">
        <v>12035.5</v>
      </c>
      <c r="G534" s="12" t="n">
        <v>-7709</v>
      </c>
      <c r="H534" s="13" t="n">
        <v>0.9922</v>
      </c>
      <c r="I534" s="13" t="n">
        <v>0.9715</v>
      </c>
    </row>
    <row r="535">
      <c r="A535" s="10" t="inlineStr">
        <is>
          <t>PJ-2020-C</t>
        </is>
      </c>
      <c r="B535" s="10" t="inlineStr">
        <is>
          <t>素朴版／単調補間</t>
        </is>
      </c>
      <c r="C535" s="10" t="inlineStr">
        <is>
          <t>2022-12</t>
        </is>
      </c>
      <c r="D535" s="10" t="n">
        <v>30</v>
      </c>
      <c r="E535" s="12" t="n">
        <v>2259.2</v>
      </c>
      <c r="F535" s="12" t="n">
        <v>8242.299999999999</v>
      </c>
      <c r="G535" s="12" t="n">
        <v>-5983.1</v>
      </c>
      <c r="H535" s="13" t="n">
        <v>1</v>
      </c>
      <c r="I535" s="13" t="n">
        <v>1</v>
      </c>
    </row>
    <row r="536">
      <c r="A536" s="10" t="inlineStr">
        <is>
          <t>PJ-2020-C</t>
        </is>
      </c>
      <c r="B536" s="10" t="inlineStr">
        <is>
          <t>位置合わせ(MS学習値)／単調補間</t>
        </is>
      </c>
      <c r="C536" s="10" t="inlineStr">
        <is>
          <t>2020-07</t>
        </is>
      </c>
      <c r="D536" s="10" t="n">
        <v>1</v>
      </c>
      <c r="E536" s="12" t="n">
        <v>3146.4</v>
      </c>
      <c r="F536" s="12" t="n">
        <v>9891.799999999999</v>
      </c>
      <c r="G536" s="12" t="n">
        <v>-6745.4</v>
      </c>
      <c r="H536" s="13" t="n">
        <v>0.0109</v>
      </c>
      <c r="I536" s="13" t="n">
        <v>0.0342</v>
      </c>
    </row>
    <row r="537">
      <c r="A537" s="10" t="inlineStr">
        <is>
          <t>PJ-2020-C</t>
        </is>
      </c>
      <c r="B537" s="10" t="inlineStr">
        <is>
          <t>位置合わせ(MS学習値)／単調補間</t>
        </is>
      </c>
      <c r="C537" s="10" t="inlineStr">
        <is>
          <t>2020-08</t>
        </is>
      </c>
      <c r="D537" s="10" t="n">
        <v>2</v>
      </c>
      <c r="E537" s="12" t="n">
        <v>3912.3</v>
      </c>
      <c r="F537" s="12" t="n">
        <v>11800.4</v>
      </c>
      <c r="G537" s="12" t="n">
        <v>-7888.1</v>
      </c>
      <c r="H537" s="13" t="n">
        <v>0.0244</v>
      </c>
      <c r="I537" s="13" t="n">
        <v>0.075</v>
      </c>
    </row>
    <row r="538">
      <c r="A538" s="10" t="inlineStr">
        <is>
          <t>PJ-2020-C</t>
        </is>
      </c>
      <c r="B538" s="10" t="inlineStr">
        <is>
          <t>位置合わせ(MS学習値)／単調補間</t>
        </is>
      </c>
      <c r="C538" s="10" t="inlineStr">
        <is>
          <t>2020-09</t>
        </is>
      </c>
      <c r="D538" s="10" t="n">
        <v>3</v>
      </c>
      <c r="E538" s="12" t="n">
        <v>4735</v>
      </c>
      <c r="F538" s="12" t="n">
        <v>9726.200000000001</v>
      </c>
      <c r="G538" s="12" t="n">
        <v>-4991.2</v>
      </c>
      <c r="H538" s="13" t="n">
        <v>0.0408</v>
      </c>
      <c r="I538" s="13" t="n">
        <v>0.1087</v>
      </c>
    </row>
    <row r="539">
      <c r="A539" s="10" t="inlineStr">
        <is>
          <t>PJ-2020-C</t>
        </is>
      </c>
      <c r="B539" s="10" t="inlineStr">
        <is>
          <t>位置合わせ(MS学習値)／単調補間</t>
        </is>
      </c>
      <c r="C539" s="10" t="inlineStr">
        <is>
          <t>2020-10</t>
        </is>
      </c>
      <c r="D539" s="10" t="n">
        <v>4</v>
      </c>
      <c r="E539" s="12" t="n">
        <v>5529.9</v>
      </c>
      <c r="F539" s="12" t="n">
        <v>8645.4</v>
      </c>
      <c r="G539" s="12" t="n">
        <v>-3115.5</v>
      </c>
      <c r="H539" s="13" t="n">
        <v>0.0599</v>
      </c>
      <c r="I539" s="13" t="n">
        <v>0.1386</v>
      </c>
    </row>
    <row r="540">
      <c r="A540" s="10" t="inlineStr">
        <is>
          <t>PJ-2020-C</t>
        </is>
      </c>
      <c r="B540" s="10" t="inlineStr">
        <is>
          <t>位置合わせ(MS学習値)／単調補間</t>
        </is>
      </c>
      <c r="C540" s="10" t="inlineStr">
        <is>
          <t>2020-11</t>
        </is>
      </c>
      <c r="D540" s="10" t="n">
        <v>5</v>
      </c>
      <c r="E540" s="12" t="n">
        <v>6026.2</v>
      </c>
      <c r="F540" s="12" t="n">
        <v>7717.1</v>
      </c>
      <c r="G540" s="12" t="n">
        <v>-1690.9</v>
      </c>
      <c r="H540" s="13" t="n">
        <v>0.0808</v>
      </c>
      <c r="I540" s="13" t="n">
        <v>0.1653</v>
      </c>
    </row>
    <row r="541">
      <c r="A541" s="10" t="inlineStr">
        <is>
          <t>PJ-2020-C</t>
        </is>
      </c>
      <c r="B541" s="10" t="inlineStr">
        <is>
          <t>位置合わせ(MS学習値)／単調補間</t>
        </is>
      </c>
      <c r="C541" s="10" t="inlineStr">
        <is>
          <t>2020-12</t>
        </is>
      </c>
      <c r="D541" s="10" t="n">
        <v>6</v>
      </c>
      <c r="E541" s="12" t="n">
        <v>6410.3</v>
      </c>
      <c r="F541" s="12" t="n">
        <v>7821.7</v>
      </c>
      <c r="G541" s="12" t="n">
        <v>-1411.4</v>
      </c>
      <c r="H541" s="13" t="n">
        <v>0.103</v>
      </c>
      <c r="I541" s="13" t="n">
        <v>0.1924</v>
      </c>
    </row>
    <row r="542">
      <c r="A542" s="10" t="inlineStr">
        <is>
          <t>PJ-2020-C</t>
        </is>
      </c>
      <c r="B542" s="10" t="inlineStr">
        <is>
          <t>位置合わせ(MS学習値)／単調補間</t>
        </is>
      </c>
      <c r="C542" s="10" t="inlineStr">
        <is>
          <t>2021-01</t>
        </is>
      </c>
      <c r="D542" s="10" t="n">
        <v>7</v>
      </c>
      <c r="E542" s="12" t="n">
        <v>6963.4</v>
      </c>
      <c r="F542" s="12" t="n">
        <v>7531.5</v>
      </c>
      <c r="G542" s="12" t="n">
        <v>-568.1</v>
      </c>
      <c r="H542" s="13" t="n">
        <v>0.1271</v>
      </c>
      <c r="I542" s="13" t="n">
        <v>0.2184</v>
      </c>
    </row>
    <row r="543">
      <c r="A543" s="10" t="inlineStr">
        <is>
          <t>PJ-2020-C</t>
        </is>
      </c>
      <c r="B543" s="10" t="inlineStr">
        <is>
          <t>位置合わせ(MS学習値)／単調補間</t>
        </is>
      </c>
      <c r="C543" s="10" t="inlineStr">
        <is>
          <t>2021-02</t>
        </is>
      </c>
      <c r="D543" s="10" t="n">
        <v>8</v>
      </c>
      <c r="E543" s="12" t="n">
        <v>6964.5</v>
      </c>
      <c r="F543" s="12" t="n">
        <v>6551.1</v>
      </c>
      <c r="G543" s="12" t="n">
        <v>413.4</v>
      </c>
      <c r="H543" s="13" t="n">
        <v>0.1511</v>
      </c>
      <c r="I543" s="13" t="n">
        <v>0.2411</v>
      </c>
    </row>
    <row r="544">
      <c r="A544" s="10" t="inlineStr">
        <is>
          <t>PJ-2020-C</t>
        </is>
      </c>
      <c r="B544" s="10" t="inlineStr">
        <is>
          <t>位置合わせ(MS学習値)／単調補間</t>
        </is>
      </c>
      <c r="C544" s="10" t="inlineStr">
        <is>
          <t>2021-03</t>
        </is>
      </c>
      <c r="D544" s="10" t="n">
        <v>9</v>
      </c>
      <c r="E544" s="12" t="n">
        <v>8355.5</v>
      </c>
      <c r="F544" s="12" t="n">
        <v>7387.7</v>
      </c>
      <c r="G544" s="12" t="n">
        <v>967.8</v>
      </c>
      <c r="H544" s="13" t="n">
        <v>0.1801</v>
      </c>
      <c r="I544" s="13" t="n">
        <v>0.2666</v>
      </c>
    </row>
    <row r="545">
      <c r="A545" s="10" t="inlineStr">
        <is>
          <t>PJ-2020-C</t>
        </is>
      </c>
      <c r="B545" s="10" t="inlineStr">
        <is>
          <t>位置合わせ(MS学習値)／単調補間</t>
        </is>
      </c>
      <c r="C545" s="10" t="inlineStr">
        <is>
          <t>2021-04</t>
        </is>
      </c>
      <c r="D545" s="10" t="n">
        <v>10</v>
      </c>
      <c r="E545" s="12" t="n">
        <v>9341.299999999999</v>
      </c>
      <c r="F545" s="12" t="n">
        <v>6822.6</v>
      </c>
      <c r="G545" s="12" t="n">
        <v>2518.7</v>
      </c>
      <c r="H545" s="13" t="n">
        <v>0.2124</v>
      </c>
      <c r="I545" s="13" t="n">
        <v>0.2903</v>
      </c>
    </row>
    <row r="546">
      <c r="A546" s="10" t="inlineStr">
        <is>
          <t>PJ-2020-C</t>
        </is>
      </c>
      <c r="B546" s="10" t="inlineStr">
        <is>
          <t>位置合わせ(MS学習値)／単調補間</t>
        </is>
      </c>
      <c r="C546" s="10" t="inlineStr">
        <is>
          <t>2021-05</t>
        </is>
      </c>
      <c r="D546" s="10" t="n">
        <v>11</v>
      </c>
      <c r="E546" s="12" t="n">
        <v>11092.6</v>
      </c>
      <c r="F546" s="12" t="n">
        <v>6920.5</v>
      </c>
      <c r="G546" s="12" t="n">
        <v>4172.1</v>
      </c>
      <c r="H546" s="13" t="n">
        <v>0.2507</v>
      </c>
      <c r="I546" s="13" t="n">
        <v>0.3142</v>
      </c>
    </row>
    <row r="547">
      <c r="A547" s="10" t="inlineStr">
        <is>
          <t>PJ-2020-C</t>
        </is>
      </c>
      <c r="B547" s="10" t="inlineStr">
        <is>
          <t>位置合わせ(MS学習値)／単調補間</t>
        </is>
      </c>
      <c r="C547" s="10" t="inlineStr">
        <is>
          <t>2021-06</t>
        </is>
      </c>
      <c r="D547" s="10" t="n">
        <v>12</v>
      </c>
      <c r="E547" s="12" t="n">
        <v>11189.7</v>
      </c>
      <c r="F547" s="12" t="n">
        <v>7298.5</v>
      </c>
      <c r="G547" s="12" t="n">
        <v>3891.2</v>
      </c>
      <c r="H547" s="13" t="n">
        <v>0.2895</v>
      </c>
      <c r="I547" s="13" t="n">
        <v>0.3394</v>
      </c>
    </row>
    <row r="548">
      <c r="A548" s="10" t="inlineStr">
        <is>
          <t>PJ-2020-C</t>
        </is>
      </c>
      <c r="B548" s="10" t="inlineStr">
        <is>
          <t>位置合わせ(MS学習値)／単調補間</t>
        </is>
      </c>
      <c r="C548" s="10" t="inlineStr">
        <is>
          <t>2021-07</t>
        </is>
      </c>
      <c r="D548" s="10" t="n">
        <v>13</v>
      </c>
      <c r="E548" s="12" t="n">
        <v>12470.2</v>
      </c>
      <c r="F548" s="12" t="n">
        <v>8554.799999999999</v>
      </c>
      <c r="G548" s="12" t="n">
        <v>3915.4</v>
      </c>
      <c r="H548" s="13" t="n">
        <v>0.3326</v>
      </c>
      <c r="I548" s="13" t="n">
        <v>0.369</v>
      </c>
    </row>
    <row r="549">
      <c r="A549" s="10" t="inlineStr">
        <is>
          <t>PJ-2020-C</t>
        </is>
      </c>
      <c r="B549" s="10" t="inlineStr">
        <is>
          <t>位置合わせ(MS学習値)／単調補間</t>
        </is>
      </c>
      <c r="C549" s="10" t="inlineStr">
        <is>
          <t>2021-08</t>
        </is>
      </c>
      <c r="D549" s="10" t="n">
        <v>14</v>
      </c>
      <c r="E549" s="12" t="n">
        <v>13358.1</v>
      </c>
      <c r="F549" s="12" t="n">
        <v>8486.799999999999</v>
      </c>
      <c r="G549" s="12" t="n">
        <v>4871.3</v>
      </c>
      <c r="H549" s="13" t="n">
        <v>0.3788</v>
      </c>
      <c r="I549" s="13" t="n">
        <v>0.3984</v>
      </c>
    </row>
    <row r="550">
      <c r="A550" s="10" t="inlineStr">
        <is>
          <t>PJ-2020-C</t>
        </is>
      </c>
      <c r="B550" s="10" t="inlineStr">
        <is>
          <t>位置合わせ(MS学習値)／単調補間</t>
        </is>
      </c>
      <c r="C550" s="10" t="inlineStr">
        <is>
          <t>2021-09</t>
        </is>
      </c>
      <c r="D550" s="10" t="n">
        <v>15</v>
      </c>
      <c r="E550" s="12" t="n">
        <v>14096.5</v>
      </c>
      <c r="F550" s="12" t="n">
        <v>9279.9</v>
      </c>
      <c r="G550" s="12" t="n">
        <v>4816.6</v>
      </c>
      <c r="H550" s="13" t="n">
        <v>0.4276</v>
      </c>
      <c r="I550" s="13" t="n">
        <v>0.4305</v>
      </c>
    </row>
    <row r="551">
      <c r="A551" s="10" t="inlineStr">
        <is>
          <t>PJ-2020-C</t>
        </is>
      </c>
      <c r="B551" s="10" t="inlineStr">
        <is>
          <t>位置合わせ(MS学習値)／単調補間</t>
        </is>
      </c>
      <c r="C551" s="10" t="inlineStr">
        <is>
          <t>2021-10</t>
        </is>
      </c>
      <c r="D551" s="10" t="n">
        <v>16</v>
      </c>
      <c r="E551" s="12" t="n">
        <v>14210.2</v>
      </c>
      <c r="F551" s="12" t="n">
        <v>16636.5</v>
      </c>
      <c r="G551" s="12" t="n">
        <v>-2426.3</v>
      </c>
      <c r="H551" s="13" t="n">
        <v>0.4768</v>
      </c>
      <c r="I551" s="13" t="n">
        <v>0.4881</v>
      </c>
    </row>
    <row r="552">
      <c r="A552" s="10" t="inlineStr">
        <is>
          <t>PJ-2020-C</t>
        </is>
      </c>
      <c r="B552" s="10" t="inlineStr">
        <is>
          <t>位置合わせ(MS学習値)／単調補間</t>
        </is>
      </c>
      <c r="C552" s="10" t="inlineStr">
        <is>
          <t>2021-11</t>
        </is>
      </c>
      <c r="D552" s="10" t="n">
        <v>17</v>
      </c>
      <c r="E552" s="12" t="n">
        <v>13683.7</v>
      </c>
      <c r="F552" s="12" t="n">
        <v>14453.3</v>
      </c>
      <c r="G552" s="12" t="n">
        <v>-769.6</v>
      </c>
      <c r="H552" s="13" t="n">
        <v>0.5241</v>
      </c>
      <c r="I552" s="13" t="n">
        <v>0.5381</v>
      </c>
    </row>
    <row r="553">
      <c r="A553" s="10" t="inlineStr">
        <is>
          <t>PJ-2020-C</t>
        </is>
      </c>
      <c r="B553" s="10" t="inlineStr">
        <is>
          <t>位置合わせ(MS学習値)／単調補間</t>
        </is>
      </c>
      <c r="C553" s="10" t="inlineStr">
        <is>
          <t>2021-12</t>
        </is>
      </c>
      <c r="D553" s="10" t="n">
        <v>18</v>
      </c>
      <c r="E553" s="12" t="n">
        <v>13849.5</v>
      </c>
      <c r="F553" s="12" t="n">
        <v>13884.1</v>
      </c>
      <c r="G553" s="12" t="n">
        <v>-34.6</v>
      </c>
      <c r="H553" s="13" t="n">
        <v>0.572</v>
      </c>
      <c r="I553" s="13" t="n">
        <v>0.5861</v>
      </c>
    </row>
    <row r="554">
      <c r="A554" s="10" t="inlineStr">
        <is>
          <t>PJ-2020-C</t>
        </is>
      </c>
      <c r="B554" s="10" t="inlineStr">
        <is>
          <t>位置合わせ(MS学習値)／単調補間</t>
        </is>
      </c>
      <c r="C554" s="10" t="inlineStr">
        <is>
          <t>2022-01</t>
        </is>
      </c>
      <c r="D554" s="10" t="n">
        <v>19</v>
      </c>
      <c r="E554" s="12" t="n">
        <v>14139.1</v>
      </c>
      <c r="F554" s="12" t="n">
        <v>15419</v>
      </c>
      <c r="G554" s="12" t="n">
        <v>-1279.9</v>
      </c>
      <c r="H554" s="13" t="n">
        <v>0.6209</v>
      </c>
      <c r="I554" s="13" t="n">
        <v>0.6395</v>
      </c>
    </row>
    <row r="555">
      <c r="A555" s="10" t="inlineStr">
        <is>
          <t>PJ-2020-C</t>
        </is>
      </c>
      <c r="B555" s="10" t="inlineStr">
        <is>
          <t>位置合わせ(MS学習値)／単調補間</t>
        </is>
      </c>
      <c r="C555" s="10" t="inlineStr">
        <is>
          <t>2022-02</t>
        </is>
      </c>
      <c r="D555" s="10" t="n">
        <v>20</v>
      </c>
      <c r="E555" s="12" t="n">
        <v>12901.4</v>
      </c>
      <c r="F555" s="12" t="n">
        <v>8277.799999999999</v>
      </c>
      <c r="G555" s="12" t="n">
        <v>4623.6</v>
      </c>
      <c r="H555" s="13" t="n">
        <v>0.6656</v>
      </c>
      <c r="I555" s="13" t="n">
        <v>0.6681</v>
      </c>
    </row>
    <row r="556">
      <c r="A556" s="10" t="inlineStr">
        <is>
          <t>PJ-2020-C</t>
        </is>
      </c>
      <c r="B556" s="10" t="inlineStr">
        <is>
          <t>位置合わせ(MS学習値)／単調補間</t>
        </is>
      </c>
      <c r="C556" s="10" t="inlineStr">
        <is>
          <t>2022-03</t>
        </is>
      </c>
      <c r="D556" s="10" t="n">
        <v>21</v>
      </c>
      <c r="E556" s="12" t="n">
        <v>14428.4</v>
      </c>
      <c r="F556" s="12" t="n">
        <v>6160.3</v>
      </c>
      <c r="G556" s="12" t="n">
        <v>8268.1</v>
      </c>
      <c r="H556" s="13" t="n">
        <v>0.7155</v>
      </c>
      <c r="I556" s="13" t="n">
        <v>0.6894</v>
      </c>
    </row>
    <row r="557">
      <c r="A557" s="10" t="inlineStr">
        <is>
          <t>PJ-2020-C</t>
        </is>
      </c>
      <c r="B557" s="10" t="inlineStr">
        <is>
          <t>位置合わせ(MS学習値)／単調補間</t>
        </is>
      </c>
      <c r="C557" s="10" t="inlineStr">
        <is>
          <t>2022-04</t>
        </is>
      </c>
      <c r="D557" s="10" t="n">
        <v>22</v>
      </c>
      <c r="E557" s="12" t="n">
        <v>14276.7</v>
      </c>
      <c r="F557" s="12" t="n">
        <v>7057.5</v>
      </c>
      <c r="G557" s="12" t="n">
        <v>7219.2</v>
      </c>
      <c r="H557" s="13" t="n">
        <v>0.7649</v>
      </c>
      <c r="I557" s="13" t="n">
        <v>0.7138</v>
      </c>
    </row>
    <row r="558">
      <c r="A558" s="10" t="inlineStr">
        <is>
          <t>PJ-2020-C</t>
        </is>
      </c>
      <c r="B558" s="10" t="inlineStr">
        <is>
          <t>位置合わせ(MS学習値)／単調補間</t>
        </is>
      </c>
      <c r="C558" s="10" t="inlineStr">
        <is>
          <t>2022-05</t>
        </is>
      </c>
      <c r="D558" s="10" t="n">
        <v>23</v>
      </c>
      <c r="E558" s="12" t="n">
        <v>14764.3</v>
      </c>
      <c r="F558" s="12" t="n">
        <v>8005.3</v>
      </c>
      <c r="G558" s="12" t="n">
        <v>6759</v>
      </c>
      <c r="H558" s="13" t="n">
        <v>0.8159999999999999</v>
      </c>
      <c r="I558" s="13" t="n">
        <v>0.7415</v>
      </c>
    </row>
    <row r="559">
      <c r="A559" s="10" t="inlineStr">
        <is>
          <t>PJ-2020-C</t>
        </is>
      </c>
      <c r="B559" s="10" t="inlineStr">
        <is>
          <t>位置合わせ(MS学習値)／単調補間</t>
        </is>
      </c>
      <c r="C559" s="10" t="inlineStr">
        <is>
          <t>2022-06</t>
        </is>
      </c>
      <c r="D559" s="10" t="n">
        <v>24</v>
      </c>
      <c r="E559" s="12" t="n">
        <v>12451.4</v>
      </c>
      <c r="F559" s="12" t="n">
        <v>9533.200000000001</v>
      </c>
      <c r="G559" s="12" t="n">
        <v>2918.2</v>
      </c>
      <c r="H559" s="13" t="n">
        <v>0.859</v>
      </c>
      <c r="I559" s="13" t="n">
        <v>0.7745</v>
      </c>
    </row>
    <row r="560">
      <c r="A560" s="10" t="inlineStr">
        <is>
          <t>PJ-2020-C</t>
        </is>
      </c>
      <c r="B560" s="10" t="inlineStr">
        <is>
          <t>位置合わせ(MS学習値)／単調補間</t>
        </is>
      </c>
      <c r="C560" s="10" t="inlineStr">
        <is>
          <t>2022-07</t>
        </is>
      </c>
      <c r="D560" s="10" t="n">
        <v>25</v>
      </c>
      <c r="E560" s="12" t="n">
        <v>11609.3</v>
      </c>
      <c r="F560" s="12" t="n">
        <v>10920.6</v>
      </c>
      <c r="G560" s="12" t="n">
        <v>688.7</v>
      </c>
      <c r="H560" s="13" t="n">
        <v>0.8992</v>
      </c>
      <c r="I560" s="13" t="n">
        <v>0.8123</v>
      </c>
    </row>
    <row r="561">
      <c r="A561" s="10" t="inlineStr">
        <is>
          <t>PJ-2020-C</t>
        </is>
      </c>
      <c r="B561" s="10" t="inlineStr">
        <is>
          <t>位置合わせ(MS学習値)／単調補間</t>
        </is>
      </c>
      <c r="C561" s="10" t="inlineStr">
        <is>
          <t>2022-08</t>
        </is>
      </c>
      <c r="D561" s="10" t="n">
        <v>26</v>
      </c>
      <c r="E561" s="12" t="n">
        <v>9200.200000000001</v>
      </c>
      <c r="F561" s="12" t="n">
        <v>11191.5</v>
      </c>
      <c r="G561" s="12" t="n">
        <v>-1991.3</v>
      </c>
      <c r="H561" s="13" t="n">
        <v>0.931</v>
      </c>
      <c r="I561" s="13" t="n">
        <v>0.851</v>
      </c>
    </row>
    <row r="562">
      <c r="A562" s="10" t="inlineStr">
        <is>
          <t>PJ-2020-C</t>
        </is>
      </c>
      <c r="B562" s="10" t="inlineStr">
        <is>
          <t>位置合わせ(MS学習値)／単調補間</t>
        </is>
      </c>
      <c r="C562" s="10" t="inlineStr">
        <is>
          <t>2022-09</t>
        </is>
      </c>
      <c r="D562" s="10" t="n">
        <v>27</v>
      </c>
      <c r="E562" s="12" t="n">
        <v>7275.9</v>
      </c>
      <c r="F562" s="12" t="n">
        <v>10812.6</v>
      </c>
      <c r="G562" s="12" t="n">
        <v>-3536.7</v>
      </c>
      <c r="H562" s="13" t="n">
        <v>0.9562</v>
      </c>
      <c r="I562" s="13" t="n">
        <v>0.8884</v>
      </c>
    </row>
    <row r="563">
      <c r="A563" s="10" t="inlineStr">
        <is>
          <t>PJ-2020-C</t>
        </is>
      </c>
      <c r="B563" s="10" t="inlineStr">
        <is>
          <t>位置合わせ(MS学習値)／単調補間</t>
        </is>
      </c>
      <c r="C563" s="10" t="inlineStr">
        <is>
          <t>2022-10</t>
        </is>
      </c>
      <c r="D563" s="10" t="n">
        <v>28</v>
      </c>
      <c r="E563" s="12" t="n">
        <v>6359.2</v>
      </c>
      <c r="F563" s="12" t="n">
        <v>11977</v>
      </c>
      <c r="G563" s="12" t="n">
        <v>-5617.8</v>
      </c>
      <c r="H563" s="13" t="n">
        <v>0.9782</v>
      </c>
      <c r="I563" s="13" t="n">
        <v>0.9298</v>
      </c>
    </row>
    <row r="564">
      <c r="A564" s="10" t="inlineStr">
        <is>
          <t>PJ-2020-C</t>
        </is>
      </c>
      <c r="B564" s="10" t="inlineStr">
        <is>
          <t>位置合わせ(MS学習値)／単調補間</t>
        </is>
      </c>
      <c r="C564" s="10" t="inlineStr">
        <is>
          <t>2022-11</t>
        </is>
      </c>
      <c r="D564" s="10" t="n">
        <v>29</v>
      </c>
      <c r="E564" s="12" t="n">
        <v>4255</v>
      </c>
      <c r="F564" s="12" t="n">
        <v>12035.5</v>
      </c>
      <c r="G564" s="12" t="n">
        <v>-7780.5</v>
      </c>
      <c r="H564" s="13" t="n">
        <v>0.9929</v>
      </c>
      <c r="I564" s="13" t="n">
        <v>0.9715</v>
      </c>
    </row>
    <row r="565">
      <c r="A565" s="10" t="inlineStr">
        <is>
          <t>PJ-2020-C</t>
        </is>
      </c>
      <c r="B565" s="10" t="inlineStr">
        <is>
          <t>位置合わせ(MS学習値)／単調補間</t>
        </is>
      </c>
      <c r="C565" s="10" t="inlineStr">
        <is>
          <t>2022-12</t>
        </is>
      </c>
      <c r="D565" s="10" t="n">
        <v>30</v>
      </c>
      <c r="E565" s="12" t="n">
        <v>2046.2</v>
      </c>
      <c r="F565" s="12" t="n">
        <v>8242.299999999999</v>
      </c>
      <c r="G565" s="12" t="n">
        <v>-6196.1</v>
      </c>
      <c r="H565" s="13" t="n">
        <v>1</v>
      </c>
      <c r="I565" s="13" t="n">
        <v>1</v>
      </c>
    </row>
    <row r="566">
      <c r="A566" s="10" t="inlineStr">
        <is>
          <t>PJ-2020-C</t>
        </is>
      </c>
      <c r="B566" s="10" t="inlineStr">
        <is>
          <t>位置合わせ(MS指定)／単調補間</t>
        </is>
      </c>
      <c r="C566" s="10" t="inlineStr">
        <is>
          <t>2020-07</t>
        </is>
      </c>
      <c r="D566" s="10" t="n">
        <v>1</v>
      </c>
      <c r="E566" s="12" t="n">
        <v>3120.3</v>
      </c>
      <c r="F566" s="12" t="n">
        <v>9891.799999999999</v>
      </c>
      <c r="G566" s="12" t="n">
        <v>-6771.5</v>
      </c>
      <c r="H566" s="13" t="n">
        <v>0.0108</v>
      </c>
      <c r="I566" s="13" t="n">
        <v>0.0342</v>
      </c>
    </row>
    <row r="567">
      <c r="A567" s="10" t="inlineStr">
        <is>
          <t>PJ-2020-C</t>
        </is>
      </c>
      <c r="B567" s="10" t="inlineStr">
        <is>
          <t>位置合わせ(MS指定)／単調補間</t>
        </is>
      </c>
      <c r="C567" s="10" t="inlineStr">
        <is>
          <t>2020-08</t>
        </is>
      </c>
      <c r="D567" s="10" t="n">
        <v>2</v>
      </c>
      <c r="E567" s="12" t="n">
        <v>3842.8</v>
      </c>
      <c r="F567" s="12" t="n">
        <v>11800.4</v>
      </c>
      <c r="G567" s="12" t="n">
        <v>-7957.6</v>
      </c>
      <c r="H567" s="13" t="n">
        <v>0.0241</v>
      </c>
      <c r="I567" s="13" t="n">
        <v>0.075</v>
      </c>
    </row>
    <row r="568">
      <c r="A568" s="10" t="inlineStr">
        <is>
          <t>PJ-2020-C</t>
        </is>
      </c>
      <c r="B568" s="10" t="inlineStr">
        <is>
          <t>位置合わせ(MS指定)／単調補間</t>
        </is>
      </c>
      <c r="C568" s="10" t="inlineStr">
        <is>
          <t>2020-09</t>
        </is>
      </c>
      <c r="D568" s="10" t="n">
        <v>3</v>
      </c>
      <c r="E568" s="12" t="n">
        <v>4676.3</v>
      </c>
      <c r="F568" s="12" t="n">
        <v>9726.200000000001</v>
      </c>
      <c r="G568" s="12" t="n">
        <v>-5049.9</v>
      </c>
      <c r="H568" s="13" t="n">
        <v>0.0403</v>
      </c>
      <c r="I568" s="13" t="n">
        <v>0.1087</v>
      </c>
    </row>
    <row r="569">
      <c r="A569" s="10" t="inlineStr">
        <is>
          <t>PJ-2020-C</t>
        </is>
      </c>
      <c r="B569" s="10" t="inlineStr">
        <is>
          <t>位置合わせ(MS指定)／単調補間</t>
        </is>
      </c>
      <c r="C569" s="10" t="inlineStr">
        <is>
          <t>2020-10</t>
        </is>
      </c>
      <c r="D569" s="10" t="n">
        <v>4</v>
      </c>
      <c r="E569" s="12" t="n">
        <v>5464.2</v>
      </c>
      <c r="F569" s="12" t="n">
        <v>8645.4</v>
      </c>
      <c r="G569" s="12" t="n">
        <v>-3181.2</v>
      </c>
      <c r="H569" s="13" t="n">
        <v>0.0592</v>
      </c>
      <c r="I569" s="13" t="n">
        <v>0.1386</v>
      </c>
    </row>
    <row r="570">
      <c r="A570" s="10" t="inlineStr">
        <is>
          <t>PJ-2020-C</t>
        </is>
      </c>
      <c r="B570" s="10" t="inlineStr">
        <is>
          <t>位置合わせ(MS指定)／単調補間</t>
        </is>
      </c>
      <c r="C570" s="10" t="inlineStr">
        <is>
          <t>2020-11</t>
        </is>
      </c>
      <c r="D570" s="10" t="n">
        <v>5</v>
      </c>
      <c r="E570" s="12" t="n">
        <v>5970.9</v>
      </c>
      <c r="F570" s="12" t="n">
        <v>7717.1</v>
      </c>
      <c r="G570" s="12" t="n">
        <v>-1746.2</v>
      </c>
      <c r="H570" s="13" t="n">
        <v>0.0798</v>
      </c>
      <c r="I570" s="13" t="n">
        <v>0.1653</v>
      </c>
    </row>
    <row r="571">
      <c r="A571" s="10" t="inlineStr">
        <is>
          <t>PJ-2020-C</t>
        </is>
      </c>
      <c r="B571" s="10" t="inlineStr">
        <is>
          <t>位置合わせ(MS指定)／単調補間</t>
        </is>
      </c>
      <c r="C571" s="10" t="inlineStr">
        <is>
          <t>2020-12</t>
        </is>
      </c>
      <c r="D571" s="10" t="n">
        <v>6</v>
      </c>
      <c r="E571" s="12" t="n">
        <v>6339.7</v>
      </c>
      <c r="F571" s="12" t="n">
        <v>7821.7</v>
      </c>
      <c r="G571" s="12" t="n">
        <v>-1482</v>
      </c>
      <c r="H571" s="13" t="n">
        <v>0.1018</v>
      </c>
      <c r="I571" s="13" t="n">
        <v>0.1924</v>
      </c>
    </row>
    <row r="572">
      <c r="A572" s="10" t="inlineStr">
        <is>
          <t>PJ-2020-C</t>
        </is>
      </c>
      <c r="B572" s="10" t="inlineStr">
        <is>
          <t>位置合わせ(MS指定)／単調補間</t>
        </is>
      </c>
      <c r="C572" s="10" t="inlineStr">
        <is>
          <t>2021-01</t>
        </is>
      </c>
      <c r="D572" s="10" t="n">
        <v>7</v>
      </c>
      <c r="E572" s="12" t="n">
        <v>6827.5</v>
      </c>
      <c r="F572" s="12" t="n">
        <v>7531.5</v>
      </c>
      <c r="G572" s="12" t="n">
        <v>-704</v>
      </c>
      <c r="H572" s="13" t="n">
        <v>0.1254</v>
      </c>
      <c r="I572" s="13" t="n">
        <v>0.2184</v>
      </c>
    </row>
    <row r="573">
      <c r="A573" s="10" t="inlineStr">
        <is>
          <t>PJ-2020-C</t>
        </is>
      </c>
      <c r="B573" s="10" t="inlineStr">
        <is>
          <t>位置合わせ(MS指定)／単調補間</t>
        </is>
      </c>
      <c r="C573" s="10" t="inlineStr">
        <is>
          <t>2021-02</t>
        </is>
      </c>
      <c r="D573" s="10" t="n">
        <v>8</v>
      </c>
      <c r="E573" s="12" t="n">
        <v>6856.3</v>
      </c>
      <c r="F573" s="12" t="n">
        <v>6551.1</v>
      </c>
      <c r="G573" s="12" t="n">
        <v>305.2</v>
      </c>
      <c r="H573" s="13" t="n">
        <v>0.1491</v>
      </c>
      <c r="I573" s="13" t="n">
        <v>0.2411</v>
      </c>
    </row>
    <row r="574">
      <c r="A574" s="10" t="inlineStr">
        <is>
          <t>PJ-2020-C</t>
        </is>
      </c>
      <c r="B574" s="10" t="inlineStr">
        <is>
          <t>位置合わせ(MS指定)／単調補間</t>
        </is>
      </c>
      <c r="C574" s="10" t="inlineStr">
        <is>
          <t>2021-03</t>
        </is>
      </c>
      <c r="D574" s="10" t="n">
        <v>9</v>
      </c>
      <c r="E574" s="12" t="n">
        <v>8236.799999999999</v>
      </c>
      <c r="F574" s="12" t="n">
        <v>7387.7</v>
      </c>
      <c r="G574" s="12" t="n">
        <v>849.1</v>
      </c>
      <c r="H574" s="13" t="n">
        <v>0.1776</v>
      </c>
      <c r="I574" s="13" t="n">
        <v>0.2666</v>
      </c>
    </row>
    <row r="575">
      <c r="A575" s="10" t="inlineStr">
        <is>
          <t>PJ-2020-C</t>
        </is>
      </c>
      <c r="B575" s="10" t="inlineStr">
        <is>
          <t>位置合わせ(MS指定)／単調補間</t>
        </is>
      </c>
      <c r="C575" s="10" t="inlineStr">
        <is>
          <t>2021-04</t>
        </is>
      </c>
      <c r="D575" s="10" t="n">
        <v>10</v>
      </c>
      <c r="E575" s="12" t="n">
        <v>9114.799999999999</v>
      </c>
      <c r="F575" s="12" t="n">
        <v>6822.6</v>
      </c>
      <c r="G575" s="12" t="n">
        <v>2292.2</v>
      </c>
      <c r="H575" s="13" t="n">
        <v>0.2091</v>
      </c>
      <c r="I575" s="13" t="n">
        <v>0.2903</v>
      </c>
    </row>
    <row r="576">
      <c r="A576" s="10" t="inlineStr">
        <is>
          <t>PJ-2020-C</t>
        </is>
      </c>
      <c r="B576" s="10" t="inlineStr">
        <is>
          <t>位置合わせ(MS指定)／単調補間</t>
        </is>
      </c>
      <c r="C576" s="10" t="inlineStr">
        <is>
          <t>2021-05</t>
        </is>
      </c>
      <c r="D576" s="10" t="n">
        <v>11</v>
      </c>
      <c r="E576" s="12" t="n">
        <v>10866</v>
      </c>
      <c r="F576" s="12" t="n">
        <v>6920.5</v>
      </c>
      <c r="G576" s="12" t="n">
        <v>3945.5</v>
      </c>
      <c r="H576" s="13" t="n">
        <v>0.2467</v>
      </c>
      <c r="I576" s="13" t="n">
        <v>0.3142</v>
      </c>
    </row>
    <row r="577">
      <c r="A577" s="10" t="inlineStr">
        <is>
          <t>PJ-2020-C</t>
        </is>
      </c>
      <c r="B577" s="10" t="inlineStr">
        <is>
          <t>位置合わせ(MS指定)／単調補間</t>
        </is>
      </c>
      <c r="C577" s="10" t="inlineStr">
        <is>
          <t>2021-06</t>
        </is>
      </c>
      <c r="D577" s="10" t="n">
        <v>12</v>
      </c>
      <c r="E577" s="12" t="n">
        <v>11046.5</v>
      </c>
      <c r="F577" s="12" t="n">
        <v>7298.5</v>
      </c>
      <c r="G577" s="12" t="n">
        <v>3748</v>
      </c>
      <c r="H577" s="13" t="n">
        <v>0.2849</v>
      </c>
      <c r="I577" s="13" t="n">
        <v>0.3394</v>
      </c>
    </row>
    <row r="578">
      <c r="A578" s="10" t="inlineStr">
        <is>
          <t>PJ-2020-C</t>
        </is>
      </c>
      <c r="B578" s="10" t="inlineStr">
        <is>
          <t>位置合わせ(MS指定)／単調補間</t>
        </is>
      </c>
      <c r="C578" s="10" t="inlineStr">
        <is>
          <t>2021-07</t>
        </is>
      </c>
      <c r="D578" s="10" t="n">
        <v>13</v>
      </c>
      <c r="E578" s="12" t="n">
        <v>12261.8</v>
      </c>
      <c r="F578" s="12" t="n">
        <v>8554.799999999999</v>
      </c>
      <c r="G578" s="12" t="n">
        <v>3707</v>
      </c>
      <c r="H578" s="13" t="n">
        <v>0.3274</v>
      </c>
      <c r="I578" s="13" t="n">
        <v>0.369</v>
      </c>
    </row>
    <row r="579">
      <c r="A579" s="10" t="inlineStr">
        <is>
          <t>PJ-2020-C</t>
        </is>
      </c>
      <c r="B579" s="10" t="inlineStr">
        <is>
          <t>位置合わせ(MS指定)／単調補間</t>
        </is>
      </c>
      <c r="C579" s="10" t="inlineStr">
        <is>
          <t>2021-08</t>
        </is>
      </c>
      <c r="D579" s="10" t="n">
        <v>14</v>
      </c>
      <c r="E579" s="12" t="n">
        <v>13106.5</v>
      </c>
      <c r="F579" s="12" t="n">
        <v>8486.799999999999</v>
      </c>
      <c r="G579" s="12" t="n">
        <v>4619.7</v>
      </c>
      <c r="H579" s="13" t="n">
        <v>0.3727</v>
      </c>
      <c r="I579" s="13" t="n">
        <v>0.3984</v>
      </c>
    </row>
    <row r="580">
      <c r="A580" s="10" t="inlineStr">
        <is>
          <t>PJ-2020-C</t>
        </is>
      </c>
      <c r="B580" s="10" t="inlineStr">
        <is>
          <t>位置合わせ(MS指定)／単調補間</t>
        </is>
      </c>
      <c r="C580" s="10" t="inlineStr">
        <is>
          <t>2021-09</t>
        </is>
      </c>
      <c r="D580" s="10" t="n">
        <v>15</v>
      </c>
      <c r="E580" s="12" t="n">
        <v>14250.6</v>
      </c>
      <c r="F580" s="12" t="n">
        <v>9279.9</v>
      </c>
      <c r="G580" s="12" t="n">
        <v>4970.7</v>
      </c>
      <c r="H580" s="13" t="n">
        <v>0.422</v>
      </c>
      <c r="I580" s="13" t="n">
        <v>0.4305</v>
      </c>
    </row>
    <row r="581">
      <c r="A581" s="10" t="inlineStr">
        <is>
          <t>PJ-2020-C</t>
        </is>
      </c>
      <c r="B581" s="10" t="inlineStr">
        <is>
          <t>位置合わせ(MS指定)／単調補間</t>
        </is>
      </c>
      <c r="C581" s="10" t="inlineStr">
        <is>
          <t>2021-10</t>
        </is>
      </c>
      <c r="D581" s="10" t="n">
        <v>16</v>
      </c>
      <c r="E581" s="12" t="n">
        <v>24817.4</v>
      </c>
      <c r="F581" s="12" t="n">
        <v>16636.5</v>
      </c>
      <c r="G581" s="12" t="n">
        <v>8180.9</v>
      </c>
      <c r="H581" s="13" t="n">
        <v>0.5079</v>
      </c>
      <c r="I581" s="13" t="n">
        <v>0.4881</v>
      </c>
    </row>
    <row r="582">
      <c r="A582" s="10" t="inlineStr">
        <is>
          <t>PJ-2020-C</t>
        </is>
      </c>
      <c r="B582" s="10" t="inlineStr">
        <is>
          <t>位置合わせ(MS指定)／単調補間</t>
        </is>
      </c>
      <c r="C582" s="10" t="inlineStr">
        <is>
          <t>2021-11</t>
        </is>
      </c>
      <c r="D582" s="10" t="n">
        <v>17</v>
      </c>
      <c r="E582" s="12" t="n">
        <v>23498.4</v>
      </c>
      <c r="F582" s="12" t="n">
        <v>14453.3</v>
      </c>
      <c r="G582" s="12" t="n">
        <v>9045.1</v>
      </c>
      <c r="H582" s="13" t="n">
        <v>0.5891999999999999</v>
      </c>
      <c r="I582" s="13" t="n">
        <v>0.5381</v>
      </c>
    </row>
    <row r="583">
      <c r="A583" s="10" t="inlineStr">
        <is>
          <t>PJ-2020-C</t>
        </is>
      </c>
      <c r="B583" s="10" t="inlineStr">
        <is>
          <t>位置合わせ(MS指定)／単調補間</t>
        </is>
      </c>
      <c r="C583" s="10" t="inlineStr">
        <is>
          <t>2021-12</t>
        </is>
      </c>
      <c r="D583" s="10" t="n">
        <v>18</v>
      </c>
      <c r="E583" s="12" t="n">
        <v>24814.1</v>
      </c>
      <c r="F583" s="12" t="n">
        <v>13884.1</v>
      </c>
      <c r="G583" s="12" t="n">
        <v>10930</v>
      </c>
      <c r="H583" s="13" t="n">
        <v>0.675</v>
      </c>
      <c r="I583" s="13" t="n">
        <v>0.5861</v>
      </c>
    </row>
    <row r="584">
      <c r="A584" s="10" t="inlineStr">
        <is>
          <t>PJ-2020-C</t>
        </is>
      </c>
      <c r="B584" s="10" t="inlineStr">
        <is>
          <t>位置合わせ(MS指定)／単調補間</t>
        </is>
      </c>
      <c r="C584" s="10" t="inlineStr">
        <is>
          <t>2022-01</t>
        </is>
      </c>
      <c r="D584" s="10" t="n">
        <v>19</v>
      </c>
      <c r="E584" s="12" t="n">
        <v>25523.5</v>
      </c>
      <c r="F584" s="12" t="n">
        <v>15419</v>
      </c>
      <c r="G584" s="12" t="n">
        <v>10104.5</v>
      </c>
      <c r="H584" s="13" t="n">
        <v>0.7633</v>
      </c>
      <c r="I584" s="13" t="n">
        <v>0.6395</v>
      </c>
    </row>
    <row r="585">
      <c r="A585" s="10" t="inlineStr">
        <is>
          <t>PJ-2020-C</t>
        </is>
      </c>
      <c r="B585" s="10" t="inlineStr">
        <is>
          <t>位置合わせ(MS指定)／単調補間</t>
        </is>
      </c>
      <c r="C585" s="10" t="inlineStr">
        <is>
          <t>2022-02</t>
        </is>
      </c>
      <c r="D585" s="10" t="n">
        <v>20</v>
      </c>
      <c r="E585" s="12" t="n">
        <v>13623.4</v>
      </c>
      <c r="F585" s="12" t="n">
        <v>8277.799999999999</v>
      </c>
      <c r="G585" s="12" t="n">
        <v>5345.6</v>
      </c>
      <c r="H585" s="13" t="n">
        <v>0.8105</v>
      </c>
      <c r="I585" s="13" t="n">
        <v>0.6681</v>
      </c>
    </row>
    <row r="586">
      <c r="A586" s="10" t="inlineStr">
        <is>
          <t>PJ-2020-C</t>
        </is>
      </c>
      <c r="B586" s="10" t="inlineStr">
        <is>
          <t>位置合わせ(MS指定)／単調補間</t>
        </is>
      </c>
      <c r="C586" s="10" t="inlineStr">
        <is>
          <t>2022-03</t>
        </is>
      </c>
      <c r="D586" s="10" t="n">
        <v>21</v>
      </c>
      <c r="E586" s="12" t="n">
        <v>8676.700000000001</v>
      </c>
      <c r="F586" s="12" t="n">
        <v>6160.3</v>
      </c>
      <c r="G586" s="12" t="n">
        <v>2516.4</v>
      </c>
      <c r="H586" s="13" t="n">
        <v>0.8405</v>
      </c>
      <c r="I586" s="13" t="n">
        <v>0.6894</v>
      </c>
    </row>
    <row r="587">
      <c r="A587" s="10" t="inlineStr">
        <is>
          <t>PJ-2020-C</t>
        </is>
      </c>
      <c r="B587" s="10" t="inlineStr">
        <is>
          <t>位置合わせ(MS指定)／単調補間</t>
        </is>
      </c>
      <c r="C587" s="10" t="inlineStr">
        <is>
          <t>2022-04</t>
        </is>
      </c>
      <c r="D587" s="10" t="n">
        <v>22</v>
      </c>
      <c r="E587" s="12" t="n">
        <v>8068.9</v>
      </c>
      <c r="F587" s="12" t="n">
        <v>7057.5</v>
      </c>
      <c r="G587" s="12" t="n">
        <v>1011.4</v>
      </c>
      <c r="H587" s="13" t="n">
        <v>0.8683999999999999</v>
      </c>
      <c r="I587" s="13" t="n">
        <v>0.7138</v>
      </c>
    </row>
    <row r="588">
      <c r="A588" s="10" t="inlineStr">
        <is>
          <t>PJ-2020-C</t>
        </is>
      </c>
      <c r="B588" s="10" t="inlineStr">
        <is>
          <t>位置合わせ(MS指定)／単調補間</t>
        </is>
      </c>
      <c r="C588" s="10" t="inlineStr">
        <is>
          <t>2022-05</t>
        </is>
      </c>
      <c r="D588" s="10" t="n">
        <v>23</v>
      </c>
      <c r="E588" s="12" t="n">
        <v>7670</v>
      </c>
      <c r="F588" s="12" t="n">
        <v>8005.3</v>
      </c>
      <c r="G588" s="12" t="n">
        <v>-335.3</v>
      </c>
      <c r="H588" s="13" t="n">
        <v>0.8949</v>
      </c>
      <c r="I588" s="13" t="n">
        <v>0.7415</v>
      </c>
    </row>
    <row r="589">
      <c r="A589" s="10" t="inlineStr">
        <is>
          <t>PJ-2020-C</t>
        </is>
      </c>
      <c r="B589" s="10" t="inlineStr">
        <is>
          <t>位置合わせ(MS指定)／単調補間</t>
        </is>
      </c>
      <c r="C589" s="10" t="inlineStr">
        <is>
          <t>2022-06</t>
        </is>
      </c>
      <c r="D589" s="10" t="n">
        <v>24</v>
      </c>
      <c r="E589" s="12" t="n">
        <v>6309.2</v>
      </c>
      <c r="F589" s="12" t="n">
        <v>9533.200000000001</v>
      </c>
      <c r="G589" s="12" t="n">
        <v>-3224</v>
      </c>
      <c r="H589" s="13" t="n">
        <v>0.9167999999999999</v>
      </c>
      <c r="I589" s="13" t="n">
        <v>0.7745</v>
      </c>
    </row>
    <row r="590">
      <c r="A590" s="10" t="inlineStr">
        <is>
          <t>PJ-2020-C</t>
        </is>
      </c>
      <c r="B590" s="10" t="inlineStr">
        <is>
          <t>位置合わせ(MS指定)／単調補間</t>
        </is>
      </c>
      <c r="C590" s="10" t="inlineStr">
        <is>
          <t>2022-07</t>
        </is>
      </c>
      <c r="D590" s="10" t="n">
        <v>25</v>
      </c>
      <c r="E590" s="12" t="n">
        <v>5525.5</v>
      </c>
      <c r="F590" s="12" t="n">
        <v>10920.6</v>
      </c>
      <c r="G590" s="12" t="n">
        <v>-5395.1</v>
      </c>
      <c r="H590" s="13" t="n">
        <v>0.9359</v>
      </c>
      <c r="I590" s="13" t="n">
        <v>0.8123</v>
      </c>
    </row>
    <row r="591">
      <c r="A591" s="10" t="inlineStr">
        <is>
          <t>PJ-2020-C</t>
        </is>
      </c>
      <c r="B591" s="10" t="inlineStr">
        <is>
          <t>位置合わせ(MS指定)／単調補間</t>
        </is>
      </c>
      <c r="C591" s="10" t="inlineStr">
        <is>
          <t>2022-08</t>
        </is>
      </c>
      <c r="D591" s="10" t="n">
        <v>26</v>
      </c>
      <c r="E591" s="12" t="n">
        <v>4974.3</v>
      </c>
      <c r="F591" s="12" t="n">
        <v>11191.5</v>
      </c>
      <c r="G591" s="12" t="n">
        <v>-6217.2</v>
      </c>
      <c r="H591" s="13" t="n">
        <v>0.9530999999999999</v>
      </c>
      <c r="I591" s="13" t="n">
        <v>0.851</v>
      </c>
    </row>
    <row r="592">
      <c r="A592" s="10" t="inlineStr">
        <is>
          <t>PJ-2020-C</t>
        </is>
      </c>
      <c r="B592" s="10" t="inlineStr">
        <is>
          <t>位置合わせ(MS指定)／単調補間</t>
        </is>
      </c>
      <c r="C592" s="10" t="inlineStr">
        <is>
          <t>2022-09</t>
        </is>
      </c>
      <c r="D592" s="10" t="n">
        <v>27</v>
      </c>
      <c r="E592" s="12" t="n">
        <v>4364.6</v>
      </c>
      <c r="F592" s="12" t="n">
        <v>10812.6</v>
      </c>
      <c r="G592" s="12" t="n">
        <v>-6448</v>
      </c>
      <c r="H592" s="13" t="n">
        <v>0.9681999999999999</v>
      </c>
      <c r="I592" s="13" t="n">
        <v>0.8884</v>
      </c>
    </row>
    <row r="593">
      <c r="A593" s="10" t="inlineStr">
        <is>
          <t>PJ-2020-C</t>
        </is>
      </c>
      <c r="B593" s="10" t="inlineStr">
        <is>
          <t>位置合わせ(MS指定)／単調補間</t>
        </is>
      </c>
      <c r="C593" s="10" t="inlineStr">
        <is>
          <t>2022-10</t>
        </is>
      </c>
      <c r="D593" s="10" t="n">
        <v>28</v>
      </c>
      <c r="E593" s="12" t="n">
        <v>4556.9</v>
      </c>
      <c r="F593" s="12" t="n">
        <v>11977</v>
      </c>
      <c r="G593" s="12" t="n">
        <v>-7420.1</v>
      </c>
      <c r="H593" s="13" t="n">
        <v>0.984</v>
      </c>
      <c r="I593" s="13" t="n">
        <v>0.9298</v>
      </c>
    </row>
    <row r="594">
      <c r="A594" s="10" t="inlineStr">
        <is>
          <t>PJ-2020-C</t>
        </is>
      </c>
      <c r="B594" s="10" t="inlineStr">
        <is>
          <t>位置合わせ(MS指定)／単調補間</t>
        </is>
      </c>
      <c r="C594" s="10" t="inlineStr">
        <is>
          <t>2022-11</t>
        </is>
      </c>
      <c r="D594" s="10" t="n">
        <v>29</v>
      </c>
      <c r="E594" s="12" t="n">
        <v>3038.7</v>
      </c>
      <c r="F594" s="12" t="n">
        <v>12035.5</v>
      </c>
      <c r="G594" s="12" t="n">
        <v>-8996.799999999999</v>
      </c>
      <c r="H594" s="13" t="n">
        <v>0.9945000000000001</v>
      </c>
      <c r="I594" s="13" t="n">
        <v>0.9715</v>
      </c>
    </row>
    <row r="595">
      <c r="A595" s="10" t="inlineStr">
        <is>
          <t>PJ-2020-C</t>
        </is>
      </c>
      <c r="B595" s="10" t="inlineStr">
        <is>
          <t>位置合わせ(MS指定)／単調補間</t>
        </is>
      </c>
      <c r="C595" s="10" t="inlineStr">
        <is>
          <t>2022-12</t>
        </is>
      </c>
      <c r="D595" s="10" t="n">
        <v>30</v>
      </c>
      <c r="E595" s="12" t="n">
        <v>1599.9</v>
      </c>
      <c r="F595" s="12" t="n">
        <v>8242.299999999999</v>
      </c>
      <c r="G595" s="12" t="n">
        <v>-6642.4</v>
      </c>
      <c r="H595" s="13" t="n">
        <v>1</v>
      </c>
      <c r="I595" s="13" t="n">
        <v>1</v>
      </c>
    </row>
    <row r="596">
      <c r="A596" s="10" t="inlineStr">
        <is>
          <t>PJ-2021-D</t>
        </is>
      </c>
      <c r="B596" s="10" t="inlineStr">
        <is>
          <t>素朴版／月内均等</t>
        </is>
      </c>
      <c r="C596" s="10" t="inlineStr">
        <is>
          <t>2021-04</t>
        </is>
      </c>
      <c r="D596" s="10" t="n">
        <v>1</v>
      </c>
      <c r="E596" s="12" t="n">
        <v>2218.9</v>
      </c>
      <c r="F596" s="12" t="n">
        <v>3064.9</v>
      </c>
      <c r="G596" s="12" t="n">
        <v>-846</v>
      </c>
      <c r="H596" s="13" t="n">
        <v>0.0268</v>
      </c>
      <c r="I596" s="13" t="n">
        <v>0.037</v>
      </c>
    </row>
    <row r="597">
      <c r="A597" s="10" t="inlineStr">
        <is>
          <t>PJ-2021-D</t>
        </is>
      </c>
      <c r="B597" s="10" t="inlineStr">
        <is>
          <t>素朴版／月内均等</t>
        </is>
      </c>
      <c r="C597" s="10" t="inlineStr">
        <is>
          <t>2021-05</t>
        </is>
      </c>
      <c r="D597" s="10" t="n">
        <v>2</v>
      </c>
      <c r="E597" s="12" t="n">
        <v>3158.2</v>
      </c>
      <c r="F597" s="12" t="n">
        <v>3983.2</v>
      </c>
      <c r="G597" s="12" t="n">
        <v>-825</v>
      </c>
      <c r="H597" s="13" t="n">
        <v>0.0648</v>
      </c>
      <c r="I597" s="13" t="n">
        <v>0.08500000000000001</v>
      </c>
    </row>
    <row r="598">
      <c r="A598" s="10" t="inlineStr">
        <is>
          <t>PJ-2021-D</t>
        </is>
      </c>
      <c r="B598" s="10" t="inlineStr">
        <is>
          <t>素朴版／月内均等</t>
        </is>
      </c>
      <c r="C598" s="10" t="inlineStr">
        <is>
          <t>2021-06</t>
        </is>
      </c>
      <c r="D598" s="10" t="n">
        <v>3</v>
      </c>
      <c r="E598" s="12" t="n">
        <v>3583.4</v>
      </c>
      <c r="F598" s="12" t="n">
        <v>4386.1</v>
      </c>
      <c r="G598" s="12" t="n">
        <v>-802.7</v>
      </c>
      <c r="H598" s="13" t="n">
        <v>0.1081</v>
      </c>
      <c r="I598" s="13" t="n">
        <v>0.1379</v>
      </c>
    </row>
    <row r="599">
      <c r="A599" s="10" t="inlineStr">
        <is>
          <t>PJ-2021-D</t>
        </is>
      </c>
      <c r="B599" s="10" t="inlineStr">
        <is>
          <t>素朴版／月内均等</t>
        </is>
      </c>
      <c r="C599" s="10" t="inlineStr">
        <is>
          <t>2021-07</t>
        </is>
      </c>
      <c r="D599" s="10" t="n">
        <v>4</v>
      </c>
      <c r="E599" s="12" t="n">
        <v>4289.7</v>
      </c>
      <c r="F599" s="12" t="n">
        <v>5071.5</v>
      </c>
      <c r="G599" s="12" t="n">
        <v>-781.8</v>
      </c>
      <c r="H599" s="13" t="n">
        <v>0.1598</v>
      </c>
      <c r="I599" s="13" t="n">
        <v>0.1991</v>
      </c>
    </row>
    <row r="600">
      <c r="A600" s="10" t="inlineStr">
        <is>
          <t>PJ-2021-D</t>
        </is>
      </c>
      <c r="B600" s="10" t="inlineStr">
        <is>
          <t>素朴版／月内均等</t>
        </is>
      </c>
      <c r="C600" s="10" t="inlineStr">
        <is>
          <t>2021-08</t>
        </is>
      </c>
      <c r="D600" s="10" t="n">
        <v>5</v>
      </c>
      <c r="E600" s="12" t="n">
        <v>5675.6</v>
      </c>
      <c r="F600" s="12" t="n">
        <v>5696.5</v>
      </c>
      <c r="G600" s="12" t="n">
        <v>-20.9</v>
      </c>
      <c r="H600" s="13" t="n">
        <v>0.2282</v>
      </c>
      <c r="I600" s="13" t="n">
        <v>0.2678</v>
      </c>
    </row>
    <row r="601">
      <c r="A601" s="10" t="inlineStr">
        <is>
          <t>PJ-2021-D</t>
        </is>
      </c>
      <c r="B601" s="10" t="inlineStr">
        <is>
          <t>素朴版／月内均等</t>
        </is>
      </c>
      <c r="C601" s="10" t="inlineStr">
        <is>
          <t>2021-09</t>
        </is>
      </c>
      <c r="D601" s="10" t="n">
        <v>6</v>
      </c>
      <c r="E601" s="12" t="n">
        <v>6603.2</v>
      </c>
      <c r="F601" s="12" t="n">
        <v>6687.9</v>
      </c>
      <c r="G601" s="12" t="n">
        <v>-84.7</v>
      </c>
      <c r="H601" s="13" t="n">
        <v>0.3079</v>
      </c>
      <c r="I601" s="13" t="n">
        <v>0.3484</v>
      </c>
    </row>
    <row r="602">
      <c r="A602" s="10" t="inlineStr">
        <is>
          <t>PJ-2021-D</t>
        </is>
      </c>
      <c r="B602" s="10" t="inlineStr">
        <is>
          <t>素朴版／月内均等</t>
        </is>
      </c>
      <c r="C602" s="10" t="inlineStr">
        <is>
          <t>2021-10</t>
        </is>
      </c>
      <c r="D602" s="10" t="n">
        <v>7</v>
      </c>
      <c r="E602" s="12" t="n">
        <v>6880.4</v>
      </c>
      <c r="F602" s="12" t="n">
        <v>7608.3</v>
      </c>
      <c r="G602" s="12" t="n">
        <v>-727.9</v>
      </c>
      <c r="H602" s="13" t="n">
        <v>0.3909</v>
      </c>
      <c r="I602" s="13" t="n">
        <v>0.4402</v>
      </c>
    </row>
    <row r="603">
      <c r="A603" s="10" t="inlineStr">
        <is>
          <t>PJ-2021-D</t>
        </is>
      </c>
      <c r="B603" s="10" t="inlineStr">
        <is>
          <t>素朴版／月内均等</t>
        </is>
      </c>
      <c r="C603" s="10" t="inlineStr">
        <is>
          <t>2021-11</t>
        </is>
      </c>
      <c r="D603" s="10" t="n">
        <v>8</v>
      </c>
      <c r="E603" s="12" t="n">
        <v>6996.8</v>
      </c>
      <c r="F603" s="12" t="n">
        <v>6170.4</v>
      </c>
      <c r="G603" s="12" t="n">
        <v>826.4</v>
      </c>
      <c r="H603" s="13" t="n">
        <v>0.4752</v>
      </c>
      <c r="I603" s="13" t="n">
        <v>0.5145999999999999</v>
      </c>
    </row>
    <row r="604">
      <c r="A604" s="10" t="inlineStr">
        <is>
          <t>PJ-2021-D</t>
        </is>
      </c>
      <c r="B604" s="10" t="inlineStr">
        <is>
          <t>素朴版／月内均等</t>
        </is>
      </c>
      <c r="C604" s="10" t="inlineStr">
        <is>
          <t>2021-12</t>
        </is>
      </c>
      <c r="D604" s="10" t="n">
        <v>9</v>
      </c>
      <c r="E604" s="12" t="n">
        <v>8227.1</v>
      </c>
      <c r="F604" s="12" t="n">
        <v>6196</v>
      </c>
      <c r="G604" s="12" t="n">
        <v>2031.1</v>
      </c>
      <c r="H604" s="13" t="n">
        <v>0.5744</v>
      </c>
      <c r="I604" s="13" t="n">
        <v>0.5893</v>
      </c>
    </row>
    <row r="605">
      <c r="A605" s="10" t="inlineStr">
        <is>
          <t>PJ-2021-D</t>
        </is>
      </c>
      <c r="B605" s="10" t="inlineStr">
        <is>
          <t>素朴版／月内均等</t>
        </is>
      </c>
      <c r="C605" s="10" t="inlineStr">
        <is>
          <t>2022-01</t>
        </is>
      </c>
      <c r="D605" s="10" t="n">
        <v>10</v>
      </c>
      <c r="E605" s="12" t="n">
        <v>8517.6</v>
      </c>
      <c r="F605" s="12" t="n">
        <v>8019.7</v>
      </c>
      <c r="G605" s="12" t="n">
        <v>497.9</v>
      </c>
      <c r="H605" s="13" t="n">
        <v>0.6772</v>
      </c>
      <c r="I605" s="13" t="n">
        <v>0.6860000000000001</v>
      </c>
    </row>
    <row r="606">
      <c r="A606" s="10" t="inlineStr">
        <is>
          <t>PJ-2021-D</t>
        </is>
      </c>
      <c r="B606" s="10" t="inlineStr">
        <is>
          <t>素朴版／月内均等</t>
        </is>
      </c>
      <c r="C606" s="10" t="inlineStr">
        <is>
          <t>2022-02</t>
        </is>
      </c>
      <c r="D606" s="10" t="n">
        <v>11</v>
      </c>
      <c r="E606" s="12" t="n">
        <v>6601</v>
      </c>
      <c r="F606" s="12" t="n">
        <v>8831.1</v>
      </c>
      <c r="G606" s="12" t="n">
        <v>-2230.1</v>
      </c>
      <c r="H606" s="13" t="n">
        <v>0.7568</v>
      </c>
      <c r="I606" s="13" t="n">
        <v>0.7925</v>
      </c>
    </row>
    <row r="607">
      <c r="A607" s="10" t="inlineStr">
        <is>
          <t>PJ-2021-D</t>
        </is>
      </c>
      <c r="B607" s="10" t="inlineStr">
        <is>
          <t>素朴版／月内均等</t>
        </is>
      </c>
      <c r="C607" s="10" t="inlineStr">
        <is>
          <t>2022-03</t>
        </is>
      </c>
      <c r="D607" s="10" t="n">
        <v>12</v>
      </c>
      <c r="E607" s="12" t="n">
        <v>7253.8</v>
      </c>
      <c r="F607" s="12" t="n">
        <v>7612.4</v>
      </c>
      <c r="G607" s="12" t="n">
        <v>-358.6</v>
      </c>
      <c r="H607" s="13" t="n">
        <v>0.8443000000000001</v>
      </c>
      <c r="I607" s="13" t="n">
        <v>0.8843</v>
      </c>
    </row>
    <row r="608">
      <c r="A608" s="10" t="inlineStr">
        <is>
          <t>PJ-2021-D</t>
        </is>
      </c>
      <c r="B608" s="10" t="inlineStr">
        <is>
          <t>素朴版／月内均等</t>
        </is>
      </c>
      <c r="C608" s="10" t="inlineStr">
        <is>
          <t>2022-04</t>
        </is>
      </c>
      <c r="D608" s="10" t="n">
        <v>13</v>
      </c>
      <c r="E608" s="12" t="n">
        <v>6215.7</v>
      </c>
      <c r="F608" s="12" t="n">
        <v>4770.5</v>
      </c>
      <c r="G608" s="12" t="n">
        <v>1445.2</v>
      </c>
      <c r="H608" s="13" t="n">
        <v>0.9192</v>
      </c>
      <c r="I608" s="13" t="n">
        <v>0.9419</v>
      </c>
    </row>
    <row r="609">
      <c r="A609" s="10" t="inlineStr">
        <is>
          <t>PJ-2021-D</t>
        </is>
      </c>
      <c r="B609" s="10" t="inlineStr">
        <is>
          <t>素朴版／月内均等</t>
        </is>
      </c>
      <c r="C609" s="10" t="inlineStr">
        <is>
          <t>2022-05</t>
        </is>
      </c>
      <c r="D609" s="10" t="n">
        <v>14</v>
      </c>
      <c r="E609" s="12" t="n">
        <v>4328.1</v>
      </c>
      <c r="F609" s="12" t="n">
        <v>3957</v>
      </c>
      <c r="G609" s="12" t="n">
        <v>371.1</v>
      </c>
      <c r="H609" s="13" t="n">
        <v>0.9714</v>
      </c>
      <c r="I609" s="13" t="n">
        <v>0.9896</v>
      </c>
    </row>
    <row r="610">
      <c r="A610" s="10" t="inlineStr">
        <is>
          <t>PJ-2021-D</t>
        </is>
      </c>
      <c r="B610" s="10" t="inlineStr">
        <is>
          <t>素朴版／月内均等</t>
        </is>
      </c>
      <c r="C610" s="10" t="inlineStr">
        <is>
          <t>2022-06</t>
        </is>
      </c>
      <c r="D610" s="10" t="n">
        <v>15</v>
      </c>
      <c r="E610" s="12" t="n">
        <v>2370.6</v>
      </c>
      <c r="F610" s="12" t="n">
        <v>864.5</v>
      </c>
      <c r="G610" s="12" t="n">
        <v>1506.1</v>
      </c>
      <c r="H610" s="13" t="n">
        <v>1</v>
      </c>
      <c r="I610" s="13" t="n">
        <v>1</v>
      </c>
    </row>
    <row r="611">
      <c r="A611" s="10" t="inlineStr">
        <is>
          <t>PJ-2021-D</t>
        </is>
      </c>
      <c r="B611" s="10" t="inlineStr">
        <is>
          <t>位置合わせ(MS学習値)／月内均等</t>
        </is>
      </c>
      <c r="C611" s="10" t="inlineStr">
        <is>
          <t>2021-04</t>
        </is>
      </c>
      <c r="D611" s="10" t="n">
        <v>1</v>
      </c>
      <c r="E611" s="12" t="n">
        <v>2170.8</v>
      </c>
      <c r="F611" s="12" t="n">
        <v>3064.9</v>
      </c>
      <c r="G611" s="12" t="n">
        <v>-894.1</v>
      </c>
      <c r="H611" s="13" t="n">
        <v>0.0262</v>
      </c>
      <c r="I611" s="13" t="n">
        <v>0.037</v>
      </c>
    </row>
    <row r="612">
      <c r="A612" s="10" t="inlineStr">
        <is>
          <t>PJ-2021-D</t>
        </is>
      </c>
      <c r="B612" s="10" t="inlineStr">
        <is>
          <t>位置合わせ(MS学習値)／月内均等</t>
        </is>
      </c>
      <c r="C612" s="10" t="inlineStr">
        <is>
          <t>2021-05</t>
        </is>
      </c>
      <c r="D612" s="10" t="n">
        <v>2</v>
      </c>
      <c r="E612" s="12" t="n">
        <v>3097.3</v>
      </c>
      <c r="F612" s="12" t="n">
        <v>3983.2</v>
      </c>
      <c r="G612" s="12" t="n">
        <v>-885.9</v>
      </c>
      <c r="H612" s="13" t="n">
        <v>0.0635</v>
      </c>
      <c r="I612" s="13" t="n">
        <v>0.08500000000000001</v>
      </c>
    </row>
    <row r="613">
      <c r="A613" s="10" t="inlineStr">
        <is>
          <t>PJ-2021-D</t>
        </is>
      </c>
      <c r="B613" s="10" t="inlineStr">
        <is>
          <t>位置合わせ(MS学習値)／月内均等</t>
        </is>
      </c>
      <c r="C613" s="10" t="inlineStr">
        <is>
          <t>2021-06</t>
        </is>
      </c>
      <c r="D613" s="10" t="n">
        <v>3</v>
      </c>
      <c r="E613" s="12" t="n">
        <v>3500.3</v>
      </c>
      <c r="F613" s="12" t="n">
        <v>4386.1</v>
      </c>
      <c r="G613" s="12" t="n">
        <v>-885.8</v>
      </c>
      <c r="H613" s="13" t="n">
        <v>0.1057</v>
      </c>
      <c r="I613" s="13" t="n">
        <v>0.1379</v>
      </c>
    </row>
    <row r="614">
      <c r="A614" s="10" t="inlineStr">
        <is>
          <t>PJ-2021-D</t>
        </is>
      </c>
      <c r="B614" s="10" t="inlineStr">
        <is>
          <t>位置合わせ(MS学習値)／月内均等</t>
        </is>
      </c>
      <c r="C614" s="10" t="inlineStr">
        <is>
          <t>2021-07</t>
        </is>
      </c>
      <c r="D614" s="10" t="n">
        <v>4</v>
      </c>
      <c r="E614" s="12" t="n">
        <v>4134</v>
      </c>
      <c r="F614" s="12" t="n">
        <v>5071.5</v>
      </c>
      <c r="G614" s="12" t="n">
        <v>-937.5</v>
      </c>
      <c r="H614" s="13" t="n">
        <v>0.1556</v>
      </c>
      <c r="I614" s="13" t="n">
        <v>0.1991</v>
      </c>
    </row>
    <row r="615">
      <c r="A615" s="10" t="inlineStr">
        <is>
          <t>PJ-2021-D</t>
        </is>
      </c>
      <c r="B615" s="10" t="inlineStr">
        <is>
          <t>位置合わせ(MS学習値)／月内均等</t>
        </is>
      </c>
      <c r="C615" s="10" t="inlineStr">
        <is>
          <t>2021-08</t>
        </is>
      </c>
      <c r="D615" s="10" t="n">
        <v>5</v>
      </c>
      <c r="E615" s="12" t="n">
        <v>5096.5</v>
      </c>
      <c r="F615" s="12" t="n">
        <v>5696.5</v>
      </c>
      <c r="G615" s="12" t="n">
        <v>-600</v>
      </c>
      <c r="H615" s="13" t="n">
        <v>0.2171</v>
      </c>
      <c r="I615" s="13" t="n">
        <v>0.2678</v>
      </c>
    </row>
    <row r="616">
      <c r="A616" s="10" t="inlineStr">
        <is>
          <t>PJ-2021-D</t>
        </is>
      </c>
      <c r="B616" s="10" t="inlineStr">
        <is>
          <t>位置合わせ(MS学習値)／月内均等</t>
        </is>
      </c>
      <c r="C616" s="10" t="inlineStr">
        <is>
          <t>2021-09</t>
        </is>
      </c>
      <c r="D616" s="10" t="n">
        <v>6</v>
      </c>
      <c r="E616" s="12" t="n">
        <v>6133</v>
      </c>
      <c r="F616" s="12" t="n">
        <v>6687.9</v>
      </c>
      <c r="G616" s="12" t="n">
        <v>-554.9</v>
      </c>
      <c r="H616" s="13" t="n">
        <v>0.291</v>
      </c>
      <c r="I616" s="13" t="n">
        <v>0.3484</v>
      </c>
    </row>
    <row r="617">
      <c r="A617" s="10" t="inlineStr">
        <is>
          <t>PJ-2021-D</t>
        </is>
      </c>
      <c r="B617" s="10" t="inlineStr">
        <is>
          <t>位置合わせ(MS学習値)／月内均等</t>
        </is>
      </c>
      <c r="C617" s="10" t="inlineStr">
        <is>
          <t>2021-10</t>
        </is>
      </c>
      <c r="D617" s="10" t="n">
        <v>7</v>
      </c>
      <c r="E617" s="12" t="n">
        <v>7491.1</v>
      </c>
      <c r="F617" s="12" t="n">
        <v>7608.3</v>
      </c>
      <c r="G617" s="12" t="n">
        <v>-117.2</v>
      </c>
      <c r="H617" s="13" t="n">
        <v>0.3814</v>
      </c>
      <c r="I617" s="13" t="n">
        <v>0.4402</v>
      </c>
    </row>
    <row r="618">
      <c r="A618" s="10" t="inlineStr">
        <is>
          <t>PJ-2021-D</t>
        </is>
      </c>
      <c r="B618" s="10" t="inlineStr">
        <is>
          <t>位置合わせ(MS学習値)／月内均等</t>
        </is>
      </c>
      <c r="C618" s="10" t="inlineStr">
        <is>
          <t>2021-11</t>
        </is>
      </c>
      <c r="D618" s="10" t="n">
        <v>8</v>
      </c>
      <c r="E618" s="12" t="n">
        <v>8223.299999999999</v>
      </c>
      <c r="F618" s="12" t="n">
        <v>6170.4</v>
      </c>
      <c r="G618" s="12" t="n">
        <v>2052.9</v>
      </c>
      <c r="H618" s="13" t="n">
        <v>0.4805</v>
      </c>
      <c r="I618" s="13" t="n">
        <v>0.5145999999999999</v>
      </c>
    </row>
    <row r="619">
      <c r="A619" s="10" t="inlineStr">
        <is>
          <t>PJ-2021-D</t>
        </is>
      </c>
      <c r="B619" s="10" t="inlineStr">
        <is>
          <t>位置合わせ(MS学習値)／月内均等</t>
        </is>
      </c>
      <c r="C619" s="10" t="inlineStr">
        <is>
          <t>2021-12</t>
        </is>
      </c>
      <c r="D619" s="10" t="n">
        <v>9</v>
      </c>
      <c r="E619" s="12" t="n">
        <v>8042.4</v>
      </c>
      <c r="F619" s="12" t="n">
        <v>6196</v>
      </c>
      <c r="G619" s="12" t="n">
        <v>1846.4</v>
      </c>
      <c r="H619" s="13" t="n">
        <v>0.5775</v>
      </c>
      <c r="I619" s="13" t="n">
        <v>0.5893</v>
      </c>
    </row>
    <row r="620">
      <c r="A620" s="10" t="inlineStr">
        <is>
          <t>PJ-2021-D</t>
        </is>
      </c>
      <c r="B620" s="10" t="inlineStr">
        <is>
          <t>位置合わせ(MS学習値)／月内均等</t>
        </is>
      </c>
      <c r="C620" s="10" t="inlineStr">
        <is>
          <t>2022-01</t>
        </is>
      </c>
      <c r="D620" s="10" t="n">
        <v>10</v>
      </c>
      <c r="E620" s="12" t="n">
        <v>8016.7</v>
      </c>
      <c r="F620" s="12" t="n">
        <v>8019.7</v>
      </c>
      <c r="G620" s="12" t="n">
        <v>-3</v>
      </c>
      <c r="H620" s="13" t="n">
        <v>0.6742</v>
      </c>
      <c r="I620" s="13" t="n">
        <v>0.6860000000000001</v>
      </c>
    </row>
    <row r="621">
      <c r="A621" s="10" t="inlineStr">
        <is>
          <t>PJ-2021-D</t>
        </is>
      </c>
      <c r="B621" s="10" t="inlineStr">
        <is>
          <t>位置合わせ(MS学習値)／月内均等</t>
        </is>
      </c>
      <c r="C621" s="10" t="inlineStr">
        <is>
          <t>2022-02</t>
        </is>
      </c>
      <c r="D621" s="10" t="n">
        <v>11</v>
      </c>
      <c r="E621" s="12" t="n">
        <v>7713.6</v>
      </c>
      <c r="F621" s="12" t="n">
        <v>8831.1</v>
      </c>
      <c r="G621" s="12" t="n">
        <v>-1117.5</v>
      </c>
      <c r="H621" s="13" t="n">
        <v>0.7672</v>
      </c>
      <c r="I621" s="13" t="n">
        <v>0.7925</v>
      </c>
    </row>
    <row r="622">
      <c r="A622" s="10" t="inlineStr">
        <is>
          <t>PJ-2021-D</t>
        </is>
      </c>
      <c r="B622" s="10" t="inlineStr">
        <is>
          <t>位置合わせ(MS学習値)／月内均等</t>
        </is>
      </c>
      <c r="C622" s="10" t="inlineStr">
        <is>
          <t>2022-03</t>
        </is>
      </c>
      <c r="D622" s="10" t="n">
        <v>12</v>
      </c>
      <c r="E622" s="12" t="n">
        <v>7140.8</v>
      </c>
      <c r="F622" s="12" t="n">
        <v>7612.4</v>
      </c>
      <c r="G622" s="12" t="n">
        <v>-471.6</v>
      </c>
      <c r="H622" s="13" t="n">
        <v>0.8534</v>
      </c>
      <c r="I622" s="13" t="n">
        <v>0.8843</v>
      </c>
    </row>
    <row r="623">
      <c r="A623" s="10" t="inlineStr">
        <is>
          <t>PJ-2021-D</t>
        </is>
      </c>
      <c r="B623" s="10" t="inlineStr">
        <is>
          <t>位置合わせ(MS学習値)／月内均等</t>
        </is>
      </c>
      <c r="C623" s="10" t="inlineStr">
        <is>
          <t>2022-04</t>
        </is>
      </c>
      <c r="D623" s="10" t="n">
        <v>13</v>
      </c>
      <c r="E623" s="12" t="n">
        <v>5484.8</v>
      </c>
      <c r="F623" s="12" t="n">
        <v>4770.5</v>
      </c>
      <c r="G623" s="12" t="n">
        <v>714.3</v>
      </c>
      <c r="H623" s="13" t="n">
        <v>0.9195</v>
      </c>
      <c r="I623" s="13" t="n">
        <v>0.9419</v>
      </c>
    </row>
    <row r="624">
      <c r="A624" s="10" t="inlineStr">
        <is>
          <t>PJ-2021-D</t>
        </is>
      </c>
      <c r="B624" s="10" t="inlineStr">
        <is>
          <t>位置合わせ(MS学習値)／月内均等</t>
        </is>
      </c>
      <c r="C624" s="10" t="inlineStr">
        <is>
          <t>2022-05</t>
        </is>
      </c>
      <c r="D624" s="10" t="n">
        <v>14</v>
      </c>
      <c r="E624" s="12" t="n">
        <v>4309.9</v>
      </c>
      <c r="F624" s="12" t="n">
        <v>3957</v>
      </c>
      <c r="G624" s="12" t="n">
        <v>352.9</v>
      </c>
      <c r="H624" s="13" t="n">
        <v>0.9715</v>
      </c>
      <c r="I624" s="13" t="n">
        <v>0.9896</v>
      </c>
    </row>
    <row r="625">
      <c r="A625" s="10" t="inlineStr">
        <is>
          <t>PJ-2021-D</t>
        </is>
      </c>
      <c r="B625" s="10" t="inlineStr">
        <is>
          <t>位置合わせ(MS学習値)／月内均等</t>
        </is>
      </c>
      <c r="C625" s="10" t="inlineStr">
        <is>
          <t>2022-06</t>
        </is>
      </c>
      <c r="D625" s="10" t="n">
        <v>15</v>
      </c>
      <c r="E625" s="12" t="n">
        <v>2365.2</v>
      </c>
      <c r="F625" s="12" t="n">
        <v>864.5</v>
      </c>
      <c r="G625" s="12" t="n">
        <v>1500.7</v>
      </c>
      <c r="H625" s="13" t="n">
        <v>1</v>
      </c>
      <c r="I625" s="13" t="n">
        <v>1</v>
      </c>
    </row>
    <row r="626">
      <c r="A626" s="10" t="inlineStr">
        <is>
          <t>PJ-2021-D</t>
        </is>
      </c>
      <c r="B626" s="10" t="inlineStr">
        <is>
          <t>位置合わせ(MS指定)／月内均等</t>
        </is>
      </c>
      <c r="C626" s="10" t="inlineStr">
        <is>
          <t>2021-04</t>
        </is>
      </c>
      <c r="D626" s="10" t="n">
        <v>1</v>
      </c>
      <c r="E626" s="12" t="n">
        <v>1751.2</v>
      </c>
      <c r="F626" s="12" t="n">
        <v>3064.9</v>
      </c>
      <c r="G626" s="12" t="n">
        <v>-1313.7</v>
      </c>
      <c r="H626" s="13" t="n">
        <v>0.0211</v>
      </c>
      <c r="I626" s="13" t="n">
        <v>0.037</v>
      </c>
    </row>
    <row r="627">
      <c r="A627" s="10" t="inlineStr">
        <is>
          <t>PJ-2021-D</t>
        </is>
      </c>
      <c r="B627" s="10" t="inlineStr">
        <is>
          <t>位置合わせ(MS指定)／月内均等</t>
        </is>
      </c>
      <c r="C627" s="10" t="inlineStr">
        <is>
          <t>2021-05</t>
        </is>
      </c>
      <c r="D627" s="10" t="n">
        <v>2</v>
      </c>
      <c r="E627" s="12" t="n">
        <v>2486.1</v>
      </c>
      <c r="F627" s="12" t="n">
        <v>3983.2</v>
      </c>
      <c r="G627" s="12" t="n">
        <v>-1497.1</v>
      </c>
      <c r="H627" s="13" t="n">
        <v>0.0511</v>
      </c>
      <c r="I627" s="13" t="n">
        <v>0.08500000000000001</v>
      </c>
    </row>
    <row r="628">
      <c r="A628" s="10" t="inlineStr">
        <is>
          <t>PJ-2021-D</t>
        </is>
      </c>
      <c r="B628" s="10" t="inlineStr">
        <is>
          <t>位置合わせ(MS指定)／月内均等</t>
        </is>
      </c>
      <c r="C628" s="10" t="inlineStr">
        <is>
          <t>2021-06</t>
        </is>
      </c>
      <c r="D628" s="10" t="n">
        <v>3</v>
      </c>
      <c r="E628" s="12" t="n">
        <v>2838.9</v>
      </c>
      <c r="F628" s="12" t="n">
        <v>4386.1</v>
      </c>
      <c r="G628" s="12" t="n">
        <v>-1547.2</v>
      </c>
      <c r="H628" s="13" t="n">
        <v>0.0853</v>
      </c>
      <c r="I628" s="13" t="n">
        <v>0.1379</v>
      </c>
    </row>
    <row r="629">
      <c r="A629" s="10" t="inlineStr">
        <is>
          <t>PJ-2021-D</t>
        </is>
      </c>
      <c r="B629" s="10" t="inlineStr">
        <is>
          <t>位置合わせ(MS指定)／月内均等</t>
        </is>
      </c>
      <c r="C629" s="10" t="inlineStr">
        <is>
          <t>2021-07</t>
        </is>
      </c>
      <c r="D629" s="10" t="n">
        <v>4</v>
      </c>
      <c r="E629" s="12" t="n">
        <v>3188.3</v>
      </c>
      <c r="F629" s="12" t="n">
        <v>5071.5</v>
      </c>
      <c r="G629" s="12" t="n">
        <v>-1883.2</v>
      </c>
      <c r="H629" s="13" t="n">
        <v>0.1238</v>
      </c>
      <c r="I629" s="13" t="n">
        <v>0.1991</v>
      </c>
    </row>
    <row r="630">
      <c r="A630" s="10" t="inlineStr">
        <is>
          <t>PJ-2021-D</t>
        </is>
      </c>
      <c r="B630" s="10" t="inlineStr">
        <is>
          <t>位置合わせ(MS指定)／月内均等</t>
        </is>
      </c>
      <c r="C630" s="10" t="inlineStr">
        <is>
          <t>2021-08</t>
        </is>
      </c>
      <c r="D630" s="10" t="n">
        <v>5</v>
      </c>
      <c r="E630" s="12" t="n">
        <v>3703.9</v>
      </c>
      <c r="F630" s="12" t="n">
        <v>5696.5</v>
      </c>
      <c r="G630" s="12" t="n">
        <v>-1992.6</v>
      </c>
      <c r="H630" s="13" t="n">
        <v>0.1685</v>
      </c>
      <c r="I630" s="13" t="n">
        <v>0.2678</v>
      </c>
    </row>
    <row r="631">
      <c r="A631" s="10" t="inlineStr">
        <is>
          <t>PJ-2021-D</t>
        </is>
      </c>
      <c r="B631" s="10" t="inlineStr">
        <is>
          <t>位置合わせ(MS指定)／月内均等</t>
        </is>
      </c>
      <c r="C631" s="10" t="inlineStr">
        <is>
          <t>2021-09</t>
        </is>
      </c>
      <c r="D631" s="10" t="n">
        <v>6</v>
      </c>
      <c r="E631" s="12" t="n">
        <v>4336.9</v>
      </c>
      <c r="F631" s="12" t="n">
        <v>6687.9</v>
      </c>
      <c r="G631" s="12" t="n">
        <v>-2351</v>
      </c>
      <c r="H631" s="13" t="n">
        <v>0.2208</v>
      </c>
      <c r="I631" s="13" t="n">
        <v>0.3484</v>
      </c>
    </row>
    <row r="632">
      <c r="A632" s="10" t="inlineStr">
        <is>
          <t>PJ-2021-D</t>
        </is>
      </c>
      <c r="B632" s="10" t="inlineStr">
        <is>
          <t>位置合わせ(MS指定)／月内均等</t>
        </is>
      </c>
      <c r="C632" s="10" t="inlineStr">
        <is>
          <t>2021-10</t>
        </is>
      </c>
      <c r="D632" s="10" t="n">
        <v>7</v>
      </c>
      <c r="E632" s="12" t="n">
        <v>5323</v>
      </c>
      <c r="F632" s="12" t="n">
        <v>7608.3</v>
      </c>
      <c r="G632" s="12" t="n">
        <v>-2285.3</v>
      </c>
      <c r="H632" s="13" t="n">
        <v>0.285</v>
      </c>
      <c r="I632" s="13" t="n">
        <v>0.4402</v>
      </c>
    </row>
    <row r="633">
      <c r="A633" s="10" t="inlineStr">
        <is>
          <t>PJ-2021-D</t>
        </is>
      </c>
      <c r="B633" s="10" t="inlineStr">
        <is>
          <t>位置合わせ(MS指定)／月内均等</t>
        </is>
      </c>
      <c r="C633" s="10" t="inlineStr">
        <is>
          <t>2021-11</t>
        </is>
      </c>
      <c r="D633" s="10" t="n">
        <v>8</v>
      </c>
      <c r="E633" s="12" t="n">
        <v>5959.4</v>
      </c>
      <c r="F633" s="12" t="n">
        <v>6170.4</v>
      </c>
      <c r="G633" s="12" t="n">
        <v>-211</v>
      </c>
      <c r="H633" s="13" t="n">
        <v>0.3568</v>
      </c>
      <c r="I633" s="13" t="n">
        <v>0.5145999999999999</v>
      </c>
    </row>
    <row r="634">
      <c r="A634" s="10" t="inlineStr">
        <is>
          <t>PJ-2021-D</t>
        </is>
      </c>
      <c r="B634" s="10" t="inlineStr">
        <is>
          <t>位置合わせ(MS指定)／月内均等</t>
        </is>
      </c>
      <c r="C634" s="10" t="inlineStr">
        <is>
          <t>2021-12</t>
        </is>
      </c>
      <c r="D634" s="10" t="n">
        <v>9</v>
      </c>
      <c r="E634" s="12" t="n">
        <v>8152.7</v>
      </c>
      <c r="F634" s="12" t="n">
        <v>6196</v>
      </c>
      <c r="G634" s="12" t="n">
        <v>1956.7</v>
      </c>
      <c r="H634" s="13" t="n">
        <v>0.4551</v>
      </c>
      <c r="I634" s="13" t="n">
        <v>0.5893</v>
      </c>
    </row>
    <row r="635">
      <c r="A635" s="10" t="inlineStr">
        <is>
          <t>PJ-2021-D</t>
        </is>
      </c>
      <c r="B635" s="10" t="inlineStr">
        <is>
          <t>位置合わせ(MS指定)／月内均等</t>
        </is>
      </c>
      <c r="C635" s="10" t="inlineStr">
        <is>
          <t>2022-01</t>
        </is>
      </c>
      <c r="D635" s="10" t="n">
        <v>10</v>
      </c>
      <c r="E635" s="12" t="n">
        <v>9260</v>
      </c>
      <c r="F635" s="12" t="n">
        <v>8019.7</v>
      </c>
      <c r="G635" s="12" t="n">
        <v>1240.3</v>
      </c>
      <c r="H635" s="13" t="n">
        <v>0.5668</v>
      </c>
      <c r="I635" s="13" t="n">
        <v>0.6860000000000001</v>
      </c>
    </row>
    <row r="636">
      <c r="A636" s="10" t="inlineStr">
        <is>
          <t>PJ-2021-D</t>
        </is>
      </c>
      <c r="B636" s="10" t="inlineStr">
        <is>
          <t>位置合わせ(MS指定)／月内均等</t>
        </is>
      </c>
      <c r="C636" s="10" t="inlineStr">
        <is>
          <t>2022-02</t>
        </is>
      </c>
      <c r="D636" s="10" t="n">
        <v>11</v>
      </c>
      <c r="E636" s="12" t="n">
        <v>8295.6</v>
      </c>
      <c r="F636" s="12" t="n">
        <v>8831.1</v>
      </c>
      <c r="G636" s="12" t="n">
        <v>-535.5</v>
      </c>
      <c r="H636" s="13" t="n">
        <v>0.6669</v>
      </c>
      <c r="I636" s="13" t="n">
        <v>0.7925</v>
      </c>
    </row>
    <row r="637">
      <c r="A637" s="10" t="inlineStr">
        <is>
          <t>PJ-2021-D</t>
        </is>
      </c>
      <c r="B637" s="10" t="inlineStr">
        <is>
          <t>位置合わせ(MS指定)／月内均等</t>
        </is>
      </c>
      <c r="C637" s="10" t="inlineStr">
        <is>
          <t>2022-03</t>
        </is>
      </c>
      <c r="D637" s="10" t="n">
        <v>12</v>
      </c>
      <c r="E637" s="12" t="n">
        <v>10040.6</v>
      </c>
      <c r="F637" s="12" t="n">
        <v>7612.4</v>
      </c>
      <c r="G637" s="12" t="n">
        <v>2428.2</v>
      </c>
      <c r="H637" s="13" t="n">
        <v>0.7879</v>
      </c>
      <c r="I637" s="13" t="n">
        <v>0.8843</v>
      </c>
    </row>
    <row r="638">
      <c r="A638" s="10" t="inlineStr">
        <is>
          <t>PJ-2021-D</t>
        </is>
      </c>
      <c r="B638" s="10" t="inlineStr">
        <is>
          <t>位置合わせ(MS指定)／月内均等</t>
        </is>
      </c>
      <c r="C638" s="10" t="inlineStr">
        <is>
          <t>2022-04</t>
        </is>
      </c>
      <c r="D638" s="10" t="n">
        <v>13</v>
      </c>
      <c r="E638" s="12" t="n">
        <v>9265.4</v>
      </c>
      <c r="F638" s="12" t="n">
        <v>4770.5</v>
      </c>
      <c r="G638" s="12" t="n">
        <v>4494.9</v>
      </c>
      <c r="H638" s="13" t="n">
        <v>0.8997000000000001</v>
      </c>
      <c r="I638" s="13" t="n">
        <v>0.9419</v>
      </c>
    </row>
    <row r="639">
      <c r="A639" s="10" t="inlineStr">
        <is>
          <t>PJ-2021-D</t>
        </is>
      </c>
      <c r="B639" s="10" t="inlineStr">
        <is>
          <t>位置合わせ(MS指定)／月内均等</t>
        </is>
      </c>
      <c r="C639" s="10" t="inlineStr">
        <is>
          <t>2022-05</t>
        </is>
      </c>
      <c r="D639" s="10" t="n">
        <v>14</v>
      </c>
      <c r="E639" s="12" t="n">
        <v>6047.6</v>
      </c>
      <c r="F639" s="12" t="n">
        <v>3957</v>
      </c>
      <c r="G639" s="12" t="n">
        <v>2090.6</v>
      </c>
      <c r="H639" s="13" t="n">
        <v>0.9726</v>
      </c>
      <c r="I639" s="13" t="n">
        <v>0.9896</v>
      </c>
    </row>
    <row r="640">
      <c r="A640" s="10" t="inlineStr">
        <is>
          <t>PJ-2021-D</t>
        </is>
      </c>
      <c r="B640" s="10" t="inlineStr">
        <is>
          <t>位置合わせ(MS指定)／月内均等</t>
        </is>
      </c>
      <c r="C640" s="10" t="inlineStr">
        <is>
          <t>2022-06</t>
        </is>
      </c>
      <c r="D640" s="10" t="n">
        <v>15</v>
      </c>
      <c r="E640" s="12" t="n">
        <v>2270.4</v>
      </c>
      <c r="F640" s="12" t="n">
        <v>864.5</v>
      </c>
      <c r="G640" s="12" t="n">
        <v>1405.9</v>
      </c>
      <c r="H640" s="13" t="n">
        <v>1</v>
      </c>
      <c r="I640" s="13" t="n">
        <v>1</v>
      </c>
    </row>
    <row r="641">
      <c r="A641" s="10" t="inlineStr">
        <is>
          <t>PJ-2021-D</t>
        </is>
      </c>
      <c r="B641" s="10" t="inlineStr">
        <is>
          <t>素朴版／単調補間</t>
        </is>
      </c>
      <c r="C641" s="10" t="inlineStr">
        <is>
          <t>2021-04</t>
        </is>
      </c>
      <c r="D641" s="10" t="n">
        <v>1</v>
      </c>
      <c r="E641" s="12" t="n">
        <v>2181.2</v>
      </c>
      <c r="F641" s="12" t="n">
        <v>3064.9</v>
      </c>
      <c r="G641" s="12" t="n">
        <v>-883.7</v>
      </c>
      <c r="H641" s="13" t="n">
        <v>0.0263</v>
      </c>
      <c r="I641" s="13" t="n">
        <v>0.037</v>
      </c>
    </row>
    <row r="642">
      <c r="A642" s="10" t="inlineStr">
        <is>
          <t>PJ-2021-D</t>
        </is>
      </c>
      <c r="B642" s="10" t="inlineStr">
        <is>
          <t>素朴版／単調補間</t>
        </is>
      </c>
      <c r="C642" s="10" t="inlineStr">
        <is>
          <t>2021-05</t>
        </is>
      </c>
      <c r="D642" s="10" t="n">
        <v>2</v>
      </c>
      <c r="E642" s="12" t="n">
        <v>3161.3</v>
      </c>
      <c r="F642" s="12" t="n">
        <v>3983.2</v>
      </c>
      <c r="G642" s="12" t="n">
        <v>-821.9</v>
      </c>
      <c r="H642" s="13" t="n">
        <v>0.0644</v>
      </c>
      <c r="I642" s="13" t="n">
        <v>0.08500000000000001</v>
      </c>
    </row>
    <row r="643">
      <c r="A643" s="10" t="inlineStr">
        <is>
          <t>PJ-2021-D</t>
        </is>
      </c>
      <c r="B643" s="10" t="inlineStr">
        <is>
          <t>素朴版／単調補間</t>
        </is>
      </c>
      <c r="C643" s="10" t="inlineStr">
        <is>
          <t>2021-06</t>
        </is>
      </c>
      <c r="D643" s="10" t="n">
        <v>3</v>
      </c>
      <c r="E643" s="12" t="n">
        <v>3589.5</v>
      </c>
      <c r="F643" s="12" t="n">
        <v>4386.1</v>
      </c>
      <c r="G643" s="12" t="n">
        <v>-796.6</v>
      </c>
      <c r="H643" s="13" t="n">
        <v>0.1077</v>
      </c>
      <c r="I643" s="13" t="n">
        <v>0.1379</v>
      </c>
    </row>
    <row r="644">
      <c r="A644" s="10" t="inlineStr">
        <is>
          <t>PJ-2021-D</t>
        </is>
      </c>
      <c r="B644" s="10" t="inlineStr">
        <is>
          <t>素朴版／単調補間</t>
        </is>
      </c>
      <c r="C644" s="10" t="inlineStr">
        <is>
          <t>2021-07</t>
        </is>
      </c>
      <c r="D644" s="10" t="n">
        <v>4</v>
      </c>
      <c r="E644" s="12" t="n">
        <v>4270.4</v>
      </c>
      <c r="F644" s="12" t="n">
        <v>5071.5</v>
      </c>
      <c r="G644" s="12" t="n">
        <v>-801.1</v>
      </c>
      <c r="H644" s="13" t="n">
        <v>0.1592</v>
      </c>
      <c r="I644" s="13" t="n">
        <v>0.1991</v>
      </c>
    </row>
    <row r="645">
      <c r="A645" s="10" t="inlineStr">
        <is>
          <t>PJ-2021-D</t>
        </is>
      </c>
      <c r="B645" s="10" t="inlineStr">
        <is>
          <t>素朴版／単調補間</t>
        </is>
      </c>
      <c r="C645" s="10" t="inlineStr">
        <is>
          <t>2021-08</t>
        </is>
      </c>
      <c r="D645" s="10" t="n">
        <v>5</v>
      </c>
      <c r="E645" s="12" t="n">
        <v>5697.5</v>
      </c>
      <c r="F645" s="12" t="n">
        <v>5696.5</v>
      </c>
      <c r="G645" s="12" t="n">
        <v>1</v>
      </c>
      <c r="H645" s="13" t="n">
        <v>0.2279</v>
      </c>
      <c r="I645" s="13" t="n">
        <v>0.2678</v>
      </c>
    </row>
    <row r="646">
      <c r="A646" s="10" t="inlineStr">
        <is>
          <t>PJ-2021-D</t>
        </is>
      </c>
      <c r="B646" s="10" t="inlineStr">
        <is>
          <t>素朴版／単調補間</t>
        </is>
      </c>
      <c r="C646" s="10" t="inlineStr">
        <is>
          <t>2021-09</t>
        </is>
      </c>
      <c r="D646" s="10" t="n">
        <v>6</v>
      </c>
      <c r="E646" s="12" t="n">
        <v>6623.8</v>
      </c>
      <c r="F646" s="12" t="n">
        <v>6687.9</v>
      </c>
      <c r="G646" s="12" t="n">
        <v>-64.09999999999999</v>
      </c>
      <c r="H646" s="13" t="n">
        <v>0.3078</v>
      </c>
      <c r="I646" s="13" t="n">
        <v>0.3484</v>
      </c>
    </row>
    <row r="647">
      <c r="A647" s="10" t="inlineStr">
        <is>
          <t>PJ-2021-D</t>
        </is>
      </c>
      <c r="B647" s="10" t="inlineStr">
        <is>
          <t>素朴版／単調補間</t>
        </is>
      </c>
      <c r="C647" s="10" t="inlineStr">
        <is>
          <t>2021-10</t>
        </is>
      </c>
      <c r="D647" s="10" t="n">
        <v>7</v>
      </c>
      <c r="E647" s="12" t="n">
        <v>6870.9</v>
      </c>
      <c r="F647" s="12" t="n">
        <v>7608.3</v>
      </c>
      <c r="G647" s="12" t="n">
        <v>-737.4</v>
      </c>
      <c r="H647" s="13" t="n">
        <v>0.3907</v>
      </c>
      <c r="I647" s="13" t="n">
        <v>0.4402</v>
      </c>
    </row>
    <row r="648">
      <c r="A648" s="10" t="inlineStr">
        <is>
          <t>PJ-2021-D</t>
        </is>
      </c>
      <c r="B648" s="10" t="inlineStr">
        <is>
          <t>素朴版／単調補間</t>
        </is>
      </c>
      <c r="C648" s="10" t="inlineStr">
        <is>
          <t>2021-11</t>
        </is>
      </c>
      <c r="D648" s="10" t="n">
        <v>8</v>
      </c>
      <c r="E648" s="12" t="n">
        <v>6977.9</v>
      </c>
      <c r="F648" s="12" t="n">
        <v>6170.4</v>
      </c>
      <c r="G648" s="12" t="n">
        <v>807.5</v>
      </c>
      <c r="H648" s="13" t="n">
        <v>0.4748</v>
      </c>
      <c r="I648" s="13" t="n">
        <v>0.5145999999999999</v>
      </c>
    </row>
    <row r="649">
      <c r="A649" s="10" t="inlineStr">
        <is>
          <t>PJ-2021-D</t>
        </is>
      </c>
      <c r="B649" s="10" t="inlineStr">
        <is>
          <t>素朴版／単調補間</t>
        </is>
      </c>
      <c r="C649" s="10" t="inlineStr">
        <is>
          <t>2021-12</t>
        </is>
      </c>
      <c r="D649" s="10" t="n">
        <v>9</v>
      </c>
      <c r="E649" s="12" t="n">
        <v>8162.3</v>
      </c>
      <c r="F649" s="12" t="n">
        <v>6196</v>
      </c>
      <c r="G649" s="12" t="n">
        <v>1966.3</v>
      </c>
      <c r="H649" s="13" t="n">
        <v>0.5733</v>
      </c>
      <c r="I649" s="13" t="n">
        <v>0.5893</v>
      </c>
    </row>
    <row r="650">
      <c r="A650" s="10" t="inlineStr">
        <is>
          <t>PJ-2021-D</t>
        </is>
      </c>
      <c r="B650" s="10" t="inlineStr">
        <is>
          <t>素朴版／単調補間</t>
        </is>
      </c>
      <c r="C650" s="10" t="inlineStr">
        <is>
          <t>2022-01</t>
        </is>
      </c>
      <c r="D650" s="10" t="n">
        <v>10</v>
      </c>
      <c r="E650" s="12" t="n">
        <v>8627.200000000001</v>
      </c>
      <c r="F650" s="12" t="n">
        <v>8019.7</v>
      </c>
      <c r="G650" s="12" t="n">
        <v>607.5</v>
      </c>
      <c r="H650" s="13" t="n">
        <v>0.6773</v>
      </c>
      <c r="I650" s="13" t="n">
        <v>0.6860000000000001</v>
      </c>
    </row>
    <row r="651">
      <c r="A651" s="10" t="inlineStr">
        <is>
          <t>PJ-2021-D</t>
        </is>
      </c>
      <c r="B651" s="10" t="inlineStr">
        <is>
          <t>素朴版／単調補間</t>
        </is>
      </c>
      <c r="C651" s="10" t="inlineStr">
        <is>
          <t>2022-02</t>
        </is>
      </c>
      <c r="D651" s="10" t="n">
        <v>11</v>
      </c>
      <c r="E651" s="12" t="n">
        <v>6597.4</v>
      </c>
      <c r="F651" s="12" t="n">
        <v>8831.1</v>
      </c>
      <c r="G651" s="12" t="n">
        <v>-2233.7</v>
      </c>
      <c r="H651" s="13" t="n">
        <v>0.7569</v>
      </c>
      <c r="I651" s="13" t="n">
        <v>0.7925</v>
      </c>
    </row>
    <row r="652">
      <c r="A652" s="10" t="inlineStr">
        <is>
          <t>PJ-2021-D</t>
        </is>
      </c>
      <c r="B652" s="10" t="inlineStr">
        <is>
          <t>素朴版／単調補間</t>
        </is>
      </c>
      <c r="C652" s="10" t="inlineStr">
        <is>
          <t>2022-03</t>
        </is>
      </c>
      <c r="D652" s="10" t="n">
        <v>12</v>
      </c>
      <c r="E652" s="12" t="n">
        <v>7269.4</v>
      </c>
      <c r="F652" s="12" t="n">
        <v>7612.4</v>
      </c>
      <c r="G652" s="12" t="n">
        <v>-343</v>
      </c>
      <c r="H652" s="13" t="n">
        <v>0.8445</v>
      </c>
      <c r="I652" s="13" t="n">
        <v>0.8843</v>
      </c>
    </row>
    <row r="653">
      <c r="A653" s="10" t="inlineStr">
        <is>
          <t>PJ-2021-D</t>
        </is>
      </c>
      <c r="B653" s="10" t="inlineStr">
        <is>
          <t>素朴版／単調補間</t>
        </is>
      </c>
      <c r="C653" s="10" t="inlineStr">
        <is>
          <t>2022-04</t>
        </is>
      </c>
      <c r="D653" s="10" t="n">
        <v>13</v>
      </c>
      <c r="E653" s="12" t="n">
        <v>6294.6</v>
      </c>
      <c r="F653" s="12" t="n">
        <v>4770.5</v>
      </c>
      <c r="G653" s="12" t="n">
        <v>1524.1</v>
      </c>
      <c r="H653" s="13" t="n">
        <v>0.9204</v>
      </c>
      <c r="I653" s="13" t="n">
        <v>0.9419</v>
      </c>
    </row>
    <row r="654">
      <c r="A654" s="10" t="inlineStr">
        <is>
          <t>PJ-2021-D</t>
        </is>
      </c>
      <c r="B654" s="10" t="inlineStr">
        <is>
          <t>素朴版／単調補間</t>
        </is>
      </c>
      <c r="C654" s="10" t="inlineStr">
        <is>
          <t>2022-05</t>
        </is>
      </c>
      <c r="D654" s="10" t="n">
        <v>14</v>
      </c>
      <c r="E654" s="12" t="n">
        <v>4295.8</v>
      </c>
      <c r="F654" s="12" t="n">
        <v>3957</v>
      </c>
      <c r="G654" s="12" t="n">
        <v>338.8</v>
      </c>
      <c r="H654" s="13" t="n">
        <v>0.9723000000000001</v>
      </c>
      <c r="I654" s="13" t="n">
        <v>0.9896</v>
      </c>
    </row>
    <row r="655">
      <c r="A655" s="10" t="inlineStr">
        <is>
          <t>PJ-2021-D</t>
        </is>
      </c>
      <c r="B655" s="10" t="inlineStr">
        <is>
          <t>素朴版／単調補間</t>
        </is>
      </c>
      <c r="C655" s="10" t="inlineStr">
        <is>
          <t>2022-06</t>
        </is>
      </c>
      <c r="D655" s="10" t="n">
        <v>15</v>
      </c>
      <c r="E655" s="12" t="n">
        <v>2300.6</v>
      </c>
      <c r="F655" s="12" t="n">
        <v>864.5</v>
      </c>
      <c r="G655" s="12" t="n">
        <v>1436.1</v>
      </c>
      <c r="H655" s="13" t="n">
        <v>1</v>
      </c>
      <c r="I655" s="13" t="n">
        <v>1</v>
      </c>
    </row>
    <row r="656">
      <c r="A656" s="10" t="inlineStr">
        <is>
          <t>PJ-2021-D</t>
        </is>
      </c>
      <c r="B656" s="10" t="inlineStr">
        <is>
          <t>位置合わせ(MS学習値)／単調補間</t>
        </is>
      </c>
      <c r="C656" s="10" t="inlineStr">
        <is>
          <t>2021-04</t>
        </is>
      </c>
      <c r="D656" s="10" t="n">
        <v>1</v>
      </c>
      <c r="E656" s="12" t="n">
        <v>2135.2</v>
      </c>
      <c r="F656" s="12" t="n">
        <v>3064.9</v>
      </c>
      <c r="G656" s="12" t="n">
        <v>-929.7</v>
      </c>
      <c r="H656" s="13" t="n">
        <v>0.0257</v>
      </c>
      <c r="I656" s="13" t="n">
        <v>0.037</v>
      </c>
    </row>
    <row r="657">
      <c r="A657" s="10" t="inlineStr">
        <is>
          <t>PJ-2021-D</t>
        </is>
      </c>
      <c r="B657" s="10" t="inlineStr">
        <is>
          <t>位置合わせ(MS学習値)／単調補間</t>
        </is>
      </c>
      <c r="C657" s="10" t="inlineStr">
        <is>
          <t>2021-05</t>
        </is>
      </c>
      <c r="D657" s="10" t="n">
        <v>2</v>
      </c>
      <c r="E657" s="12" t="n">
        <v>3091.3</v>
      </c>
      <c r="F657" s="12" t="n">
        <v>3983.2</v>
      </c>
      <c r="G657" s="12" t="n">
        <v>-891.9</v>
      </c>
      <c r="H657" s="13" t="n">
        <v>0.063</v>
      </c>
      <c r="I657" s="13" t="n">
        <v>0.08500000000000001</v>
      </c>
    </row>
    <row r="658">
      <c r="A658" s="10" t="inlineStr">
        <is>
          <t>PJ-2021-D</t>
        </is>
      </c>
      <c r="B658" s="10" t="inlineStr">
        <is>
          <t>位置合わせ(MS学習値)／単調補間</t>
        </is>
      </c>
      <c r="C658" s="10" t="inlineStr">
        <is>
          <t>2021-06</t>
        </is>
      </c>
      <c r="D658" s="10" t="n">
        <v>3</v>
      </c>
      <c r="E658" s="12" t="n">
        <v>3500.4</v>
      </c>
      <c r="F658" s="12" t="n">
        <v>4386.1</v>
      </c>
      <c r="G658" s="12" t="n">
        <v>-885.7</v>
      </c>
      <c r="H658" s="13" t="n">
        <v>0.1052</v>
      </c>
      <c r="I658" s="13" t="n">
        <v>0.1379</v>
      </c>
    </row>
    <row r="659">
      <c r="A659" s="10" t="inlineStr">
        <is>
          <t>PJ-2021-D</t>
        </is>
      </c>
      <c r="B659" s="10" t="inlineStr">
        <is>
          <t>位置合わせ(MS学習値)／単調補間</t>
        </is>
      </c>
      <c r="C659" s="10" t="inlineStr">
        <is>
          <t>2021-07</t>
        </is>
      </c>
      <c r="D659" s="10" t="n">
        <v>4</v>
      </c>
      <c r="E659" s="12" t="n">
        <v>4138.2</v>
      </c>
      <c r="F659" s="12" t="n">
        <v>5071.5</v>
      </c>
      <c r="G659" s="12" t="n">
        <v>-933.3</v>
      </c>
      <c r="H659" s="13" t="n">
        <v>0.1552</v>
      </c>
      <c r="I659" s="13" t="n">
        <v>0.1991</v>
      </c>
    </row>
    <row r="660">
      <c r="A660" s="10" t="inlineStr">
        <is>
          <t>PJ-2021-D</t>
        </is>
      </c>
      <c r="B660" s="10" t="inlineStr">
        <is>
          <t>位置合わせ(MS学習値)／単調補間</t>
        </is>
      </c>
      <c r="C660" s="10" t="inlineStr">
        <is>
          <t>2021-08</t>
        </is>
      </c>
      <c r="D660" s="10" t="n">
        <v>5</v>
      </c>
      <c r="E660" s="12" t="n">
        <v>5087.9</v>
      </c>
      <c r="F660" s="12" t="n">
        <v>5696.5</v>
      </c>
      <c r="G660" s="12" t="n">
        <v>-608.6</v>
      </c>
      <c r="H660" s="13" t="n">
        <v>0.2165</v>
      </c>
      <c r="I660" s="13" t="n">
        <v>0.2678</v>
      </c>
    </row>
    <row r="661">
      <c r="A661" s="10" t="inlineStr">
        <is>
          <t>PJ-2021-D</t>
        </is>
      </c>
      <c r="B661" s="10" t="inlineStr">
        <is>
          <t>位置合わせ(MS学習値)／単調補間</t>
        </is>
      </c>
      <c r="C661" s="10" t="inlineStr">
        <is>
          <t>2021-09</t>
        </is>
      </c>
      <c r="D661" s="10" t="n">
        <v>6</v>
      </c>
      <c r="E661" s="12" t="n">
        <v>6124.6</v>
      </c>
      <c r="F661" s="12" t="n">
        <v>6687.9</v>
      </c>
      <c r="G661" s="12" t="n">
        <v>-563.3</v>
      </c>
      <c r="H661" s="13" t="n">
        <v>0.2904</v>
      </c>
      <c r="I661" s="13" t="n">
        <v>0.3484</v>
      </c>
    </row>
    <row r="662">
      <c r="A662" s="10" t="inlineStr">
        <is>
          <t>PJ-2021-D</t>
        </is>
      </c>
      <c r="B662" s="10" t="inlineStr">
        <is>
          <t>位置合わせ(MS学習値)／単調補間</t>
        </is>
      </c>
      <c r="C662" s="10" t="inlineStr">
        <is>
          <t>2021-10</t>
        </is>
      </c>
      <c r="D662" s="10" t="n">
        <v>7</v>
      </c>
      <c r="E662" s="12" t="n">
        <v>7512.9</v>
      </c>
      <c r="F662" s="12" t="n">
        <v>7608.3</v>
      </c>
      <c r="G662" s="12" t="n">
        <v>-95.40000000000001</v>
      </c>
      <c r="H662" s="13" t="n">
        <v>0.381</v>
      </c>
      <c r="I662" s="13" t="n">
        <v>0.4402</v>
      </c>
    </row>
    <row r="663">
      <c r="A663" s="10" t="inlineStr">
        <is>
          <t>PJ-2021-D</t>
        </is>
      </c>
      <c r="B663" s="10" t="inlineStr">
        <is>
          <t>位置合わせ(MS学習値)／単調補間</t>
        </is>
      </c>
      <c r="C663" s="10" t="inlineStr">
        <is>
          <t>2021-11</t>
        </is>
      </c>
      <c r="D663" s="10" t="n">
        <v>8</v>
      </c>
      <c r="E663" s="12" t="n">
        <v>8171.8</v>
      </c>
      <c r="F663" s="12" t="n">
        <v>6170.4</v>
      </c>
      <c r="G663" s="12" t="n">
        <v>2001.4</v>
      </c>
      <c r="H663" s="13" t="n">
        <v>0.4795</v>
      </c>
      <c r="I663" s="13" t="n">
        <v>0.5145999999999999</v>
      </c>
    </row>
    <row r="664">
      <c r="A664" s="10" t="inlineStr">
        <is>
          <t>PJ-2021-D</t>
        </is>
      </c>
      <c r="B664" s="10" t="inlineStr">
        <is>
          <t>位置合わせ(MS学習値)／単調補間</t>
        </is>
      </c>
      <c r="C664" s="10" t="inlineStr">
        <is>
          <t>2021-12</t>
        </is>
      </c>
      <c r="D664" s="10" t="n">
        <v>9</v>
      </c>
      <c r="E664" s="12" t="n">
        <v>8098.8</v>
      </c>
      <c r="F664" s="12" t="n">
        <v>6196</v>
      </c>
      <c r="G664" s="12" t="n">
        <v>1902.8</v>
      </c>
      <c r="H664" s="13" t="n">
        <v>0.5772</v>
      </c>
      <c r="I664" s="13" t="n">
        <v>0.5893</v>
      </c>
    </row>
    <row r="665">
      <c r="A665" s="10" t="inlineStr">
        <is>
          <t>PJ-2021-D</t>
        </is>
      </c>
      <c r="B665" s="10" t="inlineStr">
        <is>
          <t>位置合わせ(MS学習値)／単調補間</t>
        </is>
      </c>
      <c r="C665" s="10" t="inlineStr">
        <is>
          <t>2022-01</t>
        </is>
      </c>
      <c r="D665" s="10" t="n">
        <v>10</v>
      </c>
      <c r="E665" s="12" t="n">
        <v>8079.6</v>
      </c>
      <c r="F665" s="12" t="n">
        <v>8019.7</v>
      </c>
      <c r="G665" s="12" t="n">
        <v>59.9</v>
      </c>
      <c r="H665" s="13" t="n">
        <v>0.6746</v>
      </c>
      <c r="I665" s="13" t="n">
        <v>0.6860000000000001</v>
      </c>
    </row>
    <row r="666">
      <c r="A666" s="10" t="inlineStr">
        <is>
          <t>PJ-2021-D</t>
        </is>
      </c>
      <c r="B666" s="10" t="inlineStr">
        <is>
          <t>位置合わせ(MS学習値)／単調補間</t>
        </is>
      </c>
      <c r="C666" s="10" t="inlineStr">
        <is>
          <t>2022-02</t>
        </is>
      </c>
      <c r="D666" s="10" t="n">
        <v>11</v>
      </c>
      <c r="E666" s="12" t="n">
        <v>7736.2</v>
      </c>
      <c r="F666" s="12" t="n">
        <v>8831.1</v>
      </c>
      <c r="G666" s="12" t="n">
        <v>-1094.9</v>
      </c>
      <c r="H666" s="13" t="n">
        <v>0.7679</v>
      </c>
      <c r="I666" s="13" t="n">
        <v>0.7925</v>
      </c>
    </row>
    <row r="667">
      <c r="A667" s="10" t="inlineStr">
        <is>
          <t>PJ-2021-D</t>
        </is>
      </c>
      <c r="B667" s="10" t="inlineStr">
        <is>
          <t>位置合わせ(MS学習値)／単調補間</t>
        </is>
      </c>
      <c r="C667" s="10" t="inlineStr">
        <is>
          <t>2022-03</t>
        </is>
      </c>
      <c r="D667" s="10" t="n">
        <v>12</v>
      </c>
      <c r="E667" s="12" t="n">
        <v>7149.8</v>
      </c>
      <c r="F667" s="12" t="n">
        <v>7612.4</v>
      </c>
      <c r="G667" s="12" t="n">
        <v>-462.6</v>
      </c>
      <c r="H667" s="13" t="n">
        <v>0.8542</v>
      </c>
      <c r="I667" s="13" t="n">
        <v>0.8843</v>
      </c>
    </row>
    <row r="668">
      <c r="A668" s="10" t="inlineStr">
        <is>
          <t>PJ-2021-D</t>
        </is>
      </c>
      <c r="B668" s="10" t="inlineStr">
        <is>
          <t>位置合わせ(MS学習値)／単調補間</t>
        </is>
      </c>
      <c r="C668" s="10" t="inlineStr">
        <is>
          <t>2022-04</t>
        </is>
      </c>
      <c r="D668" s="10" t="n">
        <v>13</v>
      </c>
      <c r="E668" s="12" t="n">
        <v>5513.1</v>
      </c>
      <c r="F668" s="12" t="n">
        <v>4770.5</v>
      </c>
      <c r="G668" s="12" t="n">
        <v>742.6</v>
      </c>
      <c r="H668" s="13" t="n">
        <v>0.9206</v>
      </c>
      <c r="I668" s="13" t="n">
        <v>0.9419</v>
      </c>
    </row>
    <row r="669">
      <c r="A669" s="10" t="inlineStr">
        <is>
          <t>PJ-2021-D</t>
        </is>
      </c>
      <c r="B669" s="10" t="inlineStr">
        <is>
          <t>位置合わせ(MS学習値)／単調補間</t>
        </is>
      </c>
      <c r="C669" s="10" t="inlineStr">
        <is>
          <t>2022-05</t>
        </is>
      </c>
      <c r="D669" s="10" t="n">
        <v>14</v>
      </c>
      <c r="E669" s="12" t="n">
        <v>4285.9</v>
      </c>
      <c r="F669" s="12" t="n">
        <v>3957</v>
      </c>
      <c r="G669" s="12" t="n">
        <v>328.9</v>
      </c>
      <c r="H669" s="13" t="n">
        <v>0.9723000000000001</v>
      </c>
      <c r="I669" s="13" t="n">
        <v>0.9896</v>
      </c>
    </row>
    <row r="670">
      <c r="A670" s="10" t="inlineStr">
        <is>
          <t>PJ-2021-D</t>
        </is>
      </c>
      <c r="B670" s="10" t="inlineStr">
        <is>
          <t>位置合わせ(MS学習値)／単調補間</t>
        </is>
      </c>
      <c r="C670" s="10" t="inlineStr">
        <is>
          <t>2022-06</t>
        </is>
      </c>
      <c r="D670" s="10" t="n">
        <v>15</v>
      </c>
      <c r="E670" s="12" t="n">
        <v>2294.1</v>
      </c>
      <c r="F670" s="12" t="n">
        <v>864.5</v>
      </c>
      <c r="G670" s="12" t="n">
        <v>1429.6</v>
      </c>
      <c r="H670" s="13" t="n">
        <v>1</v>
      </c>
      <c r="I670" s="13" t="n">
        <v>1</v>
      </c>
    </row>
    <row r="671">
      <c r="A671" s="10" t="inlineStr">
        <is>
          <t>PJ-2021-D</t>
        </is>
      </c>
      <c r="B671" s="10" t="inlineStr">
        <is>
          <t>位置合わせ(MS指定)／単調補間</t>
        </is>
      </c>
      <c r="C671" s="10" t="inlineStr">
        <is>
          <t>2021-04</t>
        </is>
      </c>
      <c r="D671" s="10" t="n">
        <v>1</v>
      </c>
      <c r="E671" s="12" t="n">
        <v>1730.2</v>
      </c>
      <c r="F671" s="12" t="n">
        <v>3064.9</v>
      </c>
      <c r="G671" s="12" t="n">
        <v>-1334.7</v>
      </c>
      <c r="H671" s="13" t="n">
        <v>0.0209</v>
      </c>
      <c r="I671" s="13" t="n">
        <v>0.037</v>
      </c>
    </row>
    <row r="672">
      <c r="A672" s="10" t="inlineStr">
        <is>
          <t>PJ-2021-D</t>
        </is>
      </c>
      <c r="B672" s="10" t="inlineStr">
        <is>
          <t>位置合わせ(MS指定)／単調補間</t>
        </is>
      </c>
      <c r="C672" s="10" t="inlineStr">
        <is>
          <t>2021-05</t>
        </is>
      </c>
      <c r="D672" s="10" t="n">
        <v>2</v>
      </c>
      <c r="E672" s="12" t="n">
        <v>2486.7</v>
      </c>
      <c r="F672" s="12" t="n">
        <v>3983.2</v>
      </c>
      <c r="G672" s="12" t="n">
        <v>-1496.5</v>
      </c>
      <c r="H672" s="13" t="n">
        <v>0.0509</v>
      </c>
      <c r="I672" s="13" t="n">
        <v>0.08500000000000001</v>
      </c>
    </row>
    <row r="673">
      <c r="A673" s="10" t="inlineStr">
        <is>
          <t>PJ-2021-D</t>
        </is>
      </c>
      <c r="B673" s="10" t="inlineStr">
        <is>
          <t>位置合わせ(MS指定)／単調補間</t>
        </is>
      </c>
      <c r="C673" s="10" t="inlineStr">
        <is>
          <t>2021-06</t>
        </is>
      </c>
      <c r="D673" s="10" t="n">
        <v>3</v>
      </c>
      <c r="E673" s="12" t="n">
        <v>2847.5</v>
      </c>
      <c r="F673" s="12" t="n">
        <v>4386.1</v>
      </c>
      <c r="G673" s="12" t="n">
        <v>-1538.6</v>
      </c>
      <c r="H673" s="13" t="n">
        <v>0.0852</v>
      </c>
      <c r="I673" s="13" t="n">
        <v>0.1379</v>
      </c>
    </row>
    <row r="674">
      <c r="A674" s="10" t="inlineStr">
        <is>
          <t>PJ-2021-D</t>
        </is>
      </c>
      <c r="B674" s="10" t="inlineStr">
        <is>
          <t>位置合わせ(MS指定)／単調補間</t>
        </is>
      </c>
      <c r="C674" s="10" t="inlineStr">
        <is>
          <t>2021-07</t>
        </is>
      </c>
      <c r="D674" s="10" t="n">
        <v>4</v>
      </c>
      <c r="E674" s="12" t="n">
        <v>3175.9</v>
      </c>
      <c r="F674" s="12" t="n">
        <v>5071.5</v>
      </c>
      <c r="G674" s="12" t="n">
        <v>-1895.6</v>
      </c>
      <c r="H674" s="13" t="n">
        <v>0.1235</v>
      </c>
      <c r="I674" s="13" t="n">
        <v>0.1991</v>
      </c>
    </row>
    <row r="675">
      <c r="A675" s="10" t="inlineStr">
        <is>
          <t>PJ-2021-D</t>
        </is>
      </c>
      <c r="B675" s="10" t="inlineStr">
        <is>
          <t>位置合わせ(MS指定)／単調補間</t>
        </is>
      </c>
      <c r="C675" s="10" t="inlineStr">
        <is>
          <t>2021-08</t>
        </is>
      </c>
      <c r="D675" s="10" t="n">
        <v>5</v>
      </c>
      <c r="E675" s="12" t="n">
        <v>3692.5</v>
      </c>
      <c r="F675" s="12" t="n">
        <v>5696.5</v>
      </c>
      <c r="G675" s="12" t="n">
        <v>-2004</v>
      </c>
      <c r="H675" s="13" t="n">
        <v>0.168</v>
      </c>
      <c r="I675" s="13" t="n">
        <v>0.2678</v>
      </c>
    </row>
    <row r="676">
      <c r="A676" s="10" t="inlineStr">
        <is>
          <t>PJ-2021-D</t>
        </is>
      </c>
      <c r="B676" s="10" t="inlineStr">
        <is>
          <t>位置合わせ(MS指定)／単調補間</t>
        </is>
      </c>
      <c r="C676" s="10" t="inlineStr">
        <is>
          <t>2021-09</t>
        </is>
      </c>
      <c r="D676" s="10" t="n">
        <v>6</v>
      </c>
      <c r="E676" s="12" t="n">
        <v>4326.4</v>
      </c>
      <c r="F676" s="12" t="n">
        <v>6687.9</v>
      </c>
      <c r="G676" s="12" t="n">
        <v>-2361.5</v>
      </c>
      <c r="H676" s="13" t="n">
        <v>0.2202</v>
      </c>
      <c r="I676" s="13" t="n">
        <v>0.3484</v>
      </c>
    </row>
    <row r="677">
      <c r="A677" s="10" t="inlineStr">
        <is>
          <t>PJ-2021-D</t>
        </is>
      </c>
      <c r="B677" s="10" t="inlineStr">
        <is>
          <t>位置合わせ(MS指定)／単調補間</t>
        </is>
      </c>
      <c r="C677" s="10" t="inlineStr">
        <is>
          <t>2021-10</t>
        </is>
      </c>
      <c r="D677" s="10" t="n">
        <v>7</v>
      </c>
      <c r="E677" s="12" t="n">
        <v>5317.7</v>
      </c>
      <c r="F677" s="12" t="n">
        <v>7608.3</v>
      </c>
      <c r="G677" s="12" t="n">
        <v>-2290.6</v>
      </c>
      <c r="H677" s="13" t="n">
        <v>0.2843</v>
      </c>
      <c r="I677" s="13" t="n">
        <v>0.4402</v>
      </c>
    </row>
    <row r="678">
      <c r="A678" s="10" t="inlineStr">
        <is>
          <t>PJ-2021-D</t>
        </is>
      </c>
      <c r="B678" s="10" t="inlineStr">
        <is>
          <t>位置合わせ(MS指定)／単調補間</t>
        </is>
      </c>
      <c r="C678" s="10" t="inlineStr">
        <is>
          <t>2021-11</t>
        </is>
      </c>
      <c r="D678" s="10" t="n">
        <v>8</v>
      </c>
      <c r="E678" s="12" t="n">
        <v>5946</v>
      </c>
      <c r="F678" s="12" t="n">
        <v>6170.4</v>
      </c>
      <c r="G678" s="12" t="n">
        <v>-224.4</v>
      </c>
      <c r="H678" s="13" t="n">
        <v>0.356</v>
      </c>
      <c r="I678" s="13" t="n">
        <v>0.5145999999999999</v>
      </c>
    </row>
    <row r="679">
      <c r="A679" s="10" t="inlineStr">
        <is>
          <t>PJ-2021-D</t>
        </is>
      </c>
      <c r="B679" s="10" t="inlineStr">
        <is>
          <t>位置合わせ(MS指定)／単調補間</t>
        </is>
      </c>
      <c r="C679" s="10" t="inlineStr">
        <is>
          <t>2021-12</t>
        </is>
      </c>
      <c r="D679" s="10" t="n">
        <v>9</v>
      </c>
      <c r="E679" s="12" t="n">
        <v>8111.2</v>
      </c>
      <c r="F679" s="12" t="n">
        <v>6196</v>
      </c>
      <c r="G679" s="12" t="n">
        <v>1915.2</v>
      </c>
      <c r="H679" s="13" t="n">
        <v>0.4539</v>
      </c>
      <c r="I679" s="13" t="n">
        <v>0.5893</v>
      </c>
    </row>
    <row r="680">
      <c r="A680" s="10" t="inlineStr">
        <is>
          <t>PJ-2021-D</t>
        </is>
      </c>
      <c r="B680" s="10" t="inlineStr">
        <is>
          <t>位置合わせ(MS指定)／単調補間</t>
        </is>
      </c>
      <c r="C680" s="10" t="inlineStr">
        <is>
          <t>2022-01</t>
        </is>
      </c>
      <c r="D680" s="10" t="n">
        <v>10</v>
      </c>
      <c r="E680" s="12" t="n">
        <v>9339</v>
      </c>
      <c r="F680" s="12" t="n">
        <v>8019.7</v>
      </c>
      <c r="G680" s="12" t="n">
        <v>1319.3</v>
      </c>
      <c r="H680" s="13" t="n">
        <v>0.5665</v>
      </c>
      <c r="I680" s="13" t="n">
        <v>0.6860000000000001</v>
      </c>
    </row>
    <row r="681">
      <c r="A681" s="10" t="inlineStr">
        <is>
          <t>PJ-2021-D</t>
        </is>
      </c>
      <c r="B681" s="10" t="inlineStr">
        <is>
          <t>位置合わせ(MS指定)／単調補間</t>
        </is>
      </c>
      <c r="C681" s="10" t="inlineStr">
        <is>
          <t>2022-02</t>
        </is>
      </c>
      <c r="D681" s="10" t="n">
        <v>11</v>
      </c>
      <c r="E681" s="12" t="n">
        <v>8355.200000000001</v>
      </c>
      <c r="F681" s="12" t="n">
        <v>8831.1</v>
      </c>
      <c r="G681" s="12" t="n">
        <v>-475.9</v>
      </c>
      <c r="H681" s="13" t="n">
        <v>0.6672</v>
      </c>
      <c r="I681" s="13" t="n">
        <v>0.7925</v>
      </c>
    </row>
    <row r="682">
      <c r="A682" s="10" t="inlineStr">
        <is>
          <t>PJ-2021-D</t>
        </is>
      </c>
      <c r="B682" s="10" t="inlineStr">
        <is>
          <t>位置合わせ(MS指定)／単調補間</t>
        </is>
      </c>
      <c r="C682" s="10" t="inlineStr">
        <is>
          <t>2022-03</t>
        </is>
      </c>
      <c r="D682" s="10" t="n">
        <v>12</v>
      </c>
      <c r="E682" s="12" t="n">
        <v>10091</v>
      </c>
      <c r="F682" s="12" t="n">
        <v>7612.4</v>
      </c>
      <c r="G682" s="12" t="n">
        <v>2478.6</v>
      </c>
      <c r="H682" s="13" t="n">
        <v>0.7889</v>
      </c>
      <c r="I682" s="13" t="n">
        <v>0.8843</v>
      </c>
    </row>
    <row r="683">
      <c r="A683" s="10" t="inlineStr">
        <is>
          <t>PJ-2021-D</t>
        </is>
      </c>
      <c r="B683" s="10" t="inlineStr">
        <is>
          <t>位置合わせ(MS指定)／単調補間</t>
        </is>
      </c>
      <c r="C683" s="10" t="inlineStr">
        <is>
          <t>2022-04</t>
        </is>
      </c>
      <c r="D683" s="10" t="n">
        <v>13</v>
      </c>
      <c r="E683" s="12" t="n">
        <v>9296.6</v>
      </c>
      <c r="F683" s="12" t="n">
        <v>4770.5</v>
      </c>
      <c r="G683" s="12" t="n">
        <v>4526.1</v>
      </c>
      <c r="H683" s="13" t="n">
        <v>0.9011</v>
      </c>
      <c r="I683" s="13" t="n">
        <v>0.9419</v>
      </c>
    </row>
    <row r="684">
      <c r="A684" s="10" t="inlineStr">
        <is>
          <t>PJ-2021-D</t>
        </is>
      </c>
      <c r="B684" s="10" t="inlineStr">
        <is>
          <t>位置合わせ(MS指定)／単調補間</t>
        </is>
      </c>
      <c r="C684" s="10" t="inlineStr">
        <is>
          <t>2022-05</t>
        </is>
      </c>
      <c r="D684" s="10" t="n">
        <v>14</v>
      </c>
      <c r="E684" s="12" t="n">
        <v>6006.7</v>
      </c>
      <c r="F684" s="12" t="n">
        <v>3957</v>
      </c>
      <c r="G684" s="12" t="n">
        <v>2049.7</v>
      </c>
      <c r="H684" s="13" t="n">
        <v>0.9735</v>
      </c>
      <c r="I684" s="13" t="n">
        <v>0.9896</v>
      </c>
    </row>
    <row r="685">
      <c r="A685" s="10" t="inlineStr">
        <is>
          <t>PJ-2021-D</t>
        </is>
      </c>
      <c r="B685" s="10" t="inlineStr">
        <is>
          <t>位置合わせ(MS指定)／単調補間</t>
        </is>
      </c>
      <c r="C685" s="10" t="inlineStr">
        <is>
          <t>2022-06</t>
        </is>
      </c>
      <c r="D685" s="10" t="n">
        <v>15</v>
      </c>
      <c r="E685" s="12" t="n">
        <v>2197.4</v>
      </c>
      <c r="F685" s="12" t="n">
        <v>864.5</v>
      </c>
      <c r="G685" s="12" t="n">
        <v>1332.9</v>
      </c>
      <c r="H685" s="13" t="n">
        <v>1</v>
      </c>
      <c r="I685" s="13" t="n">
        <v>1</v>
      </c>
    </row>
    <row r="686">
      <c r="A686" s="10" t="inlineStr">
        <is>
          <t>PJ-2021-E</t>
        </is>
      </c>
      <c r="B686" s="10" t="inlineStr">
        <is>
          <t>素朴版／月内均等</t>
        </is>
      </c>
      <c r="C686" s="10" t="inlineStr">
        <is>
          <t>2021-01</t>
        </is>
      </c>
      <c r="D686" s="10" t="n">
        <v>1</v>
      </c>
      <c r="E686" s="12" t="n">
        <v>5511.4</v>
      </c>
      <c r="F686" s="12" t="n">
        <v>2212.8</v>
      </c>
      <c r="G686" s="12" t="n">
        <v>3298.6</v>
      </c>
      <c r="H686" s="13" t="n">
        <v>0.0114</v>
      </c>
      <c r="I686" s="13" t="n">
        <v>0.0046</v>
      </c>
    </row>
    <row r="687">
      <c r="A687" s="10" t="inlineStr">
        <is>
          <t>PJ-2021-E</t>
        </is>
      </c>
      <c r="B687" s="10" t="inlineStr">
        <is>
          <t>素朴版／月内均等</t>
        </is>
      </c>
      <c r="C687" s="10" t="inlineStr">
        <is>
          <t>2021-02</t>
        </is>
      </c>
      <c r="D687" s="10" t="n">
        <v>2</v>
      </c>
      <c r="E687" s="12" t="n">
        <v>5762.7</v>
      </c>
      <c r="F687" s="12" t="n">
        <v>3289.4</v>
      </c>
      <c r="G687" s="12" t="n">
        <v>2473.3</v>
      </c>
      <c r="H687" s="13" t="n">
        <v>0.0234</v>
      </c>
      <c r="I687" s="13" t="n">
        <v>0.0114</v>
      </c>
    </row>
    <row r="688">
      <c r="A688" s="10" t="inlineStr">
        <is>
          <t>PJ-2021-E</t>
        </is>
      </c>
      <c r="B688" s="10" t="inlineStr">
        <is>
          <t>素朴版／月内均等</t>
        </is>
      </c>
      <c r="C688" s="10" t="inlineStr">
        <is>
          <t>2021-03</t>
        </is>
      </c>
      <c r="D688" s="10" t="n">
        <v>3</v>
      </c>
      <c r="E688" s="12" t="n">
        <v>7497.3</v>
      </c>
      <c r="F688" s="12" t="n">
        <v>4610.7</v>
      </c>
      <c r="G688" s="12" t="n">
        <v>2886.6</v>
      </c>
      <c r="H688" s="13" t="n">
        <v>0.0389</v>
      </c>
      <c r="I688" s="13" t="n">
        <v>0.021</v>
      </c>
    </row>
    <row r="689">
      <c r="A689" s="10" t="inlineStr">
        <is>
          <t>PJ-2021-E</t>
        </is>
      </c>
      <c r="B689" s="10" t="inlineStr">
        <is>
          <t>素朴版／月内均等</t>
        </is>
      </c>
      <c r="C689" s="10" t="inlineStr">
        <is>
          <t>2021-04</t>
        </is>
      </c>
      <c r="D689" s="10" t="n">
        <v>4</v>
      </c>
      <c r="E689" s="12" t="n">
        <v>7705.2</v>
      </c>
      <c r="F689" s="12" t="n">
        <v>5392.8</v>
      </c>
      <c r="G689" s="12" t="n">
        <v>2312.4</v>
      </c>
      <c r="H689" s="13" t="n">
        <v>0.0549</v>
      </c>
      <c r="I689" s="13" t="n">
        <v>0.0322</v>
      </c>
    </row>
    <row r="690">
      <c r="A690" s="10" t="inlineStr">
        <is>
          <t>PJ-2021-E</t>
        </is>
      </c>
      <c r="B690" s="10" t="inlineStr">
        <is>
          <t>素朴版／月内均等</t>
        </is>
      </c>
      <c r="C690" s="10" t="inlineStr">
        <is>
          <t>2021-05</t>
        </is>
      </c>
      <c r="D690" s="10" t="n">
        <v>5</v>
      </c>
      <c r="E690" s="12" t="n">
        <v>8723</v>
      </c>
      <c r="F690" s="12" t="n">
        <v>5875.1</v>
      </c>
      <c r="G690" s="12" t="n">
        <v>2847.9</v>
      </c>
      <c r="H690" s="13" t="n">
        <v>0.073</v>
      </c>
      <c r="I690" s="13" t="n">
        <v>0.0443</v>
      </c>
    </row>
    <row r="691">
      <c r="A691" s="10" t="inlineStr">
        <is>
          <t>PJ-2021-E</t>
        </is>
      </c>
      <c r="B691" s="10" t="inlineStr">
        <is>
          <t>素朴版／月内均等</t>
        </is>
      </c>
      <c r="C691" s="10" t="inlineStr">
        <is>
          <t>2021-06</t>
        </is>
      </c>
      <c r="D691" s="10" t="n">
        <v>6</v>
      </c>
      <c r="E691" s="12" t="n">
        <v>9062.799999999999</v>
      </c>
      <c r="F691" s="12" t="n">
        <v>6664.2</v>
      </c>
      <c r="G691" s="12" t="n">
        <v>2398.6</v>
      </c>
      <c r="H691" s="13" t="n">
        <v>0.09180000000000001</v>
      </c>
      <c r="I691" s="13" t="n">
        <v>0.0582</v>
      </c>
    </row>
    <row r="692">
      <c r="A692" s="10" t="inlineStr">
        <is>
          <t>PJ-2021-E</t>
        </is>
      </c>
      <c r="B692" s="10" t="inlineStr">
        <is>
          <t>素朴版／月内均等</t>
        </is>
      </c>
      <c r="C692" s="10" t="inlineStr">
        <is>
          <t>2021-07</t>
        </is>
      </c>
      <c r="D692" s="10" t="n">
        <v>7</v>
      </c>
      <c r="E692" s="12" t="n">
        <v>9471.6</v>
      </c>
      <c r="F692" s="12" t="n">
        <v>7114.2</v>
      </c>
      <c r="G692" s="12" t="n">
        <v>2357.4</v>
      </c>
      <c r="H692" s="13" t="n">
        <v>0.1114</v>
      </c>
      <c r="I692" s="13" t="n">
        <v>0.07290000000000001</v>
      </c>
    </row>
    <row r="693">
      <c r="A693" s="10" t="inlineStr">
        <is>
          <t>PJ-2021-E</t>
        </is>
      </c>
      <c r="B693" s="10" t="inlineStr">
        <is>
          <t>素朴版／月内均等</t>
        </is>
      </c>
      <c r="C693" s="10" t="inlineStr">
        <is>
          <t>2021-08</t>
        </is>
      </c>
      <c r="D693" s="10" t="n">
        <v>8</v>
      </c>
      <c r="E693" s="12" t="n">
        <v>9937.5</v>
      </c>
      <c r="F693" s="12" t="n">
        <v>7159.8</v>
      </c>
      <c r="G693" s="12" t="n">
        <v>2777.7</v>
      </c>
      <c r="H693" s="13" t="n">
        <v>0.1321</v>
      </c>
      <c r="I693" s="13" t="n">
        <v>0.0878</v>
      </c>
    </row>
    <row r="694">
      <c r="A694" s="10" t="inlineStr">
        <is>
          <t>PJ-2021-E</t>
        </is>
      </c>
      <c r="B694" s="10" t="inlineStr">
        <is>
          <t>素朴版／月内均等</t>
        </is>
      </c>
      <c r="C694" s="10" t="inlineStr">
        <is>
          <t>2021-09</t>
        </is>
      </c>
      <c r="D694" s="10" t="n">
        <v>9</v>
      </c>
      <c r="E694" s="12" t="n">
        <v>10455.2</v>
      </c>
      <c r="F694" s="12" t="n">
        <v>7725.3</v>
      </c>
      <c r="G694" s="12" t="n">
        <v>2729.9</v>
      </c>
      <c r="H694" s="13" t="n">
        <v>0.1537</v>
      </c>
      <c r="I694" s="13" t="n">
        <v>0.1038</v>
      </c>
    </row>
    <row r="695">
      <c r="A695" s="10" t="inlineStr">
        <is>
          <t>PJ-2021-E</t>
        </is>
      </c>
      <c r="B695" s="10" t="inlineStr">
        <is>
          <t>素朴版／月内均等</t>
        </is>
      </c>
      <c r="C695" s="10" t="inlineStr">
        <is>
          <t>2021-10</t>
        </is>
      </c>
      <c r="D695" s="10" t="n">
        <v>10</v>
      </c>
      <c r="E695" s="12" t="n">
        <v>11623.3</v>
      </c>
      <c r="F695" s="12" t="n">
        <v>11396.5</v>
      </c>
      <c r="G695" s="12" t="n">
        <v>226.8</v>
      </c>
      <c r="H695" s="13" t="n">
        <v>0.1778</v>
      </c>
      <c r="I695" s="13" t="n">
        <v>0.1274</v>
      </c>
    </row>
    <row r="696">
      <c r="A696" s="10" t="inlineStr">
        <is>
          <t>PJ-2021-E</t>
        </is>
      </c>
      <c r="B696" s="10" t="inlineStr">
        <is>
          <t>素朴版／月内均等</t>
        </is>
      </c>
      <c r="C696" s="10" t="inlineStr">
        <is>
          <t>2021-11</t>
        </is>
      </c>
      <c r="D696" s="10" t="n">
        <v>11</v>
      </c>
      <c r="E696" s="12" t="n">
        <v>12119.4</v>
      </c>
      <c r="F696" s="12" t="n">
        <v>22707.4</v>
      </c>
      <c r="G696" s="12" t="n">
        <v>-10588</v>
      </c>
      <c r="H696" s="13" t="n">
        <v>0.203</v>
      </c>
      <c r="I696" s="13" t="n">
        <v>0.1745</v>
      </c>
    </row>
    <row r="697">
      <c r="A697" s="10" t="inlineStr">
        <is>
          <t>PJ-2021-E</t>
        </is>
      </c>
      <c r="B697" s="10" t="inlineStr">
        <is>
          <t>素朴版／月内均等</t>
        </is>
      </c>
      <c r="C697" s="10" t="inlineStr">
        <is>
          <t>2021-12</t>
        </is>
      </c>
      <c r="D697" s="10" t="n">
        <v>12</v>
      </c>
      <c r="E697" s="12" t="n">
        <v>13370.5</v>
      </c>
      <c r="F697" s="12" t="n">
        <v>24332.8</v>
      </c>
      <c r="G697" s="12" t="n">
        <v>-10962.3</v>
      </c>
      <c r="H697" s="13" t="n">
        <v>0.2307</v>
      </c>
      <c r="I697" s="13" t="n">
        <v>0.225</v>
      </c>
    </row>
    <row r="698">
      <c r="A698" s="10" t="inlineStr">
        <is>
          <t>PJ-2021-E</t>
        </is>
      </c>
      <c r="B698" s="10" t="inlineStr">
        <is>
          <t>素朴版／月内均等</t>
        </is>
      </c>
      <c r="C698" s="10" t="inlineStr">
        <is>
          <t>2022-01</t>
        </is>
      </c>
      <c r="D698" s="10" t="n">
        <v>13</v>
      </c>
      <c r="E698" s="12" t="n">
        <v>14081.6</v>
      </c>
      <c r="F698" s="12" t="n">
        <v>28940.1</v>
      </c>
      <c r="G698" s="12" t="n">
        <v>-14858.5</v>
      </c>
      <c r="H698" s="13" t="n">
        <v>0.2599</v>
      </c>
      <c r="I698" s="13" t="n">
        <v>0.285</v>
      </c>
    </row>
    <row r="699">
      <c r="A699" s="10" t="inlineStr">
        <is>
          <t>PJ-2021-E</t>
        </is>
      </c>
      <c r="B699" s="10" t="inlineStr">
        <is>
          <t>素朴版／月内均等</t>
        </is>
      </c>
      <c r="C699" s="10" t="inlineStr">
        <is>
          <t>2022-02</t>
        </is>
      </c>
      <c r="D699" s="10" t="n">
        <v>14</v>
      </c>
      <c r="E699" s="12" t="n">
        <v>13251.3</v>
      </c>
      <c r="F699" s="12" t="n">
        <v>28533.6</v>
      </c>
      <c r="G699" s="12" t="n">
        <v>-15282.3</v>
      </c>
      <c r="H699" s="13" t="n">
        <v>0.2874</v>
      </c>
      <c r="I699" s="13" t="n">
        <v>0.3442</v>
      </c>
    </row>
    <row r="700">
      <c r="A700" s="10" t="inlineStr">
        <is>
          <t>PJ-2021-E</t>
        </is>
      </c>
      <c r="B700" s="10" t="inlineStr">
        <is>
          <t>素朴版／月内均等</t>
        </is>
      </c>
      <c r="C700" s="10" t="inlineStr">
        <is>
          <t>2022-03</t>
        </is>
      </c>
      <c r="D700" s="10" t="n">
        <v>15</v>
      </c>
      <c r="E700" s="12" t="n">
        <v>15847.8</v>
      </c>
      <c r="F700" s="12" t="n">
        <v>39513.1</v>
      </c>
      <c r="G700" s="12" t="n">
        <v>-23665.3</v>
      </c>
      <c r="H700" s="13" t="n">
        <v>0.3203</v>
      </c>
      <c r="I700" s="13" t="n">
        <v>0.4261</v>
      </c>
    </row>
    <row r="701">
      <c r="A701" s="10" t="inlineStr">
        <is>
          <t>PJ-2021-E</t>
        </is>
      </c>
      <c r="B701" s="10" t="inlineStr">
        <is>
          <t>素朴版／月内均等</t>
        </is>
      </c>
      <c r="C701" s="10" t="inlineStr">
        <is>
          <t>2022-04</t>
        </is>
      </c>
      <c r="D701" s="10" t="n">
        <v>16</v>
      </c>
      <c r="E701" s="12" t="n">
        <v>15327.2</v>
      </c>
      <c r="F701" s="12" t="n">
        <v>20968.4</v>
      </c>
      <c r="G701" s="12" t="n">
        <v>-5641.2</v>
      </c>
      <c r="H701" s="13" t="n">
        <v>0.3521</v>
      </c>
      <c r="I701" s="13" t="n">
        <v>0.4696</v>
      </c>
    </row>
    <row r="702">
      <c r="A702" s="10" t="inlineStr">
        <is>
          <t>PJ-2021-E</t>
        </is>
      </c>
      <c r="B702" s="10" t="inlineStr">
        <is>
          <t>素朴版／月内均等</t>
        </is>
      </c>
      <c r="C702" s="10" t="inlineStr">
        <is>
          <t>2022-05</t>
        </is>
      </c>
      <c r="D702" s="10" t="n">
        <v>17</v>
      </c>
      <c r="E702" s="12" t="n">
        <v>16076.4</v>
      </c>
      <c r="F702" s="12" t="n">
        <v>18133.4</v>
      </c>
      <c r="G702" s="12" t="n">
        <v>-2057</v>
      </c>
      <c r="H702" s="13" t="n">
        <v>0.3854</v>
      </c>
      <c r="I702" s="13" t="n">
        <v>0.5072</v>
      </c>
    </row>
    <row r="703">
      <c r="A703" s="10" t="inlineStr">
        <is>
          <t>PJ-2021-E</t>
        </is>
      </c>
      <c r="B703" s="10" t="inlineStr">
        <is>
          <t>素朴版／月内均等</t>
        </is>
      </c>
      <c r="C703" s="10" t="inlineStr">
        <is>
          <t>2022-06</t>
        </is>
      </c>
      <c r="D703" s="10" t="n">
        <v>18</v>
      </c>
      <c r="E703" s="12" t="n">
        <v>15281.9</v>
      </c>
      <c r="F703" s="12" t="n">
        <v>15271.7</v>
      </c>
      <c r="G703" s="12" t="n">
        <v>10.2</v>
      </c>
      <c r="H703" s="13" t="n">
        <v>0.4171</v>
      </c>
      <c r="I703" s="13" t="n">
        <v>0.5389</v>
      </c>
    </row>
    <row r="704">
      <c r="A704" s="10" t="inlineStr">
        <is>
          <t>PJ-2021-E</t>
        </is>
      </c>
      <c r="B704" s="10" t="inlineStr">
        <is>
          <t>素朴版／月内均等</t>
        </is>
      </c>
      <c r="C704" s="10" t="inlineStr">
        <is>
          <t>2022-07</t>
        </is>
      </c>
      <c r="D704" s="10" t="n">
        <v>19</v>
      </c>
      <c r="E704" s="12" t="n">
        <v>18444.5</v>
      </c>
      <c r="F704" s="12" t="n">
        <v>16417.5</v>
      </c>
      <c r="G704" s="12" t="n">
        <v>2027</v>
      </c>
      <c r="H704" s="13" t="n">
        <v>0.4554</v>
      </c>
      <c r="I704" s="13" t="n">
        <v>0.573</v>
      </c>
    </row>
    <row r="705">
      <c r="A705" s="10" t="inlineStr">
        <is>
          <t>PJ-2021-E</t>
        </is>
      </c>
      <c r="B705" s="10" t="inlineStr">
        <is>
          <t>素朴版／月内均等</t>
        </is>
      </c>
      <c r="C705" s="10" t="inlineStr">
        <is>
          <t>2022-08</t>
        </is>
      </c>
      <c r="D705" s="10" t="n">
        <v>20</v>
      </c>
      <c r="E705" s="12" t="n">
        <v>19282.7</v>
      </c>
      <c r="F705" s="12" t="n">
        <v>14656</v>
      </c>
      <c r="G705" s="12" t="n">
        <v>4626.7</v>
      </c>
      <c r="H705" s="13" t="n">
        <v>0.4954</v>
      </c>
      <c r="I705" s="13" t="n">
        <v>0.6034</v>
      </c>
    </row>
    <row r="706">
      <c r="A706" s="10" t="inlineStr">
        <is>
          <t>PJ-2021-E</t>
        </is>
      </c>
      <c r="B706" s="10" t="inlineStr">
        <is>
          <t>素朴版／月内均等</t>
        </is>
      </c>
      <c r="C706" s="10" t="inlineStr">
        <is>
          <t>2022-09</t>
        </is>
      </c>
      <c r="D706" s="10" t="n">
        <v>21</v>
      </c>
      <c r="E706" s="12" t="n">
        <v>18940.5</v>
      </c>
      <c r="F706" s="12" t="n">
        <v>13886.2</v>
      </c>
      <c r="G706" s="12" t="n">
        <v>5054.3</v>
      </c>
      <c r="H706" s="13" t="n">
        <v>0.5346</v>
      </c>
      <c r="I706" s="13" t="n">
        <v>0.6322</v>
      </c>
    </row>
    <row r="707">
      <c r="A707" s="10" t="inlineStr">
        <is>
          <t>PJ-2021-E</t>
        </is>
      </c>
      <c r="B707" s="10" t="inlineStr">
        <is>
          <t>素朴版／月内均等</t>
        </is>
      </c>
      <c r="C707" s="10" t="inlineStr">
        <is>
          <t>2022-10</t>
        </is>
      </c>
      <c r="D707" s="10" t="n">
        <v>22</v>
      </c>
      <c r="E707" s="12" t="n">
        <v>21068.6</v>
      </c>
      <c r="F707" s="12" t="n">
        <v>13614.7</v>
      </c>
      <c r="G707" s="12" t="n">
        <v>7453.9</v>
      </c>
      <c r="H707" s="13" t="n">
        <v>0.5783</v>
      </c>
      <c r="I707" s="13" t="n">
        <v>0.6604</v>
      </c>
    </row>
    <row r="708">
      <c r="A708" s="10" t="inlineStr">
        <is>
          <t>PJ-2021-E</t>
        </is>
      </c>
      <c r="B708" s="10" t="inlineStr">
        <is>
          <t>素朴版／月内均等</t>
        </is>
      </c>
      <c r="C708" s="10" t="inlineStr">
        <is>
          <t>2022-11</t>
        </is>
      </c>
      <c r="D708" s="10" t="n">
        <v>23</v>
      </c>
      <c r="E708" s="12" t="n">
        <v>20818.4</v>
      </c>
      <c r="F708" s="12" t="n">
        <v>14580.3</v>
      </c>
      <c r="G708" s="12" t="n">
        <v>6238.1</v>
      </c>
      <c r="H708" s="13" t="n">
        <v>0.6215000000000001</v>
      </c>
      <c r="I708" s="13" t="n">
        <v>0.6906</v>
      </c>
    </row>
    <row r="709">
      <c r="A709" s="10" t="inlineStr">
        <is>
          <t>PJ-2021-E</t>
        </is>
      </c>
      <c r="B709" s="10" t="inlineStr">
        <is>
          <t>素朴版／月内均等</t>
        </is>
      </c>
      <c r="C709" s="10" t="inlineStr">
        <is>
          <t>2022-12</t>
        </is>
      </c>
      <c r="D709" s="10" t="n">
        <v>24</v>
      </c>
      <c r="E709" s="12" t="n">
        <v>20842.1</v>
      </c>
      <c r="F709" s="12" t="n">
        <v>15865.3</v>
      </c>
      <c r="G709" s="12" t="n">
        <v>4976.8</v>
      </c>
      <c r="H709" s="13" t="n">
        <v>0.6647</v>
      </c>
      <c r="I709" s="13" t="n">
        <v>0.7236</v>
      </c>
    </row>
    <row r="710">
      <c r="A710" s="10" t="inlineStr">
        <is>
          <t>PJ-2021-E</t>
        </is>
      </c>
      <c r="B710" s="10" t="inlineStr">
        <is>
          <t>素朴版／月内均等</t>
        </is>
      </c>
      <c r="C710" s="10" t="inlineStr">
        <is>
          <t>2023-01</t>
        </is>
      </c>
      <c r="D710" s="10" t="n">
        <v>25</v>
      </c>
      <c r="E710" s="12" t="n">
        <v>18668.5</v>
      </c>
      <c r="F710" s="12" t="n">
        <v>18226.2</v>
      </c>
      <c r="G710" s="12" t="n">
        <v>442.3</v>
      </c>
      <c r="H710" s="13" t="n">
        <v>0.7035</v>
      </c>
      <c r="I710" s="13" t="n">
        <v>0.7614</v>
      </c>
    </row>
    <row r="711">
      <c r="A711" s="10" t="inlineStr">
        <is>
          <t>PJ-2021-E</t>
        </is>
      </c>
      <c r="B711" s="10" t="inlineStr">
        <is>
          <t>素朴版／月内均等</t>
        </is>
      </c>
      <c r="C711" s="10" t="inlineStr">
        <is>
          <t>2023-02</t>
        </is>
      </c>
      <c r="D711" s="10" t="n">
        <v>26</v>
      </c>
      <c r="E711" s="12" t="n">
        <v>16354.3</v>
      </c>
      <c r="F711" s="12" t="n">
        <v>17827.1</v>
      </c>
      <c r="G711" s="12" t="n">
        <v>-1472.8</v>
      </c>
      <c r="H711" s="13" t="n">
        <v>0.7374000000000001</v>
      </c>
      <c r="I711" s="13" t="n">
        <v>0.7983</v>
      </c>
    </row>
    <row r="712">
      <c r="A712" s="10" t="inlineStr">
        <is>
          <t>PJ-2021-E</t>
        </is>
      </c>
      <c r="B712" s="10" t="inlineStr">
        <is>
          <t>素朴版／月内均等</t>
        </is>
      </c>
      <c r="C712" s="10" t="inlineStr">
        <is>
          <t>2023-03</t>
        </is>
      </c>
      <c r="D712" s="10" t="n">
        <v>27</v>
      </c>
      <c r="E712" s="12" t="n">
        <v>16733.7</v>
      </c>
      <c r="F712" s="12" t="n">
        <v>22013.8</v>
      </c>
      <c r="G712" s="12" t="n">
        <v>-5280.1</v>
      </c>
      <c r="H712" s="13" t="n">
        <v>0.7721</v>
      </c>
      <c r="I712" s="13" t="n">
        <v>0.844</v>
      </c>
    </row>
    <row r="713">
      <c r="A713" s="10" t="inlineStr">
        <is>
          <t>PJ-2021-E</t>
        </is>
      </c>
      <c r="B713" s="10" t="inlineStr">
        <is>
          <t>素朴版／月内均等</t>
        </is>
      </c>
      <c r="C713" s="10" t="inlineStr">
        <is>
          <t>2023-04</t>
        </is>
      </c>
      <c r="D713" s="10" t="n">
        <v>28</v>
      </c>
      <c r="E713" s="12" t="n">
        <v>16776</v>
      </c>
      <c r="F713" s="12" t="n">
        <v>17769.7</v>
      </c>
      <c r="G713" s="12" t="n">
        <v>-993.7</v>
      </c>
      <c r="H713" s="13" t="n">
        <v>0.8069</v>
      </c>
      <c r="I713" s="13" t="n">
        <v>0.8808</v>
      </c>
    </row>
    <row r="714">
      <c r="A714" s="10" t="inlineStr">
        <is>
          <t>PJ-2021-E</t>
        </is>
      </c>
      <c r="B714" s="10" t="inlineStr">
        <is>
          <t>素朴版／月内均等</t>
        </is>
      </c>
      <c r="C714" s="10" t="inlineStr">
        <is>
          <t>2023-05</t>
        </is>
      </c>
      <c r="D714" s="10" t="n">
        <v>29</v>
      </c>
      <c r="E714" s="12" t="n">
        <v>18079.6</v>
      </c>
      <c r="F714" s="12" t="n">
        <v>15747.8</v>
      </c>
      <c r="G714" s="12" t="n">
        <v>2331.8</v>
      </c>
      <c r="H714" s="13" t="n">
        <v>0.8444</v>
      </c>
      <c r="I714" s="13" t="n">
        <v>0.9135</v>
      </c>
    </row>
    <row r="715">
      <c r="A715" s="10" t="inlineStr">
        <is>
          <t>PJ-2021-E</t>
        </is>
      </c>
      <c r="B715" s="10" t="inlineStr">
        <is>
          <t>素朴版／月内均等</t>
        </is>
      </c>
      <c r="C715" s="10" t="inlineStr">
        <is>
          <t>2023-06</t>
        </is>
      </c>
      <c r="D715" s="10" t="n">
        <v>30</v>
      </c>
      <c r="E715" s="12" t="n">
        <v>16527.1</v>
      </c>
      <c r="F715" s="12" t="n">
        <v>11049.5</v>
      </c>
      <c r="G715" s="12" t="n">
        <v>5477.6</v>
      </c>
      <c r="H715" s="13" t="n">
        <v>0.8787</v>
      </c>
      <c r="I715" s="13" t="n">
        <v>0.9364</v>
      </c>
    </row>
    <row r="716">
      <c r="A716" s="10" t="inlineStr">
        <is>
          <t>PJ-2021-E</t>
        </is>
      </c>
      <c r="B716" s="10" t="inlineStr">
        <is>
          <t>素朴版／月内均等</t>
        </is>
      </c>
      <c r="C716" s="10" t="inlineStr">
        <is>
          <t>2023-07</t>
        </is>
      </c>
      <c r="D716" s="10" t="n">
        <v>31</v>
      </c>
      <c r="E716" s="12" t="n">
        <v>14834.9</v>
      </c>
      <c r="F716" s="12" t="n">
        <v>10147.8</v>
      </c>
      <c r="G716" s="12" t="n">
        <v>4687.1</v>
      </c>
      <c r="H716" s="13" t="n">
        <v>0.9094</v>
      </c>
      <c r="I716" s="13" t="n">
        <v>0.9575</v>
      </c>
    </row>
    <row r="717">
      <c r="A717" s="10" t="inlineStr">
        <is>
          <t>PJ-2021-E</t>
        </is>
      </c>
      <c r="B717" s="10" t="inlineStr">
        <is>
          <t>素朴版／月内均等</t>
        </is>
      </c>
      <c r="C717" s="10" t="inlineStr">
        <is>
          <t>2023-08</t>
        </is>
      </c>
      <c r="D717" s="10" t="n">
        <v>32</v>
      </c>
      <c r="E717" s="12" t="n">
        <v>12351.3</v>
      </c>
      <c r="F717" s="12" t="n">
        <v>8637.799999999999</v>
      </c>
      <c r="G717" s="12" t="n">
        <v>3713.5</v>
      </c>
      <c r="H717" s="13" t="n">
        <v>0.9350000000000001</v>
      </c>
      <c r="I717" s="13" t="n">
        <v>0.9754</v>
      </c>
    </row>
    <row r="718">
      <c r="A718" s="10" t="inlineStr">
        <is>
          <t>PJ-2021-E</t>
        </is>
      </c>
      <c r="B718" s="10" t="inlineStr">
        <is>
          <t>素朴版／月内均等</t>
        </is>
      </c>
      <c r="C718" s="10" t="inlineStr">
        <is>
          <t>2023-09</t>
        </is>
      </c>
      <c r="D718" s="10" t="n">
        <v>33</v>
      </c>
      <c r="E718" s="12" t="n">
        <v>10186.5</v>
      </c>
      <c r="F718" s="12" t="n">
        <v>5590.1</v>
      </c>
      <c r="G718" s="12" t="n">
        <v>4596.4</v>
      </c>
      <c r="H718" s="13" t="n">
        <v>0.9562</v>
      </c>
      <c r="I718" s="13" t="n">
        <v>0.987</v>
      </c>
    </row>
    <row r="719">
      <c r="A719" s="10" t="inlineStr">
        <is>
          <t>PJ-2021-E</t>
        </is>
      </c>
      <c r="B719" s="10" t="inlineStr">
        <is>
          <t>素朴版／月内均等</t>
        </is>
      </c>
      <c r="C719" s="10" t="inlineStr">
        <is>
          <t>2023-10</t>
        </is>
      </c>
      <c r="D719" s="10" t="n">
        <v>34</v>
      </c>
      <c r="E719" s="12" t="n">
        <v>9682.700000000001</v>
      </c>
      <c r="F719" s="12" t="n">
        <v>3746.3</v>
      </c>
      <c r="G719" s="12" t="n">
        <v>5936.4</v>
      </c>
      <c r="H719" s="13" t="n">
        <v>0.9762</v>
      </c>
      <c r="I719" s="13" t="n">
        <v>0.9947</v>
      </c>
    </row>
    <row r="720">
      <c r="A720" s="10" t="inlineStr">
        <is>
          <t>PJ-2021-E</t>
        </is>
      </c>
      <c r="B720" s="10" t="inlineStr">
        <is>
          <t>素朴版／月内均等</t>
        </is>
      </c>
      <c r="C720" s="10" t="inlineStr">
        <is>
          <t>2023-11</t>
        </is>
      </c>
      <c r="D720" s="10" t="n">
        <v>35</v>
      </c>
      <c r="E720" s="12" t="n">
        <v>6715.7</v>
      </c>
      <c r="F720" s="12" t="n">
        <v>1912.1</v>
      </c>
      <c r="G720" s="12" t="n">
        <v>4803.6</v>
      </c>
      <c r="H720" s="13" t="n">
        <v>0.9902</v>
      </c>
      <c r="I720" s="13" t="n">
        <v>0.9987</v>
      </c>
    </row>
    <row r="721">
      <c r="A721" s="10" t="inlineStr">
        <is>
          <t>PJ-2021-E</t>
        </is>
      </c>
      <c r="B721" s="10" t="inlineStr">
        <is>
          <t>素朴版／月内均等</t>
        </is>
      </c>
      <c r="C721" s="10" t="inlineStr">
        <is>
          <t>2023-12</t>
        </is>
      </c>
      <c r="D721" s="10" t="n">
        <v>36</v>
      </c>
      <c r="E721" s="12" t="n">
        <v>4737.2</v>
      </c>
      <c r="F721" s="12" t="n">
        <v>620.9</v>
      </c>
      <c r="G721" s="12" t="n">
        <v>4116.3</v>
      </c>
      <c r="H721" s="13" t="n">
        <v>1</v>
      </c>
      <c r="I721" s="13" t="n">
        <v>1</v>
      </c>
    </row>
    <row r="722">
      <c r="A722" s="10" t="inlineStr">
        <is>
          <t>PJ-2021-E</t>
        </is>
      </c>
      <c r="B722" s="10" t="inlineStr">
        <is>
          <t>位置合わせ(MS学習値)／月内均等</t>
        </is>
      </c>
      <c r="C722" s="10" t="inlineStr">
        <is>
          <t>2021-01</t>
        </is>
      </c>
      <c r="D722" s="10" t="n">
        <v>1</v>
      </c>
      <c r="E722" s="12" t="n">
        <v>5482.4</v>
      </c>
      <c r="F722" s="12" t="n">
        <v>2212.8</v>
      </c>
      <c r="G722" s="12" t="n">
        <v>3269.6</v>
      </c>
      <c r="H722" s="13" t="n">
        <v>0.0114</v>
      </c>
      <c r="I722" s="13" t="n">
        <v>0.0046</v>
      </c>
    </row>
    <row r="723">
      <c r="A723" s="10" t="inlineStr">
        <is>
          <t>PJ-2021-E</t>
        </is>
      </c>
      <c r="B723" s="10" t="inlineStr">
        <is>
          <t>位置合わせ(MS学習値)／月内均等</t>
        </is>
      </c>
      <c r="C723" s="10" t="inlineStr">
        <is>
          <t>2021-02</t>
        </is>
      </c>
      <c r="D723" s="10" t="n">
        <v>2</v>
      </c>
      <c r="E723" s="12" t="n">
        <v>5648.3</v>
      </c>
      <c r="F723" s="12" t="n">
        <v>3289.4</v>
      </c>
      <c r="G723" s="12" t="n">
        <v>2358.9</v>
      </c>
      <c r="H723" s="13" t="n">
        <v>0.0231</v>
      </c>
      <c r="I723" s="13" t="n">
        <v>0.0114</v>
      </c>
    </row>
    <row r="724">
      <c r="A724" s="10" t="inlineStr">
        <is>
          <t>PJ-2021-E</t>
        </is>
      </c>
      <c r="B724" s="10" t="inlineStr">
        <is>
          <t>位置合わせ(MS学習値)／月内均等</t>
        </is>
      </c>
      <c r="C724" s="10" t="inlineStr">
        <is>
          <t>2021-03</t>
        </is>
      </c>
      <c r="D724" s="10" t="n">
        <v>3</v>
      </c>
      <c r="E724" s="12" t="n">
        <v>7420.9</v>
      </c>
      <c r="F724" s="12" t="n">
        <v>4610.7</v>
      </c>
      <c r="G724" s="12" t="n">
        <v>2810.2</v>
      </c>
      <c r="H724" s="13" t="n">
        <v>0.0385</v>
      </c>
      <c r="I724" s="13" t="n">
        <v>0.021</v>
      </c>
    </row>
    <row r="725">
      <c r="A725" s="10" t="inlineStr">
        <is>
          <t>PJ-2021-E</t>
        </is>
      </c>
      <c r="B725" s="10" t="inlineStr">
        <is>
          <t>位置合わせ(MS学習値)／月内均等</t>
        </is>
      </c>
      <c r="C725" s="10" t="inlineStr">
        <is>
          <t>2021-04</t>
        </is>
      </c>
      <c r="D725" s="10" t="n">
        <v>4</v>
      </c>
      <c r="E725" s="12" t="n">
        <v>7514.1</v>
      </c>
      <c r="F725" s="12" t="n">
        <v>5392.8</v>
      </c>
      <c r="G725" s="12" t="n">
        <v>2121.3</v>
      </c>
      <c r="H725" s="13" t="n">
        <v>0.0541</v>
      </c>
      <c r="I725" s="13" t="n">
        <v>0.0322</v>
      </c>
    </row>
    <row r="726">
      <c r="A726" s="10" t="inlineStr">
        <is>
          <t>PJ-2021-E</t>
        </is>
      </c>
      <c r="B726" s="10" t="inlineStr">
        <is>
          <t>位置合わせ(MS学習値)／月内均等</t>
        </is>
      </c>
      <c r="C726" s="10" t="inlineStr">
        <is>
          <t>2021-05</t>
        </is>
      </c>
      <c r="D726" s="10" t="n">
        <v>5</v>
      </c>
      <c r="E726" s="12" t="n">
        <v>8576.5</v>
      </c>
      <c r="F726" s="12" t="n">
        <v>5875.1</v>
      </c>
      <c r="G726" s="12" t="n">
        <v>2701.4</v>
      </c>
      <c r="H726" s="13" t="n">
        <v>0.0718</v>
      </c>
      <c r="I726" s="13" t="n">
        <v>0.0443</v>
      </c>
    </row>
    <row r="727">
      <c r="A727" s="10" t="inlineStr">
        <is>
          <t>PJ-2021-E</t>
        </is>
      </c>
      <c r="B727" s="10" t="inlineStr">
        <is>
          <t>位置合わせ(MS学習値)／月内均等</t>
        </is>
      </c>
      <c r="C727" s="10" t="inlineStr">
        <is>
          <t>2021-06</t>
        </is>
      </c>
      <c r="D727" s="10" t="n">
        <v>6</v>
      </c>
      <c r="E727" s="12" t="n">
        <v>8809</v>
      </c>
      <c r="F727" s="12" t="n">
        <v>6664.2</v>
      </c>
      <c r="G727" s="12" t="n">
        <v>2144.8</v>
      </c>
      <c r="H727" s="13" t="n">
        <v>0.0901</v>
      </c>
      <c r="I727" s="13" t="n">
        <v>0.0582</v>
      </c>
    </row>
    <row r="728">
      <c r="A728" s="10" t="inlineStr">
        <is>
          <t>PJ-2021-E</t>
        </is>
      </c>
      <c r="B728" s="10" t="inlineStr">
        <is>
          <t>位置合わせ(MS学習値)／月内均等</t>
        </is>
      </c>
      <c r="C728" s="10" t="inlineStr">
        <is>
          <t>2021-07</t>
        </is>
      </c>
      <c r="D728" s="10" t="n">
        <v>7</v>
      </c>
      <c r="E728" s="12" t="n">
        <v>9279.9</v>
      </c>
      <c r="F728" s="12" t="n">
        <v>7114.2</v>
      </c>
      <c r="G728" s="12" t="n">
        <v>2165.7</v>
      </c>
      <c r="H728" s="13" t="n">
        <v>0.1094</v>
      </c>
      <c r="I728" s="13" t="n">
        <v>0.07290000000000001</v>
      </c>
    </row>
    <row r="729">
      <c r="A729" s="10" t="inlineStr">
        <is>
          <t>PJ-2021-E</t>
        </is>
      </c>
      <c r="B729" s="10" t="inlineStr">
        <is>
          <t>位置合わせ(MS学習値)／月内均等</t>
        </is>
      </c>
      <c r="C729" s="10" t="inlineStr">
        <is>
          <t>2021-08</t>
        </is>
      </c>
      <c r="D729" s="10" t="n">
        <v>8</v>
      </c>
      <c r="E729" s="12" t="n">
        <v>9680.4</v>
      </c>
      <c r="F729" s="12" t="n">
        <v>7159.8</v>
      </c>
      <c r="G729" s="12" t="n">
        <v>2520.6</v>
      </c>
      <c r="H729" s="13" t="n">
        <v>0.1294</v>
      </c>
      <c r="I729" s="13" t="n">
        <v>0.0878</v>
      </c>
    </row>
    <row r="730">
      <c r="A730" s="10" t="inlineStr">
        <is>
          <t>PJ-2021-E</t>
        </is>
      </c>
      <c r="B730" s="10" t="inlineStr">
        <is>
          <t>位置合わせ(MS学習値)／月内均等</t>
        </is>
      </c>
      <c r="C730" s="10" t="inlineStr">
        <is>
          <t>2021-09</t>
        </is>
      </c>
      <c r="D730" s="10" t="n">
        <v>9</v>
      </c>
      <c r="E730" s="12" t="n">
        <v>10117.6</v>
      </c>
      <c r="F730" s="12" t="n">
        <v>7725.3</v>
      </c>
      <c r="G730" s="12" t="n">
        <v>2392.3</v>
      </c>
      <c r="H730" s="13" t="n">
        <v>0.1504</v>
      </c>
      <c r="I730" s="13" t="n">
        <v>0.1038</v>
      </c>
    </row>
    <row r="731">
      <c r="A731" s="10" t="inlineStr">
        <is>
          <t>PJ-2021-E</t>
        </is>
      </c>
      <c r="B731" s="10" t="inlineStr">
        <is>
          <t>位置合わせ(MS学習値)／月内均等</t>
        </is>
      </c>
      <c r="C731" s="10" t="inlineStr">
        <is>
          <t>2021-10</t>
        </is>
      </c>
      <c r="D731" s="10" t="n">
        <v>10</v>
      </c>
      <c r="E731" s="12" t="n">
        <v>11309.3</v>
      </c>
      <c r="F731" s="12" t="n">
        <v>11396.5</v>
      </c>
      <c r="G731" s="12" t="n">
        <v>-87.2</v>
      </c>
      <c r="H731" s="13" t="n">
        <v>0.1739</v>
      </c>
      <c r="I731" s="13" t="n">
        <v>0.1274</v>
      </c>
    </row>
    <row r="732">
      <c r="A732" s="10" t="inlineStr">
        <is>
          <t>PJ-2021-E</t>
        </is>
      </c>
      <c r="B732" s="10" t="inlineStr">
        <is>
          <t>位置合わせ(MS学習値)／月内均等</t>
        </is>
      </c>
      <c r="C732" s="10" t="inlineStr">
        <is>
          <t>2021-11</t>
        </is>
      </c>
      <c r="D732" s="10" t="n">
        <v>11</v>
      </c>
      <c r="E732" s="12" t="n">
        <v>11539.4</v>
      </c>
      <c r="F732" s="12" t="n">
        <v>22707.4</v>
      </c>
      <c r="G732" s="12" t="n">
        <v>-11168</v>
      </c>
      <c r="H732" s="13" t="n">
        <v>0.1978</v>
      </c>
      <c r="I732" s="13" t="n">
        <v>0.1745</v>
      </c>
    </row>
    <row r="733">
      <c r="A733" s="10" t="inlineStr">
        <is>
          <t>PJ-2021-E</t>
        </is>
      </c>
      <c r="B733" s="10" t="inlineStr">
        <is>
          <t>位置合わせ(MS学習値)／月内均等</t>
        </is>
      </c>
      <c r="C733" s="10" t="inlineStr">
        <is>
          <t>2021-12</t>
        </is>
      </c>
      <c r="D733" s="10" t="n">
        <v>12</v>
      </c>
      <c r="E733" s="12" t="n">
        <v>13090.2</v>
      </c>
      <c r="F733" s="12" t="n">
        <v>24332.8</v>
      </c>
      <c r="G733" s="12" t="n">
        <v>-11242.6</v>
      </c>
      <c r="H733" s="13" t="n">
        <v>0.225</v>
      </c>
      <c r="I733" s="13" t="n">
        <v>0.225</v>
      </c>
    </row>
    <row r="734">
      <c r="A734" s="10" t="inlineStr">
        <is>
          <t>PJ-2021-E</t>
        </is>
      </c>
      <c r="B734" s="10" t="inlineStr">
        <is>
          <t>位置合わせ(MS学習値)／月内均等</t>
        </is>
      </c>
      <c r="C734" s="10" t="inlineStr">
        <is>
          <t>2022-01</t>
        </is>
      </c>
      <c r="D734" s="10" t="n">
        <v>13</v>
      </c>
      <c r="E734" s="12" t="n">
        <v>13730.7</v>
      </c>
      <c r="F734" s="12" t="n">
        <v>28940.1</v>
      </c>
      <c r="G734" s="12" t="n">
        <v>-15209.4</v>
      </c>
      <c r="H734" s="13" t="n">
        <v>0.2534</v>
      </c>
      <c r="I734" s="13" t="n">
        <v>0.285</v>
      </c>
    </row>
    <row r="735">
      <c r="A735" s="10" t="inlineStr">
        <is>
          <t>PJ-2021-E</t>
        </is>
      </c>
      <c r="B735" s="10" t="inlineStr">
        <is>
          <t>位置合わせ(MS学習値)／月内均等</t>
        </is>
      </c>
      <c r="C735" s="10" t="inlineStr">
        <is>
          <t>2022-02</t>
        </is>
      </c>
      <c r="D735" s="10" t="n">
        <v>14</v>
      </c>
      <c r="E735" s="12" t="n">
        <v>13075.5</v>
      </c>
      <c r="F735" s="12" t="n">
        <v>28533.6</v>
      </c>
      <c r="G735" s="12" t="n">
        <v>-15458.1</v>
      </c>
      <c r="H735" s="13" t="n">
        <v>0.2806</v>
      </c>
      <c r="I735" s="13" t="n">
        <v>0.3442</v>
      </c>
    </row>
    <row r="736">
      <c r="A736" s="10" t="inlineStr">
        <is>
          <t>PJ-2021-E</t>
        </is>
      </c>
      <c r="B736" s="10" t="inlineStr">
        <is>
          <t>位置合わせ(MS学習値)／月内均等</t>
        </is>
      </c>
      <c r="C736" s="10" t="inlineStr">
        <is>
          <t>2022-03</t>
        </is>
      </c>
      <c r="D736" s="10" t="n">
        <v>15</v>
      </c>
      <c r="E736" s="12" t="n">
        <v>15199.2</v>
      </c>
      <c r="F736" s="12" t="n">
        <v>39513.1</v>
      </c>
      <c r="G736" s="12" t="n">
        <v>-24313.9</v>
      </c>
      <c r="H736" s="13" t="n">
        <v>0.3121</v>
      </c>
      <c r="I736" s="13" t="n">
        <v>0.4261</v>
      </c>
    </row>
    <row r="737">
      <c r="A737" s="10" t="inlineStr">
        <is>
          <t>PJ-2021-E</t>
        </is>
      </c>
      <c r="B737" s="10" t="inlineStr">
        <is>
          <t>位置合わせ(MS学習値)／月内均等</t>
        </is>
      </c>
      <c r="C737" s="10" t="inlineStr">
        <is>
          <t>2022-04</t>
        </is>
      </c>
      <c r="D737" s="10" t="n">
        <v>16</v>
      </c>
      <c r="E737" s="12" t="n">
        <v>15153.3</v>
      </c>
      <c r="F737" s="12" t="n">
        <v>20968.4</v>
      </c>
      <c r="G737" s="12" t="n">
        <v>-5815.1</v>
      </c>
      <c r="H737" s="13" t="n">
        <v>0.3435</v>
      </c>
      <c r="I737" s="13" t="n">
        <v>0.4696</v>
      </c>
    </row>
    <row r="738">
      <c r="A738" s="10" t="inlineStr">
        <is>
          <t>PJ-2021-E</t>
        </is>
      </c>
      <c r="B738" s="10" t="inlineStr">
        <is>
          <t>位置合わせ(MS学習値)／月内均等</t>
        </is>
      </c>
      <c r="C738" s="10" t="inlineStr">
        <is>
          <t>2022-05</t>
        </is>
      </c>
      <c r="D738" s="10" t="n">
        <v>17</v>
      </c>
      <c r="E738" s="12" t="n">
        <v>16671.1</v>
      </c>
      <c r="F738" s="12" t="n">
        <v>18133.4</v>
      </c>
      <c r="G738" s="12" t="n">
        <v>-1462.3</v>
      </c>
      <c r="H738" s="13" t="n">
        <v>0.3781</v>
      </c>
      <c r="I738" s="13" t="n">
        <v>0.5072</v>
      </c>
    </row>
    <row r="739">
      <c r="A739" s="10" t="inlineStr">
        <is>
          <t>PJ-2021-E</t>
        </is>
      </c>
      <c r="B739" s="10" t="inlineStr">
        <is>
          <t>位置合わせ(MS学習値)／月内均等</t>
        </is>
      </c>
      <c r="C739" s="10" t="inlineStr">
        <is>
          <t>2022-06</t>
        </is>
      </c>
      <c r="D739" s="10" t="n">
        <v>18</v>
      </c>
      <c r="E739" s="12" t="n">
        <v>16921.6</v>
      </c>
      <c r="F739" s="12" t="n">
        <v>15271.7</v>
      </c>
      <c r="G739" s="12" t="n">
        <v>1649.9</v>
      </c>
      <c r="H739" s="13" t="n">
        <v>0.4132</v>
      </c>
      <c r="I739" s="13" t="n">
        <v>0.5389</v>
      </c>
    </row>
    <row r="740">
      <c r="A740" s="10" t="inlineStr">
        <is>
          <t>PJ-2021-E</t>
        </is>
      </c>
      <c r="B740" s="10" t="inlineStr">
        <is>
          <t>位置合わせ(MS学習値)／月内均等</t>
        </is>
      </c>
      <c r="C740" s="10" t="inlineStr">
        <is>
          <t>2022-07</t>
        </is>
      </c>
      <c r="D740" s="10" t="n">
        <v>19</v>
      </c>
      <c r="E740" s="12" t="n">
        <v>20061.3</v>
      </c>
      <c r="F740" s="12" t="n">
        <v>16417.5</v>
      </c>
      <c r="G740" s="12" t="n">
        <v>3643.8</v>
      </c>
      <c r="H740" s="13" t="n">
        <v>0.4548</v>
      </c>
      <c r="I740" s="13" t="n">
        <v>0.573</v>
      </c>
    </row>
    <row r="741">
      <c r="A741" s="10" t="inlineStr">
        <is>
          <t>PJ-2021-E</t>
        </is>
      </c>
      <c r="B741" s="10" t="inlineStr">
        <is>
          <t>位置合わせ(MS学習値)／月内均等</t>
        </is>
      </c>
      <c r="C741" s="10" t="inlineStr">
        <is>
          <t>2022-08</t>
        </is>
      </c>
      <c r="D741" s="10" t="n">
        <v>20</v>
      </c>
      <c r="E741" s="12" t="n">
        <v>20222</v>
      </c>
      <c r="F741" s="12" t="n">
        <v>14656</v>
      </c>
      <c r="G741" s="12" t="n">
        <v>5566</v>
      </c>
      <c r="H741" s="13" t="n">
        <v>0.4967</v>
      </c>
      <c r="I741" s="13" t="n">
        <v>0.6034</v>
      </c>
    </row>
    <row r="742">
      <c r="A742" s="10" t="inlineStr">
        <is>
          <t>PJ-2021-E</t>
        </is>
      </c>
      <c r="B742" s="10" t="inlineStr">
        <is>
          <t>位置合わせ(MS学習値)／月内均等</t>
        </is>
      </c>
      <c r="C742" s="10" t="inlineStr">
        <is>
          <t>2022-09</t>
        </is>
      </c>
      <c r="D742" s="10" t="n">
        <v>21</v>
      </c>
      <c r="E742" s="12" t="n">
        <v>19200.2</v>
      </c>
      <c r="F742" s="12" t="n">
        <v>13886.2</v>
      </c>
      <c r="G742" s="12" t="n">
        <v>5314</v>
      </c>
      <c r="H742" s="13" t="n">
        <v>0.5366</v>
      </c>
      <c r="I742" s="13" t="n">
        <v>0.6322</v>
      </c>
    </row>
    <row r="743">
      <c r="A743" s="10" t="inlineStr">
        <is>
          <t>PJ-2021-E</t>
        </is>
      </c>
      <c r="B743" s="10" t="inlineStr">
        <is>
          <t>位置合わせ(MS学習値)／月内均等</t>
        </is>
      </c>
      <c r="C743" s="10" t="inlineStr">
        <is>
          <t>2022-10</t>
        </is>
      </c>
      <c r="D743" s="10" t="n">
        <v>22</v>
      </c>
      <c r="E743" s="12" t="n">
        <v>19937.9</v>
      </c>
      <c r="F743" s="12" t="n">
        <v>13614.7</v>
      </c>
      <c r="G743" s="12" t="n">
        <v>6323.2</v>
      </c>
      <c r="H743" s="13" t="n">
        <v>0.5779</v>
      </c>
      <c r="I743" s="13" t="n">
        <v>0.6604</v>
      </c>
    </row>
    <row r="744">
      <c r="A744" s="10" t="inlineStr">
        <is>
          <t>PJ-2021-E</t>
        </is>
      </c>
      <c r="B744" s="10" t="inlineStr">
        <is>
          <t>位置合わせ(MS学習値)／月内均等</t>
        </is>
      </c>
      <c r="C744" s="10" t="inlineStr">
        <is>
          <t>2022-11</t>
        </is>
      </c>
      <c r="D744" s="10" t="n">
        <v>23</v>
      </c>
      <c r="E744" s="12" t="n">
        <v>19692.1</v>
      </c>
      <c r="F744" s="12" t="n">
        <v>14580.3</v>
      </c>
      <c r="G744" s="12" t="n">
        <v>5111.8</v>
      </c>
      <c r="H744" s="13" t="n">
        <v>0.6188</v>
      </c>
      <c r="I744" s="13" t="n">
        <v>0.6906</v>
      </c>
    </row>
    <row r="745">
      <c r="A745" s="10" t="inlineStr">
        <is>
          <t>PJ-2021-E</t>
        </is>
      </c>
      <c r="B745" s="10" t="inlineStr">
        <is>
          <t>位置合わせ(MS学習値)／月内均等</t>
        </is>
      </c>
      <c r="C745" s="10" t="inlineStr">
        <is>
          <t>2022-12</t>
        </is>
      </c>
      <c r="D745" s="10" t="n">
        <v>24</v>
      </c>
      <c r="E745" s="12" t="n">
        <v>20356</v>
      </c>
      <c r="F745" s="12" t="n">
        <v>15865.3</v>
      </c>
      <c r="G745" s="12" t="n">
        <v>4490.7</v>
      </c>
      <c r="H745" s="13" t="n">
        <v>0.661</v>
      </c>
      <c r="I745" s="13" t="n">
        <v>0.7236</v>
      </c>
    </row>
    <row r="746">
      <c r="A746" s="10" t="inlineStr">
        <is>
          <t>PJ-2021-E</t>
        </is>
      </c>
      <c r="B746" s="10" t="inlineStr">
        <is>
          <t>位置合わせ(MS学習値)／月内均等</t>
        </is>
      </c>
      <c r="C746" s="10" t="inlineStr">
        <is>
          <t>2023-01</t>
        </is>
      </c>
      <c r="D746" s="10" t="n">
        <v>25</v>
      </c>
      <c r="E746" s="12" t="n">
        <v>20610.2</v>
      </c>
      <c r="F746" s="12" t="n">
        <v>18226.2</v>
      </c>
      <c r="G746" s="12" t="n">
        <v>2384</v>
      </c>
      <c r="H746" s="13" t="n">
        <v>0.7037</v>
      </c>
      <c r="I746" s="13" t="n">
        <v>0.7614</v>
      </c>
    </row>
    <row r="747">
      <c r="A747" s="10" t="inlineStr">
        <is>
          <t>PJ-2021-E</t>
        </is>
      </c>
      <c r="B747" s="10" t="inlineStr">
        <is>
          <t>位置合わせ(MS学習値)／月内均等</t>
        </is>
      </c>
      <c r="C747" s="10" t="inlineStr">
        <is>
          <t>2023-02</t>
        </is>
      </c>
      <c r="D747" s="10" t="n">
        <v>26</v>
      </c>
      <c r="E747" s="12" t="n">
        <v>18702.9</v>
      </c>
      <c r="F747" s="12" t="n">
        <v>17827.1</v>
      </c>
      <c r="G747" s="12" t="n">
        <v>875.8</v>
      </c>
      <c r="H747" s="13" t="n">
        <v>0.7425</v>
      </c>
      <c r="I747" s="13" t="n">
        <v>0.7983</v>
      </c>
    </row>
    <row r="748">
      <c r="A748" s="10" t="inlineStr">
        <is>
          <t>PJ-2021-E</t>
        </is>
      </c>
      <c r="B748" s="10" t="inlineStr">
        <is>
          <t>位置合わせ(MS学習値)／月内均等</t>
        </is>
      </c>
      <c r="C748" s="10" t="inlineStr">
        <is>
          <t>2023-03</t>
        </is>
      </c>
      <c r="D748" s="10" t="n">
        <v>27</v>
      </c>
      <c r="E748" s="12" t="n">
        <v>20386.9</v>
      </c>
      <c r="F748" s="12" t="n">
        <v>22013.8</v>
      </c>
      <c r="G748" s="12" t="n">
        <v>-1626.9</v>
      </c>
      <c r="H748" s="13" t="n">
        <v>0.7848000000000001</v>
      </c>
      <c r="I748" s="13" t="n">
        <v>0.844</v>
      </c>
    </row>
    <row r="749">
      <c r="A749" s="10" t="inlineStr">
        <is>
          <t>PJ-2021-E</t>
        </is>
      </c>
      <c r="B749" s="10" t="inlineStr">
        <is>
          <t>位置合わせ(MS学習値)／月内均等</t>
        </is>
      </c>
      <c r="C749" s="10" t="inlineStr">
        <is>
          <t>2023-04</t>
        </is>
      </c>
      <c r="D749" s="10" t="n">
        <v>28</v>
      </c>
      <c r="E749" s="12" t="n">
        <v>16209.3</v>
      </c>
      <c r="F749" s="12" t="n">
        <v>17769.7</v>
      </c>
      <c r="G749" s="12" t="n">
        <v>-1560.4</v>
      </c>
      <c r="H749" s="13" t="n">
        <v>0.8184</v>
      </c>
      <c r="I749" s="13" t="n">
        <v>0.8808</v>
      </c>
    </row>
    <row r="750">
      <c r="A750" s="10" t="inlineStr">
        <is>
          <t>PJ-2021-E</t>
        </is>
      </c>
      <c r="B750" s="10" t="inlineStr">
        <is>
          <t>位置合わせ(MS学習値)／月内均等</t>
        </is>
      </c>
      <c r="C750" s="10" t="inlineStr">
        <is>
          <t>2023-05</t>
        </is>
      </c>
      <c r="D750" s="10" t="n">
        <v>29</v>
      </c>
      <c r="E750" s="12" t="n">
        <v>16129.9</v>
      </c>
      <c r="F750" s="12" t="n">
        <v>15747.8</v>
      </c>
      <c r="G750" s="12" t="n">
        <v>382.1</v>
      </c>
      <c r="H750" s="13" t="n">
        <v>0.8519</v>
      </c>
      <c r="I750" s="13" t="n">
        <v>0.9135</v>
      </c>
    </row>
    <row r="751">
      <c r="A751" s="10" t="inlineStr">
        <is>
          <t>PJ-2021-E</t>
        </is>
      </c>
      <c r="B751" s="10" t="inlineStr">
        <is>
          <t>位置合わせ(MS学習値)／月内均等</t>
        </is>
      </c>
      <c r="C751" s="10" t="inlineStr">
        <is>
          <t>2023-06</t>
        </is>
      </c>
      <c r="D751" s="10" t="n">
        <v>30</v>
      </c>
      <c r="E751" s="12" t="n">
        <v>14241.6</v>
      </c>
      <c r="F751" s="12" t="n">
        <v>11049.5</v>
      </c>
      <c r="G751" s="12" t="n">
        <v>3192.1</v>
      </c>
      <c r="H751" s="13" t="n">
        <v>0.8814</v>
      </c>
      <c r="I751" s="13" t="n">
        <v>0.9364</v>
      </c>
    </row>
    <row r="752">
      <c r="A752" s="10" t="inlineStr">
        <is>
          <t>PJ-2021-E</t>
        </is>
      </c>
      <c r="B752" s="10" t="inlineStr">
        <is>
          <t>位置合わせ(MS学習値)／月内均等</t>
        </is>
      </c>
      <c r="C752" s="10" t="inlineStr">
        <is>
          <t>2023-07</t>
        </is>
      </c>
      <c r="D752" s="10" t="n">
        <v>31</v>
      </c>
      <c r="E752" s="12" t="n">
        <v>13646</v>
      </c>
      <c r="F752" s="12" t="n">
        <v>10147.8</v>
      </c>
      <c r="G752" s="12" t="n">
        <v>3498.2</v>
      </c>
      <c r="H752" s="13" t="n">
        <v>0.9097</v>
      </c>
      <c r="I752" s="13" t="n">
        <v>0.9575</v>
      </c>
    </row>
    <row r="753">
      <c r="A753" s="10" t="inlineStr">
        <is>
          <t>PJ-2021-E</t>
        </is>
      </c>
      <c r="B753" s="10" t="inlineStr">
        <is>
          <t>位置合わせ(MS学習値)／月内均等</t>
        </is>
      </c>
      <c r="C753" s="10" t="inlineStr">
        <is>
          <t>2023-08</t>
        </is>
      </c>
      <c r="D753" s="10" t="n">
        <v>32</v>
      </c>
      <c r="E753" s="12" t="n">
        <v>11544.5</v>
      </c>
      <c r="F753" s="12" t="n">
        <v>8637.799999999999</v>
      </c>
      <c r="G753" s="12" t="n">
        <v>2906.7</v>
      </c>
      <c r="H753" s="13" t="n">
        <v>0.9337</v>
      </c>
      <c r="I753" s="13" t="n">
        <v>0.9754</v>
      </c>
    </row>
    <row r="754">
      <c r="A754" s="10" t="inlineStr">
        <is>
          <t>PJ-2021-E</t>
        </is>
      </c>
      <c r="B754" s="10" t="inlineStr">
        <is>
          <t>位置合わせ(MS学習値)／月内均等</t>
        </is>
      </c>
      <c r="C754" s="10" t="inlineStr">
        <is>
          <t>2023-09</t>
        </is>
      </c>
      <c r="D754" s="10" t="n">
        <v>33</v>
      </c>
      <c r="E754" s="12" t="n">
        <v>10347.1</v>
      </c>
      <c r="F754" s="12" t="n">
        <v>5590.1</v>
      </c>
      <c r="G754" s="12" t="n">
        <v>4757</v>
      </c>
      <c r="H754" s="13" t="n">
        <v>0.9550999999999999</v>
      </c>
      <c r="I754" s="13" t="n">
        <v>0.987</v>
      </c>
    </row>
    <row r="755">
      <c r="A755" s="10" t="inlineStr">
        <is>
          <t>PJ-2021-E</t>
        </is>
      </c>
      <c r="B755" s="10" t="inlineStr">
        <is>
          <t>位置合わせ(MS学習値)／月内均等</t>
        </is>
      </c>
      <c r="C755" s="10" t="inlineStr">
        <is>
          <t>2023-10</t>
        </is>
      </c>
      <c r="D755" s="10" t="n">
        <v>34</v>
      </c>
      <c r="E755" s="12" t="n">
        <v>9820.799999999999</v>
      </c>
      <c r="F755" s="12" t="n">
        <v>3746.3</v>
      </c>
      <c r="G755" s="12" t="n">
        <v>6074.5</v>
      </c>
      <c r="H755" s="13" t="n">
        <v>0.9755</v>
      </c>
      <c r="I755" s="13" t="n">
        <v>0.9947</v>
      </c>
    </row>
    <row r="756">
      <c r="A756" s="10" t="inlineStr">
        <is>
          <t>PJ-2021-E</t>
        </is>
      </c>
      <c r="B756" s="10" t="inlineStr">
        <is>
          <t>位置合わせ(MS学習値)／月内均等</t>
        </is>
      </c>
      <c r="C756" s="10" t="inlineStr">
        <is>
          <t>2023-11</t>
        </is>
      </c>
      <c r="D756" s="10" t="n">
        <v>35</v>
      </c>
      <c r="E756" s="12" t="n">
        <v>6987.8</v>
      </c>
      <c r="F756" s="12" t="n">
        <v>1912.1</v>
      </c>
      <c r="G756" s="12" t="n">
        <v>5075.7</v>
      </c>
      <c r="H756" s="13" t="n">
        <v>0.99</v>
      </c>
      <c r="I756" s="13" t="n">
        <v>0.9987</v>
      </c>
    </row>
    <row r="757">
      <c r="A757" s="10" t="inlineStr">
        <is>
          <t>PJ-2021-E</t>
        </is>
      </c>
      <c r="B757" s="10" t="inlineStr">
        <is>
          <t>位置合わせ(MS学習値)／月内均等</t>
        </is>
      </c>
      <c r="C757" s="10" t="inlineStr">
        <is>
          <t>2023-12</t>
        </is>
      </c>
      <c r="D757" s="10" t="n">
        <v>36</v>
      </c>
      <c r="E757" s="12" t="n">
        <v>4834.4</v>
      </c>
      <c r="F757" s="12" t="n">
        <v>620.9</v>
      </c>
      <c r="G757" s="12" t="n">
        <v>4213.5</v>
      </c>
      <c r="H757" s="13" t="n">
        <v>1</v>
      </c>
      <c r="I757" s="13" t="n">
        <v>1</v>
      </c>
    </row>
    <row r="758">
      <c r="A758" s="10" t="inlineStr">
        <is>
          <t>PJ-2021-E</t>
        </is>
      </c>
      <c r="B758" s="10" t="inlineStr">
        <is>
          <t>位置合わせ(MS指定)／月内均等</t>
        </is>
      </c>
      <c r="C758" s="10" t="inlineStr">
        <is>
          <t>2021-01</t>
        </is>
      </c>
      <c r="D758" s="10" t="n">
        <v>1</v>
      </c>
      <c r="E758" s="12" t="n">
        <v>6735.1</v>
      </c>
      <c r="F758" s="12" t="n">
        <v>2212.8</v>
      </c>
      <c r="G758" s="12" t="n">
        <v>4522.3</v>
      </c>
      <c r="H758" s="13" t="n">
        <v>0.014</v>
      </c>
      <c r="I758" s="13" t="n">
        <v>0.0046</v>
      </c>
    </row>
    <row r="759">
      <c r="A759" s="10" t="inlineStr">
        <is>
          <t>PJ-2021-E</t>
        </is>
      </c>
      <c r="B759" s="10" t="inlineStr">
        <is>
          <t>位置合わせ(MS指定)／月内均等</t>
        </is>
      </c>
      <c r="C759" s="10" t="inlineStr">
        <is>
          <t>2021-02</t>
        </is>
      </c>
      <c r="D759" s="10" t="n">
        <v>2</v>
      </c>
      <c r="E759" s="12" t="n">
        <v>7159.9</v>
      </c>
      <c r="F759" s="12" t="n">
        <v>3289.4</v>
      </c>
      <c r="G759" s="12" t="n">
        <v>3870.5</v>
      </c>
      <c r="H759" s="13" t="n">
        <v>0.0288</v>
      </c>
      <c r="I759" s="13" t="n">
        <v>0.0114</v>
      </c>
    </row>
    <row r="760">
      <c r="A760" s="10" t="inlineStr">
        <is>
          <t>PJ-2021-E</t>
        </is>
      </c>
      <c r="B760" s="10" t="inlineStr">
        <is>
          <t>位置合わせ(MS指定)／月内均等</t>
        </is>
      </c>
      <c r="C760" s="10" t="inlineStr">
        <is>
          <t>2021-03</t>
        </is>
      </c>
      <c r="D760" s="10" t="n">
        <v>3</v>
      </c>
      <c r="E760" s="12" t="n">
        <v>9305.799999999999</v>
      </c>
      <c r="F760" s="12" t="n">
        <v>4610.7</v>
      </c>
      <c r="G760" s="12" t="n">
        <v>4695.1</v>
      </c>
      <c r="H760" s="13" t="n">
        <v>0.0481</v>
      </c>
      <c r="I760" s="13" t="n">
        <v>0.021</v>
      </c>
    </row>
    <row r="761">
      <c r="A761" s="10" t="inlineStr">
        <is>
          <t>PJ-2021-E</t>
        </is>
      </c>
      <c r="B761" s="10" t="inlineStr">
        <is>
          <t>位置合わせ(MS指定)／月内均等</t>
        </is>
      </c>
      <c r="C761" s="10" t="inlineStr">
        <is>
          <t>2021-04</t>
        </is>
      </c>
      <c r="D761" s="10" t="n">
        <v>4</v>
      </c>
      <c r="E761" s="12" t="n">
        <v>9602.4</v>
      </c>
      <c r="F761" s="12" t="n">
        <v>5392.8</v>
      </c>
      <c r="G761" s="12" t="n">
        <v>4209.6</v>
      </c>
      <c r="H761" s="13" t="n">
        <v>0.068</v>
      </c>
      <c r="I761" s="13" t="n">
        <v>0.0322</v>
      </c>
    </row>
    <row r="762">
      <c r="A762" s="10" t="inlineStr">
        <is>
          <t>PJ-2021-E</t>
        </is>
      </c>
      <c r="B762" s="10" t="inlineStr">
        <is>
          <t>位置合わせ(MS指定)／月内均等</t>
        </is>
      </c>
      <c r="C762" s="10" t="inlineStr">
        <is>
          <t>2021-05</t>
        </is>
      </c>
      <c r="D762" s="10" t="n">
        <v>5</v>
      </c>
      <c r="E762" s="12" t="n">
        <v>10962.2</v>
      </c>
      <c r="F762" s="12" t="n">
        <v>5875.1</v>
      </c>
      <c r="G762" s="12" t="n">
        <v>5087.1</v>
      </c>
      <c r="H762" s="13" t="n">
        <v>0.09080000000000001</v>
      </c>
      <c r="I762" s="13" t="n">
        <v>0.0443</v>
      </c>
    </row>
    <row r="763">
      <c r="A763" s="10" t="inlineStr">
        <is>
          <t>PJ-2021-E</t>
        </is>
      </c>
      <c r="B763" s="10" t="inlineStr">
        <is>
          <t>位置合わせ(MS指定)／月内均等</t>
        </is>
      </c>
      <c r="C763" s="10" t="inlineStr">
        <is>
          <t>2021-06</t>
        </is>
      </c>
      <c r="D763" s="10" t="n">
        <v>6</v>
      </c>
      <c r="E763" s="12" t="n">
        <v>10933.7</v>
      </c>
      <c r="F763" s="12" t="n">
        <v>6664.2</v>
      </c>
      <c r="G763" s="12" t="n">
        <v>4269.5</v>
      </c>
      <c r="H763" s="13" t="n">
        <v>0.1134</v>
      </c>
      <c r="I763" s="13" t="n">
        <v>0.0582</v>
      </c>
    </row>
    <row r="764">
      <c r="A764" s="10" t="inlineStr">
        <is>
          <t>PJ-2021-E</t>
        </is>
      </c>
      <c r="B764" s="10" t="inlineStr">
        <is>
          <t>位置合わせ(MS指定)／月内均等</t>
        </is>
      </c>
      <c r="C764" s="10" t="inlineStr">
        <is>
          <t>2021-07</t>
        </is>
      </c>
      <c r="D764" s="10" t="n">
        <v>7</v>
      </c>
      <c r="E764" s="12" t="n">
        <v>11866.3</v>
      </c>
      <c r="F764" s="12" t="n">
        <v>7114.2</v>
      </c>
      <c r="G764" s="12" t="n">
        <v>4752.1</v>
      </c>
      <c r="H764" s="13" t="n">
        <v>0.1381</v>
      </c>
      <c r="I764" s="13" t="n">
        <v>0.07290000000000001</v>
      </c>
    </row>
    <row r="765">
      <c r="A765" s="10" t="inlineStr">
        <is>
          <t>PJ-2021-E</t>
        </is>
      </c>
      <c r="B765" s="10" t="inlineStr">
        <is>
          <t>位置合わせ(MS指定)／月内均等</t>
        </is>
      </c>
      <c r="C765" s="10" t="inlineStr">
        <is>
          <t>2021-08</t>
        </is>
      </c>
      <c r="D765" s="10" t="n">
        <v>8</v>
      </c>
      <c r="E765" s="12" t="n">
        <v>13244.1</v>
      </c>
      <c r="F765" s="12" t="n">
        <v>7159.8</v>
      </c>
      <c r="G765" s="12" t="n">
        <v>6084.3</v>
      </c>
      <c r="H765" s="13" t="n">
        <v>0.1655</v>
      </c>
      <c r="I765" s="13" t="n">
        <v>0.0878</v>
      </c>
    </row>
    <row r="766">
      <c r="A766" s="10" t="inlineStr">
        <is>
          <t>PJ-2021-E</t>
        </is>
      </c>
      <c r="B766" s="10" t="inlineStr">
        <is>
          <t>位置合わせ(MS指定)／月内均等</t>
        </is>
      </c>
      <c r="C766" s="10" t="inlineStr">
        <is>
          <t>2021-09</t>
        </is>
      </c>
      <c r="D766" s="10" t="n">
        <v>9</v>
      </c>
      <c r="E766" s="12" t="n">
        <v>13672.4</v>
      </c>
      <c r="F766" s="12" t="n">
        <v>7725.3</v>
      </c>
      <c r="G766" s="12" t="n">
        <v>5947.1</v>
      </c>
      <c r="H766" s="13" t="n">
        <v>0.1939</v>
      </c>
      <c r="I766" s="13" t="n">
        <v>0.1038</v>
      </c>
    </row>
    <row r="767">
      <c r="A767" s="10" t="inlineStr">
        <is>
          <t>PJ-2021-E</t>
        </is>
      </c>
      <c r="B767" s="10" t="inlineStr">
        <is>
          <t>位置合わせ(MS指定)／月内均等</t>
        </is>
      </c>
      <c r="C767" s="10" t="inlineStr">
        <is>
          <t>2021-10</t>
        </is>
      </c>
      <c r="D767" s="10" t="n">
        <v>10</v>
      </c>
      <c r="E767" s="12" t="n">
        <v>15692.1</v>
      </c>
      <c r="F767" s="12" t="n">
        <v>11396.5</v>
      </c>
      <c r="G767" s="12" t="n">
        <v>4295.6</v>
      </c>
      <c r="H767" s="13" t="n">
        <v>0.2264</v>
      </c>
      <c r="I767" s="13" t="n">
        <v>0.1274</v>
      </c>
    </row>
    <row r="768">
      <c r="A768" s="10" t="inlineStr">
        <is>
          <t>PJ-2021-E</t>
        </is>
      </c>
      <c r="B768" s="10" t="inlineStr">
        <is>
          <t>位置合わせ(MS指定)／月内均等</t>
        </is>
      </c>
      <c r="C768" s="10" t="inlineStr">
        <is>
          <t>2021-11</t>
        </is>
      </c>
      <c r="D768" s="10" t="n">
        <v>11</v>
      </c>
      <c r="E768" s="12" t="n">
        <v>16173.5</v>
      </c>
      <c r="F768" s="12" t="n">
        <v>22707.4</v>
      </c>
      <c r="G768" s="12" t="n">
        <v>-6533.9</v>
      </c>
      <c r="H768" s="13" t="n">
        <v>0.26</v>
      </c>
      <c r="I768" s="13" t="n">
        <v>0.1745</v>
      </c>
    </row>
    <row r="769">
      <c r="A769" s="10" t="inlineStr">
        <is>
          <t>PJ-2021-E</t>
        </is>
      </c>
      <c r="B769" s="10" t="inlineStr">
        <is>
          <t>位置合わせ(MS指定)／月内均等</t>
        </is>
      </c>
      <c r="C769" s="10" t="inlineStr">
        <is>
          <t>2021-12</t>
        </is>
      </c>
      <c r="D769" s="10" t="n">
        <v>12</v>
      </c>
      <c r="E769" s="12" t="n">
        <v>17794.1</v>
      </c>
      <c r="F769" s="12" t="n">
        <v>24332.8</v>
      </c>
      <c r="G769" s="12" t="n">
        <v>-6538.7</v>
      </c>
      <c r="H769" s="13" t="n">
        <v>0.2969</v>
      </c>
      <c r="I769" s="13" t="n">
        <v>0.225</v>
      </c>
    </row>
    <row r="770">
      <c r="A770" s="10" t="inlineStr">
        <is>
          <t>PJ-2021-E</t>
        </is>
      </c>
      <c r="B770" s="10" t="inlineStr">
        <is>
          <t>位置合わせ(MS指定)／月内均等</t>
        </is>
      </c>
      <c r="C770" s="10" t="inlineStr">
        <is>
          <t>2022-01</t>
        </is>
      </c>
      <c r="D770" s="10" t="n">
        <v>13</v>
      </c>
      <c r="E770" s="12" t="n">
        <v>18750.9</v>
      </c>
      <c r="F770" s="12" t="n">
        <v>28940.1</v>
      </c>
      <c r="G770" s="12" t="n">
        <v>-10189.2</v>
      </c>
      <c r="H770" s="13" t="n">
        <v>0.3358</v>
      </c>
      <c r="I770" s="13" t="n">
        <v>0.285</v>
      </c>
    </row>
    <row r="771">
      <c r="A771" s="10" t="inlineStr">
        <is>
          <t>PJ-2021-E</t>
        </is>
      </c>
      <c r="B771" s="10" t="inlineStr">
        <is>
          <t>位置合わせ(MS指定)／月内均等</t>
        </is>
      </c>
      <c r="C771" s="10" t="inlineStr">
        <is>
          <t>2022-02</t>
        </is>
      </c>
      <c r="D771" s="10" t="n">
        <v>14</v>
      </c>
      <c r="E771" s="12" t="n">
        <v>17868</v>
      </c>
      <c r="F771" s="12" t="n">
        <v>28533.6</v>
      </c>
      <c r="G771" s="12" t="n">
        <v>-10665.6</v>
      </c>
      <c r="H771" s="13" t="n">
        <v>0.3728</v>
      </c>
      <c r="I771" s="13" t="n">
        <v>0.3442</v>
      </c>
    </row>
    <row r="772">
      <c r="A772" s="10" t="inlineStr">
        <is>
          <t>PJ-2021-E</t>
        </is>
      </c>
      <c r="B772" s="10" t="inlineStr">
        <is>
          <t>位置合わせ(MS指定)／月内均等</t>
        </is>
      </c>
      <c r="C772" s="10" t="inlineStr">
        <is>
          <t>2022-03</t>
        </is>
      </c>
      <c r="D772" s="10" t="n">
        <v>15</v>
      </c>
      <c r="E772" s="12" t="n">
        <v>21356.4</v>
      </c>
      <c r="F772" s="12" t="n">
        <v>39513.1</v>
      </c>
      <c r="G772" s="12" t="n">
        <v>-18156.7</v>
      </c>
      <c r="H772" s="13" t="n">
        <v>0.4171</v>
      </c>
      <c r="I772" s="13" t="n">
        <v>0.4261</v>
      </c>
    </row>
    <row r="773">
      <c r="A773" s="10" t="inlineStr">
        <is>
          <t>PJ-2021-E</t>
        </is>
      </c>
      <c r="B773" s="10" t="inlineStr">
        <is>
          <t>位置合わせ(MS指定)／月内均等</t>
        </is>
      </c>
      <c r="C773" s="10" t="inlineStr">
        <is>
          <t>2022-04</t>
        </is>
      </c>
      <c r="D773" s="10" t="n">
        <v>16</v>
      </c>
      <c r="E773" s="12" t="n">
        <v>15311.8</v>
      </c>
      <c r="F773" s="12" t="n">
        <v>20968.4</v>
      </c>
      <c r="G773" s="12" t="n">
        <v>-5656.6</v>
      </c>
      <c r="H773" s="13" t="n">
        <v>0.4489</v>
      </c>
      <c r="I773" s="13" t="n">
        <v>0.4696</v>
      </c>
    </row>
    <row r="774">
      <c r="A774" s="10" t="inlineStr">
        <is>
          <t>PJ-2021-E</t>
        </is>
      </c>
      <c r="B774" s="10" t="inlineStr">
        <is>
          <t>位置合わせ(MS指定)／月内均等</t>
        </is>
      </c>
      <c r="C774" s="10" t="inlineStr">
        <is>
          <t>2022-05</t>
        </is>
      </c>
      <c r="D774" s="10" t="n">
        <v>17</v>
      </c>
      <c r="E774" s="12" t="n">
        <v>15545.8</v>
      </c>
      <c r="F774" s="12" t="n">
        <v>18133.4</v>
      </c>
      <c r="G774" s="12" t="n">
        <v>-2587.6</v>
      </c>
      <c r="H774" s="13" t="n">
        <v>0.4811</v>
      </c>
      <c r="I774" s="13" t="n">
        <v>0.5072</v>
      </c>
    </row>
    <row r="775">
      <c r="A775" s="10" t="inlineStr">
        <is>
          <t>PJ-2021-E</t>
        </is>
      </c>
      <c r="B775" s="10" t="inlineStr">
        <is>
          <t>位置合わせ(MS指定)／月内均等</t>
        </is>
      </c>
      <c r="C775" s="10" t="inlineStr">
        <is>
          <t>2022-06</t>
        </is>
      </c>
      <c r="D775" s="10" t="n">
        <v>18</v>
      </c>
      <c r="E775" s="12" t="n">
        <v>14781.8</v>
      </c>
      <c r="F775" s="12" t="n">
        <v>15271.7</v>
      </c>
      <c r="G775" s="12" t="n">
        <v>-489.9</v>
      </c>
      <c r="H775" s="13" t="n">
        <v>0.5118</v>
      </c>
      <c r="I775" s="13" t="n">
        <v>0.5389</v>
      </c>
    </row>
    <row r="776">
      <c r="A776" s="10" t="inlineStr">
        <is>
          <t>PJ-2021-E</t>
        </is>
      </c>
      <c r="B776" s="10" t="inlineStr">
        <is>
          <t>位置合わせ(MS指定)／月内均等</t>
        </is>
      </c>
      <c r="C776" s="10" t="inlineStr">
        <is>
          <t>2022-07</t>
        </is>
      </c>
      <c r="D776" s="10" t="n">
        <v>19</v>
      </c>
      <c r="E776" s="12" t="n">
        <v>15031.8</v>
      </c>
      <c r="F776" s="12" t="n">
        <v>16417.5</v>
      </c>
      <c r="G776" s="12" t="n">
        <v>-1385.7</v>
      </c>
      <c r="H776" s="13" t="n">
        <v>0.543</v>
      </c>
      <c r="I776" s="13" t="n">
        <v>0.573</v>
      </c>
    </row>
    <row r="777">
      <c r="A777" s="10" t="inlineStr">
        <is>
          <t>PJ-2021-E</t>
        </is>
      </c>
      <c r="B777" s="10" t="inlineStr">
        <is>
          <t>位置合わせ(MS指定)／月内均等</t>
        </is>
      </c>
      <c r="C777" s="10" t="inlineStr">
        <is>
          <t>2022-08</t>
        </is>
      </c>
      <c r="D777" s="10" t="n">
        <v>20</v>
      </c>
      <c r="E777" s="12" t="n">
        <v>15407.8</v>
      </c>
      <c r="F777" s="12" t="n">
        <v>14656</v>
      </c>
      <c r="G777" s="12" t="n">
        <v>751.8</v>
      </c>
      <c r="H777" s="13" t="n">
        <v>0.5749</v>
      </c>
      <c r="I777" s="13" t="n">
        <v>0.6034</v>
      </c>
    </row>
    <row r="778">
      <c r="A778" s="10" t="inlineStr">
        <is>
          <t>PJ-2021-E</t>
        </is>
      </c>
      <c r="B778" s="10" t="inlineStr">
        <is>
          <t>位置合わせ(MS指定)／月内均等</t>
        </is>
      </c>
      <c r="C778" s="10" t="inlineStr">
        <is>
          <t>2022-09</t>
        </is>
      </c>
      <c r="D778" s="10" t="n">
        <v>21</v>
      </c>
      <c r="E778" s="12" t="n">
        <v>14903.2</v>
      </c>
      <c r="F778" s="12" t="n">
        <v>13886.2</v>
      </c>
      <c r="G778" s="12" t="n">
        <v>1017</v>
      </c>
      <c r="H778" s="13" t="n">
        <v>0.6058</v>
      </c>
      <c r="I778" s="13" t="n">
        <v>0.6322</v>
      </c>
    </row>
    <row r="779">
      <c r="A779" s="10" t="inlineStr">
        <is>
          <t>PJ-2021-E</t>
        </is>
      </c>
      <c r="B779" s="10" t="inlineStr">
        <is>
          <t>位置合わせ(MS指定)／月内均等</t>
        </is>
      </c>
      <c r="C779" s="10" t="inlineStr">
        <is>
          <t>2022-10</t>
        </is>
      </c>
      <c r="D779" s="10" t="n">
        <v>22</v>
      </c>
      <c r="E779" s="12" t="n">
        <v>15551.4</v>
      </c>
      <c r="F779" s="12" t="n">
        <v>13614.7</v>
      </c>
      <c r="G779" s="12" t="n">
        <v>1936.7</v>
      </c>
      <c r="H779" s="13" t="n">
        <v>0.6381</v>
      </c>
      <c r="I779" s="13" t="n">
        <v>0.6604</v>
      </c>
    </row>
    <row r="780">
      <c r="A780" s="10" t="inlineStr">
        <is>
          <t>PJ-2021-E</t>
        </is>
      </c>
      <c r="B780" s="10" t="inlineStr">
        <is>
          <t>位置合わせ(MS指定)／月内均等</t>
        </is>
      </c>
      <c r="C780" s="10" t="inlineStr">
        <is>
          <t>2022-11</t>
        </is>
      </c>
      <c r="D780" s="10" t="n">
        <v>23</v>
      </c>
      <c r="E780" s="12" t="n">
        <v>15238.3</v>
      </c>
      <c r="F780" s="12" t="n">
        <v>14580.3</v>
      </c>
      <c r="G780" s="12" t="n">
        <v>658</v>
      </c>
      <c r="H780" s="13" t="n">
        <v>0.6697</v>
      </c>
      <c r="I780" s="13" t="n">
        <v>0.6906</v>
      </c>
    </row>
    <row r="781">
      <c r="A781" s="10" t="inlineStr">
        <is>
          <t>PJ-2021-E</t>
        </is>
      </c>
      <c r="B781" s="10" t="inlineStr">
        <is>
          <t>位置合わせ(MS指定)／月内均等</t>
        </is>
      </c>
      <c r="C781" s="10" t="inlineStr">
        <is>
          <t>2022-12</t>
        </is>
      </c>
      <c r="D781" s="10" t="n">
        <v>24</v>
      </c>
      <c r="E781" s="12" t="n">
        <v>15668.8</v>
      </c>
      <c r="F781" s="12" t="n">
        <v>15865.3</v>
      </c>
      <c r="G781" s="12" t="n">
        <v>-196.5</v>
      </c>
      <c r="H781" s="13" t="n">
        <v>0.7022</v>
      </c>
      <c r="I781" s="13" t="n">
        <v>0.7236</v>
      </c>
    </row>
    <row r="782">
      <c r="A782" s="10" t="inlineStr">
        <is>
          <t>PJ-2021-E</t>
        </is>
      </c>
      <c r="B782" s="10" t="inlineStr">
        <is>
          <t>位置合わせ(MS指定)／月内均等</t>
        </is>
      </c>
      <c r="C782" s="10" t="inlineStr">
        <is>
          <t>2023-01</t>
        </is>
      </c>
      <c r="D782" s="10" t="n">
        <v>25</v>
      </c>
      <c r="E782" s="12" t="n">
        <v>15819.6</v>
      </c>
      <c r="F782" s="12" t="n">
        <v>18226.2</v>
      </c>
      <c r="G782" s="12" t="n">
        <v>-2406.6</v>
      </c>
      <c r="H782" s="13" t="n">
        <v>0.735</v>
      </c>
      <c r="I782" s="13" t="n">
        <v>0.7614</v>
      </c>
    </row>
    <row r="783">
      <c r="A783" s="10" t="inlineStr">
        <is>
          <t>PJ-2021-E</t>
        </is>
      </c>
      <c r="B783" s="10" t="inlineStr">
        <is>
          <t>位置合わせ(MS指定)／月内均等</t>
        </is>
      </c>
      <c r="C783" s="10" t="inlineStr">
        <is>
          <t>2023-02</t>
        </is>
      </c>
      <c r="D783" s="10" t="n">
        <v>26</v>
      </c>
      <c r="E783" s="12" t="n">
        <v>14397</v>
      </c>
      <c r="F783" s="12" t="n">
        <v>17827.1</v>
      </c>
      <c r="G783" s="12" t="n">
        <v>-3430.1</v>
      </c>
      <c r="H783" s="13" t="n">
        <v>0.7649</v>
      </c>
      <c r="I783" s="13" t="n">
        <v>0.7983</v>
      </c>
    </row>
    <row r="784">
      <c r="A784" s="10" t="inlineStr">
        <is>
          <t>PJ-2021-E</t>
        </is>
      </c>
      <c r="B784" s="10" t="inlineStr">
        <is>
          <t>位置合わせ(MS指定)／月内均等</t>
        </is>
      </c>
      <c r="C784" s="10" t="inlineStr">
        <is>
          <t>2023-03</t>
        </is>
      </c>
      <c r="D784" s="10" t="n">
        <v>27</v>
      </c>
      <c r="E784" s="12" t="n">
        <v>19421</v>
      </c>
      <c r="F784" s="12" t="n">
        <v>22013.8</v>
      </c>
      <c r="G784" s="12" t="n">
        <v>-2592.8</v>
      </c>
      <c r="H784" s="13" t="n">
        <v>0.8051</v>
      </c>
      <c r="I784" s="13" t="n">
        <v>0.844</v>
      </c>
    </row>
    <row r="785">
      <c r="A785" s="10" t="inlineStr">
        <is>
          <t>PJ-2021-E</t>
        </is>
      </c>
      <c r="B785" s="10" t="inlineStr">
        <is>
          <t>位置合わせ(MS指定)／月内均等</t>
        </is>
      </c>
      <c r="C785" s="10" t="inlineStr">
        <is>
          <t>2023-04</t>
        </is>
      </c>
      <c r="D785" s="10" t="n">
        <v>28</v>
      </c>
      <c r="E785" s="12" t="n">
        <v>18070.7</v>
      </c>
      <c r="F785" s="12" t="n">
        <v>17769.7</v>
      </c>
      <c r="G785" s="12" t="n">
        <v>301</v>
      </c>
      <c r="H785" s="13" t="n">
        <v>0.8426</v>
      </c>
      <c r="I785" s="13" t="n">
        <v>0.8808</v>
      </c>
    </row>
    <row r="786">
      <c r="A786" s="10" t="inlineStr">
        <is>
          <t>PJ-2021-E</t>
        </is>
      </c>
      <c r="B786" s="10" t="inlineStr">
        <is>
          <t>位置合わせ(MS指定)／月内均等</t>
        </is>
      </c>
      <c r="C786" s="10" t="inlineStr">
        <is>
          <t>2023-05</t>
        </is>
      </c>
      <c r="D786" s="10" t="n">
        <v>29</v>
      </c>
      <c r="E786" s="12" t="n">
        <v>17071.9</v>
      </c>
      <c r="F786" s="12" t="n">
        <v>15747.8</v>
      </c>
      <c r="G786" s="12" t="n">
        <v>1324.1</v>
      </c>
      <c r="H786" s="13" t="n">
        <v>0.878</v>
      </c>
      <c r="I786" s="13" t="n">
        <v>0.9135</v>
      </c>
    </row>
    <row r="787">
      <c r="A787" s="10" t="inlineStr">
        <is>
          <t>PJ-2021-E</t>
        </is>
      </c>
      <c r="B787" s="10" t="inlineStr">
        <is>
          <t>位置合わせ(MS指定)／月内均等</t>
        </is>
      </c>
      <c r="C787" s="10" t="inlineStr">
        <is>
          <t>2023-06</t>
        </is>
      </c>
      <c r="D787" s="10" t="n">
        <v>30</v>
      </c>
      <c r="E787" s="12" t="n">
        <v>15174.5</v>
      </c>
      <c r="F787" s="12" t="n">
        <v>11049.5</v>
      </c>
      <c r="G787" s="12" t="n">
        <v>4125</v>
      </c>
      <c r="H787" s="13" t="n">
        <v>0.9095</v>
      </c>
      <c r="I787" s="13" t="n">
        <v>0.9364</v>
      </c>
    </row>
    <row r="788">
      <c r="A788" s="10" t="inlineStr">
        <is>
          <t>PJ-2021-E</t>
        </is>
      </c>
      <c r="B788" s="10" t="inlineStr">
        <is>
          <t>位置合わせ(MS指定)／月内均等</t>
        </is>
      </c>
      <c r="C788" s="10" t="inlineStr">
        <is>
          <t>2023-07</t>
        </is>
      </c>
      <c r="D788" s="10" t="n">
        <v>31</v>
      </c>
      <c r="E788" s="12" t="n">
        <v>13033.4</v>
      </c>
      <c r="F788" s="12" t="n">
        <v>10147.8</v>
      </c>
      <c r="G788" s="12" t="n">
        <v>2885.6</v>
      </c>
      <c r="H788" s="13" t="n">
        <v>0.9365</v>
      </c>
      <c r="I788" s="13" t="n">
        <v>0.9575</v>
      </c>
    </row>
    <row r="789">
      <c r="A789" s="10" t="inlineStr">
        <is>
          <t>PJ-2021-E</t>
        </is>
      </c>
      <c r="B789" s="10" t="inlineStr">
        <is>
          <t>位置合わせ(MS指定)／月内均等</t>
        </is>
      </c>
      <c r="C789" s="10" t="inlineStr">
        <is>
          <t>2023-08</t>
        </is>
      </c>
      <c r="D789" s="10" t="n">
        <v>32</v>
      </c>
      <c r="E789" s="12" t="n">
        <v>11862.5</v>
      </c>
      <c r="F789" s="12" t="n">
        <v>8637.799999999999</v>
      </c>
      <c r="G789" s="12" t="n">
        <v>3224.7</v>
      </c>
      <c r="H789" s="13" t="n">
        <v>0.9611</v>
      </c>
      <c r="I789" s="13" t="n">
        <v>0.9754</v>
      </c>
    </row>
    <row r="790">
      <c r="A790" s="10" t="inlineStr">
        <is>
          <t>PJ-2021-E</t>
        </is>
      </c>
      <c r="B790" s="10" t="inlineStr">
        <is>
          <t>位置合わせ(MS指定)／月内均等</t>
        </is>
      </c>
      <c r="C790" s="10" t="inlineStr">
        <is>
          <t>2023-09</t>
        </is>
      </c>
      <c r="D790" s="10" t="n">
        <v>33</v>
      </c>
      <c r="E790" s="12" t="n">
        <v>6386.5</v>
      </c>
      <c r="F790" s="12" t="n">
        <v>5590.1</v>
      </c>
      <c r="G790" s="12" t="n">
        <v>796.4</v>
      </c>
      <c r="H790" s="13" t="n">
        <v>0.9744</v>
      </c>
      <c r="I790" s="13" t="n">
        <v>0.987</v>
      </c>
    </row>
    <row r="791">
      <c r="A791" s="10" t="inlineStr">
        <is>
          <t>PJ-2021-E</t>
        </is>
      </c>
      <c r="B791" s="10" t="inlineStr">
        <is>
          <t>位置合わせ(MS指定)／月内均等</t>
        </is>
      </c>
      <c r="C791" s="10" t="inlineStr">
        <is>
          <t>2023-10</t>
        </is>
      </c>
      <c r="D791" s="10" t="n">
        <v>34</v>
      </c>
      <c r="E791" s="12" t="n">
        <v>5380.9</v>
      </c>
      <c r="F791" s="12" t="n">
        <v>3746.3</v>
      </c>
      <c r="G791" s="12" t="n">
        <v>1634.6</v>
      </c>
      <c r="H791" s="13" t="n">
        <v>0.9855</v>
      </c>
      <c r="I791" s="13" t="n">
        <v>0.9947</v>
      </c>
    </row>
    <row r="792">
      <c r="A792" s="10" t="inlineStr">
        <is>
          <t>PJ-2021-E</t>
        </is>
      </c>
      <c r="B792" s="10" t="inlineStr">
        <is>
          <t>位置合わせ(MS指定)／月内均等</t>
        </is>
      </c>
      <c r="C792" s="10" t="inlineStr">
        <is>
          <t>2023-11</t>
        </is>
      </c>
      <c r="D792" s="10" t="n">
        <v>35</v>
      </c>
      <c r="E792" s="12" t="n">
        <v>3748.8</v>
      </c>
      <c r="F792" s="12" t="n">
        <v>1912.1</v>
      </c>
      <c r="G792" s="12" t="n">
        <v>1836.7</v>
      </c>
      <c r="H792" s="13" t="n">
        <v>0.9933</v>
      </c>
      <c r="I792" s="13" t="n">
        <v>0.9987</v>
      </c>
    </row>
    <row r="793">
      <c r="A793" s="10" t="inlineStr">
        <is>
          <t>PJ-2021-E</t>
        </is>
      </c>
      <c r="B793" s="10" t="inlineStr">
        <is>
          <t>位置合わせ(MS指定)／月内均等</t>
        </is>
      </c>
      <c r="C793" s="10" t="inlineStr">
        <is>
          <t>2023-12</t>
        </is>
      </c>
      <c r="D793" s="10" t="n">
        <v>36</v>
      </c>
      <c r="E793" s="12" t="n">
        <v>3226.1</v>
      </c>
      <c r="F793" s="12" t="n">
        <v>620.9</v>
      </c>
      <c r="G793" s="12" t="n">
        <v>2605.2</v>
      </c>
      <c r="H793" s="13" t="n">
        <v>1</v>
      </c>
      <c r="I793" s="13" t="n">
        <v>1</v>
      </c>
    </row>
    <row r="794">
      <c r="A794" s="10" t="inlineStr">
        <is>
          <t>PJ-2021-E</t>
        </is>
      </c>
      <c r="B794" s="10" t="inlineStr">
        <is>
          <t>素朴版／単調補間</t>
        </is>
      </c>
      <c r="C794" s="10" t="inlineStr">
        <is>
          <t>2021-01</t>
        </is>
      </c>
      <c r="D794" s="10" t="n">
        <v>1</v>
      </c>
      <c r="E794" s="12" t="n">
        <v>5325.8</v>
      </c>
      <c r="F794" s="12" t="n">
        <v>2212.8</v>
      </c>
      <c r="G794" s="12" t="n">
        <v>3113</v>
      </c>
      <c r="H794" s="13" t="n">
        <v>0.011</v>
      </c>
      <c r="I794" s="13" t="n">
        <v>0.0046</v>
      </c>
    </row>
    <row r="795">
      <c r="A795" s="10" t="inlineStr">
        <is>
          <t>PJ-2021-E</t>
        </is>
      </c>
      <c r="B795" s="10" t="inlineStr">
        <is>
          <t>素朴版／単調補間</t>
        </is>
      </c>
      <c r="C795" s="10" t="inlineStr">
        <is>
          <t>2021-02</t>
        </is>
      </c>
      <c r="D795" s="10" t="n">
        <v>2</v>
      </c>
      <c r="E795" s="12" t="n">
        <v>5823</v>
      </c>
      <c r="F795" s="12" t="n">
        <v>3289.4</v>
      </c>
      <c r="G795" s="12" t="n">
        <v>2533.6</v>
      </c>
      <c r="H795" s="13" t="n">
        <v>0.0231</v>
      </c>
      <c r="I795" s="13" t="n">
        <v>0.0114</v>
      </c>
    </row>
    <row r="796">
      <c r="A796" s="10" t="inlineStr">
        <is>
          <t>PJ-2021-E</t>
        </is>
      </c>
      <c r="B796" s="10" t="inlineStr">
        <is>
          <t>素朴版／単調補間</t>
        </is>
      </c>
      <c r="C796" s="10" t="inlineStr">
        <is>
          <t>2021-03</t>
        </is>
      </c>
      <c r="D796" s="10" t="n">
        <v>3</v>
      </c>
      <c r="E796" s="12" t="n">
        <v>7347.4</v>
      </c>
      <c r="F796" s="12" t="n">
        <v>4610.7</v>
      </c>
      <c r="G796" s="12" t="n">
        <v>2736.7</v>
      </c>
      <c r="H796" s="13" t="n">
        <v>0.0384</v>
      </c>
      <c r="I796" s="13" t="n">
        <v>0.021</v>
      </c>
    </row>
    <row r="797">
      <c r="A797" s="10" t="inlineStr">
        <is>
          <t>PJ-2021-E</t>
        </is>
      </c>
      <c r="B797" s="10" t="inlineStr">
        <is>
          <t>素朴版／単調補間</t>
        </is>
      </c>
      <c r="C797" s="10" t="inlineStr">
        <is>
          <t>2021-04</t>
        </is>
      </c>
      <c r="D797" s="10" t="n">
        <v>4</v>
      </c>
      <c r="E797" s="12" t="n">
        <v>7816.3</v>
      </c>
      <c r="F797" s="12" t="n">
        <v>5392.8</v>
      </c>
      <c r="G797" s="12" t="n">
        <v>2423.5</v>
      </c>
      <c r="H797" s="13" t="n">
        <v>0.0546</v>
      </c>
      <c r="I797" s="13" t="n">
        <v>0.0322</v>
      </c>
    </row>
    <row r="798">
      <c r="A798" s="10" t="inlineStr">
        <is>
          <t>PJ-2021-E</t>
        </is>
      </c>
      <c r="B798" s="10" t="inlineStr">
        <is>
          <t>素朴版／単調補間</t>
        </is>
      </c>
      <c r="C798" s="10" t="inlineStr">
        <is>
          <t>2021-05</t>
        </is>
      </c>
      <c r="D798" s="10" t="n">
        <v>5</v>
      </c>
      <c r="E798" s="12" t="n">
        <v>8695.299999999999</v>
      </c>
      <c r="F798" s="12" t="n">
        <v>5875.1</v>
      </c>
      <c r="G798" s="12" t="n">
        <v>2820.2</v>
      </c>
      <c r="H798" s="13" t="n">
        <v>0.0726</v>
      </c>
      <c r="I798" s="13" t="n">
        <v>0.0443</v>
      </c>
    </row>
    <row r="799">
      <c r="A799" s="10" t="inlineStr">
        <is>
          <t>PJ-2021-E</t>
        </is>
      </c>
      <c r="B799" s="10" t="inlineStr">
        <is>
          <t>素朴版／単調補間</t>
        </is>
      </c>
      <c r="C799" s="10" t="inlineStr">
        <is>
          <t>2021-06</t>
        </is>
      </c>
      <c r="D799" s="10" t="n">
        <v>6</v>
      </c>
      <c r="E799" s="12" t="n">
        <v>9091.1</v>
      </c>
      <c r="F799" s="12" t="n">
        <v>6664.2</v>
      </c>
      <c r="G799" s="12" t="n">
        <v>2426.9</v>
      </c>
      <c r="H799" s="13" t="n">
        <v>0.0915</v>
      </c>
      <c r="I799" s="13" t="n">
        <v>0.0582</v>
      </c>
    </row>
    <row r="800">
      <c r="A800" s="10" t="inlineStr">
        <is>
          <t>PJ-2021-E</t>
        </is>
      </c>
      <c r="B800" s="10" t="inlineStr">
        <is>
          <t>素朴版／単調補間</t>
        </is>
      </c>
      <c r="C800" s="10" t="inlineStr">
        <is>
          <t>2021-07</t>
        </is>
      </c>
      <c r="D800" s="10" t="n">
        <v>7</v>
      </c>
      <c r="E800" s="12" t="n">
        <v>9443.5</v>
      </c>
      <c r="F800" s="12" t="n">
        <v>7114.2</v>
      </c>
      <c r="G800" s="12" t="n">
        <v>2329.3</v>
      </c>
      <c r="H800" s="13" t="n">
        <v>0.111</v>
      </c>
      <c r="I800" s="13" t="n">
        <v>0.07290000000000001</v>
      </c>
    </row>
    <row r="801">
      <c r="A801" s="10" t="inlineStr">
        <is>
          <t>PJ-2021-E</t>
        </is>
      </c>
      <c r="B801" s="10" t="inlineStr">
        <is>
          <t>素朴版／単調補間</t>
        </is>
      </c>
      <c r="C801" s="10" t="inlineStr">
        <is>
          <t>2021-08</t>
        </is>
      </c>
      <c r="D801" s="10" t="n">
        <v>8</v>
      </c>
      <c r="E801" s="12" t="n">
        <v>9940.799999999999</v>
      </c>
      <c r="F801" s="12" t="n">
        <v>7159.8</v>
      </c>
      <c r="G801" s="12" t="n">
        <v>2781</v>
      </c>
      <c r="H801" s="13" t="n">
        <v>0.1317</v>
      </c>
      <c r="I801" s="13" t="n">
        <v>0.0878</v>
      </c>
    </row>
    <row r="802">
      <c r="A802" s="10" t="inlineStr">
        <is>
          <t>PJ-2021-E</t>
        </is>
      </c>
      <c r="B802" s="10" t="inlineStr">
        <is>
          <t>素朴版／単調補間</t>
        </is>
      </c>
      <c r="C802" s="10" t="inlineStr">
        <is>
          <t>2021-09</t>
        </is>
      </c>
      <c r="D802" s="10" t="n">
        <v>9</v>
      </c>
      <c r="E802" s="12" t="n">
        <v>10404.5</v>
      </c>
      <c r="F802" s="12" t="n">
        <v>7725.3</v>
      </c>
      <c r="G802" s="12" t="n">
        <v>2679.2</v>
      </c>
      <c r="H802" s="13" t="n">
        <v>0.1532</v>
      </c>
      <c r="I802" s="13" t="n">
        <v>0.1038</v>
      </c>
    </row>
    <row r="803">
      <c r="A803" s="10" t="inlineStr">
        <is>
          <t>PJ-2021-E</t>
        </is>
      </c>
      <c r="B803" s="10" t="inlineStr">
        <is>
          <t>素朴版／単調補間</t>
        </is>
      </c>
      <c r="C803" s="10" t="inlineStr">
        <is>
          <t>2021-10</t>
        </is>
      </c>
      <c r="D803" s="10" t="n">
        <v>10</v>
      </c>
      <c r="E803" s="12" t="n">
        <v>11696.1</v>
      </c>
      <c r="F803" s="12" t="n">
        <v>11396.5</v>
      </c>
      <c r="G803" s="12" t="n">
        <v>299.6</v>
      </c>
      <c r="H803" s="13" t="n">
        <v>0.1775</v>
      </c>
      <c r="I803" s="13" t="n">
        <v>0.1274</v>
      </c>
    </row>
    <row r="804">
      <c r="A804" s="10" t="inlineStr">
        <is>
          <t>PJ-2021-E</t>
        </is>
      </c>
      <c r="B804" s="10" t="inlineStr">
        <is>
          <t>素朴版／単調補間</t>
        </is>
      </c>
      <c r="C804" s="10" t="inlineStr">
        <is>
          <t>2021-11</t>
        </is>
      </c>
      <c r="D804" s="10" t="n">
        <v>11</v>
      </c>
      <c r="E804" s="12" t="n">
        <v>11995.5</v>
      </c>
      <c r="F804" s="12" t="n">
        <v>22707.4</v>
      </c>
      <c r="G804" s="12" t="n">
        <v>-10711.9</v>
      </c>
      <c r="H804" s="13" t="n">
        <v>0.2024</v>
      </c>
      <c r="I804" s="13" t="n">
        <v>0.1745</v>
      </c>
    </row>
    <row r="805">
      <c r="A805" s="10" t="inlineStr">
        <is>
          <t>PJ-2021-E</t>
        </is>
      </c>
      <c r="B805" s="10" t="inlineStr">
        <is>
          <t>素朴版／単調補間</t>
        </is>
      </c>
      <c r="C805" s="10" t="inlineStr">
        <is>
          <t>2021-12</t>
        </is>
      </c>
      <c r="D805" s="10" t="n">
        <v>12</v>
      </c>
      <c r="E805" s="12" t="n">
        <v>13510.1</v>
      </c>
      <c r="F805" s="12" t="n">
        <v>24332.8</v>
      </c>
      <c r="G805" s="12" t="n">
        <v>-10822.7</v>
      </c>
      <c r="H805" s="13" t="n">
        <v>0.2304</v>
      </c>
      <c r="I805" s="13" t="n">
        <v>0.225</v>
      </c>
    </row>
    <row r="806">
      <c r="A806" s="10" t="inlineStr">
        <is>
          <t>PJ-2021-E</t>
        </is>
      </c>
      <c r="B806" s="10" t="inlineStr">
        <is>
          <t>素朴版／単調補間</t>
        </is>
      </c>
      <c r="C806" s="10" t="inlineStr">
        <is>
          <t>2022-01</t>
        </is>
      </c>
      <c r="D806" s="10" t="n">
        <v>13</v>
      </c>
      <c r="E806" s="12" t="n">
        <v>13987.5</v>
      </c>
      <c r="F806" s="12" t="n">
        <v>28940.1</v>
      </c>
      <c r="G806" s="12" t="n">
        <v>-14952.6</v>
      </c>
      <c r="H806" s="13" t="n">
        <v>0.2594</v>
      </c>
      <c r="I806" s="13" t="n">
        <v>0.285</v>
      </c>
    </row>
    <row r="807">
      <c r="A807" s="10" t="inlineStr">
        <is>
          <t>PJ-2021-E</t>
        </is>
      </c>
      <c r="B807" s="10" t="inlineStr">
        <is>
          <t>素朴版／単調補間</t>
        </is>
      </c>
      <c r="C807" s="10" t="inlineStr">
        <is>
          <t>2022-02</t>
        </is>
      </c>
      <c r="D807" s="10" t="n">
        <v>14</v>
      </c>
      <c r="E807" s="12" t="n">
        <v>13368.7</v>
      </c>
      <c r="F807" s="12" t="n">
        <v>28533.6</v>
      </c>
      <c r="G807" s="12" t="n">
        <v>-15164.9</v>
      </c>
      <c r="H807" s="13" t="n">
        <v>0.2871</v>
      </c>
      <c r="I807" s="13" t="n">
        <v>0.3442</v>
      </c>
    </row>
    <row r="808">
      <c r="A808" s="10" t="inlineStr">
        <is>
          <t>PJ-2021-E</t>
        </is>
      </c>
      <c r="B808" s="10" t="inlineStr">
        <is>
          <t>素朴版／単調補間</t>
        </is>
      </c>
      <c r="C808" s="10" t="inlineStr">
        <is>
          <t>2022-03</t>
        </is>
      </c>
      <c r="D808" s="10" t="n">
        <v>15</v>
      </c>
      <c r="E808" s="12" t="n">
        <v>15817</v>
      </c>
      <c r="F808" s="12" t="n">
        <v>39513.1</v>
      </c>
      <c r="G808" s="12" t="n">
        <v>-23696.1</v>
      </c>
      <c r="H808" s="13" t="n">
        <v>0.3199</v>
      </c>
      <c r="I808" s="13" t="n">
        <v>0.4261</v>
      </c>
    </row>
    <row r="809">
      <c r="A809" s="10" t="inlineStr">
        <is>
          <t>PJ-2021-E</t>
        </is>
      </c>
      <c r="B809" s="10" t="inlineStr">
        <is>
          <t>素朴版／単調補間</t>
        </is>
      </c>
      <c r="C809" s="10" t="inlineStr">
        <is>
          <t>2022-04</t>
        </is>
      </c>
      <c r="D809" s="10" t="n">
        <v>16</v>
      </c>
      <c r="E809" s="12" t="n">
        <v>15531.9</v>
      </c>
      <c r="F809" s="12" t="n">
        <v>20968.4</v>
      </c>
      <c r="G809" s="12" t="n">
        <v>-5436.5</v>
      </c>
      <c r="H809" s="13" t="n">
        <v>0.3522</v>
      </c>
      <c r="I809" s="13" t="n">
        <v>0.4696</v>
      </c>
    </row>
    <row r="810">
      <c r="A810" s="10" t="inlineStr">
        <is>
          <t>PJ-2021-E</t>
        </is>
      </c>
      <c r="B810" s="10" t="inlineStr">
        <is>
          <t>素朴版／単調補間</t>
        </is>
      </c>
      <c r="C810" s="10" t="inlineStr">
        <is>
          <t>2022-05</t>
        </is>
      </c>
      <c r="D810" s="10" t="n">
        <v>17</v>
      </c>
      <c r="E810" s="12" t="n">
        <v>15915.3</v>
      </c>
      <c r="F810" s="12" t="n">
        <v>18133.4</v>
      </c>
      <c r="G810" s="12" t="n">
        <v>-2218.1</v>
      </c>
      <c r="H810" s="13" t="n">
        <v>0.3852</v>
      </c>
      <c r="I810" s="13" t="n">
        <v>0.5072</v>
      </c>
    </row>
    <row r="811">
      <c r="A811" s="10" t="inlineStr">
        <is>
          <t>PJ-2021-E</t>
        </is>
      </c>
      <c r="B811" s="10" t="inlineStr">
        <is>
          <t>素朴版／単調補間</t>
        </is>
      </c>
      <c r="C811" s="10" t="inlineStr">
        <is>
          <t>2022-06</t>
        </is>
      </c>
      <c r="D811" s="10" t="n">
        <v>18</v>
      </c>
      <c r="E811" s="12" t="n">
        <v>15373.6</v>
      </c>
      <c r="F811" s="12" t="n">
        <v>15271.7</v>
      </c>
      <c r="G811" s="12" t="n">
        <v>101.9</v>
      </c>
      <c r="H811" s="13" t="n">
        <v>0.4171</v>
      </c>
      <c r="I811" s="13" t="n">
        <v>0.5389</v>
      </c>
    </row>
    <row r="812">
      <c r="A812" s="10" t="inlineStr">
        <is>
          <t>PJ-2021-E</t>
        </is>
      </c>
      <c r="B812" s="10" t="inlineStr">
        <is>
          <t>素朴版／単調補間</t>
        </is>
      </c>
      <c r="C812" s="10" t="inlineStr">
        <is>
          <t>2022-07</t>
        </is>
      </c>
      <c r="D812" s="10" t="n">
        <v>19</v>
      </c>
      <c r="E812" s="12" t="n">
        <v>18264</v>
      </c>
      <c r="F812" s="12" t="n">
        <v>16417.5</v>
      </c>
      <c r="G812" s="12" t="n">
        <v>1846.5</v>
      </c>
      <c r="H812" s="13" t="n">
        <v>0.4549</v>
      </c>
      <c r="I812" s="13" t="n">
        <v>0.573</v>
      </c>
    </row>
    <row r="813">
      <c r="A813" s="10" t="inlineStr">
        <is>
          <t>PJ-2021-E</t>
        </is>
      </c>
      <c r="B813" s="10" t="inlineStr">
        <is>
          <t>素朴版／単調補間</t>
        </is>
      </c>
      <c r="C813" s="10" t="inlineStr">
        <is>
          <t>2022-08</t>
        </is>
      </c>
      <c r="D813" s="10" t="n">
        <v>20</v>
      </c>
      <c r="E813" s="12" t="n">
        <v>19187.8</v>
      </c>
      <c r="F813" s="12" t="n">
        <v>14656</v>
      </c>
      <c r="G813" s="12" t="n">
        <v>4531.8</v>
      </c>
      <c r="H813" s="13" t="n">
        <v>0.4947</v>
      </c>
      <c r="I813" s="13" t="n">
        <v>0.6034</v>
      </c>
    </row>
    <row r="814">
      <c r="A814" s="10" t="inlineStr">
        <is>
          <t>PJ-2021-E</t>
        </is>
      </c>
      <c r="B814" s="10" t="inlineStr">
        <is>
          <t>素朴版／単調補間</t>
        </is>
      </c>
      <c r="C814" s="10" t="inlineStr">
        <is>
          <t>2022-09</t>
        </is>
      </c>
      <c r="D814" s="10" t="n">
        <v>21</v>
      </c>
      <c r="E814" s="12" t="n">
        <v>18921.7</v>
      </c>
      <c r="F814" s="12" t="n">
        <v>13886.2</v>
      </c>
      <c r="G814" s="12" t="n">
        <v>5035.5</v>
      </c>
      <c r="H814" s="13" t="n">
        <v>0.534</v>
      </c>
      <c r="I814" s="13" t="n">
        <v>0.6322</v>
      </c>
    </row>
    <row r="815">
      <c r="A815" s="10" t="inlineStr">
        <is>
          <t>PJ-2021-E</t>
        </is>
      </c>
      <c r="B815" s="10" t="inlineStr">
        <is>
          <t>素朴版／単調補間</t>
        </is>
      </c>
      <c r="C815" s="10" t="inlineStr">
        <is>
          <t>2022-10</t>
        </is>
      </c>
      <c r="D815" s="10" t="n">
        <v>22</v>
      </c>
      <c r="E815" s="12" t="n">
        <v>20846.9</v>
      </c>
      <c r="F815" s="12" t="n">
        <v>13614.7</v>
      </c>
      <c r="G815" s="12" t="n">
        <v>7232.2</v>
      </c>
      <c r="H815" s="13" t="n">
        <v>0.5772</v>
      </c>
      <c r="I815" s="13" t="n">
        <v>0.6604</v>
      </c>
    </row>
    <row r="816">
      <c r="A816" s="10" t="inlineStr">
        <is>
          <t>PJ-2021-E</t>
        </is>
      </c>
      <c r="B816" s="10" t="inlineStr">
        <is>
          <t>素朴版／単調補間</t>
        </is>
      </c>
      <c r="C816" s="10" t="inlineStr">
        <is>
          <t>2022-11</t>
        </is>
      </c>
      <c r="D816" s="10" t="n">
        <v>23</v>
      </c>
      <c r="E816" s="12" t="n">
        <v>21445.1</v>
      </c>
      <c r="F816" s="12" t="n">
        <v>14580.3</v>
      </c>
      <c r="G816" s="12" t="n">
        <v>6864.8</v>
      </c>
      <c r="H816" s="13" t="n">
        <v>0.6217</v>
      </c>
      <c r="I816" s="13" t="n">
        <v>0.6906</v>
      </c>
    </row>
    <row r="817">
      <c r="A817" s="10" t="inlineStr">
        <is>
          <t>PJ-2021-E</t>
        </is>
      </c>
      <c r="B817" s="10" t="inlineStr">
        <is>
          <t>素朴版／単調補間</t>
        </is>
      </c>
      <c r="C817" s="10" t="inlineStr">
        <is>
          <t>2022-12</t>
        </is>
      </c>
      <c r="D817" s="10" t="n">
        <v>24</v>
      </c>
      <c r="E817" s="12" t="n">
        <v>20785.3</v>
      </c>
      <c r="F817" s="12" t="n">
        <v>15865.3</v>
      </c>
      <c r="G817" s="12" t="n">
        <v>4920</v>
      </c>
      <c r="H817" s="13" t="n">
        <v>0.6647999999999999</v>
      </c>
      <c r="I817" s="13" t="n">
        <v>0.7236</v>
      </c>
    </row>
    <row r="818">
      <c r="A818" s="10" t="inlineStr">
        <is>
          <t>PJ-2021-E</t>
        </is>
      </c>
      <c r="B818" s="10" t="inlineStr">
        <is>
          <t>素朴版／単調補間</t>
        </is>
      </c>
      <c r="C818" s="10" t="inlineStr">
        <is>
          <t>2023-01</t>
        </is>
      </c>
      <c r="D818" s="10" t="n">
        <v>25</v>
      </c>
      <c r="E818" s="12" t="n">
        <v>19081.1</v>
      </c>
      <c r="F818" s="12" t="n">
        <v>18226.2</v>
      </c>
      <c r="G818" s="12" t="n">
        <v>854.9</v>
      </c>
      <c r="H818" s="13" t="n">
        <v>0.7044</v>
      </c>
      <c r="I818" s="13" t="n">
        <v>0.7614</v>
      </c>
    </row>
    <row r="819">
      <c r="A819" s="10" t="inlineStr">
        <is>
          <t>PJ-2021-E</t>
        </is>
      </c>
      <c r="B819" s="10" t="inlineStr">
        <is>
          <t>素朴版／単調補間</t>
        </is>
      </c>
      <c r="C819" s="10" t="inlineStr">
        <is>
          <t>2023-02</t>
        </is>
      </c>
      <c r="D819" s="10" t="n">
        <v>26</v>
      </c>
      <c r="E819" s="12" t="n">
        <v>15983.2</v>
      </c>
      <c r="F819" s="12" t="n">
        <v>17827.1</v>
      </c>
      <c r="G819" s="12" t="n">
        <v>-1843.9</v>
      </c>
      <c r="H819" s="13" t="n">
        <v>0.7375</v>
      </c>
      <c r="I819" s="13" t="n">
        <v>0.7983</v>
      </c>
    </row>
    <row r="820">
      <c r="A820" s="10" t="inlineStr">
        <is>
          <t>PJ-2021-E</t>
        </is>
      </c>
      <c r="B820" s="10" t="inlineStr">
        <is>
          <t>素朴版／単調補間</t>
        </is>
      </c>
      <c r="C820" s="10" t="inlineStr">
        <is>
          <t>2023-03</t>
        </is>
      </c>
      <c r="D820" s="10" t="n">
        <v>27</v>
      </c>
      <c r="E820" s="12" t="n">
        <v>16816.5</v>
      </c>
      <c r="F820" s="12" t="n">
        <v>22013.8</v>
      </c>
      <c r="G820" s="12" t="n">
        <v>-5197.3</v>
      </c>
      <c r="H820" s="13" t="n">
        <v>0.7724</v>
      </c>
      <c r="I820" s="13" t="n">
        <v>0.844</v>
      </c>
    </row>
    <row r="821">
      <c r="A821" s="10" t="inlineStr">
        <is>
          <t>PJ-2021-E</t>
        </is>
      </c>
      <c r="B821" s="10" t="inlineStr">
        <is>
          <t>素朴版／単調補間</t>
        </is>
      </c>
      <c r="C821" s="10" t="inlineStr">
        <is>
          <t>2023-04</t>
        </is>
      </c>
      <c r="D821" s="10" t="n">
        <v>28</v>
      </c>
      <c r="E821" s="12" t="n">
        <v>16819.9</v>
      </c>
      <c r="F821" s="12" t="n">
        <v>17769.7</v>
      </c>
      <c r="G821" s="12" t="n">
        <v>-949.8</v>
      </c>
      <c r="H821" s="13" t="n">
        <v>0.8073</v>
      </c>
      <c r="I821" s="13" t="n">
        <v>0.8808</v>
      </c>
    </row>
    <row r="822">
      <c r="A822" s="10" t="inlineStr">
        <is>
          <t>PJ-2021-E</t>
        </is>
      </c>
      <c r="B822" s="10" t="inlineStr">
        <is>
          <t>素朴版／単調補間</t>
        </is>
      </c>
      <c r="C822" s="10" t="inlineStr">
        <is>
          <t>2023-05</t>
        </is>
      </c>
      <c r="D822" s="10" t="n">
        <v>29</v>
      </c>
      <c r="E822" s="12" t="n">
        <v>18089.7</v>
      </c>
      <c r="F822" s="12" t="n">
        <v>15747.8</v>
      </c>
      <c r="G822" s="12" t="n">
        <v>2341.9</v>
      </c>
      <c r="H822" s="13" t="n">
        <v>0.8448</v>
      </c>
      <c r="I822" s="13" t="n">
        <v>0.9135</v>
      </c>
    </row>
    <row r="823">
      <c r="A823" s="10" t="inlineStr">
        <is>
          <t>PJ-2021-E</t>
        </is>
      </c>
      <c r="B823" s="10" t="inlineStr">
        <is>
          <t>素朴版／単調補間</t>
        </is>
      </c>
      <c r="C823" s="10" t="inlineStr">
        <is>
          <t>2023-06</t>
        </is>
      </c>
      <c r="D823" s="10" t="n">
        <v>30</v>
      </c>
      <c r="E823" s="12" t="n">
        <v>17020.9</v>
      </c>
      <c r="F823" s="12" t="n">
        <v>11049.5</v>
      </c>
      <c r="G823" s="12" t="n">
        <v>5971.4</v>
      </c>
      <c r="H823" s="13" t="n">
        <v>0.8801</v>
      </c>
      <c r="I823" s="13" t="n">
        <v>0.9364</v>
      </c>
    </row>
    <row r="824">
      <c r="A824" s="10" t="inlineStr">
        <is>
          <t>PJ-2021-E</t>
        </is>
      </c>
      <c r="B824" s="10" t="inlineStr">
        <is>
          <t>素朴版／単調補間</t>
        </is>
      </c>
      <c r="C824" s="10" t="inlineStr">
        <is>
          <t>2023-07</t>
        </is>
      </c>
      <c r="D824" s="10" t="n">
        <v>31</v>
      </c>
      <c r="E824" s="12" t="n">
        <v>14739</v>
      </c>
      <c r="F824" s="12" t="n">
        <v>10147.8</v>
      </c>
      <c r="G824" s="12" t="n">
        <v>4591.2</v>
      </c>
      <c r="H824" s="13" t="n">
        <v>0.9107</v>
      </c>
      <c r="I824" s="13" t="n">
        <v>0.9575</v>
      </c>
    </row>
    <row r="825">
      <c r="A825" s="10" t="inlineStr">
        <is>
          <t>PJ-2021-E</t>
        </is>
      </c>
      <c r="B825" s="10" t="inlineStr">
        <is>
          <t>素朴版／単調補間</t>
        </is>
      </c>
      <c r="C825" s="10" t="inlineStr">
        <is>
          <t>2023-08</t>
        </is>
      </c>
      <c r="D825" s="10" t="n">
        <v>32</v>
      </c>
      <c r="E825" s="12" t="n">
        <v>12232.3</v>
      </c>
      <c r="F825" s="12" t="n">
        <v>8637.799999999999</v>
      </c>
      <c r="G825" s="12" t="n">
        <v>3594.5</v>
      </c>
      <c r="H825" s="13" t="n">
        <v>0.9360000000000001</v>
      </c>
      <c r="I825" s="13" t="n">
        <v>0.9754</v>
      </c>
    </row>
    <row r="826">
      <c r="A826" s="10" t="inlineStr">
        <is>
          <t>PJ-2021-E</t>
        </is>
      </c>
      <c r="B826" s="10" t="inlineStr">
        <is>
          <t>素朴版／単調補間</t>
        </is>
      </c>
      <c r="C826" s="10" t="inlineStr">
        <is>
          <t>2023-09</t>
        </is>
      </c>
      <c r="D826" s="10" t="n">
        <v>33</v>
      </c>
      <c r="E826" s="12" t="n">
        <v>10423.6</v>
      </c>
      <c r="F826" s="12" t="n">
        <v>5590.1</v>
      </c>
      <c r="G826" s="12" t="n">
        <v>4833.5</v>
      </c>
      <c r="H826" s="13" t="n">
        <v>0.9577</v>
      </c>
      <c r="I826" s="13" t="n">
        <v>0.987</v>
      </c>
    </row>
    <row r="827">
      <c r="A827" s="10" t="inlineStr">
        <is>
          <t>PJ-2021-E</t>
        </is>
      </c>
      <c r="B827" s="10" t="inlineStr">
        <is>
          <t>素朴版／単調補間</t>
        </is>
      </c>
      <c r="C827" s="10" t="inlineStr">
        <is>
          <t>2023-10</t>
        </is>
      </c>
      <c r="D827" s="10" t="n">
        <v>34</v>
      </c>
      <c r="E827" s="12" t="n">
        <v>9294.9</v>
      </c>
      <c r="F827" s="12" t="n">
        <v>3746.3</v>
      </c>
      <c r="G827" s="12" t="n">
        <v>5548.6</v>
      </c>
      <c r="H827" s="13" t="n">
        <v>0.9769</v>
      </c>
      <c r="I827" s="13" t="n">
        <v>0.9947</v>
      </c>
    </row>
    <row r="828">
      <c r="A828" s="10" t="inlineStr">
        <is>
          <t>PJ-2021-E</t>
        </is>
      </c>
      <c r="B828" s="10" t="inlineStr">
        <is>
          <t>素朴版／単調補間</t>
        </is>
      </c>
      <c r="C828" s="10" t="inlineStr">
        <is>
          <t>2023-11</t>
        </is>
      </c>
      <c r="D828" s="10" t="n">
        <v>35</v>
      </c>
      <c r="E828" s="12" t="n">
        <v>6893.5</v>
      </c>
      <c r="F828" s="12" t="n">
        <v>1912.1</v>
      </c>
      <c r="G828" s="12" t="n">
        <v>4981.4</v>
      </c>
      <c r="H828" s="13" t="n">
        <v>0.9912</v>
      </c>
      <c r="I828" s="13" t="n">
        <v>0.9987</v>
      </c>
    </row>
    <row r="829">
      <c r="A829" s="10" t="inlineStr">
        <is>
          <t>PJ-2021-E</t>
        </is>
      </c>
      <c r="B829" s="10" t="inlineStr">
        <is>
          <t>素朴版／単調補間</t>
        </is>
      </c>
      <c r="C829" s="10" t="inlineStr">
        <is>
          <t>2023-12</t>
        </is>
      </c>
      <c r="D829" s="10" t="n">
        <v>36</v>
      </c>
      <c r="E829" s="12" t="n">
        <v>4221.5</v>
      </c>
      <c r="F829" s="12" t="n">
        <v>620.9</v>
      </c>
      <c r="G829" s="12" t="n">
        <v>3600.6</v>
      </c>
      <c r="H829" s="13" t="n">
        <v>1</v>
      </c>
      <c r="I829" s="13" t="n">
        <v>1</v>
      </c>
    </row>
    <row r="830">
      <c r="A830" s="10" t="inlineStr">
        <is>
          <t>PJ-2021-E</t>
        </is>
      </c>
      <c r="B830" s="10" t="inlineStr">
        <is>
          <t>位置合わせ(MS学習値)／単調補間</t>
        </is>
      </c>
      <c r="C830" s="10" t="inlineStr">
        <is>
          <t>2021-01</t>
        </is>
      </c>
      <c r="D830" s="10" t="n">
        <v>1</v>
      </c>
      <c r="E830" s="12" t="n">
        <v>5294.5</v>
      </c>
      <c r="F830" s="12" t="n">
        <v>2212.8</v>
      </c>
      <c r="G830" s="12" t="n">
        <v>3081.7</v>
      </c>
      <c r="H830" s="13" t="n">
        <v>0.011</v>
      </c>
      <c r="I830" s="13" t="n">
        <v>0.0046</v>
      </c>
    </row>
    <row r="831">
      <c r="A831" s="10" t="inlineStr">
        <is>
          <t>PJ-2021-E</t>
        </is>
      </c>
      <c r="B831" s="10" t="inlineStr">
        <is>
          <t>位置合わせ(MS学習値)／単調補間</t>
        </is>
      </c>
      <c r="C831" s="10" t="inlineStr">
        <is>
          <t>2021-02</t>
        </is>
      </c>
      <c r="D831" s="10" t="n">
        <v>2</v>
      </c>
      <c r="E831" s="12" t="n">
        <v>5718.6</v>
      </c>
      <c r="F831" s="12" t="n">
        <v>3289.4</v>
      </c>
      <c r="G831" s="12" t="n">
        <v>2429.2</v>
      </c>
      <c r="H831" s="13" t="n">
        <v>0.0228</v>
      </c>
      <c r="I831" s="13" t="n">
        <v>0.0114</v>
      </c>
    </row>
    <row r="832">
      <c r="A832" s="10" t="inlineStr">
        <is>
          <t>PJ-2021-E</t>
        </is>
      </c>
      <c r="B832" s="10" t="inlineStr">
        <is>
          <t>位置合わせ(MS学習値)／単調補間</t>
        </is>
      </c>
      <c r="C832" s="10" t="inlineStr">
        <is>
          <t>2021-03</t>
        </is>
      </c>
      <c r="D832" s="10" t="n">
        <v>3</v>
      </c>
      <c r="E832" s="12" t="n">
        <v>7217.7</v>
      </c>
      <c r="F832" s="12" t="n">
        <v>4610.7</v>
      </c>
      <c r="G832" s="12" t="n">
        <v>2607</v>
      </c>
      <c r="H832" s="13" t="n">
        <v>0.0378</v>
      </c>
      <c r="I832" s="13" t="n">
        <v>0.021</v>
      </c>
    </row>
    <row r="833">
      <c r="A833" s="10" t="inlineStr">
        <is>
          <t>PJ-2021-E</t>
        </is>
      </c>
      <c r="B833" s="10" t="inlineStr">
        <is>
          <t>位置合わせ(MS学習値)／単調補間</t>
        </is>
      </c>
      <c r="C833" s="10" t="inlineStr">
        <is>
          <t>2021-04</t>
        </is>
      </c>
      <c r="D833" s="10" t="n">
        <v>4</v>
      </c>
      <c r="E833" s="12" t="n">
        <v>7721.4</v>
      </c>
      <c r="F833" s="12" t="n">
        <v>5392.8</v>
      </c>
      <c r="G833" s="12" t="n">
        <v>2328.6</v>
      </c>
      <c r="H833" s="13" t="n">
        <v>0.0538</v>
      </c>
      <c r="I833" s="13" t="n">
        <v>0.0322</v>
      </c>
    </row>
    <row r="834">
      <c r="A834" s="10" t="inlineStr">
        <is>
          <t>PJ-2021-E</t>
        </is>
      </c>
      <c r="B834" s="10" t="inlineStr">
        <is>
          <t>位置合わせ(MS学習値)／単調補間</t>
        </is>
      </c>
      <c r="C834" s="10" t="inlineStr">
        <is>
          <t>2021-05</t>
        </is>
      </c>
      <c r="D834" s="10" t="n">
        <v>5</v>
      </c>
      <c r="E834" s="12" t="n">
        <v>8407.6</v>
      </c>
      <c r="F834" s="12" t="n">
        <v>5875.1</v>
      </c>
      <c r="G834" s="12" t="n">
        <v>2532.5</v>
      </c>
      <c r="H834" s="13" t="n">
        <v>0.0713</v>
      </c>
      <c r="I834" s="13" t="n">
        <v>0.0443</v>
      </c>
    </row>
    <row r="835">
      <c r="A835" s="10" t="inlineStr">
        <is>
          <t>PJ-2021-E</t>
        </is>
      </c>
      <c r="B835" s="10" t="inlineStr">
        <is>
          <t>位置合わせ(MS学習値)／単調補間</t>
        </is>
      </c>
      <c r="C835" s="10" t="inlineStr">
        <is>
          <t>2021-06</t>
        </is>
      </c>
      <c r="D835" s="10" t="n">
        <v>6</v>
      </c>
      <c r="E835" s="12" t="n">
        <v>8976.1</v>
      </c>
      <c r="F835" s="12" t="n">
        <v>6664.2</v>
      </c>
      <c r="G835" s="12" t="n">
        <v>2311.9</v>
      </c>
      <c r="H835" s="13" t="n">
        <v>0.08989999999999999</v>
      </c>
      <c r="I835" s="13" t="n">
        <v>0.0582</v>
      </c>
    </row>
    <row r="836">
      <c r="A836" s="10" t="inlineStr">
        <is>
          <t>PJ-2021-E</t>
        </is>
      </c>
      <c r="B836" s="10" t="inlineStr">
        <is>
          <t>位置合わせ(MS学習値)／単調補間</t>
        </is>
      </c>
      <c r="C836" s="10" t="inlineStr">
        <is>
          <t>2021-07</t>
        </is>
      </c>
      <c r="D836" s="10" t="n">
        <v>7</v>
      </c>
      <c r="E836" s="12" t="n">
        <v>9191.700000000001</v>
      </c>
      <c r="F836" s="12" t="n">
        <v>7114.2</v>
      </c>
      <c r="G836" s="12" t="n">
        <v>2077.5</v>
      </c>
      <c r="H836" s="13" t="n">
        <v>0.1089</v>
      </c>
      <c r="I836" s="13" t="n">
        <v>0.07290000000000001</v>
      </c>
    </row>
    <row r="837">
      <c r="A837" s="10" t="inlineStr">
        <is>
          <t>PJ-2021-E</t>
        </is>
      </c>
      <c r="B837" s="10" t="inlineStr">
        <is>
          <t>位置合わせ(MS学習値)／単調補間</t>
        </is>
      </c>
      <c r="C837" s="10" t="inlineStr">
        <is>
          <t>2021-08</t>
        </is>
      </c>
      <c r="D837" s="10" t="n">
        <v>8</v>
      </c>
      <c r="E837" s="12" t="n">
        <v>9701.799999999999</v>
      </c>
      <c r="F837" s="12" t="n">
        <v>7159.8</v>
      </c>
      <c r="G837" s="12" t="n">
        <v>2542</v>
      </c>
      <c r="H837" s="13" t="n">
        <v>0.1291</v>
      </c>
      <c r="I837" s="13" t="n">
        <v>0.0878</v>
      </c>
    </row>
    <row r="838">
      <c r="A838" s="10" t="inlineStr">
        <is>
          <t>PJ-2021-E</t>
        </is>
      </c>
      <c r="B838" s="10" t="inlineStr">
        <is>
          <t>位置合わせ(MS学習値)／単調補間</t>
        </is>
      </c>
      <c r="C838" s="10" t="inlineStr">
        <is>
          <t>2021-09</t>
        </is>
      </c>
      <c r="D838" s="10" t="n">
        <v>9</v>
      </c>
      <c r="E838" s="12" t="n">
        <v>10041.5</v>
      </c>
      <c r="F838" s="12" t="n">
        <v>7725.3</v>
      </c>
      <c r="G838" s="12" t="n">
        <v>2316.2</v>
      </c>
      <c r="H838" s="13" t="n">
        <v>0.1499</v>
      </c>
      <c r="I838" s="13" t="n">
        <v>0.1038</v>
      </c>
    </row>
    <row r="839">
      <c r="A839" s="10" t="inlineStr">
        <is>
          <t>PJ-2021-E</t>
        </is>
      </c>
      <c r="B839" s="10" t="inlineStr">
        <is>
          <t>位置合わせ(MS学習値)／単調補間</t>
        </is>
      </c>
      <c r="C839" s="10" t="inlineStr">
        <is>
          <t>2021-10</t>
        </is>
      </c>
      <c r="D839" s="10" t="n">
        <v>10</v>
      </c>
      <c r="E839" s="12" t="n">
        <v>11317.4</v>
      </c>
      <c r="F839" s="12" t="n">
        <v>11396.5</v>
      </c>
      <c r="G839" s="12" t="n">
        <v>-79.09999999999999</v>
      </c>
      <c r="H839" s="13" t="n">
        <v>0.1734</v>
      </c>
      <c r="I839" s="13" t="n">
        <v>0.1274</v>
      </c>
    </row>
    <row r="840">
      <c r="A840" s="10" t="inlineStr">
        <is>
          <t>PJ-2021-E</t>
        </is>
      </c>
      <c r="B840" s="10" t="inlineStr">
        <is>
          <t>位置合わせ(MS学習値)／単調補間</t>
        </is>
      </c>
      <c r="C840" s="10" t="inlineStr">
        <is>
          <t>2021-11</t>
        </is>
      </c>
      <c r="D840" s="10" t="n">
        <v>11</v>
      </c>
      <c r="E840" s="12" t="n">
        <v>11547.2</v>
      </c>
      <c r="F840" s="12" t="n">
        <v>22707.4</v>
      </c>
      <c r="G840" s="12" t="n">
        <v>-11160.2</v>
      </c>
      <c r="H840" s="13" t="n">
        <v>0.1973</v>
      </c>
      <c r="I840" s="13" t="n">
        <v>0.1745</v>
      </c>
    </row>
    <row r="841">
      <c r="A841" s="10" t="inlineStr">
        <is>
          <t>PJ-2021-E</t>
        </is>
      </c>
      <c r="B841" s="10" t="inlineStr">
        <is>
          <t>位置合わせ(MS学習値)／単調補間</t>
        </is>
      </c>
      <c r="C841" s="10" t="inlineStr">
        <is>
          <t>2021-12</t>
        </is>
      </c>
      <c r="D841" s="10" t="n">
        <v>12</v>
      </c>
      <c r="E841" s="12" t="n">
        <v>13076.8</v>
      </c>
      <c r="F841" s="12" t="n">
        <v>24332.8</v>
      </c>
      <c r="G841" s="12" t="n">
        <v>-11256</v>
      </c>
      <c r="H841" s="13" t="n">
        <v>0.2244</v>
      </c>
      <c r="I841" s="13" t="n">
        <v>0.225</v>
      </c>
    </row>
    <row r="842">
      <c r="A842" s="10" t="inlineStr">
        <is>
          <t>PJ-2021-E</t>
        </is>
      </c>
      <c r="B842" s="10" t="inlineStr">
        <is>
          <t>位置合わせ(MS学習値)／単調補間</t>
        </is>
      </c>
      <c r="C842" s="10" t="inlineStr">
        <is>
          <t>2022-01</t>
        </is>
      </c>
      <c r="D842" s="10" t="n">
        <v>13</v>
      </c>
      <c r="E842" s="12" t="n">
        <v>13851.7</v>
      </c>
      <c r="F842" s="12" t="n">
        <v>28940.1</v>
      </c>
      <c r="G842" s="12" t="n">
        <v>-15088.4</v>
      </c>
      <c r="H842" s="13" t="n">
        <v>0.2532</v>
      </c>
      <c r="I842" s="13" t="n">
        <v>0.285</v>
      </c>
    </row>
    <row r="843">
      <c r="A843" s="10" t="inlineStr">
        <is>
          <t>PJ-2021-E</t>
        </is>
      </c>
      <c r="B843" s="10" t="inlineStr">
        <is>
          <t>位置合わせ(MS学習値)／単調補間</t>
        </is>
      </c>
      <c r="C843" s="10" t="inlineStr">
        <is>
          <t>2022-02</t>
        </is>
      </c>
      <c r="D843" s="10" t="n">
        <v>14</v>
      </c>
      <c r="E843" s="12" t="n">
        <v>13029.2</v>
      </c>
      <c r="F843" s="12" t="n">
        <v>28533.6</v>
      </c>
      <c r="G843" s="12" t="n">
        <v>-15504.4</v>
      </c>
      <c r="H843" s="13" t="n">
        <v>0.2802</v>
      </c>
      <c r="I843" s="13" t="n">
        <v>0.3442</v>
      </c>
    </row>
    <row r="844">
      <c r="A844" s="10" t="inlineStr">
        <is>
          <t>PJ-2021-E</t>
        </is>
      </c>
      <c r="B844" s="10" t="inlineStr">
        <is>
          <t>位置合わせ(MS学習値)／単調補間</t>
        </is>
      </c>
      <c r="C844" s="10" t="inlineStr">
        <is>
          <t>2022-03</t>
        </is>
      </c>
      <c r="D844" s="10" t="n">
        <v>15</v>
      </c>
      <c r="E844" s="12" t="n">
        <v>15129.6</v>
      </c>
      <c r="F844" s="12" t="n">
        <v>39513.1</v>
      </c>
      <c r="G844" s="12" t="n">
        <v>-24383.5</v>
      </c>
      <c r="H844" s="13" t="n">
        <v>0.3116</v>
      </c>
      <c r="I844" s="13" t="n">
        <v>0.4261</v>
      </c>
    </row>
    <row r="845">
      <c r="A845" s="10" t="inlineStr">
        <is>
          <t>PJ-2021-E</t>
        </is>
      </c>
      <c r="B845" s="10" t="inlineStr">
        <is>
          <t>位置合わせ(MS学習値)／単調補間</t>
        </is>
      </c>
      <c r="C845" s="10" t="inlineStr">
        <is>
          <t>2022-04</t>
        </is>
      </c>
      <c r="D845" s="10" t="n">
        <v>16</v>
      </c>
      <c r="E845" s="12" t="n">
        <v>15211.7</v>
      </c>
      <c r="F845" s="12" t="n">
        <v>20968.4</v>
      </c>
      <c r="G845" s="12" t="n">
        <v>-5756.7</v>
      </c>
      <c r="H845" s="13" t="n">
        <v>0.3431</v>
      </c>
      <c r="I845" s="13" t="n">
        <v>0.4696</v>
      </c>
    </row>
    <row r="846">
      <c r="A846" s="10" t="inlineStr">
        <is>
          <t>PJ-2021-E</t>
        </is>
      </c>
      <c r="B846" s="10" t="inlineStr">
        <is>
          <t>位置合わせ(MS学習値)／単調補間</t>
        </is>
      </c>
      <c r="C846" s="10" t="inlineStr">
        <is>
          <t>2022-05</t>
        </is>
      </c>
      <c r="D846" s="10" t="n">
        <v>17</v>
      </c>
      <c r="E846" s="12" t="n">
        <v>16477.5</v>
      </c>
      <c r="F846" s="12" t="n">
        <v>18133.4</v>
      </c>
      <c r="G846" s="12" t="n">
        <v>-1655.9</v>
      </c>
      <c r="H846" s="13" t="n">
        <v>0.3773</v>
      </c>
      <c r="I846" s="13" t="n">
        <v>0.5072</v>
      </c>
    </row>
    <row r="847">
      <c r="A847" s="10" t="inlineStr">
        <is>
          <t>PJ-2021-E</t>
        </is>
      </c>
      <c r="B847" s="10" t="inlineStr">
        <is>
          <t>位置合わせ(MS学習値)／単調補間</t>
        </is>
      </c>
      <c r="C847" s="10" t="inlineStr">
        <is>
          <t>2022-06</t>
        </is>
      </c>
      <c r="D847" s="10" t="n">
        <v>18</v>
      </c>
      <c r="E847" s="12" t="n">
        <v>16879</v>
      </c>
      <c r="F847" s="12" t="n">
        <v>15271.7</v>
      </c>
      <c r="G847" s="12" t="n">
        <v>1607.3</v>
      </c>
      <c r="H847" s="13" t="n">
        <v>0.4123</v>
      </c>
      <c r="I847" s="13" t="n">
        <v>0.5389</v>
      </c>
    </row>
    <row r="848">
      <c r="A848" s="10" t="inlineStr">
        <is>
          <t>PJ-2021-E</t>
        </is>
      </c>
      <c r="B848" s="10" t="inlineStr">
        <is>
          <t>位置合わせ(MS学習値)／単調補間</t>
        </is>
      </c>
      <c r="C848" s="10" t="inlineStr">
        <is>
          <t>2022-07</t>
        </is>
      </c>
      <c r="D848" s="10" t="n">
        <v>19</v>
      </c>
      <c r="E848" s="12" t="n">
        <v>19751.1</v>
      </c>
      <c r="F848" s="12" t="n">
        <v>16417.5</v>
      </c>
      <c r="G848" s="12" t="n">
        <v>3333.6</v>
      </c>
      <c r="H848" s="13" t="n">
        <v>0.4533</v>
      </c>
      <c r="I848" s="13" t="n">
        <v>0.573</v>
      </c>
    </row>
    <row r="849">
      <c r="A849" s="10" t="inlineStr">
        <is>
          <t>PJ-2021-E</t>
        </is>
      </c>
      <c r="B849" s="10" t="inlineStr">
        <is>
          <t>位置合わせ(MS学習値)／単調補間</t>
        </is>
      </c>
      <c r="C849" s="10" t="inlineStr">
        <is>
          <t>2022-08</t>
        </is>
      </c>
      <c r="D849" s="10" t="n">
        <v>20</v>
      </c>
      <c r="E849" s="12" t="n">
        <v>20409.3</v>
      </c>
      <c r="F849" s="12" t="n">
        <v>14656</v>
      </c>
      <c r="G849" s="12" t="n">
        <v>5753.3</v>
      </c>
      <c r="H849" s="13" t="n">
        <v>0.4956</v>
      </c>
      <c r="I849" s="13" t="n">
        <v>0.6034</v>
      </c>
    </row>
    <row r="850">
      <c r="A850" s="10" t="inlineStr">
        <is>
          <t>PJ-2021-E</t>
        </is>
      </c>
      <c r="B850" s="10" t="inlineStr">
        <is>
          <t>位置合わせ(MS学習値)／単調補間</t>
        </is>
      </c>
      <c r="C850" s="10" t="inlineStr">
        <is>
          <t>2022-09</t>
        </is>
      </c>
      <c r="D850" s="10" t="n">
        <v>21</v>
      </c>
      <c r="E850" s="12" t="n">
        <v>19592.6</v>
      </c>
      <c r="F850" s="12" t="n">
        <v>13886.2</v>
      </c>
      <c r="G850" s="12" t="n">
        <v>5706.4</v>
      </c>
      <c r="H850" s="13" t="n">
        <v>0.5362</v>
      </c>
      <c r="I850" s="13" t="n">
        <v>0.6322</v>
      </c>
    </row>
    <row r="851">
      <c r="A851" s="10" t="inlineStr">
        <is>
          <t>PJ-2021-E</t>
        </is>
      </c>
      <c r="B851" s="10" t="inlineStr">
        <is>
          <t>位置合わせ(MS学習値)／単調補間</t>
        </is>
      </c>
      <c r="C851" s="10" t="inlineStr">
        <is>
          <t>2022-10</t>
        </is>
      </c>
      <c r="D851" s="10" t="n">
        <v>22</v>
      </c>
      <c r="E851" s="12" t="n">
        <v>19927.4</v>
      </c>
      <c r="F851" s="12" t="n">
        <v>13614.7</v>
      </c>
      <c r="G851" s="12" t="n">
        <v>6312.7</v>
      </c>
      <c r="H851" s="13" t="n">
        <v>0.5776</v>
      </c>
      <c r="I851" s="13" t="n">
        <v>0.6604</v>
      </c>
    </row>
    <row r="852">
      <c r="A852" s="10" t="inlineStr">
        <is>
          <t>PJ-2021-E</t>
        </is>
      </c>
      <c r="B852" s="10" t="inlineStr">
        <is>
          <t>位置合わせ(MS学習値)／単調補間</t>
        </is>
      </c>
      <c r="C852" s="10" t="inlineStr">
        <is>
          <t>2022-11</t>
        </is>
      </c>
      <c r="D852" s="10" t="n">
        <v>23</v>
      </c>
      <c r="E852" s="12" t="n">
        <v>19896.4</v>
      </c>
      <c r="F852" s="12" t="n">
        <v>14580.3</v>
      </c>
      <c r="G852" s="12" t="n">
        <v>5316.1</v>
      </c>
      <c r="H852" s="13" t="n">
        <v>0.6188</v>
      </c>
      <c r="I852" s="13" t="n">
        <v>0.6906</v>
      </c>
    </row>
    <row r="853">
      <c r="A853" s="10" t="inlineStr">
        <is>
          <t>PJ-2021-E</t>
        </is>
      </c>
      <c r="B853" s="10" t="inlineStr">
        <is>
          <t>位置合わせ(MS学習値)／単調補間</t>
        </is>
      </c>
      <c r="C853" s="10" t="inlineStr">
        <is>
          <t>2022-12</t>
        </is>
      </c>
      <c r="D853" s="10" t="n">
        <v>24</v>
      </c>
      <c r="E853" s="12" t="n">
        <v>20527.1</v>
      </c>
      <c r="F853" s="12" t="n">
        <v>15865.3</v>
      </c>
      <c r="G853" s="12" t="n">
        <v>4661.8</v>
      </c>
      <c r="H853" s="13" t="n">
        <v>0.6614</v>
      </c>
      <c r="I853" s="13" t="n">
        <v>0.7236</v>
      </c>
    </row>
    <row r="854">
      <c r="A854" s="10" t="inlineStr">
        <is>
          <t>PJ-2021-E</t>
        </is>
      </c>
      <c r="B854" s="10" t="inlineStr">
        <is>
          <t>位置合わせ(MS学習値)／単調補間</t>
        </is>
      </c>
      <c r="C854" s="10" t="inlineStr">
        <is>
          <t>2023-01</t>
        </is>
      </c>
      <c r="D854" s="10" t="n">
        <v>25</v>
      </c>
      <c r="E854" s="12" t="n">
        <v>20773.7</v>
      </c>
      <c r="F854" s="12" t="n">
        <v>18226.2</v>
      </c>
      <c r="G854" s="12" t="n">
        <v>2547.5</v>
      </c>
      <c r="H854" s="13" t="n">
        <v>0.7045</v>
      </c>
      <c r="I854" s="13" t="n">
        <v>0.7614</v>
      </c>
    </row>
    <row r="855">
      <c r="A855" s="10" t="inlineStr">
        <is>
          <t>PJ-2021-E</t>
        </is>
      </c>
      <c r="B855" s="10" t="inlineStr">
        <is>
          <t>位置合わせ(MS学習値)／単調補間</t>
        </is>
      </c>
      <c r="C855" s="10" t="inlineStr">
        <is>
          <t>2023-02</t>
        </is>
      </c>
      <c r="D855" s="10" t="n">
        <v>26</v>
      </c>
      <c r="E855" s="12" t="n">
        <v>18938.6</v>
      </c>
      <c r="F855" s="12" t="n">
        <v>17827.1</v>
      </c>
      <c r="G855" s="12" t="n">
        <v>1111.5</v>
      </c>
      <c r="H855" s="13" t="n">
        <v>0.7438</v>
      </c>
      <c r="I855" s="13" t="n">
        <v>0.7983</v>
      </c>
    </row>
    <row r="856">
      <c r="A856" s="10" t="inlineStr">
        <is>
          <t>PJ-2021-E</t>
        </is>
      </c>
      <c r="B856" s="10" t="inlineStr">
        <is>
          <t>位置合わせ(MS学習値)／単調補間</t>
        </is>
      </c>
      <c r="C856" s="10" t="inlineStr">
        <is>
          <t>2023-03</t>
        </is>
      </c>
      <c r="D856" s="10" t="n">
        <v>27</v>
      </c>
      <c r="E856" s="12" t="n">
        <v>20211.2</v>
      </c>
      <c r="F856" s="12" t="n">
        <v>22013.8</v>
      </c>
      <c r="G856" s="12" t="n">
        <v>-1802.6</v>
      </c>
      <c r="H856" s="13" t="n">
        <v>0.7857</v>
      </c>
      <c r="I856" s="13" t="n">
        <v>0.844</v>
      </c>
    </row>
    <row r="857">
      <c r="A857" s="10" t="inlineStr">
        <is>
          <t>PJ-2021-E</t>
        </is>
      </c>
      <c r="B857" s="10" t="inlineStr">
        <is>
          <t>位置合わせ(MS学習値)／単調補間</t>
        </is>
      </c>
      <c r="C857" s="10" t="inlineStr">
        <is>
          <t>2023-04</t>
        </is>
      </c>
      <c r="D857" s="10" t="n">
        <v>28</v>
      </c>
      <c r="E857" s="12" t="n">
        <v>16168.1</v>
      </c>
      <c r="F857" s="12" t="n">
        <v>17769.7</v>
      </c>
      <c r="G857" s="12" t="n">
        <v>-1601.6</v>
      </c>
      <c r="H857" s="13" t="n">
        <v>0.8192</v>
      </c>
      <c r="I857" s="13" t="n">
        <v>0.8808</v>
      </c>
    </row>
    <row r="858">
      <c r="A858" s="10" t="inlineStr">
        <is>
          <t>PJ-2021-E</t>
        </is>
      </c>
      <c r="B858" s="10" t="inlineStr">
        <is>
          <t>位置合わせ(MS学習値)／単調補間</t>
        </is>
      </c>
      <c r="C858" s="10" t="inlineStr">
        <is>
          <t>2023-05</t>
        </is>
      </c>
      <c r="D858" s="10" t="n">
        <v>29</v>
      </c>
      <c r="E858" s="12" t="n">
        <v>16227.2</v>
      </c>
      <c r="F858" s="12" t="n">
        <v>15747.8</v>
      </c>
      <c r="G858" s="12" t="n">
        <v>479.4</v>
      </c>
      <c r="H858" s="13" t="n">
        <v>0.8529</v>
      </c>
      <c r="I858" s="13" t="n">
        <v>0.9135</v>
      </c>
    </row>
    <row r="859">
      <c r="A859" s="10" t="inlineStr">
        <is>
          <t>PJ-2021-E</t>
        </is>
      </c>
      <c r="B859" s="10" t="inlineStr">
        <is>
          <t>位置合わせ(MS学習値)／単調補間</t>
        </is>
      </c>
      <c r="C859" s="10" t="inlineStr">
        <is>
          <t>2023-06</t>
        </is>
      </c>
      <c r="D859" s="10" t="n">
        <v>30</v>
      </c>
      <c r="E859" s="12" t="n">
        <v>14612.8</v>
      </c>
      <c r="F859" s="12" t="n">
        <v>11049.5</v>
      </c>
      <c r="G859" s="12" t="n">
        <v>3563.3</v>
      </c>
      <c r="H859" s="13" t="n">
        <v>0.8832</v>
      </c>
      <c r="I859" s="13" t="n">
        <v>0.9364</v>
      </c>
    </row>
    <row r="860">
      <c r="A860" s="10" t="inlineStr">
        <is>
          <t>PJ-2021-E</t>
        </is>
      </c>
      <c r="B860" s="10" t="inlineStr">
        <is>
          <t>位置合わせ(MS学習値)／単調補間</t>
        </is>
      </c>
      <c r="C860" s="10" t="inlineStr">
        <is>
          <t>2023-07</t>
        </is>
      </c>
      <c r="D860" s="10" t="n">
        <v>31</v>
      </c>
      <c r="E860" s="12" t="n">
        <v>13290.7</v>
      </c>
      <c r="F860" s="12" t="n">
        <v>10147.8</v>
      </c>
      <c r="G860" s="12" t="n">
        <v>3142.9</v>
      </c>
      <c r="H860" s="13" t="n">
        <v>0.9107</v>
      </c>
      <c r="I860" s="13" t="n">
        <v>0.9575</v>
      </c>
    </row>
    <row r="861">
      <c r="A861" s="10" t="inlineStr">
        <is>
          <t>PJ-2021-E</t>
        </is>
      </c>
      <c r="B861" s="10" t="inlineStr">
        <is>
          <t>位置合わせ(MS学習値)／単調補間</t>
        </is>
      </c>
      <c r="C861" s="10" t="inlineStr">
        <is>
          <t>2023-08</t>
        </is>
      </c>
      <c r="D861" s="10" t="n">
        <v>32</v>
      </c>
      <c r="E861" s="12" t="n">
        <v>11725.1</v>
      </c>
      <c r="F861" s="12" t="n">
        <v>8637.799999999999</v>
      </c>
      <c r="G861" s="12" t="n">
        <v>3087.3</v>
      </c>
      <c r="H861" s="13" t="n">
        <v>0.9351</v>
      </c>
      <c r="I861" s="13" t="n">
        <v>0.9754</v>
      </c>
    </row>
    <row r="862">
      <c r="A862" s="10" t="inlineStr">
        <is>
          <t>PJ-2021-E</t>
        </is>
      </c>
      <c r="B862" s="10" t="inlineStr">
        <is>
          <t>位置合わせ(MS学習値)／単調補間</t>
        </is>
      </c>
      <c r="C862" s="10" t="inlineStr">
        <is>
          <t>2023-09</t>
        </is>
      </c>
      <c r="D862" s="10" t="n">
        <v>33</v>
      </c>
      <c r="E862" s="12" t="n">
        <v>10305.6</v>
      </c>
      <c r="F862" s="12" t="n">
        <v>5590.1</v>
      </c>
      <c r="G862" s="12" t="n">
        <v>4715.5</v>
      </c>
      <c r="H862" s="13" t="n">
        <v>0.9564</v>
      </c>
      <c r="I862" s="13" t="n">
        <v>0.987</v>
      </c>
    </row>
    <row r="863">
      <c r="A863" s="10" t="inlineStr">
        <is>
          <t>PJ-2021-E</t>
        </is>
      </c>
      <c r="B863" s="10" t="inlineStr">
        <is>
          <t>位置合わせ(MS学習値)／単調補間</t>
        </is>
      </c>
      <c r="C863" s="10" t="inlineStr">
        <is>
          <t>2023-10</t>
        </is>
      </c>
      <c r="D863" s="10" t="n">
        <v>34</v>
      </c>
      <c r="E863" s="12" t="n">
        <v>9623.4</v>
      </c>
      <c r="F863" s="12" t="n">
        <v>3746.3</v>
      </c>
      <c r="G863" s="12" t="n">
        <v>5877.1</v>
      </c>
      <c r="H863" s="13" t="n">
        <v>0.9764</v>
      </c>
      <c r="I863" s="13" t="n">
        <v>0.9947</v>
      </c>
    </row>
    <row r="864">
      <c r="A864" s="10" t="inlineStr">
        <is>
          <t>PJ-2021-E</t>
        </is>
      </c>
      <c r="B864" s="10" t="inlineStr">
        <is>
          <t>位置合わせ(MS学習値)／単調補間</t>
        </is>
      </c>
      <c r="C864" s="10" t="inlineStr">
        <is>
          <t>2023-11</t>
        </is>
      </c>
      <c r="D864" s="10" t="n">
        <v>35</v>
      </c>
      <c r="E864" s="12" t="n">
        <v>7089.8</v>
      </c>
      <c r="F864" s="12" t="n">
        <v>1912.1</v>
      </c>
      <c r="G864" s="12" t="n">
        <v>5177.7</v>
      </c>
      <c r="H864" s="13" t="n">
        <v>0.9911</v>
      </c>
      <c r="I864" s="13" t="n">
        <v>0.9987</v>
      </c>
    </row>
    <row r="865">
      <c r="A865" s="10" t="inlineStr">
        <is>
          <t>PJ-2021-E</t>
        </is>
      </c>
      <c r="B865" s="10" t="inlineStr">
        <is>
          <t>位置合わせ(MS学習値)／単調補間</t>
        </is>
      </c>
      <c r="C865" s="10" t="inlineStr">
        <is>
          <t>2023-12</t>
        </is>
      </c>
      <c r="D865" s="10" t="n">
        <v>36</v>
      </c>
      <c r="E865" s="12" t="n">
        <v>4289.4</v>
      </c>
      <c r="F865" s="12" t="n">
        <v>620.9</v>
      </c>
      <c r="G865" s="12" t="n">
        <v>3668.5</v>
      </c>
      <c r="H865" s="13" t="n">
        <v>1</v>
      </c>
      <c r="I865" s="13" t="n">
        <v>1</v>
      </c>
    </row>
    <row r="866">
      <c r="A866" s="10" t="inlineStr">
        <is>
          <t>PJ-2021-E</t>
        </is>
      </c>
      <c r="B866" s="10" t="inlineStr">
        <is>
          <t>位置合わせ(MS指定)／単調補間</t>
        </is>
      </c>
      <c r="C866" s="10" t="inlineStr">
        <is>
          <t>2021-01</t>
        </is>
      </c>
      <c r="D866" s="10" t="n">
        <v>1</v>
      </c>
      <c r="E866" s="12" t="n">
        <v>6545.4</v>
      </c>
      <c r="F866" s="12" t="n">
        <v>2212.8</v>
      </c>
      <c r="G866" s="12" t="n">
        <v>4332.6</v>
      </c>
      <c r="H866" s="13" t="n">
        <v>0.0136</v>
      </c>
      <c r="I866" s="13" t="n">
        <v>0.0046</v>
      </c>
    </row>
    <row r="867">
      <c r="A867" s="10" t="inlineStr">
        <is>
          <t>PJ-2021-E</t>
        </is>
      </c>
      <c r="B867" s="10" t="inlineStr">
        <is>
          <t>位置合わせ(MS指定)／単調補間</t>
        </is>
      </c>
      <c r="C867" s="10" t="inlineStr">
        <is>
          <t>2021-02</t>
        </is>
      </c>
      <c r="D867" s="10" t="n">
        <v>2</v>
      </c>
      <c r="E867" s="12" t="n">
        <v>7157.4</v>
      </c>
      <c r="F867" s="12" t="n">
        <v>3289.4</v>
      </c>
      <c r="G867" s="12" t="n">
        <v>3868</v>
      </c>
      <c r="H867" s="13" t="n">
        <v>0.0284</v>
      </c>
      <c r="I867" s="13" t="n">
        <v>0.0114</v>
      </c>
    </row>
    <row r="868">
      <c r="A868" s="10" t="inlineStr">
        <is>
          <t>PJ-2021-E</t>
        </is>
      </c>
      <c r="B868" s="10" t="inlineStr">
        <is>
          <t>位置合わせ(MS指定)／単調補間</t>
        </is>
      </c>
      <c r="C868" s="10" t="inlineStr">
        <is>
          <t>2021-03</t>
        </is>
      </c>
      <c r="D868" s="10" t="n">
        <v>3</v>
      </c>
      <c r="E868" s="12" t="n">
        <v>9264.4</v>
      </c>
      <c r="F868" s="12" t="n">
        <v>4610.7</v>
      </c>
      <c r="G868" s="12" t="n">
        <v>4653.7</v>
      </c>
      <c r="H868" s="13" t="n">
        <v>0.0476</v>
      </c>
      <c r="I868" s="13" t="n">
        <v>0.021</v>
      </c>
    </row>
    <row r="869">
      <c r="A869" s="10" t="inlineStr">
        <is>
          <t>PJ-2021-E</t>
        </is>
      </c>
      <c r="B869" s="10" t="inlineStr">
        <is>
          <t>位置合わせ(MS指定)／単調補間</t>
        </is>
      </c>
      <c r="C869" s="10" t="inlineStr">
        <is>
          <t>2021-04</t>
        </is>
      </c>
      <c r="D869" s="10" t="n">
        <v>4</v>
      </c>
      <c r="E869" s="12" t="n">
        <v>9606.9</v>
      </c>
      <c r="F869" s="12" t="n">
        <v>5392.8</v>
      </c>
      <c r="G869" s="12" t="n">
        <v>4214.1</v>
      </c>
      <c r="H869" s="13" t="n">
        <v>0.06759999999999999</v>
      </c>
      <c r="I869" s="13" t="n">
        <v>0.0322</v>
      </c>
    </row>
    <row r="870">
      <c r="A870" s="10" t="inlineStr">
        <is>
          <t>PJ-2021-E</t>
        </is>
      </c>
      <c r="B870" s="10" t="inlineStr">
        <is>
          <t>位置合わせ(MS指定)／単調補間</t>
        </is>
      </c>
      <c r="C870" s="10" t="inlineStr">
        <is>
          <t>2021-05</t>
        </is>
      </c>
      <c r="D870" s="10" t="n">
        <v>5</v>
      </c>
      <c r="E870" s="12" t="n">
        <v>11086.8</v>
      </c>
      <c r="F870" s="12" t="n">
        <v>5875.1</v>
      </c>
      <c r="G870" s="12" t="n">
        <v>5211.7</v>
      </c>
      <c r="H870" s="13" t="n">
        <v>0.0906</v>
      </c>
      <c r="I870" s="13" t="n">
        <v>0.0443</v>
      </c>
    </row>
    <row r="871">
      <c r="A871" s="10" t="inlineStr">
        <is>
          <t>PJ-2021-E</t>
        </is>
      </c>
      <c r="B871" s="10" t="inlineStr">
        <is>
          <t>位置合わせ(MS指定)／単調補間</t>
        </is>
      </c>
      <c r="C871" s="10" t="inlineStr">
        <is>
          <t>2021-06</t>
        </is>
      </c>
      <c r="D871" s="10" t="n">
        <v>6</v>
      </c>
      <c r="E871" s="12" t="n">
        <v>10791.5</v>
      </c>
      <c r="F871" s="12" t="n">
        <v>6664.2</v>
      </c>
      <c r="G871" s="12" t="n">
        <v>4127.3</v>
      </c>
      <c r="H871" s="13" t="n">
        <v>0.1129</v>
      </c>
      <c r="I871" s="13" t="n">
        <v>0.0582</v>
      </c>
    </row>
    <row r="872">
      <c r="A872" s="10" t="inlineStr">
        <is>
          <t>PJ-2021-E</t>
        </is>
      </c>
      <c r="B872" s="10" t="inlineStr">
        <is>
          <t>位置合わせ(MS指定)／単調補間</t>
        </is>
      </c>
      <c r="C872" s="10" t="inlineStr">
        <is>
          <t>2021-07</t>
        </is>
      </c>
      <c r="D872" s="10" t="n">
        <v>7</v>
      </c>
      <c r="E872" s="12" t="n">
        <v>11978.4</v>
      </c>
      <c r="F872" s="12" t="n">
        <v>7114.2</v>
      </c>
      <c r="G872" s="12" t="n">
        <v>4864.2</v>
      </c>
      <c r="H872" s="13" t="n">
        <v>0.1378</v>
      </c>
      <c r="I872" s="13" t="n">
        <v>0.07290000000000001</v>
      </c>
    </row>
    <row r="873">
      <c r="A873" s="10" t="inlineStr">
        <is>
          <t>PJ-2021-E</t>
        </is>
      </c>
      <c r="B873" s="10" t="inlineStr">
        <is>
          <t>位置合わせ(MS指定)／単調補間</t>
        </is>
      </c>
      <c r="C873" s="10" t="inlineStr">
        <is>
          <t>2021-08</t>
        </is>
      </c>
      <c r="D873" s="10" t="n">
        <v>8</v>
      </c>
      <c r="E873" s="12" t="n">
        <v>13099.8</v>
      </c>
      <c r="F873" s="12" t="n">
        <v>7159.8</v>
      </c>
      <c r="G873" s="12" t="n">
        <v>5940</v>
      </c>
      <c r="H873" s="13" t="n">
        <v>0.1649</v>
      </c>
      <c r="I873" s="13" t="n">
        <v>0.0878</v>
      </c>
    </row>
    <row r="874">
      <c r="A874" s="10" t="inlineStr">
        <is>
          <t>PJ-2021-E</t>
        </is>
      </c>
      <c r="B874" s="10" t="inlineStr">
        <is>
          <t>位置合わせ(MS指定)／単調補間</t>
        </is>
      </c>
      <c r="C874" s="10" t="inlineStr">
        <is>
          <t>2021-09</t>
        </is>
      </c>
      <c r="D874" s="10" t="n">
        <v>9</v>
      </c>
      <c r="E874" s="12" t="n">
        <v>13739.9</v>
      </c>
      <c r="F874" s="12" t="n">
        <v>7725.3</v>
      </c>
      <c r="G874" s="12" t="n">
        <v>6014.6</v>
      </c>
      <c r="H874" s="13" t="n">
        <v>0.1934</v>
      </c>
      <c r="I874" s="13" t="n">
        <v>0.1038</v>
      </c>
    </row>
    <row r="875">
      <c r="A875" s="10" t="inlineStr">
        <is>
          <t>PJ-2021-E</t>
        </is>
      </c>
      <c r="B875" s="10" t="inlineStr">
        <is>
          <t>位置合わせ(MS指定)／単調補間</t>
        </is>
      </c>
      <c r="C875" s="10" t="inlineStr">
        <is>
          <t>2021-10</t>
        </is>
      </c>
      <c r="D875" s="10" t="n">
        <v>10</v>
      </c>
      <c r="E875" s="12" t="n">
        <v>15660.7</v>
      </c>
      <c r="F875" s="12" t="n">
        <v>11396.5</v>
      </c>
      <c r="G875" s="12" t="n">
        <v>4264.2</v>
      </c>
      <c r="H875" s="13" t="n">
        <v>0.2259</v>
      </c>
      <c r="I875" s="13" t="n">
        <v>0.1274</v>
      </c>
    </row>
    <row r="876">
      <c r="A876" s="10" t="inlineStr">
        <is>
          <t>PJ-2021-E</t>
        </is>
      </c>
      <c r="B876" s="10" t="inlineStr">
        <is>
          <t>位置合わせ(MS指定)／単調補間</t>
        </is>
      </c>
      <c r="C876" s="10" t="inlineStr">
        <is>
          <t>2021-11</t>
        </is>
      </c>
      <c r="D876" s="10" t="n">
        <v>11</v>
      </c>
      <c r="E876" s="12" t="n">
        <v>16272.3</v>
      </c>
      <c r="F876" s="12" t="n">
        <v>22707.4</v>
      </c>
      <c r="G876" s="12" t="n">
        <v>-6435.1</v>
      </c>
      <c r="H876" s="13" t="n">
        <v>0.2597</v>
      </c>
      <c r="I876" s="13" t="n">
        <v>0.1745</v>
      </c>
    </row>
    <row r="877">
      <c r="A877" s="10" t="inlineStr">
        <is>
          <t>PJ-2021-E</t>
        </is>
      </c>
      <c r="B877" s="10" t="inlineStr">
        <is>
          <t>位置合わせ(MS指定)／単調補間</t>
        </is>
      </c>
      <c r="C877" s="10" t="inlineStr">
        <is>
          <t>2021-12</t>
        </is>
      </c>
      <c r="D877" s="10" t="n">
        <v>12</v>
      </c>
      <c r="E877" s="12" t="n">
        <v>17778.6</v>
      </c>
      <c r="F877" s="12" t="n">
        <v>24332.8</v>
      </c>
      <c r="G877" s="12" t="n">
        <v>-6554.2</v>
      </c>
      <c r="H877" s="13" t="n">
        <v>0.2966</v>
      </c>
      <c r="I877" s="13" t="n">
        <v>0.225</v>
      </c>
    </row>
    <row r="878">
      <c r="A878" s="10" t="inlineStr">
        <is>
          <t>PJ-2021-E</t>
        </is>
      </c>
      <c r="B878" s="10" t="inlineStr">
        <is>
          <t>位置合わせ(MS指定)／単調補間</t>
        </is>
      </c>
      <c r="C878" s="10" t="inlineStr">
        <is>
          <t>2022-01</t>
        </is>
      </c>
      <c r="D878" s="10" t="n">
        <v>13</v>
      </c>
      <c r="E878" s="12" t="n">
        <v>18768.6</v>
      </c>
      <c r="F878" s="12" t="n">
        <v>28940.1</v>
      </c>
      <c r="G878" s="12" t="n">
        <v>-10171.5</v>
      </c>
      <c r="H878" s="13" t="n">
        <v>0.3355</v>
      </c>
      <c r="I878" s="13" t="n">
        <v>0.285</v>
      </c>
    </row>
    <row r="879">
      <c r="A879" s="10" t="inlineStr">
        <is>
          <t>PJ-2021-E</t>
        </is>
      </c>
      <c r="B879" s="10" t="inlineStr">
        <is>
          <t>位置合わせ(MS指定)／単調補間</t>
        </is>
      </c>
      <c r="C879" s="10" t="inlineStr">
        <is>
          <t>2022-02</t>
        </is>
      </c>
      <c r="D879" s="10" t="n">
        <v>14</v>
      </c>
      <c r="E879" s="12" t="n">
        <v>17651.1</v>
      </c>
      <c r="F879" s="12" t="n">
        <v>28533.6</v>
      </c>
      <c r="G879" s="12" t="n">
        <v>-10882.5</v>
      </c>
      <c r="H879" s="13" t="n">
        <v>0.3721</v>
      </c>
      <c r="I879" s="13" t="n">
        <v>0.3442</v>
      </c>
    </row>
    <row r="880">
      <c r="A880" s="10" t="inlineStr">
        <is>
          <t>PJ-2021-E</t>
        </is>
      </c>
      <c r="B880" s="10" t="inlineStr">
        <is>
          <t>位置合わせ(MS指定)／単調補間</t>
        </is>
      </c>
      <c r="C880" s="10" t="inlineStr">
        <is>
          <t>2022-03</t>
        </is>
      </c>
      <c r="D880" s="10" t="n">
        <v>15</v>
      </c>
      <c r="E880" s="12" t="n">
        <v>21230.3</v>
      </c>
      <c r="F880" s="12" t="n">
        <v>39513.1</v>
      </c>
      <c r="G880" s="12" t="n">
        <v>-18282.8</v>
      </c>
      <c r="H880" s="13" t="n">
        <v>0.4161</v>
      </c>
      <c r="I880" s="13" t="n">
        <v>0.4261</v>
      </c>
    </row>
    <row r="881">
      <c r="A881" s="10" t="inlineStr">
        <is>
          <t>PJ-2021-E</t>
        </is>
      </c>
      <c r="B881" s="10" t="inlineStr">
        <is>
          <t>位置合わせ(MS指定)／単調補間</t>
        </is>
      </c>
      <c r="C881" s="10" t="inlineStr">
        <is>
          <t>2022-04</t>
        </is>
      </c>
      <c r="D881" s="10" t="n">
        <v>16</v>
      </c>
      <c r="E881" s="12" t="n">
        <v>15063.1</v>
      </c>
      <c r="F881" s="12" t="n">
        <v>20968.4</v>
      </c>
      <c r="G881" s="12" t="n">
        <v>-5905.3</v>
      </c>
      <c r="H881" s="13" t="n">
        <v>0.4474</v>
      </c>
      <c r="I881" s="13" t="n">
        <v>0.4696</v>
      </c>
    </row>
    <row r="882">
      <c r="A882" s="10" t="inlineStr">
        <is>
          <t>PJ-2021-E</t>
        </is>
      </c>
      <c r="B882" s="10" t="inlineStr">
        <is>
          <t>位置合わせ(MS指定)／単調補間</t>
        </is>
      </c>
      <c r="C882" s="10" t="inlineStr">
        <is>
          <t>2022-05</t>
        </is>
      </c>
      <c r="D882" s="10" t="n">
        <v>17</v>
      </c>
      <c r="E882" s="12" t="n">
        <v>15620</v>
      </c>
      <c r="F882" s="12" t="n">
        <v>18133.4</v>
      </c>
      <c r="G882" s="12" t="n">
        <v>-2513.4</v>
      </c>
      <c r="H882" s="13" t="n">
        <v>0.4798</v>
      </c>
      <c r="I882" s="13" t="n">
        <v>0.5072</v>
      </c>
    </row>
    <row r="883">
      <c r="A883" s="10" t="inlineStr">
        <is>
          <t>PJ-2021-E</t>
        </is>
      </c>
      <c r="B883" s="10" t="inlineStr">
        <is>
          <t>位置合わせ(MS指定)／単調補間</t>
        </is>
      </c>
      <c r="C883" s="10" t="inlineStr">
        <is>
          <t>2022-06</t>
        </is>
      </c>
      <c r="D883" s="10" t="n">
        <v>18</v>
      </c>
      <c r="E883" s="12" t="n">
        <v>15046.2</v>
      </c>
      <c r="F883" s="12" t="n">
        <v>15271.7</v>
      </c>
      <c r="G883" s="12" t="n">
        <v>-225.5</v>
      </c>
      <c r="H883" s="13" t="n">
        <v>0.511</v>
      </c>
      <c r="I883" s="13" t="n">
        <v>0.5389</v>
      </c>
    </row>
    <row r="884">
      <c r="A884" s="10" t="inlineStr">
        <is>
          <t>PJ-2021-E</t>
        </is>
      </c>
      <c r="B884" s="10" t="inlineStr">
        <is>
          <t>位置合わせ(MS指定)／単調補間</t>
        </is>
      </c>
      <c r="C884" s="10" t="inlineStr">
        <is>
          <t>2022-07</t>
        </is>
      </c>
      <c r="D884" s="10" t="n">
        <v>19</v>
      </c>
      <c r="E884" s="12" t="n">
        <v>15311.3</v>
      </c>
      <c r="F884" s="12" t="n">
        <v>16417.5</v>
      </c>
      <c r="G884" s="12" t="n">
        <v>-1106.2</v>
      </c>
      <c r="H884" s="13" t="n">
        <v>0.5427</v>
      </c>
      <c r="I884" s="13" t="n">
        <v>0.573</v>
      </c>
    </row>
    <row r="885">
      <c r="A885" s="10" t="inlineStr">
        <is>
          <t>PJ-2021-E</t>
        </is>
      </c>
      <c r="B885" s="10" t="inlineStr">
        <is>
          <t>位置合わせ(MS指定)／単調補間</t>
        </is>
      </c>
      <c r="C885" s="10" t="inlineStr">
        <is>
          <t>2022-08</t>
        </is>
      </c>
      <c r="D885" s="10" t="n">
        <v>20</v>
      </c>
      <c r="E885" s="12" t="n">
        <v>15359</v>
      </c>
      <c r="F885" s="12" t="n">
        <v>14656</v>
      </c>
      <c r="G885" s="12" t="n">
        <v>703</v>
      </c>
      <c r="H885" s="13" t="n">
        <v>0.5746</v>
      </c>
      <c r="I885" s="13" t="n">
        <v>0.6034</v>
      </c>
    </row>
    <row r="886">
      <c r="A886" s="10" t="inlineStr">
        <is>
          <t>PJ-2021-E</t>
        </is>
      </c>
      <c r="B886" s="10" t="inlineStr">
        <is>
          <t>位置合わせ(MS指定)／単調補間</t>
        </is>
      </c>
      <c r="C886" s="10" t="inlineStr">
        <is>
          <t>2022-09</t>
        </is>
      </c>
      <c r="D886" s="10" t="n">
        <v>21</v>
      </c>
      <c r="E886" s="12" t="n">
        <v>14982.1</v>
      </c>
      <c r="F886" s="12" t="n">
        <v>13886.2</v>
      </c>
      <c r="G886" s="12" t="n">
        <v>1095.9</v>
      </c>
      <c r="H886" s="13" t="n">
        <v>0.6056</v>
      </c>
      <c r="I886" s="13" t="n">
        <v>0.6322</v>
      </c>
    </row>
    <row r="887">
      <c r="A887" s="10" t="inlineStr">
        <is>
          <t>PJ-2021-E</t>
        </is>
      </c>
      <c r="B887" s="10" t="inlineStr">
        <is>
          <t>位置合わせ(MS指定)／単調補間</t>
        </is>
      </c>
      <c r="C887" s="10" t="inlineStr">
        <is>
          <t>2022-10</t>
        </is>
      </c>
      <c r="D887" s="10" t="n">
        <v>22</v>
      </c>
      <c r="E887" s="12" t="n">
        <v>15816.4</v>
      </c>
      <c r="F887" s="12" t="n">
        <v>13614.7</v>
      </c>
      <c r="G887" s="12" t="n">
        <v>2201.7</v>
      </c>
      <c r="H887" s="13" t="n">
        <v>0.6385</v>
      </c>
      <c r="I887" s="13" t="n">
        <v>0.6604</v>
      </c>
    </row>
    <row r="888">
      <c r="A888" s="10" t="inlineStr">
        <is>
          <t>PJ-2021-E</t>
        </is>
      </c>
      <c r="B888" s="10" t="inlineStr">
        <is>
          <t>位置合わせ(MS指定)／単調補間</t>
        </is>
      </c>
      <c r="C888" s="10" t="inlineStr">
        <is>
          <t>2022-11</t>
        </is>
      </c>
      <c r="D888" s="10" t="n">
        <v>23</v>
      </c>
      <c r="E888" s="12" t="n">
        <v>15245.5</v>
      </c>
      <c r="F888" s="12" t="n">
        <v>14580.3</v>
      </c>
      <c r="G888" s="12" t="n">
        <v>665.2</v>
      </c>
      <c r="H888" s="13" t="n">
        <v>0.6701</v>
      </c>
      <c r="I888" s="13" t="n">
        <v>0.6906</v>
      </c>
    </row>
    <row r="889">
      <c r="A889" s="10" t="inlineStr">
        <is>
          <t>PJ-2021-E</t>
        </is>
      </c>
      <c r="B889" s="10" t="inlineStr">
        <is>
          <t>位置合わせ(MS指定)／単調補間</t>
        </is>
      </c>
      <c r="C889" s="10" t="inlineStr">
        <is>
          <t>2022-12</t>
        </is>
      </c>
      <c r="D889" s="10" t="n">
        <v>24</v>
      </c>
      <c r="E889" s="12" t="n">
        <v>15852</v>
      </c>
      <c r="F889" s="12" t="n">
        <v>15865.3</v>
      </c>
      <c r="G889" s="12" t="n">
        <v>-13.3</v>
      </c>
      <c r="H889" s="13" t="n">
        <v>0.703</v>
      </c>
      <c r="I889" s="13" t="n">
        <v>0.7236</v>
      </c>
    </row>
    <row r="890">
      <c r="A890" s="10" t="inlineStr">
        <is>
          <t>PJ-2021-E</t>
        </is>
      </c>
      <c r="B890" s="10" t="inlineStr">
        <is>
          <t>位置合わせ(MS指定)／単調補間</t>
        </is>
      </c>
      <c r="C890" s="10" t="inlineStr">
        <is>
          <t>2023-01</t>
        </is>
      </c>
      <c r="D890" s="10" t="n">
        <v>25</v>
      </c>
      <c r="E890" s="12" t="n">
        <v>16008.3</v>
      </c>
      <c r="F890" s="12" t="n">
        <v>18226.2</v>
      </c>
      <c r="G890" s="12" t="n">
        <v>-2217.9</v>
      </c>
      <c r="H890" s="13" t="n">
        <v>0.7362</v>
      </c>
      <c r="I890" s="13" t="n">
        <v>0.7614</v>
      </c>
    </row>
    <row r="891">
      <c r="A891" s="10" t="inlineStr">
        <is>
          <t>PJ-2021-E</t>
        </is>
      </c>
      <c r="B891" s="10" t="inlineStr">
        <is>
          <t>位置合わせ(MS指定)／単調補間</t>
        </is>
      </c>
      <c r="C891" s="10" t="inlineStr">
        <is>
          <t>2023-02</t>
        </is>
      </c>
      <c r="D891" s="10" t="n">
        <v>26</v>
      </c>
      <c r="E891" s="12" t="n">
        <v>14370.8</v>
      </c>
      <c r="F891" s="12" t="n">
        <v>17827.1</v>
      </c>
      <c r="G891" s="12" t="n">
        <v>-3456.3</v>
      </c>
      <c r="H891" s="13" t="n">
        <v>0.766</v>
      </c>
      <c r="I891" s="13" t="n">
        <v>0.7983</v>
      </c>
    </row>
    <row r="892">
      <c r="A892" s="10" t="inlineStr">
        <is>
          <t>PJ-2021-E</t>
        </is>
      </c>
      <c r="B892" s="10" t="inlineStr">
        <is>
          <t>位置合わせ(MS指定)／単調補間</t>
        </is>
      </c>
      <c r="C892" s="10" t="inlineStr">
        <is>
          <t>2023-03</t>
        </is>
      </c>
      <c r="D892" s="10" t="n">
        <v>27</v>
      </c>
      <c r="E892" s="12" t="n">
        <v>19344.3</v>
      </c>
      <c r="F892" s="12" t="n">
        <v>22013.8</v>
      </c>
      <c r="G892" s="12" t="n">
        <v>-2669.5</v>
      </c>
      <c r="H892" s="13" t="n">
        <v>0.8061</v>
      </c>
      <c r="I892" s="13" t="n">
        <v>0.844</v>
      </c>
    </row>
    <row r="893">
      <c r="A893" s="10" t="inlineStr">
        <is>
          <t>PJ-2021-E</t>
        </is>
      </c>
      <c r="B893" s="10" t="inlineStr">
        <is>
          <t>位置合わせ(MS指定)／単調補間</t>
        </is>
      </c>
      <c r="C893" s="10" t="inlineStr">
        <is>
          <t>2023-04</t>
        </is>
      </c>
      <c r="D893" s="10" t="n">
        <v>28</v>
      </c>
      <c r="E893" s="12" t="n">
        <v>18069.7</v>
      </c>
      <c r="F893" s="12" t="n">
        <v>17769.7</v>
      </c>
      <c r="G893" s="12" t="n">
        <v>300</v>
      </c>
      <c r="H893" s="13" t="n">
        <v>0.8436</v>
      </c>
      <c r="I893" s="13" t="n">
        <v>0.8808</v>
      </c>
    </row>
    <row r="894">
      <c r="A894" s="10" t="inlineStr">
        <is>
          <t>PJ-2021-E</t>
        </is>
      </c>
      <c r="B894" s="10" t="inlineStr">
        <is>
          <t>位置合わせ(MS指定)／単調補間</t>
        </is>
      </c>
      <c r="C894" s="10" t="inlineStr">
        <is>
          <t>2023-05</t>
        </is>
      </c>
      <c r="D894" s="10" t="n">
        <v>29</v>
      </c>
      <c r="E894" s="12" t="n">
        <v>17463.9</v>
      </c>
      <c r="F894" s="12" t="n">
        <v>15747.8</v>
      </c>
      <c r="G894" s="12" t="n">
        <v>1716.1</v>
      </c>
      <c r="H894" s="13" t="n">
        <v>0.8798</v>
      </c>
      <c r="I894" s="13" t="n">
        <v>0.9135</v>
      </c>
    </row>
    <row r="895">
      <c r="A895" s="10" t="inlineStr">
        <is>
          <t>PJ-2021-E</t>
        </is>
      </c>
      <c r="B895" s="10" t="inlineStr">
        <is>
          <t>位置合わせ(MS指定)／単調補間</t>
        </is>
      </c>
      <c r="C895" s="10" t="inlineStr">
        <is>
          <t>2023-06</t>
        </is>
      </c>
      <c r="D895" s="10" t="n">
        <v>30</v>
      </c>
      <c r="E895" s="12" t="n">
        <v>14826.5</v>
      </c>
      <c r="F895" s="12" t="n">
        <v>11049.5</v>
      </c>
      <c r="G895" s="12" t="n">
        <v>3777</v>
      </c>
      <c r="H895" s="13" t="n">
        <v>0.9105</v>
      </c>
      <c r="I895" s="13" t="n">
        <v>0.9364</v>
      </c>
    </row>
    <row r="896">
      <c r="A896" s="10" t="inlineStr">
        <is>
          <t>PJ-2021-E</t>
        </is>
      </c>
      <c r="B896" s="10" t="inlineStr">
        <is>
          <t>位置合わせ(MS指定)／単調補間</t>
        </is>
      </c>
      <c r="C896" s="10" t="inlineStr">
        <is>
          <t>2023-07</t>
        </is>
      </c>
      <c r="D896" s="10" t="n">
        <v>31</v>
      </c>
      <c r="E896" s="12" t="n">
        <v>13199.2</v>
      </c>
      <c r="F896" s="12" t="n">
        <v>10147.8</v>
      </c>
      <c r="G896" s="12" t="n">
        <v>3051.4</v>
      </c>
      <c r="H896" s="13" t="n">
        <v>0.9379</v>
      </c>
      <c r="I896" s="13" t="n">
        <v>0.9575</v>
      </c>
    </row>
    <row r="897">
      <c r="A897" s="10" t="inlineStr">
        <is>
          <t>PJ-2021-E</t>
        </is>
      </c>
      <c r="B897" s="10" t="inlineStr">
        <is>
          <t>位置合わせ(MS指定)／単調補間</t>
        </is>
      </c>
      <c r="C897" s="10" t="inlineStr">
        <is>
          <t>2023-08</t>
        </is>
      </c>
      <c r="D897" s="10" t="n">
        <v>32</v>
      </c>
      <c r="E897" s="12" t="n">
        <v>11774.1</v>
      </c>
      <c r="F897" s="12" t="n">
        <v>8637.799999999999</v>
      </c>
      <c r="G897" s="12" t="n">
        <v>3136.3</v>
      </c>
      <c r="H897" s="13" t="n">
        <v>0.9623</v>
      </c>
      <c r="I897" s="13" t="n">
        <v>0.9754</v>
      </c>
    </row>
    <row r="898">
      <c r="A898" s="10" t="inlineStr">
        <is>
          <t>PJ-2021-E</t>
        </is>
      </c>
      <c r="B898" s="10" t="inlineStr">
        <is>
          <t>位置合わせ(MS指定)／単調補間</t>
        </is>
      </c>
      <c r="C898" s="10" t="inlineStr">
        <is>
          <t>2023-09</t>
        </is>
      </c>
      <c r="D898" s="10" t="n">
        <v>33</v>
      </c>
      <c r="E898" s="12" t="n">
        <v>6245.6</v>
      </c>
      <c r="F898" s="12" t="n">
        <v>5590.1</v>
      </c>
      <c r="G898" s="12" t="n">
        <v>655.5</v>
      </c>
      <c r="H898" s="13" t="n">
        <v>0.9752999999999999</v>
      </c>
      <c r="I898" s="13" t="n">
        <v>0.987</v>
      </c>
    </row>
    <row r="899">
      <c r="A899" s="10" t="inlineStr">
        <is>
          <t>PJ-2021-E</t>
        </is>
      </c>
      <c r="B899" s="10" t="inlineStr">
        <is>
          <t>位置合わせ(MS指定)／単調補間</t>
        </is>
      </c>
      <c r="C899" s="10" t="inlineStr">
        <is>
          <t>2023-10</t>
        </is>
      </c>
      <c r="D899" s="10" t="n">
        <v>34</v>
      </c>
      <c r="E899" s="12" t="n">
        <v>5456.6</v>
      </c>
      <c r="F899" s="12" t="n">
        <v>3746.3</v>
      </c>
      <c r="G899" s="12" t="n">
        <v>1710.3</v>
      </c>
      <c r="H899" s="13" t="n">
        <v>0.9866</v>
      </c>
      <c r="I899" s="13" t="n">
        <v>0.9947</v>
      </c>
    </row>
    <row r="900">
      <c r="A900" s="10" t="inlineStr">
        <is>
          <t>PJ-2021-E</t>
        </is>
      </c>
      <c r="B900" s="10" t="inlineStr">
        <is>
          <t>位置合わせ(MS指定)／単調補間</t>
        </is>
      </c>
      <c r="C900" s="10" t="inlineStr">
        <is>
          <t>2023-11</t>
        </is>
      </c>
      <c r="D900" s="10" t="n">
        <v>35</v>
      </c>
      <c r="E900" s="12" t="n">
        <v>3806.3</v>
      </c>
      <c r="F900" s="12" t="n">
        <v>1912.1</v>
      </c>
      <c r="G900" s="12" t="n">
        <v>1894.2</v>
      </c>
      <c r="H900" s="13" t="n">
        <v>0.9945000000000001</v>
      </c>
      <c r="I900" s="13" t="n">
        <v>0.9987</v>
      </c>
    </row>
    <row r="901">
      <c r="A901" s="10" t="inlineStr">
        <is>
          <t>PJ-2021-E</t>
        </is>
      </c>
      <c r="B901" s="10" t="inlineStr">
        <is>
          <t>位置合わせ(MS指定)／単調補間</t>
        </is>
      </c>
      <c r="C901" s="10" t="inlineStr">
        <is>
          <t>2023-12</t>
        </is>
      </c>
      <c r="D901" s="10" t="n">
        <v>36</v>
      </c>
      <c r="E901" s="12" t="n">
        <v>2657.4</v>
      </c>
      <c r="F901" s="12" t="n">
        <v>620.9</v>
      </c>
      <c r="G901" s="12" t="n">
        <v>2036.5</v>
      </c>
      <c r="H901" s="13" t="n">
        <v>1</v>
      </c>
      <c r="I901" s="13" t="n">
        <v>1</v>
      </c>
    </row>
    <row r="902">
      <c r="A902" s="10" t="inlineStr">
        <is>
          <t>PJ-2022-F</t>
        </is>
      </c>
      <c r="B902" s="10" t="inlineStr">
        <is>
          <t>素朴版／月内均等</t>
        </is>
      </c>
      <c r="C902" s="10" t="inlineStr">
        <is>
          <t>2022-04</t>
        </is>
      </c>
      <c r="D902" s="10" t="n">
        <v>1</v>
      </c>
      <c r="E902" s="12" t="n">
        <v>3337.6</v>
      </c>
      <c r="F902" s="12" t="n">
        <v>1989.3</v>
      </c>
      <c r="G902" s="12" t="n">
        <v>1348.3</v>
      </c>
      <c r="H902" s="13" t="n">
        <v>0.0237</v>
      </c>
      <c r="I902" s="13" t="n">
        <v>0.0141</v>
      </c>
    </row>
    <row r="903">
      <c r="A903" s="10" t="inlineStr">
        <is>
          <t>PJ-2022-F</t>
        </is>
      </c>
      <c r="B903" s="10" t="inlineStr">
        <is>
          <t>素朴版／月内均等</t>
        </is>
      </c>
      <c r="C903" s="10" t="inlineStr">
        <is>
          <t>2022-05</t>
        </is>
      </c>
      <c r="D903" s="10" t="n">
        <v>2</v>
      </c>
      <c r="E903" s="12" t="n">
        <v>4462.2</v>
      </c>
      <c r="F903" s="12" t="n">
        <v>3873.1</v>
      </c>
      <c r="G903" s="12" t="n">
        <v>589.1</v>
      </c>
      <c r="H903" s="13" t="n">
        <v>0.0553</v>
      </c>
      <c r="I903" s="13" t="n">
        <v>0.0416</v>
      </c>
    </row>
    <row r="904">
      <c r="A904" s="10" t="inlineStr">
        <is>
          <t>PJ-2022-F</t>
        </is>
      </c>
      <c r="B904" s="10" t="inlineStr">
        <is>
          <t>素朴版／月内均等</t>
        </is>
      </c>
      <c r="C904" s="10" t="inlineStr">
        <is>
          <t>2022-06</t>
        </is>
      </c>
      <c r="D904" s="10" t="n">
        <v>3</v>
      </c>
      <c r="E904" s="12" t="n">
        <v>4959.5</v>
      </c>
      <c r="F904" s="12" t="n">
        <v>5042.1</v>
      </c>
      <c r="G904" s="12" t="n">
        <v>-82.59999999999999</v>
      </c>
      <c r="H904" s="13" t="n">
        <v>0.09039999999999999</v>
      </c>
      <c r="I904" s="13" t="n">
        <v>0.07729999999999999</v>
      </c>
    </row>
    <row r="905">
      <c r="A905" s="10" t="inlineStr">
        <is>
          <t>PJ-2022-F</t>
        </is>
      </c>
      <c r="B905" s="10" t="inlineStr">
        <is>
          <t>素朴版／月内均等</t>
        </is>
      </c>
      <c r="C905" s="10" t="inlineStr">
        <is>
          <t>2022-07</t>
        </is>
      </c>
      <c r="D905" s="10" t="n">
        <v>4</v>
      </c>
      <c r="E905" s="12" t="n">
        <v>5481</v>
      </c>
      <c r="F905" s="12" t="n">
        <v>6282.6</v>
      </c>
      <c r="G905" s="12" t="n">
        <v>-801.6</v>
      </c>
      <c r="H905" s="13" t="n">
        <v>0.1293</v>
      </c>
      <c r="I905" s="13" t="n">
        <v>0.1218</v>
      </c>
    </row>
    <row r="906">
      <c r="A906" s="10" t="inlineStr">
        <is>
          <t>PJ-2022-F</t>
        </is>
      </c>
      <c r="B906" s="10" t="inlineStr">
        <is>
          <t>素朴版／月内均等</t>
        </is>
      </c>
      <c r="C906" s="10" t="inlineStr">
        <is>
          <t>2022-08</t>
        </is>
      </c>
      <c r="D906" s="10" t="n">
        <v>5</v>
      </c>
      <c r="E906" s="12" t="n">
        <v>6350.2</v>
      </c>
      <c r="F906" s="12" t="n">
        <v>7785.3</v>
      </c>
      <c r="G906" s="12" t="n">
        <v>-1435.1</v>
      </c>
      <c r="H906" s="13" t="n">
        <v>0.1743</v>
      </c>
      <c r="I906" s="13" t="n">
        <v>0.177</v>
      </c>
    </row>
    <row r="907">
      <c r="A907" s="10" t="inlineStr">
        <is>
          <t>PJ-2022-F</t>
        </is>
      </c>
      <c r="B907" s="10" t="inlineStr">
        <is>
          <t>素朴版／月内均等</t>
        </is>
      </c>
      <c r="C907" s="10" t="inlineStr">
        <is>
          <t>2022-09</t>
        </is>
      </c>
      <c r="D907" s="10" t="n">
        <v>6</v>
      </c>
      <c r="E907" s="12" t="n">
        <v>7880</v>
      </c>
      <c r="F907" s="12" t="n">
        <v>8593</v>
      </c>
      <c r="G907" s="12" t="n">
        <v>-713</v>
      </c>
      <c r="H907" s="13" t="n">
        <v>0.2302</v>
      </c>
      <c r="I907" s="13" t="n">
        <v>0.2379</v>
      </c>
    </row>
    <row r="908">
      <c r="A908" s="10" t="inlineStr">
        <is>
          <t>PJ-2022-F</t>
        </is>
      </c>
      <c r="B908" s="10" t="inlineStr">
        <is>
          <t>素朴版／月内均等</t>
        </is>
      </c>
      <c r="C908" s="10" t="inlineStr">
        <is>
          <t>2022-10</t>
        </is>
      </c>
      <c r="D908" s="10" t="n">
        <v>7</v>
      </c>
      <c r="E908" s="12" t="n">
        <v>9414.799999999999</v>
      </c>
      <c r="F908" s="12" t="n">
        <v>9513.5</v>
      </c>
      <c r="G908" s="12" t="n">
        <v>-98.7</v>
      </c>
      <c r="H908" s="13" t="n">
        <v>0.2969</v>
      </c>
      <c r="I908" s="13" t="n">
        <v>0.3053</v>
      </c>
    </row>
    <row r="909">
      <c r="A909" s="10" t="inlineStr">
        <is>
          <t>PJ-2022-F</t>
        </is>
      </c>
      <c r="B909" s="10" t="inlineStr">
        <is>
          <t>素朴版／月内均等</t>
        </is>
      </c>
      <c r="C909" s="10" t="inlineStr">
        <is>
          <t>2022-11</t>
        </is>
      </c>
      <c r="D909" s="10" t="n">
        <v>8</v>
      </c>
      <c r="E909" s="12" t="n">
        <v>9599.4</v>
      </c>
      <c r="F909" s="12" t="n">
        <v>11622</v>
      </c>
      <c r="G909" s="12" t="n">
        <v>-2022.6</v>
      </c>
      <c r="H909" s="13" t="n">
        <v>0.3649</v>
      </c>
      <c r="I909" s="13" t="n">
        <v>0.3877</v>
      </c>
    </row>
    <row r="910">
      <c r="A910" s="10" t="inlineStr">
        <is>
          <t>PJ-2022-F</t>
        </is>
      </c>
      <c r="B910" s="10" t="inlineStr">
        <is>
          <t>素朴版／月内均等</t>
        </is>
      </c>
      <c r="C910" s="10" t="inlineStr">
        <is>
          <t>2022-12</t>
        </is>
      </c>
      <c r="D910" s="10" t="n">
        <v>9</v>
      </c>
      <c r="E910" s="12" t="n">
        <v>9253.299999999999</v>
      </c>
      <c r="F910" s="12" t="n">
        <v>11222.9</v>
      </c>
      <c r="G910" s="12" t="n">
        <v>-1969.6</v>
      </c>
      <c r="H910" s="13" t="n">
        <v>0.4305</v>
      </c>
      <c r="I910" s="13" t="n">
        <v>0.4673</v>
      </c>
    </row>
    <row r="911">
      <c r="A911" s="10" t="inlineStr">
        <is>
          <t>PJ-2022-F</t>
        </is>
      </c>
      <c r="B911" s="10" t="inlineStr">
        <is>
          <t>素朴版／月内均等</t>
        </is>
      </c>
      <c r="C911" s="10" t="inlineStr">
        <is>
          <t>2023-01</t>
        </is>
      </c>
      <c r="D911" s="10" t="n">
        <v>10</v>
      </c>
      <c r="E911" s="12" t="n">
        <v>11020.3</v>
      </c>
      <c r="F911" s="12" t="n">
        <v>9600.700000000001</v>
      </c>
      <c r="G911" s="12" t="n">
        <v>1419.6</v>
      </c>
      <c r="H911" s="13" t="n">
        <v>0.5086000000000001</v>
      </c>
      <c r="I911" s="13" t="n">
        <v>0.5353</v>
      </c>
    </row>
    <row r="912">
      <c r="A912" s="10" t="inlineStr">
        <is>
          <t>PJ-2022-F</t>
        </is>
      </c>
      <c r="B912" s="10" t="inlineStr">
        <is>
          <t>素朴版／月内均等</t>
        </is>
      </c>
      <c r="C912" s="10" t="inlineStr">
        <is>
          <t>2023-02</t>
        </is>
      </c>
      <c r="D912" s="10" t="n">
        <v>11</v>
      </c>
      <c r="E912" s="12" t="n">
        <v>10775</v>
      </c>
      <c r="F912" s="12" t="n">
        <v>7097.2</v>
      </c>
      <c r="G912" s="12" t="n">
        <v>3677.8</v>
      </c>
      <c r="H912" s="13" t="n">
        <v>0.585</v>
      </c>
      <c r="I912" s="13" t="n">
        <v>0.5856</v>
      </c>
    </row>
    <row r="913">
      <c r="A913" s="10" t="inlineStr">
        <is>
          <t>PJ-2022-F</t>
        </is>
      </c>
      <c r="B913" s="10" t="inlineStr">
        <is>
          <t>素朴版／月内均等</t>
        </is>
      </c>
      <c r="C913" s="10" t="inlineStr">
        <is>
          <t>2023-03</t>
        </is>
      </c>
      <c r="D913" s="10" t="n">
        <v>12</v>
      </c>
      <c r="E913" s="12" t="n">
        <v>12538</v>
      </c>
      <c r="F913" s="12" t="n">
        <v>8011</v>
      </c>
      <c r="G913" s="12" t="n">
        <v>4527</v>
      </c>
      <c r="H913" s="13" t="n">
        <v>0.6739000000000001</v>
      </c>
      <c r="I913" s="13" t="n">
        <v>0.6424</v>
      </c>
    </row>
    <row r="914">
      <c r="A914" s="10" t="inlineStr">
        <is>
          <t>PJ-2022-F</t>
        </is>
      </c>
      <c r="B914" s="10" t="inlineStr">
        <is>
          <t>素朴版／月内均等</t>
        </is>
      </c>
      <c r="C914" s="10" t="inlineStr">
        <is>
          <t>2023-04</t>
        </is>
      </c>
      <c r="D914" s="10" t="n">
        <v>13</v>
      </c>
      <c r="E914" s="12" t="n">
        <v>10732</v>
      </c>
      <c r="F914" s="12" t="n">
        <v>7572.9</v>
      </c>
      <c r="G914" s="12" t="n">
        <v>3159.1</v>
      </c>
      <c r="H914" s="13" t="n">
        <v>0.7499</v>
      </c>
      <c r="I914" s="13" t="n">
        <v>0.6961000000000001</v>
      </c>
    </row>
    <row r="915">
      <c r="A915" s="10" t="inlineStr">
        <is>
          <t>PJ-2022-F</t>
        </is>
      </c>
      <c r="B915" s="10" t="inlineStr">
        <is>
          <t>素朴版／月内均等</t>
        </is>
      </c>
      <c r="C915" s="10" t="inlineStr">
        <is>
          <t>2023-05</t>
        </is>
      </c>
      <c r="D915" s="10" t="n">
        <v>14</v>
      </c>
      <c r="E915" s="12" t="n">
        <v>10196.3</v>
      </c>
      <c r="F915" s="12" t="n">
        <v>10002.8</v>
      </c>
      <c r="G915" s="12" t="n">
        <v>193.5</v>
      </c>
      <c r="H915" s="13" t="n">
        <v>0.8222</v>
      </c>
      <c r="I915" s="13" t="n">
        <v>0.767</v>
      </c>
    </row>
    <row r="916">
      <c r="A916" s="10" t="inlineStr">
        <is>
          <t>PJ-2022-F</t>
        </is>
      </c>
      <c r="B916" s="10" t="inlineStr">
        <is>
          <t>素朴版／月内均等</t>
        </is>
      </c>
      <c r="C916" s="10" t="inlineStr">
        <is>
          <t>2023-06</t>
        </is>
      </c>
      <c r="D916" s="10" t="n">
        <v>15</v>
      </c>
      <c r="E916" s="12" t="n">
        <v>9174.1</v>
      </c>
      <c r="F916" s="12" t="n">
        <v>14960.5</v>
      </c>
      <c r="G916" s="12" t="n">
        <v>-5786.4</v>
      </c>
      <c r="H916" s="13" t="n">
        <v>0.8872</v>
      </c>
      <c r="I916" s="13" t="n">
        <v>0.873</v>
      </c>
    </row>
    <row r="917">
      <c r="A917" s="10" t="inlineStr">
        <is>
          <t>PJ-2022-F</t>
        </is>
      </c>
      <c r="B917" s="10" t="inlineStr">
        <is>
          <t>素朴版／月内均等</t>
        </is>
      </c>
      <c r="C917" s="10" t="inlineStr">
        <is>
          <t>2023-07</t>
        </is>
      </c>
      <c r="D917" s="10" t="n">
        <v>16</v>
      </c>
      <c r="E917" s="12" t="n">
        <v>7201.6</v>
      </c>
      <c r="F917" s="12" t="n">
        <v>11519.7</v>
      </c>
      <c r="G917" s="12" t="n">
        <v>-4318.1</v>
      </c>
      <c r="H917" s="13" t="n">
        <v>0.9383</v>
      </c>
      <c r="I917" s="13" t="n">
        <v>0.9547</v>
      </c>
    </row>
    <row r="918">
      <c r="A918" s="10" t="inlineStr">
        <is>
          <t>PJ-2022-F</t>
        </is>
      </c>
      <c r="B918" s="10" t="inlineStr">
        <is>
          <t>素朴版／月内均等</t>
        </is>
      </c>
      <c r="C918" s="10" t="inlineStr">
        <is>
          <t>2023-08</t>
        </is>
      </c>
      <c r="D918" s="10" t="n">
        <v>17</v>
      </c>
      <c r="E918" s="12" t="n">
        <v>5608.4</v>
      </c>
      <c r="F918" s="12" t="n">
        <v>5165</v>
      </c>
      <c r="G918" s="12" t="n">
        <v>443.4</v>
      </c>
      <c r="H918" s="13" t="n">
        <v>0.978</v>
      </c>
      <c r="I918" s="13" t="n">
        <v>0.9913</v>
      </c>
    </row>
    <row r="919">
      <c r="A919" s="10" t="inlineStr">
        <is>
          <t>PJ-2022-F</t>
        </is>
      </c>
      <c r="B919" s="10" t="inlineStr">
        <is>
          <t>素朴版／月内均等</t>
        </is>
      </c>
      <c r="C919" s="10" t="inlineStr">
        <is>
          <t>2023-09</t>
        </is>
      </c>
      <c r="D919" s="10" t="n">
        <v>18</v>
      </c>
      <c r="E919" s="12" t="n">
        <v>3098.4</v>
      </c>
      <c r="F919" s="12" t="n">
        <v>1228.6</v>
      </c>
      <c r="G919" s="12" t="n">
        <v>1869.8</v>
      </c>
      <c r="H919" s="13" t="n">
        <v>1</v>
      </c>
      <c r="I919" s="13" t="n">
        <v>1</v>
      </c>
    </row>
    <row r="920">
      <c r="A920" s="10" t="inlineStr">
        <is>
          <t>PJ-2022-F</t>
        </is>
      </c>
      <c r="B920" s="10" t="inlineStr">
        <is>
          <t>位置合わせ(MS学習値)／月内均等</t>
        </is>
      </c>
      <c r="C920" s="10" t="inlineStr">
        <is>
          <t>2022-04</t>
        </is>
      </c>
      <c r="D920" s="10" t="n">
        <v>1</v>
      </c>
      <c r="E920" s="12" t="n">
        <v>3321.9</v>
      </c>
      <c r="F920" s="12" t="n">
        <v>1989.3</v>
      </c>
      <c r="G920" s="12" t="n">
        <v>1332.6</v>
      </c>
      <c r="H920" s="13" t="n">
        <v>0.0235</v>
      </c>
      <c r="I920" s="13" t="n">
        <v>0.0141</v>
      </c>
    </row>
    <row r="921">
      <c r="A921" s="10" t="inlineStr">
        <is>
          <t>PJ-2022-F</t>
        </is>
      </c>
      <c r="B921" s="10" t="inlineStr">
        <is>
          <t>位置合わせ(MS学習値)／月内均等</t>
        </is>
      </c>
      <c r="C921" s="10" t="inlineStr">
        <is>
          <t>2022-05</t>
        </is>
      </c>
      <c r="D921" s="10" t="n">
        <v>2</v>
      </c>
      <c r="E921" s="12" t="n">
        <v>4404.4</v>
      </c>
      <c r="F921" s="12" t="n">
        <v>3873.1</v>
      </c>
      <c r="G921" s="12" t="n">
        <v>531.3</v>
      </c>
      <c r="H921" s="13" t="n">
        <v>0.0548</v>
      </c>
      <c r="I921" s="13" t="n">
        <v>0.0416</v>
      </c>
    </row>
    <row r="922">
      <c r="A922" s="10" t="inlineStr">
        <is>
          <t>PJ-2022-F</t>
        </is>
      </c>
      <c r="B922" s="10" t="inlineStr">
        <is>
          <t>位置合わせ(MS学習値)／月内均等</t>
        </is>
      </c>
      <c r="C922" s="10" t="inlineStr">
        <is>
          <t>2022-06</t>
        </is>
      </c>
      <c r="D922" s="10" t="n">
        <v>3</v>
      </c>
      <c r="E922" s="12" t="n">
        <v>4883.5</v>
      </c>
      <c r="F922" s="12" t="n">
        <v>5042.1</v>
      </c>
      <c r="G922" s="12" t="n">
        <v>-158.6</v>
      </c>
      <c r="H922" s="13" t="n">
        <v>0.08939999999999999</v>
      </c>
      <c r="I922" s="13" t="n">
        <v>0.07729999999999999</v>
      </c>
    </row>
    <row r="923">
      <c r="A923" s="10" t="inlineStr">
        <is>
          <t>PJ-2022-F</t>
        </is>
      </c>
      <c r="B923" s="10" t="inlineStr">
        <is>
          <t>位置合わせ(MS学習値)／月内均等</t>
        </is>
      </c>
      <c r="C923" s="10" t="inlineStr">
        <is>
          <t>2022-07</t>
        </is>
      </c>
      <c r="D923" s="10" t="n">
        <v>4</v>
      </c>
      <c r="E923" s="12" t="n">
        <v>5409.2</v>
      </c>
      <c r="F923" s="12" t="n">
        <v>6282.6</v>
      </c>
      <c r="G923" s="12" t="n">
        <v>-873.4</v>
      </c>
      <c r="H923" s="13" t="n">
        <v>0.1277</v>
      </c>
      <c r="I923" s="13" t="n">
        <v>0.1218</v>
      </c>
    </row>
    <row r="924">
      <c r="A924" s="10" t="inlineStr">
        <is>
          <t>PJ-2022-F</t>
        </is>
      </c>
      <c r="B924" s="10" t="inlineStr">
        <is>
          <t>位置合わせ(MS学習値)／月内均等</t>
        </is>
      </c>
      <c r="C924" s="10" t="inlineStr">
        <is>
          <t>2022-08</t>
        </is>
      </c>
      <c r="D924" s="10" t="n">
        <v>5</v>
      </c>
      <c r="E924" s="12" t="n">
        <v>6131</v>
      </c>
      <c r="F924" s="12" t="n">
        <v>7785.3</v>
      </c>
      <c r="G924" s="12" t="n">
        <v>-1654.3</v>
      </c>
      <c r="H924" s="13" t="n">
        <v>0.1712</v>
      </c>
      <c r="I924" s="13" t="n">
        <v>0.177</v>
      </c>
    </row>
    <row r="925">
      <c r="A925" s="10" t="inlineStr">
        <is>
          <t>PJ-2022-F</t>
        </is>
      </c>
      <c r="B925" s="10" t="inlineStr">
        <is>
          <t>位置合わせ(MS学習値)／月内均等</t>
        </is>
      </c>
      <c r="C925" s="10" t="inlineStr">
        <is>
          <t>2022-09</t>
        </is>
      </c>
      <c r="D925" s="10" t="n">
        <v>6</v>
      </c>
      <c r="E925" s="12" t="n">
        <v>6953.5</v>
      </c>
      <c r="F925" s="12" t="n">
        <v>8593</v>
      </c>
      <c r="G925" s="12" t="n">
        <v>-1639.5</v>
      </c>
      <c r="H925" s="13" t="n">
        <v>0.2205</v>
      </c>
      <c r="I925" s="13" t="n">
        <v>0.2379</v>
      </c>
    </row>
    <row r="926">
      <c r="A926" s="10" t="inlineStr">
        <is>
          <t>PJ-2022-F</t>
        </is>
      </c>
      <c r="B926" s="10" t="inlineStr">
        <is>
          <t>位置合わせ(MS学習値)／月内均等</t>
        </is>
      </c>
      <c r="C926" s="10" t="inlineStr">
        <is>
          <t>2022-10</t>
        </is>
      </c>
      <c r="D926" s="10" t="n">
        <v>7</v>
      </c>
      <c r="E926" s="12" t="n">
        <v>8761.299999999999</v>
      </c>
      <c r="F926" s="12" t="n">
        <v>9513.5</v>
      </c>
      <c r="G926" s="12" t="n">
        <v>-752.2</v>
      </c>
      <c r="H926" s="13" t="n">
        <v>0.2826</v>
      </c>
      <c r="I926" s="13" t="n">
        <v>0.3053</v>
      </c>
    </row>
    <row r="927">
      <c r="A927" s="10" t="inlineStr">
        <is>
          <t>PJ-2022-F</t>
        </is>
      </c>
      <c r="B927" s="10" t="inlineStr">
        <is>
          <t>位置合わせ(MS学習値)／月内均等</t>
        </is>
      </c>
      <c r="C927" s="10" t="inlineStr">
        <is>
          <t>2022-11</t>
        </is>
      </c>
      <c r="D927" s="10" t="n">
        <v>8</v>
      </c>
      <c r="E927" s="12" t="n">
        <v>9394.299999999999</v>
      </c>
      <c r="F927" s="12" t="n">
        <v>11622</v>
      </c>
      <c r="G927" s="12" t="n">
        <v>-2227.7</v>
      </c>
      <c r="H927" s="13" t="n">
        <v>0.3492</v>
      </c>
      <c r="I927" s="13" t="n">
        <v>0.3877</v>
      </c>
    </row>
    <row r="928">
      <c r="A928" s="10" t="inlineStr">
        <is>
          <t>PJ-2022-F</t>
        </is>
      </c>
      <c r="B928" s="10" t="inlineStr">
        <is>
          <t>位置合わせ(MS学習値)／月内均等</t>
        </is>
      </c>
      <c r="C928" s="10" t="inlineStr">
        <is>
          <t>2022-12</t>
        </is>
      </c>
      <c r="D928" s="10" t="n">
        <v>9</v>
      </c>
      <c r="E928" s="12" t="n">
        <v>11111.9</v>
      </c>
      <c r="F928" s="12" t="n">
        <v>11222.9</v>
      </c>
      <c r="G928" s="12" t="n">
        <v>-111</v>
      </c>
      <c r="H928" s="13" t="n">
        <v>0.4279</v>
      </c>
      <c r="I928" s="13" t="n">
        <v>0.4673</v>
      </c>
    </row>
    <row r="929">
      <c r="A929" s="10" t="inlineStr">
        <is>
          <t>PJ-2022-F</t>
        </is>
      </c>
      <c r="B929" s="10" t="inlineStr">
        <is>
          <t>位置合わせ(MS学習値)／月内均等</t>
        </is>
      </c>
      <c r="C929" s="10" t="inlineStr">
        <is>
          <t>2023-01</t>
        </is>
      </c>
      <c r="D929" s="10" t="n">
        <v>10</v>
      </c>
      <c r="E929" s="12" t="n">
        <v>11886.7</v>
      </c>
      <c r="F929" s="12" t="n">
        <v>9600.700000000001</v>
      </c>
      <c r="G929" s="12" t="n">
        <v>2286</v>
      </c>
      <c r="H929" s="13" t="n">
        <v>0.5122</v>
      </c>
      <c r="I929" s="13" t="n">
        <v>0.5353</v>
      </c>
    </row>
    <row r="930">
      <c r="A930" s="10" t="inlineStr">
        <is>
          <t>PJ-2022-F</t>
        </is>
      </c>
      <c r="B930" s="10" t="inlineStr">
        <is>
          <t>位置合わせ(MS学習値)／月内均等</t>
        </is>
      </c>
      <c r="C930" s="10" t="inlineStr">
        <is>
          <t>2023-02</t>
        </is>
      </c>
      <c r="D930" s="10" t="n">
        <v>11</v>
      </c>
      <c r="E930" s="12" t="n">
        <v>10645.8</v>
      </c>
      <c r="F930" s="12" t="n">
        <v>7097.2</v>
      </c>
      <c r="G930" s="12" t="n">
        <v>3548.6</v>
      </c>
      <c r="H930" s="13" t="n">
        <v>0.5876</v>
      </c>
      <c r="I930" s="13" t="n">
        <v>0.5856</v>
      </c>
    </row>
    <row r="931">
      <c r="A931" s="10" t="inlineStr">
        <is>
          <t>PJ-2022-F</t>
        </is>
      </c>
      <c r="B931" s="10" t="inlineStr">
        <is>
          <t>位置合わせ(MS学習値)／月内均等</t>
        </is>
      </c>
      <c r="C931" s="10" t="inlineStr">
        <is>
          <t>2023-03</t>
        </is>
      </c>
      <c r="D931" s="10" t="n">
        <v>12</v>
      </c>
      <c r="E931" s="12" t="n">
        <v>12087.6</v>
      </c>
      <c r="F931" s="12" t="n">
        <v>8011</v>
      </c>
      <c r="G931" s="12" t="n">
        <v>4076.6</v>
      </c>
      <c r="H931" s="13" t="n">
        <v>0.6733</v>
      </c>
      <c r="I931" s="13" t="n">
        <v>0.6424</v>
      </c>
    </row>
    <row r="932">
      <c r="A932" s="10" t="inlineStr">
        <is>
          <t>PJ-2022-F</t>
        </is>
      </c>
      <c r="B932" s="10" t="inlineStr">
        <is>
          <t>位置合わせ(MS学習値)／月内均等</t>
        </is>
      </c>
      <c r="C932" s="10" t="inlineStr">
        <is>
          <t>2023-04</t>
        </is>
      </c>
      <c r="D932" s="10" t="n">
        <v>13</v>
      </c>
      <c r="E932" s="12" t="n">
        <v>11765.6</v>
      </c>
      <c r="F932" s="12" t="n">
        <v>7572.9</v>
      </c>
      <c r="G932" s="12" t="n">
        <v>4192.7</v>
      </c>
      <c r="H932" s="13" t="n">
        <v>0.7567</v>
      </c>
      <c r="I932" s="13" t="n">
        <v>0.6961000000000001</v>
      </c>
    </row>
    <row r="933">
      <c r="A933" s="10" t="inlineStr">
        <is>
          <t>PJ-2022-F</t>
        </is>
      </c>
      <c r="B933" s="10" t="inlineStr">
        <is>
          <t>位置合わせ(MS学習値)／月内均等</t>
        </is>
      </c>
      <c r="C933" s="10" t="inlineStr">
        <is>
          <t>2023-05</t>
        </is>
      </c>
      <c r="D933" s="10" t="n">
        <v>14</v>
      </c>
      <c r="E933" s="12" t="n">
        <v>10288.5</v>
      </c>
      <c r="F933" s="12" t="n">
        <v>10002.8</v>
      </c>
      <c r="G933" s="12" t="n">
        <v>285.7</v>
      </c>
      <c r="H933" s="13" t="n">
        <v>0.8296</v>
      </c>
      <c r="I933" s="13" t="n">
        <v>0.767</v>
      </c>
    </row>
    <row r="934">
      <c r="A934" s="10" t="inlineStr">
        <is>
          <t>PJ-2022-F</t>
        </is>
      </c>
      <c r="B934" s="10" t="inlineStr">
        <is>
          <t>位置合わせ(MS学習値)／月内均等</t>
        </is>
      </c>
      <c r="C934" s="10" t="inlineStr">
        <is>
          <t>2023-06</t>
        </is>
      </c>
      <c r="D934" s="10" t="n">
        <v>15</v>
      </c>
      <c r="E934" s="12" t="n">
        <v>8394.1</v>
      </c>
      <c r="F934" s="12" t="n">
        <v>14960.5</v>
      </c>
      <c r="G934" s="12" t="n">
        <v>-6566.4</v>
      </c>
      <c r="H934" s="13" t="n">
        <v>0.8891</v>
      </c>
      <c r="I934" s="13" t="n">
        <v>0.873</v>
      </c>
    </row>
    <row r="935">
      <c r="A935" s="10" t="inlineStr">
        <is>
          <t>PJ-2022-F</t>
        </is>
      </c>
      <c r="B935" s="10" t="inlineStr">
        <is>
          <t>位置合わせ(MS学習値)／月内均等</t>
        </is>
      </c>
      <c r="C935" s="10" t="inlineStr">
        <is>
          <t>2023-07</t>
        </is>
      </c>
      <c r="D935" s="10" t="n">
        <v>16</v>
      </c>
      <c r="E935" s="12" t="n">
        <v>6829.3</v>
      </c>
      <c r="F935" s="12" t="n">
        <v>11519.7</v>
      </c>
      <c r="G935" s="12" t="n">
        <v>-4690.4</v>
      </c>
      <c r="H935" s="13" t="n">
        <v>0.9375</v>
      </c>
      <c r="I935" s="13" t="n">
        <v>0.9547</v>
      </c>
    </row>
    <row r="936">
      <c r="A936" s="10" t="inlineStr">
        <is>
          <t>PJ-2022-F</t>
        </is>
      </c>
      <c r="B936" s="10" t="inlineStr">
        <is>
          <t>位置合わせ(MS学習値)／月内均等</t>
        </is>
      </c>
      <c r="C936" s="10" t="inlineStr">
        <is>
          <t>2023-08</t>
        </is>
      </c>
      <c r="D936" s="10" t="n">
        <v>17</v>
      </c>
      <c r="E936" s="12" t="n">
        <v>5709.9</v>
      </c>
      <c r="F936" s="12" t="n">
        <v>5165</v>
      </c>
      <c r="G936" s="12" t="n">
        <v>544.9</v>
      </c>
      <c r="H936" s="13" t="n">
        <v>0.978</v>
      </c>
      <c r="I936" s="13" t="n">
        <v>0.9913</v>
      </c>
    </row>
    <row r="937">
      <c r="A937" s="10" t="inlineStr">
        <is>
          <t>PJ-2022-F</t>
        </is>
      </c>
      <c r="B937" s="10" t="inlineStr">
        <is>
          <t>位置合わせ(MS学習値)／月内均等</t>
        </is>
      </c>
      <c r="C937" s="10" t="inlineStr">
        <is>
          <t>2023-09</t>
        </is>
      </c>
      <c r="D937" s="10" t="n">
        <v>18</v>
      </c>
      <c r="E937" s="12" t="n">
        <v>3103.7</v>
      </c>
      <c r="F937" s="12" t="n">
        <v>1228.6</v>
      </c>
      <c r="G937" s="12" t="n">
        <v>1875.1</v>
      </c>
      <c r="H937" s="13" t="n">
        <v>1</v>
      </c>
      <c r="I937" s="13" t="n">
        <v>1</v>
      </c>
    </row>
    <row r="938">
      <c r="A938" s="10" t="inlineStr">
        <is>
          <t>PJ-2022-F</t>
        </is>
      </c>
      <c r="B938" s="10" t="inlineStr">
        <is>
          <t>位置合わせ(MS指定)／月内均等</t>
        </is>
      </c>
      <c r="C938" s="10" t="inlineStr">
        <is>
          <t>2022-04</t>
        </is>
      </c>
      <c r="D938" s="10" t="n">
        <v>1</v>
      </c>
      <c r="E938" s="12" t="n">
        <v>3653.2</v>
      </c>
      <c r="F938" s="12" t="n">
        <v>1989.3</v>
      </c>
      <c r="G938" s="12" t="n">
        <v>1663.9</v>
      </c>
      <c r="H938" s="13" t="n">
        <v>0.0259</v>
      </c>
      <c r="I938" s="13" t="n">
        <v>0.0141</v>
      </c>
    </row>
    <row r="939">
      <c r="A939" s="10" t="inlineStr">
        <is>
          <t>PJ-2022-F</t>
        </is>
      </c>
      <c r="B939" s="10" t="inlineStr">
        <is>
          <t>位置合わせ(MS指定)／月内均等</t>
        </is>
      </c>
      <c r="C939" s="10" t="inlineStr">
        <is>
          <t>2022-05</t>
        </is>
      </c>
      <c r="D939" s="10" t="n">
        <v>2</v>
      </c>
      <c r="E939" s="12" t="n">
        <v>4857.3</v>
      </c>
      <c r="F939" s="12" t="n">
        <v>3873.1</v>
      </c>
      <c r="G939" s="12" t="n">
        <v>984.2</v>
      </c>
      <c r="H939" s="13" t="n">
        <v>0.0603</v>
      </c>
      <c r="I939" s="13" t="n">
        <v>0.0416</v>
      </c>
    </row>
    <row r="940">
      <c r="A940" s="10" t="inlineStr">
        <is>
          <t>PJ-2022-F</t>
        </is>
      </c>
      <c r="B940" s="10" t="inlineStr">
        <is>
          <t>位置合わせ(MS指定)／月内均等</t>
        </is>
      </c>
      <c r="C940" s="10" t="inlineStr">
        <is>
          <t>2022-06</t>
        </is>
      </c>
      <c r="D940" s="10" t="n">
        <v>3</v>
      </c>
      <c r="E940" s="12" t="n">
        <v>5396.6</v>
      </c>
      <c r="F940" s="12" t="n">
        <v>5042.1</v>
      </c>
      <c r="G940" s="12" t="n">
        <v>354.5</v>
      </c>
      <c r="H940" s="13" t="n">
        <v>0.09859999999999999</v>
      </c>
      <c r="I940" s="13" t="n">
        <v>0.07729999999999999</v>
      </c>
    </row>
    <row r="941">
      <c r="A941" s="10" t="inlineStr">
        <is>
          <t>PJ-2022-F</t>
        </is>
      </c>
      <c r="B941" s="10" t="inlineStr">
        <is>
          <t>位置合わせ(MS指定)／月内均等</t>
        </is>
      </c>
      <c r="C941" s="10" t="inlineStr">
        <is>
          <t>2022-07</t>
        </is>
      </c>
      <c r="D941" s="10" t="n">
        <v>4</v>
      </c>
      <c r="E941" s="12" t="n">
        <v>6048.3</v>
      </c>
      <c r="F941" s="12" t="n">
        <v>6282.6</v>
      </c>
      <c r="G941" s="12" t="n">
        <v>-234.3</v>
      </c>
      <c r="H941" s="13" t="n">
        <v>0.1414</v>
      </c>
      <c r="I941" s="13" t="n">
        <v>0.1218</v>
      </c>
    </row>
    <row r="942">
      <c r="A942" s="10" t="inlineStr">
        <is>
          <t>PJ-2022-F</t>
        </is>
      </c>
      <c r="B942" s="10" t="inlineStr">
        <is>
          <t>位置合わせ(MS指定)／月内均等</t>
        </is>
      </c>
      <c r="C942" s="10" t="inlineStr">
        <is>
          <t>2022-08</t>
        </is>
      </c>
      <c r="D942" s="10" t="n">
        <v>5</v>
      </c>
      <c r="E942" s="12" t="n">
        <v>6985.9</v>
      </c>
      <c r="F942" s="12" t="n">
        <v>7785.3</v>
      </c>
      <c r="G942" s="12" t="n">
        <v>-799.4</v>
      </c>
      <c r="H942" s="13" t="n">
        <v>0.191</v>
      </c>
      <c r="I942" s="13" t="n">
        <v>0.177</v>
      </c>
    </row>
    <row r="943">
      <c r="A943" s="10" t="inlineStr">
        <is>
          <t>PJ-2022-F</t>
        </is>
      </c>
      <c r="B943" s="10" t="inlineStr">
        <is>
          <t>位置合わせ(MS指定)／月内均等</t>
        </is>
      </c>
      <c r="C943" s="10" t="inlineStr">
        <is>
          <t>2022-09</t>
        </is>
      </c>
      <c r="D943" s="10" t="n">
        <v>6</v>
      </c>
      <c r="E943" s="12" t="n">
        <v>8377</v>
      </c>
      <c r="F943" s="12" t="n">
        <v>8593</v>
      </c>
      <c r="G943" s="12" t="n">
        <v>-216</v>
      </c>
      <c r="H943" s="13" t="n">
        <v>0.2503</v>
      </c>
      <c r="I943" s="13" t="n">
        <v>0.2379</v>
      </c>
    </row>
    <row r="944">
      <c r="A944" s="10" t="inlineStr">
        <is>
          <t>PJ-2022-F</t>
        </is>
      </c>
      <c r="B944" s="10" t="inlineStr">
        <is>
          <t>位置合わせ(MS指定)／月内均等</t>
        </is>
      </c>
      <c r="C944" s="10" t="inlineStr">
        <is>
          <t>2022-10</t>
        </is>
      </c>
      <c r="D944" s="10" t="n">
        <v>7</v>
      </c>
      <c r="E944" s="12" t="n">
        <v>10065.6</v>
      </c>
      <c r="F944" s="12" t="n">
        <v>9513.5</v>
      </c>
      <c r="G944" s="12" t="n">
        <v>552.1</v>
      </c>
      <c r="H944" s="13" t="n">
        <v>0.3217</v>
      </c>
      <c r="I944" s="13" t="n">
        <v>0.3053</v>
      </c>
    </row>
    <row r="945">
      <c r="A945" s="10" t="inlineStr">
        <is>
          <t>PJ-2022-F</t>
        </is>
      </c>
      <c r="B945" s="10" t="inlineStr">
        <is>
          <t>位置合わせ(MS指定)／月内均等</t>
        </is>
      </c>
      <c r="C945" s="10" t="inlineStr">
        <is>
          <t>2022-11</t>
        </is>
      </c>
      <c r="D945" s="10" t="n">
        <v>8</v>
      </c>
      <c r="E945" s="12" t="n">
        <v>10894.1</v>
      </c>
      <c r="F945" s="12" t="n">
        <v>11622</v>
      </c>
      <c r="G945" s="12" t="n">
        <v>-727.9</v>
      </c>
      <c r="H945" s="13" t="n">
        <v>0.3989</v>
      </c>
      <c r="I945" s="13" t="n">
        <v>0.3877</v>
      </c>
    </row>
    <row r="946">
      <c r="A946" s="10" t="inlineStr">
        <is>
          <t>PJ-2022-F</t>
        </is>
      </c>
      <c r="B946" s="10" t="inlineStr">
        <is>
          <t>位置合わせ(MS指定)／月内均等</t>
        </is>
      </c>
      <c r="C946" s="10" t="inlineStr">
        <is>
          <t>2022-12</t>
        </is>
      </c>
      <c r="D946" s="10" t="n">
        <v>9</v>
      </c>
      <c r="E946" s="12" t="n">
        <v>9377.9</v>
      </c>
      <c r="F946" s="12" t="n">
        <v>11222.9</v>
      </c>
      <c r="G946" s="12" t="n">
        <v>-1845</v>
      </c>
      <c r="H946" s="13" t="n">
        <v>0.4654</v>
      </c>
      <c r="I946" s="13" t="n">
        <v>0.4673</v>
      </c>
    </row>
    <row r="947">
      <c r="A947" s="10" t="inlineStr">
        <is>
          <t>PJ-2022-F</t>
        </is>
      </c>
      <c r="B947" s="10" t="inlineStr">
        <is>
          <t>位置合わせ(MS指定)／月内均等</t>
        </is>
      </c>
      <c r="C947" s="10" t="inlineStr">
        <is>
          <t>2023-01</t>
        </is>
      </c>
      <c r="D947" s="10" t="n">
        <v>10</v>
      </c>
      <c r="E947" s="12" t="n">
        <v>8141.2</v>
      </c>
      <c r="F947" s="12" t="n">
        <v>9600.700000000001</v>
      </c>
      <c r="G947" s="12" t="n">
        <v>-1459.5</v>
      </c>
      <c r="H947" s="13" t="n">
        <v>0.5231</v>
      </c>
      <c r="I947" s="13" t="n">
        <v>0.5353</v>
      </c>
    </row>
    <row r="948">
      <c r="A948" s="10" t="inlineStr">
        <is>
          <t>PJ-2022-F</t>
        </is>
      </c>
      <c r="B948" s="10" t="inlineStr">
        <is>
          <t>位置合わせ(MS指定)／月内均等</t>
        </is>
      </c>
      <c r="C948" s="10" t="inlineStr">
        <is>
          <t>2023-02</t>
        </is>
      </c>
      <c r="D948" s="10" t="n">
        <v>11</v>
      </c>
      <c r="E948" s="12" t="n">
        <v>7338</v>
      </c>
      <c r="F948" s="12" t="n">
        <v>7097.2</v>
      </c>
      <c r="G948" s="12" t="n">
        <v>240.8</v>
      </c>
      <c r="H948" s="13" t="n">
        <v>0.5750999999999999</v>
      </c>
      <c r="I948" s="13" t="n">
        <v>0.5856</v>
      </c>
    </row>
    <row r="949">
      <c r="A949" s="10" t="inlineStr">
        <is>
          <t>PJ-2022-F</t>
        </is>
      </c>
      <c r="B949" s="10" t="inlineStr">
        <is>
          <t>位置合わせ(MS指定)／月内均等</t>
        </is>
      </c>
      <c r="C949" s="10" t="inlineStr">
        <is>
          <t>2023-03</t>
        </is>
      </c>
      <c r="D949" s="10" t="n">
        <v>12</v>
      </c>
      <c r="E949" s="12" t="n">
        <v>8245.6</v>
      </c>
      <c r="F949" s="12" t="n">
        <v>8011</v>
      </c>
      <c r="G949" s="12" t="n">
        <v>234.6</v>
      </c>
      <c r="H949" s="13" t="n">
        <v>0.6335</v>
      </c>
      <c r="I949" s="13" t="n">
        <v>0.6424</v>
      </c>
    </row>
    <row r="950">
      <c r="A950" s="10" t="inlineStr">
        <is>
          <t>PJ-2022-F</t>
        </is>
      </c>
      <c r="B950" s="10" t="inlineStr">
        <is>
          <t>位置合わせ(MS指定)／月内均等</t>
        </is>
      </c>
      <c r="C950" s="10" t="inlineStr">
        <is>
          <t>2023-04</t>
        </is>
      </c>
      <c r="D950" s="10" t="n">
        <v>13</v>
      </c>
      <c r="E950" s="12" t="n">
        <v>8140.4</v>
      </c>
      <c r="F950" s="12" t="n">
        <v>7572.9</v>
      </c>
      <c r="G950" s="12" t="n">
        <v>567.5</v>
      </c>
      <c r="H950" s="13" t="n">
        <v>0.6912</v>
      </c>
      <c r="I950" s="13" t="n">
        <v>0.6961000000000001</v>
      </c>
    </row>
    <row r="951">
      <c r="A951" s="10" t="inlineStr">
        <is>
          <t>PJ-2022-F</t>
        </is>
      </c>
      <c r="B951" s="10" t="inlineStr">
        <is>
          <t>位置合わせ(MS指定)／月内均等</t>
        </is>
      </c>
      <c r="C951" s="10" t="inlineStr">
        <is>
          <t>2023-05</t>
        </is>
      </c>
      <c r="D951" s="10" t="n">
        <v>14</v>
      </c>
      <c r="E951" s="12" t="n">
        <v>8381.5</v>
      </c>
      <c r="F951" s="12" t="n">
        <v>10002.8</v>
      </c>
      <c r="G951" s="12" t="n">
        <v>-1621.3</v>
      </c>
      <c r="H951" s="13" t="n">
        <v>0.7506</v>
      </c>
      <c r="I951" s="13" t="n">
        <v>0.767</v>
      </c>
    </row>
    <row r="952">
      <c r="A952" s="10" t="inlineStr">
        <is>
          <t>PJ-2022-F</t>
        </is>
      </c>
      <c r="B952" s="10" t="inlineStr">
        <is>
          <t>位置合わせ(MS指定)／月内均等</t>
        </is>
      </c>
      <c r="C952" s="10" t="inlineStr">
        <is>
          <t>2023-06</t>
        </is>
      </c>
      <c r="D952" s="10" t="n">
        <v>15</v>
      </c>
      <c r="E952" s="12" t="n">
        <v>13658.1</v>
      </c>
      <c r="F952" s="12" t="n">
        <v>14960.5</v>
      </c>
      <c r="G952" s="12" t="n">
        <v>-1302.4</v>
      </c>
      <c r="H952" s="13" t="n">
        <v>0.8475</v>
      </c>
      <c r="I952" s="13" t="n">
        <v>0.873</v>
      </c>
    </row>
    <row r="953">
      <c r="A953" s="10" t="inlineStr">
        <is>
          <t>PJ-2022-F</t>
        </is>
      </c>
      <c r="B953" s="10" t="inlineStr">
        <is>
          <t>位置合わせ(MS指定)／月内均等</t>
        </is>
      </c>
      <c r="C953" s="10" t="inlineStr">
        <is>
          <t>2023-07</t>
        </is>
      </c>
      <c r="D953" s="10" t="n">
        <v>16</v>
      </c>
      <c r="E953" s="12" t="n">
        <v>13337</v>
      </c>
      <c r="F953" s="12" t="n">
        <v>11519.7</v>
      </c>
      <c r="G953" s="12" t="n">
        <v>1817.3</v>
      </c>
      <c r="H953" s="13" t="n">
        <v>0.9419999999999999</v>
      </c>
      <c r="I953" s="13" t="n">
        <v>0.9547</v>
      </c>
    </row>
    <row r="954">
      <c r="A954" s="10" t="inlineStr">
        <is>
          <t>PJ-2022-F</t>
        </is>
      </c>
      <c r="B954" s="10" t="inlineStr">
        <is>
          <t>位置合わせ(MS指定)／月内均等</t>
        </is>
      </c>
      <c r="C954" s="10" t="inlineStr">
        <is>
          <t>2023-08</t>
        </is>
      </c>
      <c r="D954" s="10" t="n">
        <v>17</v>
      </c>
      <c r="E954" s="12" t="n">
        <v>5824.2</v>
      </c>
      <c r="F954" s="12" t="n">
        <v>5165</v>
      </c>
      <c r="G954" s="12" t="n">
        <v>659.2</v>
      </c>
      <c r="H954" s="13" t="n">
        <v>0.9833</v>
      </c>
      <c r="I954" s="13" t="n">
        <v>0.9913</v>
      </c>
    </row>
    <row r="955">
      <c r="A955" s="10" t="inlineStr">
        <is>
          <t>PJ-2022-F</t>
        </is>
      </c>
      <c r="B955" s="10" t="inlineStr">
        <is>
          <t>位置合わせ(MS指定)／月内均等</t>
        </is>
      </c>
      <c r="C955" s="10" t="inlineStr">
        <is>
          <t>2023-09</t>
        </is>
      </c>
      <c r="D955" s="10" t="n">
        <v>18</v>
      </c>
      <c r="E955" s="12" t="n">
        <v>2360.4</v>
      </c>
      <c r="F955" s="12" t="n">
        <v>1228.6</v>
      </c>
      <c r="G955" s="12" t="n">
        <v>1131.8</v>
      </c>
      <c r="H955" s="13" t="n">
        <v>1</v>
      </c>
      <c r="I955" s="13" t="n">
        <v>1</v>
      </c>
    </row>
    <row r="956">
      <c r="A956" s="10" t="inlineStr">
        <is>
          <t>PJ-2022-F</t>
        </is>
      </c>
      <c r="B956" s="10" t="inlineStr">
        <is>
          <t>素朴版／単調補間</t>
        </is>
      </c>
      <c r="C956" s="10" t="inlineStr">
        <is>
          <t>2022-04</t>
        </is>
      </c>
      <c r="D956" s="10" t="n">
        <v>1</v>
      </c>
      <c r="E956" s="12" t="n">
        <v>3307.5</v>
      </c>
      <c r="F956" s="12" t="n">
        <v>1989.3</v>
      </c>
      <c r="G956" s="12" t="n">
        <v>1318.2</v>
      </c>
      <c r="H956" s="13" t="n">
        <v>0.0234</v>
      </c>
      <c r="I956" s="13" t="n">
        <v>0.0141</v>
      </c>
    </row>
    <row r="957">
      <c r="A957" s="10" t="inlineStr">
        <is>
          <t>PJ-2022-F</t>
        </is>
      </c>
      <c r="B957" s="10" t="inlineStr">
        <is>
          <t>素朴版／単調補間</t>
        </is>
      </c>
      <c r="C957" s="10" t="inlineStr">
        <is>
          <t>2022-05</t>
        </is>
      </c>
      <c r="D957" s="10" t="n">
        <v>2</v>
      </c>
      <c r="E957" s="12" t="n">
        <v>4446.4</v>
      </c>
      <c r="F957" s="12" t="n">
        <v>3873.1</v>
      </c>
      <c r="G957" s="12" t="n">
        <v>573.3</v>
      </c>
      <c r="H957" s="13" t="n">
        <v>0.055</v>
      </c>
      <c r="I957" s="13" t="n">
        <v>0.0416</v>
      </c>
    </row>
    <row r="958">
      <c r="A958" s="10" t="inlineStr">
        <is>
          <t>PJ-2022-F</t>
        </is>
      </c>
      <c r="B958" s="10" t="inlineStr">
        <is>
          <t>素朴版／単調補間</t>
        </is>
      </c>
      <c r="C958" s="10" t="inlineStr">
        <is>
          <t>2022-06</t>
        </is>
      </c>
      <c r="D958" s="10" t="n">
        <v>3</v>
      </c>
      <c r="E958" s="12" t="n">
        <v>4962.5</v>
      </c>
      <c r="F958" s="12" t="n">
        <v>5042.1</v>
      </c>
      <c r="G958" s="12" t="n">
        <v>-79.59999999999999</v>
      </c>
      <c r="H958" s="13" t="n">
        <v>0.0901</v>
      </c>
      <c r="I958" s="13" t="n">
        <v>0.07729999999999999</v>
      </c>
    </row>
    <row r="959">
      <c r="A959" s="10" t="inlineStr">
        <is>
          <t>PJ-2022-F</t>
        </is>
      </c>
      <c r="B959" s="10" t="inlineStr">
        <is>
          <t>素朴版／単調補間</t>
        </is>
      </c>
      <c r="C959" s="10" t="inlineStr">
        <is>
          <t>2022-07</t>
        </is>
      </c>
      <c r="D959" s="10" t="n">
        <v>4</v>
      </c>
      <c r="E959" s="12" t="n">
        <v>5470.7</v>
      </c>
      <c r="F959" s="12" t="n">
        <v>6282.6</v>
      </c>
      <c r="G959" s="12" t="n">
        <v>-811.9</v>
      </c>
      <c r="H959" s="13" t="n">
        <v>0.1289</v>
      </c>
      <c r="I959" s="13" t="n">
        <v>0.1218</v>
      </c>
    </row>
    <row r="960">
      <c r="A960" s="10" t="inlineStr">
        <is>
          <t>PJ-2022-F</t>
        </is>
      </c>
      <c r="B960" s="10" t="inlineStr">
        <is>
          <t>素朴版／単調補間</t>
        </is>
      </c>
      <c r="C960" s="10" t="inlineStr">
        <is>
          <t>2022-08</t>
        </is>
      </c>
      <c r="D960" s="10" t="n">
        <v>5</v>
      </c>
      <c r="E960" s="12" t="n">
        <v>6342.8</v>
      </c>
      <c r="F960" s="12" t="n">
        <v>7785.3</v>
      </c>
      <c r="G960" s="12" t="n">
        <v>-1442.5</v>
      </c>
      <c r="H960" s="13" t="n">
        <v>0.1739</v>
      </c>
      <c r="I960" s="13" t="n">
        <v>0.177</v>
      </c>
    </row>
    <row r="961">
      <c r="A961" s="10" t="inlineStr">
        <is>
          <t>PJ-2022-F</t>
        </is>
      </c>
      <c r="B961" s="10" t="inlineStr">
        <is>
          <t>素朴版／単調補間</t>
        </is>
      </c>
      <c r="C961" s="10" t="inlineStr">
        <is>
          <t>2022-09</t>
        </is>
      </c>
      <c r="D961" s="10" t="n">
        <v>6</v>
      </c>
      <c r="E961" s="12" t="n">
        <v>7894.1</v>
      </c>
      <c r="F961" s="12" t="n">
        <v>8593</v>
      </c>
      <c r="G961" s="12" t="n">
        <v>-698.9</v>
      </c>
      <c r="H961" s="13" t="n">
        <v>0.2298</v>
      </c>
      <c r="I961" s="13" t="n">
        <v>0.2379</v>
      </c>
    </row>
    <row r="962">
      <c r="A962" s="10" t="inlineStr">
        <is>
          <t>PJ-2022-F</t>
        </is>
      </c>
      <c r="B962" s="10" t="inlineStr">
        <is>
          <t>素朴版／単調補間</t>
        </is>
      </c>
      <c r="C962" s="10" t="inlineStr">
        <is>
          <t>2022-10</t>
        </is>
      </c>
      <c r="D962" s="10" t="n">
        <v>7</v>
      </c>
      <c r="E962" s="12" t="n">
        <v>9431.4</v>
      </c>
      <c r="F962" s="12" t="n">
        <v>9513.5</v>
      </c>
      <c r="G962" s="12" t="n">
        <v>-82.09999999999999</v>
      </c>
      <c r="H962" s="13" t="n">
        <v>0.2967</v>
      </c>
      <c r="I962" s="13" t="n">
        <v>0.3053</v>
      </c>
    </row>
    <row r="963">
      <c r="A963" s="10" t="inlineStr">
        <is>
          <t>PJ-2022-F</t>
        </is>
      </c>
      <c r="B963" s="10" t="inlineStr">
        <is>
          <t>素朴版／単調補間</t>
        </is>
      </c>
      <c r="C963" s="10" t="inlineStr">
        <is>
          <t>2022-11</t>
        </is>
      </c>
      <c r="D963" s="10" t="n">
        <v>8</v>
      </c>
      <c r="E963" s="12" t="n">
        <v>9640</v>
      </c>
      <c r="F963" s="12" t="n">
        <v>11622</v>
      </c>
      <c r="G963" s="12" t="n">
        <v>-1982</v>
      </c>
      <c r="H963" s="13" t="n">
        <v>0.365</v>
      </c>
      <c r="I963" s="13" t="n">
        <v>0.3877</v>
      </c>
    </row>
    <row r="964">
      <c r="A964" s="10" t="inlineStr">
        <is>
          <t>PJ-2022-F</t>
        </is>
      </c>
      <c r="B964" s="10" t="inlineStr">
        <is>
          <t>素朴版／単調補間</t>
        </is>
      </c>
      <c r="C964" s="10" t="inlineStr">
        <is>
          <t>2022-12</t>
        </is>
      </c>
      <c r="D964" s="10" t="n">
        <v>9</v>
      </c>
      <c r="E964" s="12" t="n">
        <v>9209.799999999999</v>
      </c>
      <c r="F964" s="12" t="n">
        <v>11222.9</v>
      </c>
      <c r="G964" s="12" t="n">
        <v>-2013.1</v>
      </c>
      <c r="H964" s="13" t="n">
        <v>0.4303</v>
      </c>
      <c r="I964" s="13" t="n">
        <v>0.4673</v>
      </c>
    </row>
    <row r="965">
      <c r="A965" s="10" t="inlineStr">
        <is>
          <t>PJ-2022-F</t>
        </is>
      </c>
      <c r="B965" s="10" t="inlineStr">
        <is>
          <t>素朴版／単調補間</t>
        </is>
      </c>
      <c r="C965" s="10" t="inlineStr">
        <is>
          <t>2023-01</t>
        </is>
      </c>
      <c r="D965" s="10" t="n">
        <v>10</v>
      </c>
      <c r="E965" s="12" t="n">
        <v>10964.4</v>
      </c>
      <c r="F965" s="12" t="n">
        <v>9600.700000000001</v>
      </c>
      <c r="G965" s="12" t="n">
        <v>1363.7</v>
      </c>
      <c r="H965" s="13" t="n">
        <v>0.508</v>
      </c>
      <c r="I965" s="13" t="n">
        <v>0.5353</v>
      </c>
    </row>
    <row r="966">
      <c r="A966" s="10" t="inlineStr">
        <is>
          <t>PJ-2022-F</t>
        </is>
      </c>
      <c r="B966" s="10" t="inlineStr">
        <is>
          <t>素朴版／単調補間</t>
        </is>
      </c>
      <c r="C966" s="10" t="inlineStr">
        <is>
          <t>2023-02</t>
        </is>
      </c>
      <c r="D966" s="10" t="n">
        <v>11</v>
      </c>
      <c r="E966" s="12" t="n">
        <v>10703.3</v>
      </c>
      <c r="F966" s="12" t="n">
        <v>7097.2</v>
      </c>
      <c r="G966" s="12" t="n">
        <v>3606.1</v>
      </c>
      <c r="H966" s="13" t="n">
        <v>0.5839</v>
      </c>
      <c r="I966" s="13" t="n">
        <v>0.5856</v>
      </c>
    </row>
    <row r="967">
      <c r="A967" s="10" t="inlineStr">
        <is>
          <t>PJ-2022-F</t>
        </is>
      </c>
      <c r="B967" s="10" t="inlineStr">
        <is>
          <t>素朴版／単調補間</t>
        </is>
      </c>
      <c r="C967" s="10" t="inlineStr">
        <is>
          <t>2023-03</t>
        </is>
      </c>
      <c r="D967" s="10" t="n">
        <v>12</v>
      </c>
      <c r="E967" s="12" t="n">
        <v>12703.3</v>
      </c>
      <c r="F967" s="12" t="n">
        <v>8011</v>
      </c>
      <c r="G967" s="12" t="n">
        <v>4692.3</v>
      </c>
      <c r="H967" s="13" t="n">
        <v>0.6739000000000001</v>
      </c>
      <c r="I967" s="13" t="n">
        <v>0.6424</v>
      </c>
    </row>
    <row r="968">
      <c r="A968" s="10" t="inlineStr">
        <is>
          <t>PJ-2022-F</t>
        </is>
      </c>
      <c r="B968" s="10" t="inlineStr">
        <is>
          <t>素朴版／単調補間</t>
        </is>
      </c>
      <c r="C968" s="10" t="inlineStr">
        <is>
          <t>2023-04</t>
        </is>
      </c>
      <c r="D968" s="10" t="n">
        <v>13</v>
      </c>
      <c r="E968" s="12" t="n">
        <v>10756.2</v>
      </c>
      <c r="F968" s="12" t="n">
        <v>7572.9</v>
      </c>
      <c r="G968" s="12" t="n">
        <v>3183.3</v>
      </c>
      <c r="H968" s="13" t="n">
        <v>0.7501</v>
      </c>
      <c r="I968" s="13" t="n">
        <v>0.6961000000000001</v>
      </c>
    </row>
    <row r="969">
      <c r="A969" s="10" t="inlineStr">
        <is>
          <t>PJ-2022-F</t>
        </is>
      </c>
      <c r="B969" s="10" t="inlineStr">
        <is>
          <t>素朴版／単調補間</t>
        </is>
      </c>
      <c r="C969" s="10" t="inlineStr">
        <is>
          <t>2023-05</t>
        </is>
      </c>
      <c r="D969" s="10" t="n">
        <v>14</v>
      </c>
      <c r="E969" s="12" t="n">
        <v>10242</v>
      </c>
      <c r="F969" s="12" t="n">
        <v>10002.8</v>
      </c>
      <c r="G969" s="12" t="n">
        <v>239.2</v>
      </c>
      <c r="H969" s="13" t="n">
        <v>0.8227</v>
      </c>
      <c r="I969" s="13" t="n">
        <v>0.767</v>
      </c>
    </row>
    <row r="970">
      <c r="A970" s="10" t="inlineStr">
        <is>
          <t>PJ-2022-F</t>
        </is>
      </c>
      <c r="B970" s="10" t="inlineStr">
        <is>
          <t>素朴版／単調補間</t>
        </is>
      </c>
      <c r="C970" s="10" t="inlineStr">
        <is>
          <t>2023-06</t>
        </is>
      </c>
      <c r="D970" s="10" t="n">
        <v>15</v>
      </c>
      <c r="E970" s="12" t="n">
        <v>9288.5</v>
      </c>
      <c r="F970" s="12" t="n">
        <v>14960.5</v>
      </c>
      <c r="G970" s="12" t="n">
        <v>-5672</v>
      </c>
      <c r="H970" s="13" t="n">
        <v>0.8885999999999999</v>
      </c>
      <c r="I970" s="13" t="n">
        <v>0.873</v>
      </c>
    </row>
    <row r="971">
      <c r="A971" s="10" t="inlineStr">
        <is>
          <t>PJ-2022-F</t>
        </is>
      </c>
      <c r="B971" s="10" t="inlineStr">
        <is>
          <t>素朴版／単調補間</t>
        </is>
      </c>
      <c r="C971" s="10" t="inlineStr">
        <is>
          <t>2023-07</t>
        </is>
      </c>
      <c r="D971" s="10" t="n">
        <v>16</v>
      </c>
      <c r="E971" s="12" t="n">
        <v>7153.4</v>
      </c>
      <c r="F971" s="12" t="n">
        <v>11519.7</v>
      </c>
      <c r="G971" s="12" t="n">
        <v>-4366.3</v>
      </c>
      <c r="H971" s="13" t="n">
        <v>0.9393</v>
      </c>
      <c r="I971" s="13" t="n">
        <v>0.9547</v>
      </c>
    </row>
    <row r="972">
      <c r="A972" s="10" t="inlineStr">
        <is>
          <t>PJ-2022-F</t>
        </is>
      </c>
      <c r="B972" s="10" t="inlineStr">
        <is>
          <t>素朴版／単調補間</t>
        </is>
      </c>
      <c r="C972" s="10" t="inlineStr">
        <is>
          <t>2023-08</t>
        </is>
      </c>
      <c r="D972" s="10" t="n">
        <v>17</v>
      </c>
      <c r="E972" s="12" t="n">
        <v>5557.6</v>
      </c>
      <c r="F972" s="12" t="n">
        <v>5165</v>
      </c>
      <c r="G972" s="12" t="n">
        <v>392.6</v>
      </c>
      <c r="H972" s="13" t="n">
        <v>0.9787</v>
      </c>
      <c r="I972" s="13" t="n">
        <v>0.9913</v>
      </c>
    </row>
    <row r="973">
      <c r="A973" s="10" t="inlineStr">
        <is>
          <t>PJ-2022-F</t>
        </is>
      </c>
      <c r="B973" s="10" t="inlineStr">
        <is>
          <t>素朴版／単調補間</t>
        </is>
      </c>
      <c r="C973" s="10" t="inlineStr">
        <is>
          <t>2023-09</t>
        </is>
      </c>
      <c r="D973" s="10" t="n">
        <v>18</v>
      </c>
      <c r="E973" s="12" t="n">
        <v>3008.4</v>
      </c>
      <c r="F973" s="12" t="n">
        <v>1228.6</v>
      </c>
      <c r="G973" s="12" t="n">
        <v>1779.8</v>
      </c>
      <c r="H973" s="13" t="n">
        <v>1</v>
      </c>
      <c r="I973" s="13" t="n">
        <v>1</v>
      </c>
    </row>
    <row r="974">
      <c r="A974" s="10" t="inlineStr">
        <is>
          <t>PJ-2022-F</t>
        </is>
      </c>
      <c r="B974" s="10" t="inlineStr">
        <is>
          <t>位置合わせ(MS学習値)／単調補間</t>
        </is>
      </c>
      <c r="C974" s="10" t="inlineStr">
        <is>
          <t>2022-04</t>
        </is>
      </c>
      <c r="D974" s="10" t="n">
        <v>1</v>
      </c>
      <c r="E974" s="12" t="n">
        <v>3290</v>
      </c>
      <c r="F974" s="12" t="n">
        <v>1989.3</v>
      </c>
      <c r="G974" s="12" t="n">
        <v>1300.7</v>
      </c>
      <c r="H974" s="13" t="n">
        <v>0.0233</v>
      </c>
      <c r="I974" s="13" t="n">
        <v>0.0141</v>
      </c>
    </row>
    <row r="975">
      <c r="A975" s="10" t="inlineStr">
        <is>
          <t>PJ-2022-F</t>
        </is>
      </c>
      <c r="B975" s="10" t="inlineStr">
        <is>
          <t>位置合わせ(MS学習値)／単調補間</t>
        </is>
      </c>
      <c r="C975" s="10" t="inlineStr">
        <is>
          <t>2022-05</t>
        </is>
      </c>
      <c r="D975" s="10" t="n">
        <v>2</v>
      </c>
      <c r="E975" s="12" t="n">
        <v>4413.5</v>
      </c>
      <c r="F975" s="12" t="n">
        <v>3873.1</v>
      </c>
      <c r="G975" s="12" t="n">
        <v>540.4</v>
      </c>
      <c r="H975" s="13" t="n">
        <v>0.0546</v>
      </c>
      <c r="I975" s="13" t="n">
        <v>0.0416</v>
      </c>
    </row>
    <row r="976">
      <c r="A976" s="10" t="inlineStr">
        <is>
          <t>PJ-2022-F</t>
        </is>
      </c>
      <c r="B976" s="10" t="inlineStr">
        <is>
          <t>位置合わせ(MS学習値)／単調補間</t>
        </is>
      </c>
      <c r="C976" s="10" t="inlineStr">
        <is>
          <t>2022-06</t>
        </is>
      </c>
      <c r="D976" s="10" t="n">
        <v>3</v>
      </c>
      <c r="E976" s="12" t="n">
        <v>4887.2</v>
      </c>
      <c r="F976" s="12" t="n">
        <v>5042.1</v>
      </c>
      <c r="G976" s="12" t="n">
        <v>-154.9</v>
      </c>
      <c r="H976" s="13" t="n">
        <v>0.0892</v>
      </c>
      <c r="I976" s="13" t="n">
        <v>0.07729999999999999</v>
      </c>
    </row>
    <row r="977">
      <c r="A977" s="10" t="inlineStr">
        <is>
          <t>PJ-2022-F</t>
        </is>
      </c>
      <c r="B977" s="10" t="inlineStr">
        <is>
          <t>位置合わせ(MS学習値)／単調補間</t>
        </is>
      </c>
      <c r="C977" s="10" t="inlineStr">
        <is>
          <t>2022-07</t>
        </is>
      </c>
      <c r="D977" s="10" t="n">
        <v>4</v>
      </c>
      <c r="E977" s="12" t="n">
        <v>5397.6</v>
      </c>
      <c r="F977" s="12" t="n">
        <v>6282.6</v>
      </c>
      <c r="G977" s="12" t="n">
        <v>-885</v>
      </c>
      <c r="H977" s="13" t="n">
        <v>0.1275</v>
      </c>
      <c r="I977" s="13" t="n">
        <v>0.1218</v>
      </c>
    </row>
    <row r="978">
      <c r="A978" s="10" t="inlineStr">
        <is>
          <t>PJ-2022-F</t>
        </is>
      </c>
      <c r="B978" s="10" t="inlineStr">
        <is>
          <t>位置合わせ(MS学習値)／単調補間</t>
        </is>
      </c>
      <c r="C978" s="10" t="inlineStr">
        <is>
          <t>2022-08</t>
        </is>
      </c>
      <c r="D978" s="10" t="n">
        <v>5</v>
      </c>
      <c r="E978" s="12" t="n">
        <v>6102.2</v>
      </c>
      <c r="F978" s="12" t="n">
        <v>7785.3</v>
      </c>
      <c r="G978" s="12" t="n">
        <v>-1683.1</v>
      </c>
      <c r="H978" s="13" t="n">
        <v>0.1708</v>
      </c>
      <c r="I978" s="13" t="n">
        <v>0.177</v>
      </c>
    </row>
    <row r="979">
      <c r="A979" s="10" t="inlineStr">
        <is>
          <t>PJ-2022-F</t>
        </is>
      </c>
      <c r="B979" s="10" t="inlineStr">
        <is>
          <t>位置合わせ(MS学習値)／単調補間</t>
        </is>
      </c>
      <c r="C979" s="10" t="inlineStr">
        <is>
          <t>2022-09</t>
        </is>
      </c>
      <c r="D979" s="10" t="n">
        <v>6</v>
      </c>
      <c r="E979" s="12" t="n">
        <v>6940.1</v>
      </c>
      <c r="F979" s="12" t="n">
        <v>8593</v>
      </c>
      <c r="G979" s="12" t="n">
        <v>-1652.9</v>
      </c>
      <c r="H979" s="13" t="n">
        <v>0.2199</v>
      </c>
      <c r="I979" s="13" t="n">
        <v>0.2379</v>
      </c>
    </row>
    <row r="980">
      <c r="A980" s="10" t="inlineStr">
        <is>
          <t>PJ-2022-F</t>
        </is>
      </c>
      <c r="B980" s="10" t="inlineStr">
        <is>
          <t>位置合わせ(MS学習値)／単調補間</t>
        </is>
      </c>
      <c r="C980" s="10" t="inlineStr">
        <is>
          <t>2022-10</t>
        </is>
      </c>
      <c r="D980" s="10" t="n">
        <v>7</v>
      </c>
      <c r="E980" s="12" t="n">
        <v>8795.200000000001</v>
      </c>
      <c r="F980" s="12" t="n">
        <v>9513.5</v>
      </c>
      <c r="G980" s="12" t="n">
        <v>-718.3</v>
      </c>
      <c r="H980" s="13" t="n">
        <v>0.2823</v>
      </c>
      <c r="I980" s="13" t="n">
        <v>0.3053</v>
      </c>
    </row>
    <row r="981">
      <c r="A981" s="10" t="inlineStr">
        <is>
          <t>PJ-2022-F</t>
        </is>
      </c>
      <c r="B981" s="10" t="inlineStr">
        <is>
          <t>位置合わせ(MS学習値)／単調補間</t>
        </is>
      </c>
      <c r="C981" s="10" t="inlineStr">
        <is>
          <t>2022-11</t>
        </is>
      </c>
      <c r="D981" s="10" t="n">
        <v>8</v>
      </c>
      <c r="E981" s="12" t="n">
        <v>9368.200000000001</v>
      </c>
      <c r="F981" s="12" t="n">
        <v>11622</v>
      </c>
      <c r="G981" s="12" t="n">
        <v>-2253.8</v>
      </c>
      <c r="H981" s="13" t="n">
        <v>0.3487</v>
      </c>
      <c r="I981" s="13" t="n">
        <v>0.3877</v>
      </c>
    </row>
    <row r="982">
      <c r="A982" s="10" t="inlineStr">
        <is>
          <t>PJ-2022-F</t>
        </is>
      </c>
      <c r="B982" s="10" t="inlineStr">
        <is>
          <t>位置合わせ(MS学習値)／単調補間</t>
        </is>
      </c>
      <c r="C982" s="10" t="inlineStr">
        <is>
          <t>2022-12</t>
        </is>
      </c>
      <c r="D982" s="10" t="n">
        <v>9</v>
      </c>
      <c r="E982" s="12" t="n">
        <v>11021.7</v>
      </c>
      <c r="F982" s="12" t="n">
        <v>11222.9</v>
      </c>
      <c r="G982" s="12" t="n">
        <v>-201.2</v>
      </c>
      <c r="H982" s="13" t="n">
        <v>0.4268</v>
      </c>
      <c r="I982" s="13" t="n">
        <v>0.4673</v>
      </c>
    </row>
    <row r="983">
      <c r="A983" s="10" t="inlineStr">
        <is>
          <t>PJ-2022-F</t>
        </is>
      </c>
      <c r="B983" s="10" t="inlineStr">
        <is>
          <t>位置合わせ(MS学習値)／単調補間</t>
        </is>
      </c>
      <c r="C983" s="10" t="inlineStr">
        <is>
          <t>2023-01</t>
        </is>
      </c>
      <c r="D983" s="10" t="n">
        <v>10</v>
      </c>
      <c r="E983" s="12" t="n">
        <v>11906.5</v>
      </c>
      <c r="F983" s="12" t="n">
        <v>9600.700000000001</v>
      </c>
      <c r="G983" s="12" t="n">
        <v>2305.8</v>
      </c>
      <c r="H983" s="13" t="n">
        <v>0.5112</v>
      </c>
      <c r="I983" s="13" t="n">
        <v>0.5353</v>
      </c>
    </row>
    <row r="984">
      <c r="A984" s="10" t="inlineStr">
        <is>
          <t>PJ-2022-F</t>
        </is>
      </c>
      <c r="B984" s="10" t="inlineStr">
        <is>
          <t>位置合わせ(MS学習値)／単調補間</t>
        </is>
      </c>
      <c r="C984" s="10" t="inlineStr">
        <is>
          <t>2023-02</t>
        </is>
      </c>
      <c r="D984" s="10" t="n">
        <v>11</v>
      </c>
      <c r="E984" s="12" t="n">
        <v>10735.9</v>
      </c>
      <c r="F984" s="12" t="n">
        <v>7097.2</v>
      </c>
      <c r="G984" s="12" t="n">
        <v>3638.7</v>
      </c>
      <c r="H984" s="13" t="n">
        <v>0.5873</v>
      </c>
      <c r="I984" s="13" t="n">
        <v>0.5856</v>
      </c>
    </row>
    <row r="985">
      <c r="A985" s="10" t="inlineStr">
        <is>
          <t>PJ-2022-F</t>
        </is>
      </c>
      <c r="B985" s="10" t="inlineStr">
        <is>
          <t>位置合わせ(MS学習値)／単調補間</t>
        </is>
      </c>
      <c r="C985" s="10" t="inlineStr">
        <is>
          <t>2023-03</t>
        </is>
      </c>
      <c r="D985" s="10" t="n">
        <v>12</v>
      </c>
      <c r="E985" s="12" t="n">
        <v>12191.6</v>
      </c>
      <c r="F985" s="12" t="n">
        <v>8011</v>
      </c>
      <c r="G985" s="12" t="n">
        <v>4180.6</v>
      </c>
      <c r="H985" s="13" t="n">
        <v>0.6737</v>
      </c>
      <c r="I985" s="13" t="n">
        <v>0.6424</v>
      </c>
    </row>
    <row r="986">
      <c r="A986" s="10" t="inlineStr">
        <is>
          <t>PJ-2022-F</t>
        </is>
      </c>
      <c r="B986" s="10" t="inlineStr">
        <is>
          <t>位置合わせ(MS学習値)／単調補間</t>
        </is>
      </c>
      <c r="C986" s="10" t="inlineStr">
        <is>
          <t>2023-04</t>
        </is>
      </c>
      <c r="D986" s="10" t="n">
        <v>13</v>
      </c>
      <c r="E986" s="12" t="n">
        <v>11908.6</v>
      </c>
      <c r="F986" s="12" t="n">
        <v>7572.9</v>
      </c>
      <c r="G986" s="12" t="n">
        <v>4335.7</v>
      </c>
      <c r="H986" s="13" t="n">
        <v>0.7581</v>
      </c>
      <c r="I986" s="13" t="n">
        <v>0.6961000000000001</v>
      </c>
    </row>
    <row r="987">
      <c r="A987" s="10" t="inlineStr">
        <is>
          <t>PJ-2022-F</t>
        </is>
      </c>
      <c r="B987" s="10" t="inlineStr">
        <is>
          <t>位置合わせ(MS学習値)／単調補間</t>
        </is>
      </c>
      <c r="C987" s="10" t="inlineStr">
        <is>
          <t>2023-05</t>
        </is>
      </c>
      <c r="D987" s="10" t="n">
        <v>14</v>
      </c>
      <c r="E987" s="12" t="n">
        <v>10186.4</v>
      </c>
      <c r="F987" s="12" t="n">
        <v>10002.8</v>
      </c>
      <c r="G987" s="12" t="n">
        <v>183.6</v>
      </c>
      <c r="H987" s="13" t="n">
        <v>0.8303</v>
      </c>
      <c r="I987" s="13" t="n">
        <v>0.767</v>
      </c>
    </row>
    <row r="988">
      <c r="A988" s="10" t="inlineStr">
        <is>
          <t>PJ-2022-F</t>
        </is>
      </c>
      <c r="B988" s="10" t="inlineStr">
        <is>
          <t>位置合わせ(MS学習値)／単調補間</t>
        </is>
      </c>
      <c r="C988" s="10" t="inlineStr">
        <is>
          <t>2023-06</t>
        </is>
      </c>
      <c r="D988" s="10" t="n">
        <v>15</v>
      </c>
      <c r="E988" s="12" t="n">
        <v>8479.799999999999</v>
      </c>
      <c r="F988" s="12" t="n">
        <v>14960.5</v>
      </c>
      <c r="G988" s="12" t="n">
        <v>-6480.7</v>
      </c>
      <c r="H988" s="13" t="n">
        <v>0.8904</v>
      </c>
      <c r="I988" s="13" t="n">
        <v>0.873</v>
      </c>
    </row>
    <row r="989">
      <c r="A989" s="10" t="inlineStr">
        <is>
          <t>PJ-2022-F</t>
        </is>
      </c>
      <c r="B989" s="10" t="inlineStr">
        <is>
          <t>位置合わせ(MS学習値)／単調補間</t>
        </is>
      </c>
      <c r="C989" s="10" t="inlineStr">
        <is>
          <t>2023-07</t>
        </is>
      </c>
      <c r="D989" s="10" t="n">
        <v>16</v>
      </c>
      <c r="E989" s="12" t="n">
        <v>6813.5</v>
      </c>
      <c r="F989" s="12" t="n">
        <v>11519.7</v>
      </c>
      <c r="G989" s="12" t="n">
        <v>-4706.2</v>
      </c>
      <c r="H989" s="13" t="n">
        <v>0.9387</v>
      </c>
      <c r="I989" s="13" t="n">
        <v>0.9547</v>
      </c>
    </row>
    <row r="990">
      <c r="A990" s="10" t="inlineStr">
        <is>
          <t>PJ-2022-F</t>
        </is>
      </c>
      <c r="B990" s="10" t="inlineStr">
        <is>
          <t>位置合わせ(MS学習値)／単調補間</t>
        </is>
      </c>
      <c r="C990" s="10" t="inlineStr">
        <is>
          <t>2023-08</t>
        </is>
      </c>
      <c r="D990" s="10" t="n">
        <v>17</v>
      </c>
      <c r="E990" s="12" t="n">
        <v>5638.5</v>
      </c>
      <c r="F990" s="12" t="n">
        <v>5165</v>
      </c>
      <c r="G990" s="12" t="n">
        <v>473.5</v>
      </c>
      <c r="H990" s="13" t="n">
        <v>0.9787</v>
      </c>
      <c r="I990" s="13" t="n">
        <v>0.9913</v>
      </c>
    </row>
    <row r="991">
      <c r="A991" s="10" t="inlineStr">
        <is>
          <t>PJ-2022-F</t>
        </is>
      </c>
      <c r="B991" s="10" t="inlineStr">
        <is>
          <t>位置合わせ(MS学習値)／単調補間</t>
        </is>
      </c>
      <c r="C991" s="10" t="inlineStr">
        <is>
          <t>2023-09</t>
        </is>
      </c>
      <c r="D991" s="10" t="n">
        <v>18</v>
      </c>
      <c r="E991" s="12" t="n">
        <v>3005.8</v>
      </c>
      <c r="F991" s="12" t="n">
        <v>1228.6</v>
      </c>
      <c r="G991" s="12" t="n">
        <v>1777.2</v>
      </c>
      <c r="H991" s="13" t="n">
        <v>1</v>
      </c>
      <c r="I991" s="13" t="n">
        <v>1</v>
      </c>
    </row>
    <row r="992">
      <c r="A992" s="10" t="inlineStr">
        <is>
          <t>PJ-2022-F</t>
        </is>
      </c>
      <c r="B992" s="10" t="inlineStr">
        <is>
          <t>位置合わせ(MS指定)／単調補間</t>
        </is>
      </c>
      <c r="C992" s="10" t="inlineStr">
        <is>
          <t>2022-04</t>
        </is>
      </c>
      <c r="D992" s="10" t="n">
        <v>1</v>
      </c>
      <c r="E992" s="12" t="n">
        <v>3624.6</v>
      </c>
      <c r="F992" s="12" t="n">
        <v>1989.3</v>
      </c>
      <c r="G992" s="12" t="n">
        <v>1635.3</v>
      </c>
      <c r="H992" s="13" t="n">
        <v>0.0257</v>
      </c>
      <c r="I992" s="13" t="n">
        <v>0.0141</v>
      </c>
    </row>
    <row r="993">
      <c r="A993" s="10" t="inlineStr">
        <is>
          <t>PJ-2022-F</t>
        </is>
      </c>
      <c r="B993" s="10" t="inlineStr">
        <is>
          <t>位置合わせ(MS指定)／単調補間</t>
        </is>
      </c>
      <c r="C993" s="10" t="inlineStr">
        <is>
          <t>2022-05</t>
        </is>
      </c>
      <c r="D993" s="10" t="n">
        <v>2</v>
      </c>
      <c r="E993" s="12" t="n">
        <v>4846.9</v>
      </c>
      <c r="F993" s="12" t="n">
        <v>3873.1</v>
      </c>
      <c r="G993" s="12" t="n">
        <v>973.8</v>
      </c>
      <c r="H993" s="13" t="n">
        <v>0.06</v>
      </c>
      <c r="I993" s="13" t="n">
        <v>0.0416</v>
      </c>
    </row>
    <row r="994">
      <c r="A994" s="10" t="inlineStr">
        <is>
          <t>PJ-2022-F</t>
        </is>
      </c>
      <c r="B994" s="10" t="inlineStr">
        <is>
          <t>位置合わせ(MS指定)／単調補間</t>
        </is>
      </c>
      <c r="C994" s="10" t="inlineStr">
        <is>
          <t>2022-06</t>
        </is>
      </c>
      <c r="D994" s="10" t="n">
        <v>3</v>
      </c>
      <c r="E994" s="12" t="n">
        <v>5400.2</v>
      </c>
      <c r="F994" s="12" t="n">
        <v>5042.1</v>
      </c>
      <c r="G994" s="12" t="n">
        <v>358.1</v>
      </c>
      <c r="H994" s="13" t="n">
        <v>0.0983</v>
      </c>
      <c r="I994" s="13" t="n">
        <v>0.07729999999999999</v>
      </c>
    </row>
    <row r="995">
      <c r="A995" s="10" t="inlineStr">
        <is>
          <t>PJ-2022-F</t>
        </is>
      </c>
      <c r="B995" s="10" t="inlineStr">
        <is>
          <t>位置合わせ(MS指定)／単調補間</t>
        </is>
      </c>
      <c r="C995" s="10" t="inlineStr">
        <is>
          <t>2022-07</t>
        </is>
      </c>
      <c r="D995" s="10" t="n">
        <v>4</v>
      </c>
      <c r="E995" s="12" t="n">
        <v>6031.6</v>
      </c>
      <c r="F995" s="12" t="n">
        <v>6282.6</v>
      </c>
      <c r="G995" s="12" t="n">
        <v>-251</v>
      </c>
      <c r="H995" s="13" t="n">
        <v>0.1411</v>
      </c>
      <c r="I995" s="13" t="n">
        <v>0.1218</v>
      </c>
    </row>
    <row r="996">
      <c r="A996" s="10" t="inlineStr">
        <is>
          <t>PJ-2022-F</t>
        </is>
      </c>
      <c r="B996" s="10" t="inlineStr">
        <is>
          <t>位置合わせ(MS指定)／単調補間</t>
        </is>
      </c>
      <c r="C996" s="10" t="inlineStr">
        <is>
          <t>2022-08</t>
        </is>
      </c>
      <c r="D996" s="10" t="n">
        <v>5</v>
      </c>
      <c r="E996" s="12" t="n">
        <v>6959.7</v>
      </c>
      <c r="F996" s="12" t="n">
        <v>7785.3</v>
      </c>
      <c r="G996" s="12" t="n">
        <v>-825.6</v>
      </c>
      <c r="H996" s="13" t="n">
        <v>0.1904</v>
      </c>
      <c r="I996" s="13" t="n">
        <v>0.177</v>
      </c>
    </row>
    <row r="997">
      <c r="A997" s="10" t="inlineStr">
        <is>
          <t>PJ-2022-F</t>
        </is>
      </c>
      <c r="B997" s="10" t="inlineStr">
        <is>
          <t>位置合わせ(MS指定)／単調補間</t>
        </is>
      </c>
      <c r="C997" s="10" t="inlineStr">
        <is>
          <t>2022-09</t>
        </is>
      </c>
      <c r="D997" s="10" t="n">
        <v>6</v>
      </c>
      <c r="E997" s="12" t="n">
        <v>8405.799999999999</v>
      </c>
      <c r="F997" s="12" t="n">
        <v>8593</v>
      </c>
      <c r="G997" s="12" t="n">
        <v>-187.2</v>
      </c>
      <c r="H997" s="13" t="n">
        <v>0.25</v>
      </c>
      <c r="I997" s="13" t="n">
        <v>0.2379</v>
      </c>
    </row>
    <row r="998">
      <c r="A998" s="10" t="inlineStr">
        <is>
          <t>PJ-2022-F</t>
        </is>
      </c>
      <c r="B998" s="10" t="inlineStr">
        <is>
          <t>位置合わせ(MS指定)／単調補間</t>
        </is>
      </c>
      <c r="C998" s="10" t="inlineStr">
        <is>
          <t>2022-10</t>
        </is>
      </c>
      <c r="D998" s="10" t="n">
        <v>7</v>
      </c>
      <c r="E998" s="12" t="n">
        <v>10069.1</v>
      </c>
      <c r="F998" s="12" t="n">
        <v>9513.5</v>
      </c>
      <c r="G998" s="12" t="n">
        <v>555.6</v>
      </c>
      <c r="H998" s="13" t="n">
        <v>0.3214</v>
      </c>
      <c r="I998" s="13" t="n">
        <v>0.3053</v>
      </c>
    </row>
    <row r="999">
      <c r="A999" s="10" t="inlineStr">
        <is>
          <t>PJ-2022-F</t>
        </is>
      </c>
      <c r="B999" s="10" t="inlineStr">
        <is>
          <t>位置合わせ(MS指定)／単調補間</t>
        </is>
      </c>
      <c r="C999" s="10" t="inlineStr">
        <is>
          <t>2022-11</t>
        </is>
      </c>
      <c r="D999" s="10" t="n">
        <v>8</v>
      </c>
      <c r="E999" s="12" t="n">
        <v>10876.7</v>
      </c>
      <c r="F999" s="12" t="n">
        <v>11622</v>
      </c>
      <c r="G999" s="12" t="n">
        <v>-745.3</v>
      </c>
      <c r="H999" s="13" t="n">
        <v>0.3985</v>
      </c>
      <c r="I999" s="13" t="n">
        <v>0.3877</v>
      </c>
    </row>
    <row r="1000">
      <c r="A1000" s="10" t="inlineStr">
        <is>
          <t>PJ-2022-F</t>
        </is>
      </c>
      <c r="B1000" s="10" t="inlineStr">
        <is>
          <t>位置合わせ(MS指定)／単調補間</t>
        </is>
      </c>
      <c r="C1000" s="10" t="inlineStr">
        <is>
          <t>2022-12</t>
        </is>
      </c>
      <c r="D1000" s="10" t="n">
        <v>9</v>
      </c>
      <c r="E1000" s="12" t="n">
        <v>9241.299999999999</v>
      </c>
      <c r="F1000" s="12" t="n">
        <v>11222.9</v>
      </c>
      <c r="G1000" s="12" t="n">
        <v>-1981.6</v>
      </c>
      <c r="H1000" s="13" t="n">
        <v>0.464</v>
      </c>
      <c r="I1000" s="13" t="n">
        <v>0.4673</v>
      </c>
    </row>
    <row r="1001">
      <c r="A1001" s="10" t="inlineStr">
        <is>
          <t>PJ-2022-F</t>
        </is>
      </c>
      <c r="B1001" s="10" t="inlineStr">
        <is>
          <t>位置合わせ(MS指定)／単調補間</t>
        </is>
      </c>
      <c r="C1001" s="10" t="inlineStr">
        <is>
          <t>2023-01</t>
        </is>
      </c>
      <c r="D1001" s="10" t="n">
        <v>10</v>
      </c>
      <c r="E1001" s="12" t="n">
        <v>8252.299999999999</v>
      </c>
      <c r="F1001" s="12" t="n">
        <v>9600.700000000001</v>
      </c>
      <c r="G1001" s="12" t="n">
        <v>-1348.4</v>
      </c>
      <c r="H1001" s="13" t="n">
        <v>0.5224</v>
      </c>
      <c r="I1001" s="13" t="n">
        <v>0.5353</v>
      </c>
    </row>
    <row r="1002">
      <c r="A1002" s="10" t="inlineStr">
        <is>
          <t>PJ-2022-F</t>
        </is>
      </c>
      <c r="B1002" s="10" t="inlineStr">
        <is>
          <t>位置合わせ(MS指定)／単調補間</t>
        </is>
      </c>
      <c r="C1002" s="10" t="inlineStr">
        <is>
          <t>2023-02</t>
        </is>
      </c>
      <c r="D1002" s="10" t="n">
        <v>11</v>
      </c>
      <c r="E1002" s="12" t="n">
        <v>7393.4</v>
      </c>
      <c r="F1002" s="12" t="n">
        <v>7097.2</v>
      </c>
      <c r="G1002" s="12" t="n">
        <v>296.2</v>
      </c>
      <c r="H1002" s="13" t="n">
        <v>0.5749</v>
      </c>
      <c r="I1002" s="13" t="n">
        <v>0.5856</v>
      </c>
    </row>
    <row r="1003">
      <c r="A1003" s="10" t="inlineStr">
        <is>
          <t>PJ-2022-F</t>
        </is>
      </c>
      <c r="B1003" s="10" t="inlineStr">
        <is>
          <t>位置合わせ(MS指定)／単調補間</t>
        </is>
      </c>
      <c r="C1003" s="10" t="inlineStr">
        <is>
          <t>2023-03</t>
        </is>
      </c>
      <c r="D1003" s="10" t="n">
        <v>12</v>
      </c>
      <c r="E1003" s="12" t="n">
        <v>8320.700000000001</v>
      </c>
      <c r="F1003" s="12" t="n">
        <v>8011</v>
      </c>
      <c r="G1003" s="12" t="n">
        <v>309.7</v>
      </c>
      <c r="H1003" s="13" t="n">
        <v>0.6338</v>
      </c>
      <c r="I1003" s="13" t="n">
        <v>0.6424</v>
      </c>
    </row>
    <row r="1004">
      <c r="A1004" s="10" t="inlineStr">
        <is>
          <t>PJ-2022-F</t>
        </is>
      </c>
      <c r="B1004" s="10" t="inlineStr">
        <is>
          <t>位置合わせ(MS指定)／単調補間</t>
        </is>
      </c>
      <c r="C1004" s="10" t="inlineStr">
        <is>
          <t>2023-04</t>
        </is>
      </c>
      <c r="D1004" s="10" t="n">
        <v>13</v>
      </c>
      <c r="E1004" s="12" t="n">
        <v>8196.299999999999</v>
      </c>
      <c r="F1004" s="12" t="n">
        <v>7572.9</v>
      </c>
      <c r="G1004" s="12" t="n">
        <v>623.4</v>
      </c>
      <c r="H1004" s="13" t="n">
        <v>0.6919</v>
      </c>
      <c r="I1004" s="13" t="n">
        <v>0.6961000000000001</v>
      </c>
    </row>
    <row r="1005">
      <c r="A1005" s="10" t="inlineStr">
        <is>
          <t>PJ-2022-F</t>
        </is>
      </c>
      <c r="B1005" s="10" t="inlineStr">
        <is>
          <t>位置合わせ(MS指定)／単調補間</t>
        </is>
      </c>
      <c r="C1005" s="10" t="inlineStr">
        <is>
          <t>2023-05</t>
        </is>
      </c>
      <c r="D1005" s="10" t="n">
        <v>14</v>
      </c>
      <c r="E1005" s="12" t="n">
        <v>8492.799999999999</v>
      </c>
      <c r="F1005" s="12" t="n">
        <v>10002.8</v>
      </c>
      <c r="G1005" s="12" t="n">
        <v>-1510</v>
      </c>
      <c r="H1005" s="13" t="n">
        <v>0.7521</v>
      </c>
      <c r="I1005" s="13" t="n">
        <v>0.767</v>
      </c>
    </row>
    <row r="1006">
      <c r="A1006" s="10" t="inlineStr">
        <is>
          <t>PJ-2022-F</t>
        </is>
      </c>
      <c r="B1006" s="10" t="inlineStr">
        <is>
          <t>位置合わせ(MS指定)／単調補間</t>
        </is>
      </c>
      <c r="C1006" s="10" t="inlineStr">
        <is>
          <t>2023-06</t>
        </is>
      </c>
      <c r="D1006" s="10" t="n">
        <v>15</v>
      </c>
      <c r="E1006" s="12" t="n">
        <v>13579.9</v>
      </c>
      <c r="F1006" s="12" t="n">
        <v>14960.5</v>
      </c>
      <c r="G1006" s="12" t="n">
        <v>-1380.6</v>
      </c>
      <c r="H1006" s="13" t="n">
        <v>0.8484</v>
      </c>
      <c r="I1006" s="13" t="n">
        <v>0.873</v>
      </c>
    </row>
    <row r="1007">
      <c r="A1007" s="10" t="inlineStr">
        <is>
          <t>PJ-2022-F</t>
        </is>
      </c>
      <c r="B1007" s="10" t="inlineStr">
        <is>
          <t>位置合わせ(MS指定)／単調補間</t>
        </is>
      </c>
      <c r="C1007" s="10" t="inlineStr">
        <is>
          <t>2023-07</t>
        </is>
      </c>
      <c r="D1007" s="10" t="n">
        <v>16</v>
      </c>
      <c r="E1007" s="12" t="n">
        <v>13383.1</v>
      </c>
      <c r="F1007" s="12" t="n">
        <v>11519.7</v>
      </c>
      <c r="G1007" s="12" t="n">
        <v>1863.4</v>
      </c>
      <c r="H1007" s="13" t="n">
        <v>0.9432</v>
      </c>
      <c r="I1007" s="13" t="n">
        <v>0.9547</v>
      </c>
    </row>
    <row r="1008">
      <c r="A1008" s="10" t="inlineStr">
        <is>
          <t>PJ-2022-F</t>
        </is>
      </c>
      <c r="B1008" s="10" t="inlineStr">
        <is>
          <t>位置合わせ(MS指定)／単調補間</t>
        </is>
      </c>
      <c r="C1008" s="10" t="inlineStr">
        <is>
          <t>2023-08</t>
        </is>
      </c>
      <c r="D1008" s="10" t="n">
        <v>17</v>
      </c>
      <c r="E1008" s="12" t="n">
        <v>5787.3</v>
      </c>
      <c r="F1008" s="12" t="n">
        <v>5165</v>
      </c>
      <c r="G1008" s="12" t="n">
        <v>622.3</v>
      </c>
      <c r="H1008" s="13" t="n">
        <v>0.9843</v>
      </c>
      <c r="I1008" s="13" t="n">
        <v>0.9913</v>
      </c>
    </row>
    <row r="1009">
      <c r="A1009" s="10" t="inlineStr">
        <is>
          <t>PJ-2022-F</t>
        </is>
      </c>
      <c r="B1009" s="10" t="inlineStr">
        <is>
          <t>位置合わせ(MS指定)／単調補間</t>
        </is>
      </c>
      <c r="C1009" s="10" t="inlineStr">
        <is>
          <t>2023-09</t>
        </is>
      </c>
      <c r="D1009" s="10" t="n">
        <v>18</v>
      </c>
      <c r="E1009" s="12" t="n">
        <v>2220.6</v>
      </c>
      <c r="F1009" s="12" t="n">
        <v>1228.6</v>
      </c>
      <c r="G1009" s="12" t="n">
        <v>992</v>
      </c>
      <c r="H1009" s="13" t="n">
        <v>1</v>
      </c>
      <c r="I1009" s="13" t="n">
        <v>1</v>
      </c>
    </row>
    <row r="1010">
      <c r="A1010" s="10" t="inlineStr">
        <is>
          <t>PJ-2022-G</t>
        </is>
      </c>
      <c r="B1010" s="10" t="inlineStr">
        <is>
          <t>素朴版／月内均等</t>
        </is>
      </c>
      <c r="C1010" s="10" t="inlineStr">
        <is>
          <t>2022-02</t>
        </is>
      </c>
      <c r="D1010" s="10" t="n">
        <v>1</v>
      </c>
      <c r="E1010" s="12" t="n">
        <v>3014.1</v>
      </c>
      <c r="F1010" s="12" t="n">
        <v>9203.5</v>
      </c>
      <c r="G1010" s="12" t="n">
        <v>-6189.4</v>
      </c>
      <c r="H1010" s="13" t="n">
        <v>0.0129</v>
      </c>
      <c r="I1010" s="13" t="n">
        <v>0.0394</v>
      </c>
    </row>
    <row r="1011">
      <c r="A1011" s="10" t="inlineStr">
        <is>
          <t>PJ-2022-G</t>
        </is>
      </c>
      <c r="B1011" s="10" t="inlineStr">
        <is>
          <t>素朴版／月内均等</t>
        </is>
      </c>
      <c r="C1011" s="10" t="inlineStr">
        <is>
          <t>2022-03</t>
        </is>
      </c>
      <c r="D1011" s="10" t="n">
        <v>2</v>
      </c>
      <c r="E1011" s="12" t="n">
        <v>4401.8</v>
      </c>
      <c r="F1011" s="12" t="n">
        <v>11045.5</v>
      </c>
      <c r="G1011" s="12" t="n">
        <v>-6643.7</v>
      </c>
      <c r="H1011" s="13" t="n">
        <v>0.0317</v>
      </c>
      <c r="I1011" s="13" t="n">
        <v>0.0866</v>
      </c>
    </row>
    <row r="1012">
      <c r="A1012" s="10" t="inlineStr">
        <is>
          <t>PJ-2022-G</t>
        </is>
      </c>
      <c r="B1012" s="10" t="inlineStr">
        <is>
          <t>素朴版／月内均等</t>
        </is>
      </c>
      <c r="C1012" s="10" t="inlineStr">
        <is>
          <t>2022-04</t>
        </is>
      </c>
      <c r="D1012" s="10" t="n">
        <v>3</v>
      </c>
      <c r="E1012" s="12" t="n">
        <v>4997</v>
      </c>
      <c r="F1012" s="12" t="n">
        <v>10444.9</v>
      </c>
      <c r="G1012" s="12" t="n">
        <v>-5447.9</v>
      </c>
      <c r="H1012" s="13" t="n">
        <v>0.0531</v>
      </c>
      <c r="I1012" s="13" t="n">
        <v>0.1313</v>
      </c>
    </row>
    <row r="1013">
      <c r="A1013" s="10" t="inlineStr">
        <is>
          <t>PJ-2022-G</t>
        </is>
      </c>
      <c r="B1013" s="10" t="inlineStr">
        <is>
          <t>素朴版／月内均等</t>
        </is>
      </c>
      <c r="C1013" s="10" t="inlineStr">
        <is>
          <t>2022-05</t>
        </is>
      </c>
      <c r="D1013" s="10" t="n">
        <v>4</v>
      </c>
      <c r="E1013" s="12" t="n">
        <v>5877.2</v>
      </c>
      <c r="F1013" s="12" t="n">
        <v>11771</v>
      </c>
      <c r="G1013" s="12" t="n">
        <v>-5893.8</v>
      </c>
      <c r="H1013" s="13" t="n">
        <v>0.07820000000000001</v>
      </c>
      <c r="I1013" s="13" t="n">
        <v>0.1817</v>
      </c>
    </row>
    <row r="1014">
      <c r="A1014" s="10" t="inlineStr">
        <is>
          <t>PJ-2022-G</t>
        </is>
      </c>
      <c r="B1014" s="10" t="inlineStr">
        <is>
          <t>素朴版／月内均等</t>
        </is>
      </c>
      <c r="C1014" s="10" t="inlineStr">
        <is>
          <t>2022-06</t>
        </is>
      </c>
      <c r="D1014" s="10" t="n">
        <v>5</v>
      </c>
      <c r="E1014" s="12" t="n">
        <v>6054.7</v>
      </c>
      <c r="F1014" s="12" t="n">
        <v>10986.1</v>
      </c>
      <c r="G1014" s="12" t="n">
        <v>-4931.4</v>
      </c>
      <c r="H1014" s="13" t="n">
        <v>0.1041</v>
      </c>
      <c r="I1014" s="13" t="n">
        <v>0.2287</v>
      </c>
    </row>
    <row r="1015">
      <c r="A1015" s="10" t="inlineStr">
        <is>
          <t>PJ-2022-G</t>
        </is>
      </c>
      <c r="B1015" s="10" t="inlineStr">
        <is>
          <t>素朴版／月内均等</t>
        </is>
      </c>
      <c r="C1015" s="10" t="inlineStr">
        <is>
          <t>2022-07</t>
        </is>
      </c>
      <c r="D1015" s="10" t="n">
        <v>6</v>
      </c>
      <c r="E1015" s="12" t="n">
        <v>6836.9</v>
      </c>
      <c r="F1015" s="12" t="n">
        <v>12683.3</v>
      </c>
      <c r="G1015" s="12" t="n">
        <v>-5846.4</v>
      </c>
      <c r="H1015" s="13" t="n">
        <v>0.1334</v>
      </c>
      <c r="I1015" s="13" t="n">
        <v>0.2829</v>
      </c>
    </row>
    <row r="1016">
      <c r="A1016" s="10" t="inlineStr">
        <is>
          <t>PJ-2022-G</t>
        </is>
      </c>
      <c r="B1016" s="10" t="inlineStr">
        <is>
          <t>素朴版／月内均等</t>
        </is>
      </c>
      <c r="C1016" s="10" t="inlineStr">
        <is>
          <t>2022-08</t>
        </is>
      </c>
      <c r="D1016" s="10" t="n">
        <v>7</v>
      </c>
      <c r="E1016" s="12" t="n">
        <v>8110.7</v>
      </c>
      <c r="F1016" s="12" t="n">
        <v>14085.9</v>
      </c>
      <c r="G1016" s="12" t="n">
        <v>-5975.2</v>
      </c>
      <c r="H1016" s="13" t="n">
        <v>0.1681</v>
      </c>
      <c r="I1016" s="13" t="n">
        <v>0.3432</v>
      </c>
    </row>
    <row r="1017">
      <c r="A1017" s="10" t="inlineStr">
        <is>
          <t>PJ-2022-G</t>
        </is>
      </c>
      <c r="B1017" s="10" t="inlineStr">
        <is>
          <t>素朴版／月内均等</t>
        </is>
      </c>
      <c r="C1017" s="10" t="inlineStr">
        <is>
          <t>2022-09</t>
        </is>
      </c>
      <c r="D1017" s="10" t="n">
        <v>8</v>
      </c>
      <c r="E1017" s="12" t="n">
        <v>9285.200000000001</v>
      </c>
      <c r="F1017" s="12" t="n">
        <v>16396.3</v>
      </c>
      <c r="G1017" s="12" t="n">
        <v>-7111.1</v>
      </c>
      <c r="H1017" s="13" t="n">
        <v>0.2078</v>
      </c>
      <c r="I1017" s="13" t="n">
        <v>0.4133</v>
      </c>
    </row>
    <row r="1018">
      <c r="A1018" s="10" t="inlineStr">
        <is>
          <t>PJ-2022-G</t>
        </is>
      </c>
      <c r="B1018" s="10" t="inlineStr">
        <is>
          <t>素朴版／月内均等</t>
        </is>
      </c>
      <c r="C1018" s="10" t="inlineStr">
        <is>
          <t>2022-10</t>
        </is>
      </c>
      <c r="D1018" s="10" t="n">
        <v>9</v>
      </c>
      <c r="E1018" s="12" t="n">
        <v>10869.7</v>
      </c>
      <c r="F1018" s="12" t="n">
        <v>16496.9</v>
      </c>
      <c r="G1018" s="12" t="n">
        <v>-5627.2</v>
      </c>
      <c r="H1018" s="13" t="n">
        <v>0.2543</v>
      </c>
      <c r="I1018" s="13" t="n">
        <v>0.4839</v>
      </c>
    </row>
    <row r="1019">
      <c r="A1019" s="10" t="inlineStr">
        <is>
          <t>PJ-2022-G</t>
        </is>
      </c>
      <c r="B1019" s="10" t="inlineStr">
        <is>
          <t>素朴版／月内均等</t>
        </is>
      </c>
      <c r="C1019" s="10" t="inlineStr">
        <is>
          <t>2022-11</t>
        </is>
      </c>
      <c r="D1019" s="10" t="n">
        <v>10</v>
      </c>
      <c r="E1019" s="12" t="n">
        <v>11984.7</v>
      </c>
      <c r="F1019" s="12" t="n">
        <v>15571.5</v>
      </c>
      <c r="G1019" s="12" t="n">
        <v>-3586.8</v>
      </c>
      <c r="H1019" s="13" t="n">
        <v>0.3056</v>
      </c>
      <c r="I1019" s="13" t="n">
        <v>0.5505</v>
      </c>
    </row>
    <row r="1020">
      <c r="A1020" s="10" t="inlineStr">
        <is>
          <t>PJ-2022-G</t>
        </is>
      </c>
      <c r="B1020" s="10" t="inlineStr">
        <is>
          <t>素朴版／月内均等</t>
        </is>
      </c>
      <c r="C1020" s="10" t="inlineStr">
        <is>
          <t>2022-12</t>
        </is>
      </c>
      <c r="D1020" s="10" t="n">
        <v>11</v>
      </c>
      <c r="E1020" s="12" t="n">
        <v>11963.7</v>
      </c>
      <c r="F1020" s="12" t="n">
        <v>12580.5</v>
      </c>
      <c r="G1020" s="12" t="n">
        <v>-616.8</v>
      </c>
      <c r="H1020" s="13" t="n">
        <v>0.3568</v>
      </c>
      <c r="I1020" s="13" t="n">
        <v>0.6042999999999999</v>
      </c>
    </row>
    <row r="1021">
      <c r="A1021" s="10" t="inlineStr">
        <is>
          <t>PJ-2022-G</t>
        </is>
      </c>
      <c r="B1021" s="10" t="inlineStr">
        <is>
          <t>素朴版／月内均等</t>
        </is>
      </c>
      <c r="C1021" s="10" t="inlineStr">
        <is>
          <t>2023-01</t>
        </is>
      </c>
      <c r="D1021" s="10" t="n">
        <v>12</v>
      </c>
      <c r="E1021" s="12" t="n">
        <v>11734</v>
      </c>
      <c r="F1021" s="12" t="n">
        <v>10581</v>
      </c>
      <c r="G1021" s="12" t="n">
        <v>1153</v>
      </c>
      <c r="H1021" s="13" t="n">
        <v>0.407</v>
      </c>
      <c r="I1021" s="13" t="n">
        <v>0.6496</v>
      </c>
    </row>
    <row r="1022">
      <c r="A1022" s="10" t="inlineStr">
        <is>
          <t>PJ-2022-G</t>
        </is>
      </c>
      <c r="B1022" s="10" t="inlineStr">
        <is>
          <t>素朴版／月内均等</t>
        </is>
      </c>
      <c r="C1022" s="10" t="inlineStr">
        <is>
          <t>2023-02</t>
        </is>
      </c>
      <c r="D1022" s="10" t="n">
        <v>13</v>
      </c>
      <c r="E1022" s="12" t="n">
        <v>12352.9</v>
      </c>
      <c r="F1022" s="12" t="n">
        <v>9159.700000000001</v>
      </c>
      <c r="G1022" s="12" t="n">
        <v>3193.2</v>
      </c>
      <c r="H1022" s="13" t="n">
        <v>0.4598</v>
      </c>
      <c r="I1022" s="13" t="n">
        <v>0.6888</v>
      </c>
    </row>
    <row r="1023">
      <c r="A1023" s="10" t="inlineStr">
        <is>
          <t>PJ-2022-G</t>
        </is>
      </c>
      <c r="B1023" s="10" t="inlineStr">
        <is>
          <t>素朴版／月内均等</t>
        </is>
      </c>
      <c r="C1023" s="10" t="inlineStr">
        <is>
          <t>2023-03</t>
        </is>
      </c>
      <c r="D1023" s="10" t="n">
        <v>14</v>
      </c>
      <c r="E1023" s="12" t="n">
        <v>14149.2</v>
      </c>
      <c r="F1023" s="12" t="n">
        <v>10036.4</v>
      </c>
      <c r="G1023" s="12" t="n">
        <v>4112.8</v>
      </c>
      <c r="H1023" s="13" t="n">
        <v>0.5203</v>
      </c>
      <c r="I1023" s="13" t="n">
        <v>0.7317</v>
      </c>
    </row>
    <row r="1024">
      <c r="A1024" s="10" t="inlineStr">
        <is>
          <t>PJ-2022-G</t>
        </is>
      </c>
      <c r="B1024" s="10" t="inlineStr">
        <is>
          <t>素朴版／月内均等</t>
        </is>
      </c>
      <c r="C1024" s="10" t="inlineStr">
        <is>
          <t>2023-04</t>
        </is>
      </c>
      <c r="D1024" s="10" t="n">
        <v>15</v>
      </c>
      <c r="E1024" s="12" t="n">
        <v>14825.6</v>
      </c>
      <c r="F1024" s="12" t="n">
        <v>11511.6</v>
      </c>
      <c r="G1024" s="12" t="n">
        <v>3314</v>
      </c>
      <c r="H1024" s="13" t="n">
        <v>0.5838</v>
      </c>
      <c r="I1024" s="13" t="n">
        <v>0.7809</v>
      </c>
    </row>
    <row r="1025">
      <c r="A1025" s="10" t="inlineStr">
        <is>
          <t>PJ-2022-G</t>
        </is>
      </c>
      <c r="B1025" s="10" t="inlineStr">
        <is>
          <t>素朴版／月内均等</t>
        </is>
      </c>
      <c r="C1025" s="10" t="inlineStr">
        <is>
          <t>2023-05</t>
        </is>
      </c>
      <c r="D1025" s="10" t="n">
        <v>16</v>
      </c>
      <c r="E1025" s="12" t="n">
        <v>15260.9</v>
      </c>
      <c r="F1025" s="12" t="n">
        <v>12070.3</v>
      </c>
      <c r="G1025" s="12" t="n">
        <v>3190.6</v>
      </c>
      <c r="H1025" s="13" t="n">
        <v>0.649</v>
      </c>
      <c r="I1025" s="13" t="n">
        <v>0.8326</v>
      </c>
    </row>
    <row r="1026">
      <c r="A1026" s="10" t="inlineStr">
        <is>
          <t>PJ-2022-G</t>
        </is>
      </c>
      <c r="B1026" s="10" t="inlineStr">
        <is>
          <t>素朴版／月内均等</t>
        </is>
      </c>
      <c r="C1026" s="10" t="inlineStr">
        <is>
          <t>2023-06</t>
        </is>
      </c>
      <c r="D1026" s="10" t="n">
        <v>17</v>
      </c>
      <c r="E1026" s="12" t="n">
        <v>13539.2</v>
      </c>
      <c r="F1026" s="12" t="n">
        <v>10093.2</v>
      </c>
      <c r="G1026" s="12" t="n">
        <v>3446</v>
      </c>
      <c r="H1026" s="13" t="n">
        <v>0.707</v>
      </c>
      <c r="I1026" s="13" t="n">
        <v>0.8758</v>
      </c>
    </row>
    <row r="1027">
      <c r="A1027" s="10" t="inlineStr">
        <is>
          <t>PJ-2022-G</t>
        </is>
      </c>
      <c r="B1027" s="10" t="inlineStr">
        <is>
          <t>素朴版／月内均等</t>
        </is>
      </c>
      <c r="C1027" s="10" t="inlineStr">
        <is>
          <t>2023-07</t>
        </is>
      </c>
      <c r="D1027" s="10" t="n">
        <v>18</v>
      </c>
      <c r="E1027" s="12" t="n">
        <v>13278.6</v>
      </c>
      <c r="F1027" s="12" t="n">
        <v>8162.9</v>
      </c>
      <c r="G1027" s="12" t="n">
        <v>5115.7</v>
      </c>
      <c r="H1027" s="13" t="n">
        <v>0.7638</v>
      </c>
      <c r="I1027" s="13" t="n">
        <v>0.9107</v>
      </c>
    </row>
    <row r="1028">
      <c r="A1028" s="10" t="inlineStr">
        <is>
          <t>PJ-2022-G</t>
        </is>
      </c>
      <c r="B1028" s="10" t="inlineStr">
        <is>
          <t>素朴版／月内均等</t>
        </is>
      </c>
      <c r="C1028" s="10" t="inlineStr">
        <is>
          <t>2023-08</t>
        </is>
      </c>
      <c r="D1028" s="10" t="n">
        <v>19</v>
      </c>
      <c r="E1028" s="12" t="n">
        <v>13674.1</v>
      </c>
      <c r="F1028" s="12" t="n">
        <v>5336.7</v>
      </c>
      <c r="G1028" s="12" t="n">
        <v>8337.4</v>
      </c>
      <c r="H1028" s="13" t="n">
        <v>0.8223</v>
      </c>
      <c r="I1028" s="13" t="n">
        <v>0.9335</v>
      </c>
    </row>
    <row r="1029">
      <c r="A1029" s="10" t="inlineStr">
        <is>
          <t>PJ-2022-G</t>
        </is>
      </c>
      <c r="B1029" s="10" t="inlineStr">
        <is>
          <t>素朴版／月内均等</t>
        </is>
      </c>
      <c r="C1029" s="10" t="inlineStr">
        <is>
          <t>2023-09</t>
        </is>
      </c>
      <c r="D1029" s="10" t="n">
        <v>20</v>
      </c>
      <c r="E1029" s="12" t="n">
        <v>12770</v>
      </c>
      <c r="F1029" s="12" t="n">
        <v>4269.9</v>
      </c>
      <c r="G1029" s="12" t="n">
        <v>8500.1</v>
      </c>
      <c r="H1029" s="13" t="n">
        <v>0.8769</v>
      </c>
      <c r="I1029" s="13" t="n">
        <v>0.9518</v>
      </c>
    </row>
    <row r="1030">
      <c r="A1030" s="10" t="inlineStr">
        <is>
          <t>PJ-2022-G</t>
        </is>
      </c>
      <c r="B1030" s="10" t="inlineStr">
        <is>
          <t>素朴版／月内均等</t>
        </is>
      </c>
      <c r="C1030" s="10" t="inlineStr">
        <is>
          <t>2023-10</t>
        </is>
      </c>
      <c r="D1030" s="10" t="n">
        <v>21</v>
      </c>
      <c r="E1030" s="12" t="n">
        <v>10612</v>
      </c>
      <c r="F1030" s="12" t="n">
        <v>4101.6</v>
      </c>
      <c r="G1030" s="12" t="n">
        <v>6510.4</v>
      </c>
      <c r="H1030" s="13" t="n">
        <v>0.9223</v>
      </c>
      <c r="I1030" s="13" t="n">
        <v>0.9693000000000001</v>
      </c>
    </row>
    <row r="1031">
      <c r="A1031" s="10" t="inlineStr">
        <is>
          <t>PJ-2022-G</t>
        </is>
      </c>
      <c r="B1031" s="10" t="inlineStr">
        <is>
          <t>素朴版／月内均等</t>
        </is>
      </c>
      <c r="C1031" s="10" t="inlineStr">
        <is>
          <t>2023-11</t>
        </is>
      </c>
      <c r="D1031" s="10" t="n">
        <v>22</v>
      </c>
      <c r="E1031" s="12" t="n">
        <v>7932.2</v>
      </c>
      <c r="F1031" s="12" t="n">
        <v>3281.7</v>
      </c>
      <c r="G1031" s="12" t="n">
        <v>4650.5</v>
      </c>
      <c r="H1031" s="13" t="n">
        <v>0.9562</v>
      </c>
      <c r="I1031" s="13" t="n">
        <v>0.9834000000000001</v>
      </c>
    </row>
    <row r="1032">
      <c r="A1032" s="10" t="inlineStr">
        <is>
          <t>PJ-2022-G</t>
        </is>
      </c>
      <c r="B1032" s="10" t="inlineStr">
        <is>
          <t>素朴版／月内均等</t>
        </is>
      </c>
      <c r="C1032" s="10" t="inlineStr">
        <is>
          <t>2023-12</t>
        </is>
      </c>
      <c r="D1032" s="10" t="n">
        <v>23</v>
      </c>
      <c r="E1032" s="12" t="n">
        <v>6487.3</v>
      </c>
      <c r="F1032" s="12" t="n">
        <v>2964.5</v>
      </c>
      <c r="G1032" s="12" t="n">
        <v>3522.8</v>
      </c>
      <c r="H1032" s="13" t="n">
        <v>0.984</v>
      </c>
      <c r="I1032" s="13" t="n">
        <v>0.996</v>
      </c>
    </row>
    <row r="1033">
      <c r="A1033" s="10" t="inlineStr">
        <is>
          <t>PJ-2022-G</t>
        </is>
      </c>
      <c r="B1033" s="10" t="inlineStr">
        <is>
          <t>素朴版／月内均等</t>
        </is>
      </c>
      <c r="C1033" s="10" t="inlineStr">
        <is>
          <t>2024-01</t>
        </is>
      </c>
      <c r="D1033" s="10" t="n">
        <v>24</v>
      </c>
      <c r="E1033" s="12" t="n">
        <v>3748.2</v>
      </c>
      <c r="F1033" s="12" t="n">
        <v>925</v>
      </c>
      <c r="G1033" s="12" t="n">
        <v>2823.2</v>
      </c>
      <c r="H1033" s="13" t="n">
        <v>1</v>
      </c>
      <c r="I1033" s="13" t="n">
        <v>1</v>
      </c>
    </row>
    <row r="1034">
      <c r="A1034" s="10" t="inlineStr">
        <is>
          <t>PJ-2022-G</t>
        </is>
      </c>
      <c r="B1034" s="10" t="inlineStr">
        <is>
          <t>位置合わせ(MS学習値)／月内均等</t>
        </is>
      </c>
      <c r="C1034" s="10" t="inlineStr">
        <is>
          <t>2022-02</t>
        </is>
      </c>
      <c r="D1034" s="10" t="n">
        <v>1</v>
      </c>
      <c r="E1034" s="12" t="n">
        <v>3069.5</v>
      </c>
      <c r="F1034" s="12" t="n">
        <v>9203.5</v>
      </c>
      <c r="G1034" s="12" t="n">
        <v>-6134</v>
      </c>
      <c r="H1034" s="13" t="n">
        <v>0.0131</v>
      </c>
      <c r="I1034" s="13" t="n">
        <v>0.0394</v>
      </c>
    </row>
    <row r="1035">
      <c r="A1035" s="10" t="inlineStr">
        <is>
          <t>PJ-2022-G</t>
        </is>
      </c>
      <c r="B1035" s="10" t="inlineStr">
        <is>
          <t>位置合わせ(MS学習値)／月内均等</t>
        </is>
      </c>
      <c r="C1035" s="10" t="inlineStr">
        <is>
          <t>2022-03</t>
        </is>
      </c>
      <c r="D1035" s="10" t="n">
        <v>2</v>
      </c>
      <c r="E1035" s="12" t="n">
        <v>4402.8</v>
      </c>
      <c r="F1035" s="12" t="n">
        <v>11045.5</v>
      </c>
      <c r="G1035" s="12" t="n">
        <v>-6642.7</v>
      </c>
      <c r="H1035" s="13" t="n">
        <v>0.032</v>
      </c>
      <c r="I1035" s="13" t="n">
        <v>0.0866</v>
      </c>
    </row>
    <row r="1036">
      <c r="A1036" s="10" t="inlineStr">
        <is>
          <t>PJ-2022-G</t>
        </is>
      </c>
      <c r="B1036" s="10" t="inlineStr">
        <is>
          <t>位置合わせ(MS学習値)／月内均等</t>
        </is>
      </c>
      <c r="C1036" s="10" t="inlineStr">
        <is>
          <t>2022-04</t>
        </is>
      </c>
      <c r="D1036" s="10" t="n">
        <v>3</v>
      </c>
      <c r="E1036" s="12" t="n">
        <v>4910.4</v>
      </c>
      <c r="F1036" s="12" t="n">
        <v>10444.9</v>
      </c>
      <c r="G1036" s="12" t="n">
        <v>-5534.5</v>
      </c>
      <c r="H1036" s="13" t="n">
        <v>0.053</v>
      </c>
      <c r="I1036" s="13" t="n">
        <v>0.1313</v>
      </c>
    </row>
    <row r="1037">
      <c r="A1037" s="10" t="inlineStr">
        <is>
          <t>PJ-2022-G</t>
        </is>
      </c>
      <c r="B1037" s="10" t="inlineStr">
        <is>
          <t>位置合わせ(MS学習値)／月内均等</t>
        </is>
      </c>
      <c r="C1037" s="10" t="inlineStr">
        <is>
          <t>2022-05</t>
        </is>
      </c>
      <c r="D1037" s="10" t="n">
        <v>4</v>
      </c>
      <c r="E1037" s="12" t="n">
        <v>5839.1</v>
      </c>
      <c r="F1037" s="12" t="n">
        <v>11771</v>
      </c>
      <c r="G1037" s="12" t="n">
        <v>-5931.9</v>
      </c>
      <c r="H1037" s="13" t="n">
        <v>0.078</v>
      </c>
      <c r="I1037" s="13" t="n">
        <v>0.1817</v>
      </c>
    </row>
    <row r="1038">
      <c r="A1038" s="10" t="inlineStr">
        <is>
          <t>PJ-2022-G</t>
        </is>
      </c>
      <c r="B1038" s="10" t="inlineStr">
        <is>
          <t>位置合わせ(MS学習値)／月内均等</t>
        </is>
      </c>
      <c r="C1038" s="10" t="inlineStr">
        <is>
          <t>2022-06</t>
        </is>
      </c>
      <c r="D1038" s="10" t="n">
        <v>5</v>
      </c>
      <c r="E1038" s="12" t="n">
        <v>6014.1</v>
      </c>
      <c r="F1038" s="12" t="n">
        <v>10986.1</v>
      </c>
      <c r="G1038" s="12" t="n">
        <v>-4972</v>
      </c>
      <c r="H1038" s="13" t="n">
        <v>0.1037</v>
      </c>
      <c r="I1038" s="13" t="n">
        <v>0.2287</v>
      </c>
    </row>
    <row r="1039">
      <c r="A1039" s="10" t="inlineStr">
        <is>
          <t>PJ-2022-G</t>
        </is>
      </c>
      <c r="B1039" s="10" t="inlineStr">
        <is>
          <t>位置合わせ(MS学習値)／月内均等</t>
        </is>
      </c>
      <c r="C1039" s="10" t="inlineStr">
        <is>
          <t>2022-07</t>
        </is>
      </c>
      <c r="D1039" s="10" t="n">
        <v>6</v>
      </c>
      <c r="E1039" s="12" t="n">
        <v>6713.6</v>
      </c>
      <c r="F1039" s="12" t="n">
        <v>12683.3</v>
      </c>
      <c r="G1039" s="12" t="n">
        <v>-5969.7</v>
      </c>
      <c r="H1039" s="13" t="n">
        <v>0.1324</v>
      </c>
      <c r="I1039" s="13" t="n">
        <v>0.2829</v>
      </c>
    </row>
    <row r="1040">
      <c r="A1040" s="10" t="inlineStr">
        <is>
          <t>PJ-2022-G</t>
        </is>
      </c>
      <c r="B1040" s="10" t="inlineStr">
        <is>
          <t>位置合わせ(MS学習値)／月内均等</t>
        </is>
      </c>
      <c r="C1040" s="10" t="inlineStr">
        <is>
          <t>2022-08</t>
        </is>
      </c>
      <c r="D1040" s="10" t="n">
        <v>7</v>
      </c>
      <c r="E1040" s="12" t="n">
        <v>7506.4</v>
      </c>
      <c r="F1040" s="12" t="n">
        <v>14085.9</v>
      </c>
      <c r="G1040" s="12" t="n">
        <v>-6579.5</v>
      </c>
      <c r="H1040" s="13" t="n">
        <v>0.1645</v>
      </c>
      <c r="I1040" s="13" t="n">
        <v>0.3432</v>
      </c>
    </row>
    <row r="1041">
      <c r="A1041" s="10" t="inlineStr">
        <is>
          <t>PJ-2022-G</t>
        </is>
      </c>
      <c r="B1041" s="10" t="inlineStr">
        <is>
          <t>位置合わせ(MS学習値)／月内均等</t>
        </is>
      </c>
      <c r="C1041" s="10" t="inlineStr">
        <is>
          <t>2022-09</t>
        </is>
      </c>
      <c r="D1041" s="10" t="n">
        <v>8</v>
      </c>
      <c r="E1041" s="12" t="n">
        <v>8311.5</v>
      </c>
      <c r="F1041" s="12" t="n">
        <v>16396.3</v>
      </c>
      <c r="G1041" s="12" t="n">
        <v>-8084.8</v>
      </c>
      <c r="H1041" s="13" t="n">
        <v>0.2001</v>
      </c>
      <c r="I1041" s="13" t="n">
        <v>0.4133</v>
      </c>
    </row>
    <row r="1042">
      <c r="A1042" s="10" t="inlineStr">
        <is>
          <t>PJ-2022-G</t>
        </is>
      </c>
      <c r="B1042" s="10" t="inlineStr">
        <is>
          <t>位置合わせ(MS学習値)／月内均等</t>
        </is>
      </c>
      <c r="C1042" s="10" t="inlineStr">
        <is>
          <t>2022-10</t>
        </is>
      </c>
      <c r="D1042" s="10" t="n">
        <v>9</v>
      </c>
      <c r="E1042" s="12" t="n">
        <v>10084.5</v>
      </c>
      <c r="F1042" s="12" t="n">
        <v>16496.9</v>
      </c>
      <c r="G1042" s="12" t="n">
        <v>-6412.4</v>
      </c>
      <c r="H1042" s="13" t="n">
        <v>0.2432</v>
      </c>
      <c r="I1042" s="13" t="n">
        <v>0.4839</v>
      </c>
    </row>
    <row r="1043">
      <c r="A1043" s="10" t="inlineStr">
        <is>
          <t>PJ-2022-G</t>
        </is>
      </c>
      <c r="B1043" s="10" t="inlineStr">
        <is>
          <t>位置合わせ(MS学習値)／月内均等</t>
        </is>
      </c>
      <c r="C1043" s="10" t="inlineStr">
        <is>
          <t>2022-11</t>
        </is>
      </c>
      <c r="D1043" s="10" t="n">
        <v>10</v>
      </c>
      <c r="E1043" s="12" t="n">
        <v>10741</v>
      </c>
      <c r="F1043" s="12" t="n">
        <v>15571.5</v>
      </c>
      <c r="G1043" s="12" t="n">
        <v>-4830.5</v>
      </c>
      <c r="H1043" s="13" t="n">
        <v>0.2892</v>
      </c>
      <c r="I1043" s="13" t="n">
        <v>0.5505</v>
      </c>
    </row>
    <row r="1044">
      <c r="A1044" s="10" t="inlineStr">
        <is>
          <t>PJ-2022-G</t>
        </is>
      </c>
      <c r="B1044" s="10" t="inlineStr">
        <is>
          <t>位置合わせ(MS学習値)／月内均等</t>
        </is>
      </c>
      <c r="C1044" s="10" t="inlineStr">
        <is>
          <t>2022-12</t>
        </is>
      </c>
      <c r="D1044" s="10" t="n">
        <v>11</v>
      </c>
      <c r="E1044" s="12" t="n">
        <v>12246.9</v>
      </c>
      <c r="F1044" s="12" t="n">
        <v>12580.5</v>
      </c>
      <c r="G1044" s="12" t="n">
        <v>-333.6</v>
      </c>
      <c r="H1044" s="13" t="n">
        <v>0.3415</v>
      </c>
      <c r="I1044" s="13" t="n">
        <v>0.6042999999999999</v>
      </c>
    </row>
    <row r="1045">
      <c r="A1045" s="10" t="inlineStr">
        <is>
          <t>PJ-2022-G</t>
        </is>
      </c>
      <c r="B1045" s="10" t="inlineStr">
        <is>
          <t>位置合わせ(MS学習値)／月内均等</t>
        </is>
      </c>
      <c r="C1045" s="10" t="inlineStr">
        <is>
          <t>2023-01</t>
        </is>
      </c>
      <c r="D1045" s="10" t="n">
        <v>12</v>
      </c>
      <c r="E1045" s="12" t="n">
        <v>14282.6</v>
      </c>
      <c r="F1045" s="12" t="n">
        <v>10581</v>
      </c>
      <c r="G1045" s="12" t="n">
        <v>3701.6</v>
      </c>
      <c r="H1045" s="13" t="n">
        <v>0.4026</v>
      </c>
      <c r="I1045" s="13" t="n">
        <v>0.6496</v>
      </c>
    </row>
    <row r="1046">
      <c r="A1046" s="10" t="inlineStr">
        <is>
          <t>PJ-2022-G</t>
        </is>
      </c>
      <c r="B1046" s="10" t="inlineStr">
        <is>
          <t>位置合わせ(MS学習値)／月内均等</t>
        </is>
      </c>
      <c r="C1046" s="10" t="inlineStr">
        <is>
          <t>2023-02</t>
        </is>
      </c>
      <c r="D1046" s="10" t="n">
        <v>13</v>
      </c>
      <c r="E1046" s="12" t="n">
        <v>13600</v>
      </c>
      <c r="F1046" s="12" t="n">
        <v>9159.700000000001</v>
      </c>
      <c r="G1046" s="12" t="n">
        <v>4440.3</v>
      </c>
      <c r="H1046" s="13" t="n">
        <v>0.4608</v>
      </c>
      <c r="I1046" s="13" t="n">
        <v>0.6888</v>
      </c>
    </row>
    <row r="1047">
      <c r="A1047" s="10" t="inlineStr">
        <is>
          <t>PJ-2022-G</t>
        </is>
      </c>
      <c r="B1047" s="10" t="inlineStr">
        <is>
          <t>位置合わせ(MS学習値)／月内均等</t>
        </is>
      </c>
      <c r="C1047" s="10" t="inlineStr">
        <is>
          <t>2023-03</t>
        </is>
      </c>
      <c r="D1047" s="10" t="n">
        <v>14</v>
      </c>
      <c r="E1047" s="12" t="n">
        <v>14649</v>
      </c>
      <c r="F1047" s="12" t="n">
        <v>10036.4</v>
      </c>
      <c r="G1047" s="12" t="n">
        <v>4612.6</v>
      </c>
      <c r="H1047" s="13" t="n">
        <v>0.5235</v>
      </c>
      <c r="I1047" s="13" t="n">
        <v>0.7317</v>
      </c>
    </row>
    <row r="1048">
      <c r="A1048" s="10" t="inlineStr">
        <is>
          <t>PJ-2022-G</t>
        </is>
      </c>
      <c r="B1048" s="10" t="inlineStr">
        <is>
          <t>位置合わせ(MS学習値)／月内均等</t>
        </is>
      </c>
      <c r="C1048" s="10" t="inlineStr">
        <is>
          <t>2023-04</t>
        </is>
      </c>
      <c r="D1048" s="10" t="n">
        <v>15</v>
      </c>
      <c r="E1048" s="12" t="n">
        <v>14169.5</v>
      </c>
      <c r="F1048" s="12" t="n">
        <v>11511.6</v>
      </c>
      <c r="G1048" s="12" t="n">
        <v>2657.9</v>
      </c>
      <c r="H1048" s="13" t="n">
        <v>0.5841</v>
      </c>
      <c r="I1048" s="13" t="n">
        <v>0.7809</v>
      </c>
    </row>
    <row r="1049">
      <c r="A1049" s="10" t="inlineStr">
        <is>
          <t>PJ-2022-G</t>
        </is>
      </c>
      <c r="B1049" s="10" t="inlineStr">
        <is>
          <t>位置合わせ(MS学習値)／月内均等</t>
        </is>
      </c>
      <c r="C1049" s="10" t="inlineStr">
        <is>
          <t>2023-05</t>
        </is>
      </c>
      <c r="D1049" s="10" t="n">
        <v>16</v>
      </c>
      <c r="E1049" s="12" t="n">
        <v>14488.2</v>
      </c>
      <c r="F1049" s="12" t="n">
        <v>12070.3</v>
      </c>
      <c r="G1049" s="12" t="n">
        <v>2417.9</v>
      </c>
      <c r="H1049" s="13" t="n">
        <v>0.6461</v>
      </c>
      <c r="I1049" s="13" t="n">
        <v>0.8326</v>
      </c>
    </row>
    <row r="1050">
      <c r="A1050" s="10" t="inlineStr">
        <is>
          <t>PJ-2022-G</t>
        </is>
      </c>
      <c r="B1050" s="10" t="inlineStr">
        <is>
          <t>位置合わせ(MS学習値)／月内均等</t>
        </is>
      </c>
      <c r="C1050" s="10" t="inlineStr">
        <is>
          <t>2023-06</t>
        </is>
      </c>
      <c r="D1050" s="10" t="n">
        <v>17</v>
      </c>
      <c r="E1050" s="12" t="n">
        <v>14711.4</v>
      </c>
      <c r="F1050" s="12" t="n">
        <v>10093.2</v>
      </c>
      <c r="G1050" s="12" t="n">
        <v>4618.2</v>
      </c>
      <c r="H1050" s="13" t="n">
        <v>0.709</v>
      </c>
      <c r="I1050" s="13" t="n">
        <v>0.8758</v>
      </c>
    </row>
    <row r="1051">
      <c r="A1051" s="10" t="inlineStr">
        <is>
          <t>PJ-2022-G</t>
        </is>
      </c>
      <c r="B1051" s="10" t="inlineStr">
        <is>
          <t>位置合わせ(MS学習値)／月内均等</t>
        </is>
      </c>
      <c r="C1051" s="10" t="inlineStr">
        <is>
          <t>2023-07</t>
        </is>
      </c>
      <c r="D1051" s="10" t="n">
        <v>18</v>
      </c>
      <c r="E1051" s="12" t="n">
        <v>15630.1</v>
      </c>
      <c r="F1051" s="12" t="n">
        <v>8162.9</v>
      </c>
      <c r="G1051" s="12" t="n">
        <v>7467.2</v>
      </c>
      <c r="H1051" s="13" t="n">
        <v>0.7759</v>
      </c>
      <c r="I1051" s="13" t="n">
        <v>0.9107</v>
      </c>
    </row>
    <row r="1052">
      <c r="A1052" s="10" t="inlineStr">
        <is>
          <t>PJ-2022-G</t>
        </is>
      </c>
      <c r="B1052" s="10" t="inlineStr">
        <is>
          <t>位置合わせ(MS学習値)／月内均等</t>
        </is>
      </c>
      <c r="C1052" s="10" t="inlineStr">
        <is>
          <t>2023-08</t>
        </is>
      </c>
      <c r="D1052" s="10" t="n">
        <v>19</v>
      </c>
      <c r="E1052" s="12" t="n">
        <v>13097.7</v>
      </c>
      <c r="F1052" s="12" t="n">
        <v>5336.7</v>
      </c>
      <c r="G1052" s="12" t="n">
        <v>7761</v>
      </c>
      <c r="H1052" s="13" t="n">
        <v>0.8319</v>
      </c>
      <c r="I1052" s="13" t="n">
        <v>0.9335</v>
      </c>
    </row>
    <row r="1053">
      <c r="A1053" s="10" t="inlineStr">
        <is>
          <t>PJ-2022-G</t>
        </is>
      </c>
      <c r="B1053" s="10" t="inlineStr">
        <is>
          <t>位置合わせ(MS学習値)／月内均等</t>
        </is>
      </c>
      <c r="C1053" s="10" t="inlineStr">
        <is>
          <t>2023-09</t>
        </is>
      </c>
      <c r="D1053" s="10" t="n">
        <v>20</v>
      </c>
      <c r="E1053" s="12" t="n">
        <v>11351.7</v>
      </c>
      <c r="F1053" s="12" t="n">
        <v>4269.9</v>
      </c>
      <c r="G1053" s="12" t="n">
        <v>7081.8</v>
      </c>
      <c r="H1053" s="13" t="n">
        <v>0.8804999999999999</v>
      </c>
      <c r="I1053" s="13" t="n">
        <v>0.9518</v>
      </c>
    </row>
    <row r="1054">
      <c r="A1054" s="10" t="inlineStr">
        <is>
          <t>PJ-2022-G</t>
        </is>
      </c>
      <c r="B1054" s="10" t="inlineStr">
        <is>
          <t>位置合わせ(MS学習値)／月内均等</t>
        </is>
      </c>
      <c r="C1054" s="10" t="inlineStr">
        <is>
          <t>2023-10</t>
        </is>
      </c>
      <c r="D1054" s="10" t="n">
        <v>21</v>
      </c>
      <c r="E1054" s="12" t="n">
        <v>9772.4</v>
      </c>
      <c r="F1054" s="12" t="n">
        <v>4101.6</v>
      </c>
      <c r="G1054" s="12" t="n">
        <v>5670.8</v>
      </c>
      <c r="H1054" s="13" t="n">
        <v>0.9223</v>
      </c>
      <c r="I1054" s="13" t="n">
        <v>0.9693000000000001</v>
      </c>
    </row>
    <row r="1055">
      <c r="A1055" s="10" t="inlineStr">
        <is>
          <t>PJ-2022-G</t>
        </is>
      </c>
      <c r="B1055" s="10" t="inlineStr">
        <is>
          <t>位置合わせ(MS学習値)／月内均等</t>
        </is>
      </c>
      <c r="C1055" s="10" t="inlineStr">
        <is>
          <t>2023-11</t>
        </is>
      </c>
      <c r="D1055" s="10" t="n">
        <v>22</v>
      </c>
      <c r="E1055" s="12" t="n">
        <v>8044</v>
      </c>
      <c r="F1055" s="12" t="n">
        <v>3281.7</v>
      </c>
      <c r="G1055" s="12" t="n">
        <v>4762.3</v>
      </c>
      <c r="H1055" s="13" t="n">
        <v>0.9567</v>
      </c>
      <c r="I1055" s="13" t="n">
        <v>0.9834000000000001</v>
      </c>
    </row>
    <row r="1056">
      <c r="A1056" s="10" t="inlineStr">
        <is>
          <t>PJ-2022-G</t>
        </is>
      </c>
      <c r="B1056" s="10" t="inlineStr">
        <is>
          <t>位置合わせ(MS学習値)／月内均等</t>
        </is>
      </c>
      <c r="C1056" s="10" t="inlineStr">
        <is>
          <t>2023-12</t>
        </is>
      </c>
      <c r="D1056" s="10" t="n">
        <v>23</v>
      </c>
      <c r="E1056" s="12" t="n">
        <v>6486.4</v>
      </c>
      <c r="F1056" s="12" t="n">
        <v>2964.5</v>
      </c>
      <c r="G1056" s="12" t="n">
        <v>3521.9</v>
      </c>
      <c r="H1056" s="13" t="n">
        <v>0.9844000000000001</v>
      </c>
      <c r="I1056" s="13" t="n">
        <v>0.996</v>
      </c>
    </row>
    <row r="1057">
      <c r="A1057" s="10" t="inlineStr">
        <is>
          <t>PJ-2022-G</t>
        </is>
      </c>
      <c r="B1057" s="10" t="inlineStr">
        <is>
          <t>位置合わせ(MS学習値)／月内均等</t>
        </is>
      </c>
      <c r="C1057" s="10" t="inlineStr">
        <is>
          <t>2024-01</t>
        </is>
      </c>
      <c r="D1057" s="10" t="n">
        <v>24</v>
      </c>
      <c r="E1057" s="12" t="n">
        <v>3637</v>
      </c>
      <c r="F1057" s="12" t="n">
        <v>925</v>
      </c>
      <c r="G1057" s="12" t="n">
        <v>2712</v>
      </c>
      <c r="H1057" s="13" t="n">
        <v>1</v>
      </c>
      <c r="I1057" s="13" t="n">
        <v>1</v>
      </c>
    </row>
    <row r="1058">
      <c r="A1058" s="10" t="inlineStr">
        <is>
          <t>PJ-2022-G</t>
        </is>
      </c>
      <c r="B1058" s="10" t="inlineStr">
        <is>
          <t>位置合わせ(MS指定)／月内均等</t>
        </is>
      </c>
      <c r="C1058" s="10" t="inlineStr">
        <is>
          <t>2022-02</t>
        </is>
      </c>
      <c r="D1058" s="10" t="n">
        <v>1</v>
      </c>
      <c r="E1058" s="12" t="n">
        <v>3361.4</v>
      </c>
      <c r="F1058" s="12" t="n">
        <v>9203.5</v>
      </c>
      <c r="G1058" s="12" t="n">
        <v>-5842.1</v>
      </c>
      <c r="H1058" s="13" t="n">
        <v>0.0144</v>
      </c>
      <c r="I1058" s="13" t="n">
        <v>0.0394</v>
      </c>
    </row>
    <row r="1059">
      <c r="A1059" s="10" t="inlineStr">
        <is>
          <t>PJ-2022-G</t>
        </is>
      </c>
      <c r="B1059" s="10" t="inlineStr">
        <is>
          <t>位置合わせ(MS指定)／月内均等</t>
        </is>
      </c>
      <c r="C1059" s="10" t="inlineStr">
        <is>
          <t>2022-03</t>
        </is>
      </c>
      <c r="D1059" s="10" t="n">
        <v>2</v>
      </c>
      <c r="E1059" s="12" t="n">
        <v>4922.3</v>
      </c>
      <c r="F1059" s="12" t="n">
        <v>11045.5</v>
      </c>
      <c r="G1059" s="12" t="n">
        <v>-6123.2</v>
      </c>
      <c r="H1059" s="13" t="n">
        <v>0.0354</v>
      </c>
      <c r="I1059" s="13" t="n">
        <v>0.0866</v>
      </c>
    </row>
    <row r="1060">
      <c r="A1060" s="10" t="inlineStr">
        <is>
          <t>PJ-2022-G</t>
        </is>
      </c>
      <c r="B1060" s="10" t="inlineStr">
        <is>
          <t>位置合わせ(MS指定)／月内均等</t>
        </is>
      </c>
      <c r="C1060" s="10" t="inlineStr">
        <is>
          <t>2022-04</t>
        </is>
      </c>
      <c r="D1060" s="10" t="n">
        <v>3</v>
      </c>
      <c r="E1060" s="12" t="n">
        <v>5555.5</v>
      </c>
      <c r="F1060" s="12" t="n">
        <v>10444.9</v>
      </c>
      <c r="G1060" s="12" t="n">
        <v>-4889.4</v>
      </c>
      <c r="H1060" s="13" t="n">
        <v>0.0592</v>
      </c>
      <c r="I1060" s="13" t="n">
        <v>0.1313</v>
      </c>
    </row>
    <row r="1061">
      <c r="A1061" s="10" t="inlineStr">
        <is>
          <t>PJ-2022-G</t>
        </is>
      </c>
      <c r="B1061" s="10" t="inlineStr">
        <is>
          <t>位置合わせ(MS指定)／月内均等</t>
        </is>
      </c>
      <c r="C1061" s="10" t="inlineStr">
        <is>
          <t>2022-05</t>
        </is>
      </c>
      <c r="D1061" s="10" t="n">
        <v>4</v>
      </c>
      <c r="E1061" s="12" t="n">
        <v>6369.9</v>
      </c>
      <c r="F1061" s="12" t="n">
        <v>11771</v>
      </c>
      <c r="G1061" s="12" t="n">
        <v>-5401.1</v>
      </c>
      <c r="H1061" s="13" t="n">
        <v>0.08649999999999999</v>
      </c>
      <c r="I1061" s="13" t="n">
        <v>0.1817</v>
      </c>
    </row>
    <row r="1062">
      <c r="A1062" s="10" t="inlineStr">
        <is>
          <t>PJ-2022-G</t>
        </is>
      </c>
      <c r="B1062" s="10" t="inlineStr">
        <is>
          <t>位置合わせ(MS指定)／月内均等</t>
        </is>
      </c>
      <c r="C1062" s="10" t="inlineStr">
        <is>
          <t>2022-06</t>
        </is>
      </c>
      <c r="D1062" s="10" t="n">
        <v>5</v>
      </c>
      <c r="E1062" s="12" t="n">
        <v>6715.2</v>
      </c>
      <c r="F1062" s="12" t="n">
        <v>10986.1</v>
      </c>
      <c r="G1062" s="12" t="n">
        <v>-4270.9</v>
      </c>
      <c r="H1062" s="13" t="n">
        <v>0.1152</v>
      </c>
      <c r="I1062" s="13" t="n">
        <v>0.2287</v>
      </c>
    </row>
    <row r="1063">
      <c r="A1063" s="10" t="inlineStr">
        <is>
          <t>PJ-2022-G</t>
        </is>
      </c>
      <c r="B1063" s="10" t="inlineStr">
        <is>
          <t>位置合わせ(MS指定)／月内均等</t>
        </is>
      </c>
      <c r="C1063" s="10" t="inlineStr">
        <is>
          <t>2022-07</t>
        </is>
      </c>
      <c r="D1063" s="10" t="n">
        <v>6</v>
      </c>
      <c r="E1063" s="12" t="n">
        <v>7764.7</v>
      </c>
      <c r="F1063" s="12" t="n">
        <v>12683.3</v>
      </c>
      <c r="G1063" s="12" t="n">
        <v>-4918.6</v>
      </c>
      <c r="H1063" s="13" t="n">
        <v>0.1484</v>
      </c>
      <c r="I1063" s="13" t="n">
        <v>0.2829</v>
      </c>
    </row>
    <row r="1064">
      <c r="A1064" s="10" t="inlineStr">
        <is>
          <t>PJ-2022-G</t>
        </is>
      </c>
      <c r="B1064" s="10" t="inlineStr">
        <is>
          <t>位置合わせ(MS指定)／月内均等</t>
        </is>
      </c>
      <c r="C1064" s="10" t="inlineStr">
        <is>
          <t>2022-08</t>
        </is>
      </c>
      <c r="D1064" s="10" t="n">
        <v>7</v>
      </c>
      <c r="E1064" s="12" t="n">
        <v>8767.1</v>
      </c>
      <c r="F1064" s="12" t="n">
        <v>14085.9</v>
      </c>
      <c r="G1064" s="12" t="n">
        <v>-5318.8</v>
      </c>
      <c r="H1064" s="13" t="n">
        <v>0.1859</v>
      </c>
      <c r="I1064" s="13" t="n">
        <v>0.3432</v>
      </c>
    </row>
    <row r="1065">
      <c r="A1065" s="10" t="inlineStr">
        <is>
          <t>PJ-2022-G</t>
        </is>
      </c>
      <c r="B1065" s="10" t="inlineStr">
        <is>
          <t>位置合わせ(MS指定)／月内均等</t>
        </is>
      </c>
      <c r="C1065" s="10" t="inlineStr">
        <is>
          <t>2022-09</t>
        </is>
      </c>
      <c r="D1065" s="10" t="n">
        <v>8</v>
      </c>
      <c r="E1065" s="12" t="n">
        <v>10018</v>
      </c>
      <c r="F1065" s="12" t="n">
        <v>16396.3</v>
      </c>
      <c r="G1065" s="12" t="n">
        <v>-6378.3</v>
      </c>
      <c r="H1065" s="13" t="n">
        <v>0.2288</v>
      </c>
      <c r="I1065" s="13" t="n">
        <v>0.4133</v>
      </c>
    </row>
    <row r="1066">
      <c r="A1066" s="10" t="inlineStr">
        <is>
          <t>PJ-2022-G</t>
        </is>
      </c>
      <c r="B1066" s="10" t="inlineStr">
        <is>
          <t>位置合わせ(MS指定)／月内均等</t>
        </is>
      </c>
      <c r="C1066" s="10" t="inlineStr">
        <is>
          <t>2022-10</t>
        </is>
      </c>
      <c r="D1066" s="10" t="n">
        <v>9</v>
      </c>
      <c r="E1066" s="12" t="n">
        <v>11741.6</v>
      </c>
      <c r="F1066" s="12" t="n">
        <v>16496.9</v>
      </c>
      <c r="G1066" s="12" t="n">
        <v>-4755.3</v>
      </c>
      <c r="H1066" s="13" t="n">
        <v>0.279</v>
      </c>
      <c r="I1066" s="13" t="n">
        <v>0.4839</v>
      </c>
    </row>
    <row r="1067">
      <c r="A1067" s="10" t="inlineStr">
        <is>
          <t>PJ-2022-G</t>
        </is>
      </c>
      <c r="B1067" s="10" t="inlineStr">
        <is>
          <t>位置合わせ(MS指定)／月内均等</t>
        </is>
      </c>
      <c r="C1067" s="10" t="inlineStr">
        <is>
          <t>2022-11</t>
        </is>
      </c>
      <c r="D1067" s="10" t="n">
        <v>10</v>
      </c>
      <c r="E1067" s="12" t="n">
        <v>12580.2</v>
      </c>
      <c r="F1067" s="12" t="n">
        <v>15571.5</v>
      </c>
      <c r="G1067" s="12" t="n">
        <v>-2991.3</v>
      </c>
      <c r="H1067" s="13" t="n">
        <v>0.3328</v>
      </c>
      <c r="I1067" s="13" t="n">
        <v>0.5505</v>
      </c>
    </row>
    <row r="1068">
      <c r="A1068" s="10" t="inlineStr">
        <is>
          <t>PJ-2022-G</t>
        </is>
      </c>
      <c r="B1068" s="10" t="inlineStr">
        <is>
          <t>位置合わせ(MS指定)／月内均等</t>
        </is>
      </c>
      <c r="C1068" s="10" t="inlineStr">
        <is>
          <t>2022-12</t>
        </is>
      </c>
      <c r="D1068" s="10" t="n">
        <v>11</v>
      </c>
      <c r="E1068" s="12" t="n">
        <v>15228.1</v>
      </c>
      <c r="F1068" s="12" t="n">
        <v>12580.5</v>
      </c>
      <c r="G1068" s="12" t="n">
        <v>2647.6</v>
      </c>
      <c r="H1068" s="13" t="n">
        <v>0.3979</v>
      </c>
      <c r="I1068" s="13" t="n">
        <v>0.6042999999999999</v>
      </c>
    </row>
    <row r="1069">
      <c r="A1069" s="10" t="inlineStr">
        <is>
          <t>PJ-2022-G</t>
        </is>
      </c>
      <c r="B1069" s="10" t="inlineStr">
        <is>
          <t>位置合わせ(MS指定)／月内均等</t>
        </is>
      </c>
      <c r="C1069" s="10" t="inlineStr">
        <is>
          <t>2023-01</t>
        </is>
      </c>
      <c r="D1069" s="10" t="n">
        <v>12</v>
      </c>
      <c r="E1069" s="12" t="n">
        <v>13095.8</v>
      </c>
      <c r="F1069" s="12" t="n">
        <v>10581</v>
      </c>
      <c r="G1069" s="12" t="n">
        <v>2514.8</v>
      </c>
      <c r="H1069" s="13" t="n">
        <v>0.454</v>
      </c>
      <c r="I1069" s="13" t="n">
        <v>0.6496</v>
      </c>
    </row>
    <row r="1070">
      <c r="A1070" s="10" t="inlineStr">
        <is>
          <t>PJ-2022-G</t>
        </is>
      </c>
      <c r="B1070" s="10" t="inlineStr">
        <is>
          <t>位置合わせ(MS指定)／月内均等</t>
        </is>
      </c>
      <c r="C1070" s="10" t="inlineStr">
        <is>
          <t>2023-02</t>
        </is>
      </c>
      <c r="D1070" s="10" t="n">
        <v>13</v>
      </c>
      <c r="E1070" s="12" t="n">
        <v>11462.4</v>
      </c>
      <c r="F1070" s="12" t="n">
        <v>9159.700000000001</v>
      </c>
      <c r="G1070" s="12" t="n">
        <v>2302.7</v>
      </c>
      <c r="H1070" s="13" t="n">
        <v>0.503</v>
      </c>
      <c r="I1070" s="13" t="n">
        <v>0.6888</v>
      </c>
    </row>
    <row r="1071">
      <c r="A1071" s="10" t="inlineStr">
        <is>
          <t>PJ-2022-G</t>
        </is>
      </c>
      <c r="B1071" s="10" t="inlineStr">
        <is>
          <t>位置合わせ(MS指定)／月内均等</t>
        </is>
      </c>
      <c r="C1071" s="10" t="inlineStr">
        <is>
          <t>2023-03</t>
        </is>
      </c>
      <c r="D1071" s="10" t="n">
        <v>14</v>
      </c>
      <c r="E1071" s="12" t="n">
        <v>12417.4</v>
      </c>
      <c r="F1071" s="12" t="n">
        <v>10036.4</v>
      </c>
      <c r="G1071" s="12" t="n">
        <v>2381</v>
      </c>
      <c r="H1071" s="13" t="n">
        <v>0.5561</v>
      </c>
      <c r="I1071" s="13" t="n">
        <v>0.7317</v>
      </c>
    </row>
    <row r="1072">
      <c r="A1072" s="10" t="inlineStr">
        <is>
          <t>PJ-2022-G</t>
        </is>
      </c>
      <c r="B1072" s="10" t="inlineStr">
        <is>
          <t>位置合わせ(MS指定)／月内均等</t>
        </is>
      </c>
      <c r="C1072" s="10" t="inlineStr">
        <is>
          <t>2023-04</t>
        </is>
      </c>
      <c r="D1072" s="10" t="n">
        <v>15</v>
      </c>
      <c r="E1072" s="12" t="n">
        <v>11934.8</v>
      </c>
      <c r="F1072" s="12" t="n">
        <v>11511.6</v>
      </c>
      <c r="G1072" s="12" t="n">
        <v>423.2</v>
      </c>
      <c r="H1072" s="13" t="n">
        <v>0.6072</v>
      </c>
      <c r="I1072" s="13" t="n">
        <v>0.7809</v>
      </c>
    </row>
    <row r="1073">
      <c r="A1073" s="10" t="inlineStr">
        <is>
          <t>PJ-2022-G</t>
        </is>
      </c>
      <c r="B1073" s="10" t="inlineStr">
        <is>
          <t>位置合わせ(MS指定)／月内均等</t>
        </is>
      </c>
      <c r="C1073" s="10" t="inlineStr">
        <is>
          <t>2023-05</t>
        </is>
      </c>
      <c r="D1073" s="10" t="n">
        <v>16</v>
      </c>
      <c r="E1073" s="12" t="n">
        <v>12589.1</v>
      </c>
      <c r="F1073" s="12" t="n">
        <v>12070.3</v>
      </c>
      <c r="G1073" s="12" t="n">
        <v>518.8</v>
      </c>
      <c r="H1073" s="13" t="n">
        <v>0.661</v>
      </c>
      <c r="I1073" s="13" t="n">
        <v>0.8326</v>
      </c>
    </row>
    <row r="1074">
      <c r="A1074" s="10" t="inlineStr">
        <is>
          <t>PJ-2022-G</t>
        </is>
      </c>
      <c r="B1074" s="10" t="inlineStr">
        <is>
          <t>位置合わせ(MS指定)／月内均等</t>
        </is>
      </c>
      <c r="C1074" s="10" t="inlineStr">
        <is>
          <t>2023-06</t>
        </is>
      </c>
      <c r="D1074" s="10" t="n">
        <v>17</v>
      </c>
      <c r="E1074" s="12" t="n">
        <v>12653.4</v>
      </c>
      <c r="F1074" s="12" t="n">
        <v>10093.2</v>
      </c>
      <c r="G1074" s="12" t="n">
        <v>2560.2</v>
      </c>
      <c r="H1074" s="13" t="n">
        <v>0.7151999999999999</v>
      </c>
      <c r="I1074" s="13" t="n">
        <v>0.8758</v>
      </c>
    </row>
    <row r="1075">
      <c r="A1075" s="10" t="inlineStr">
        <is>
          <t>PJ-2022-G</t>
        </is>
      </c>
      <c r="B1075" s="10" t="inlineStr">
        <is>
          <t>位置合わせ(MS指定)／月内均等</t>
        </is>
      </c>
      <c r="C1075" s="10" t="inlineStr">
        <is>
          <t>2023-07</t>
        </is>
      </c>
      <c r="D1075" s="10" t="n">
        <v>18</v>
      </c>
      <c r="E1075" s="12" t="n">
        <v>13682.2</v>
      </c>
      <c r="F1075" s="12" t="n">
        <v>8162.9</v>
      </c>
      <c r="G1075" s="12" t="n">
        <v>5519.3</v>
      </c>
      <c r="H1075" s="13" t="n">
        <v>0.7737000000000001</v>
      </c>
      <c r="I1075" s="13" t="n">
        <v>0.9107</v>
      </c>
    </row>
    <row r="1076">
      <c r="A1076" s="10" t="inlineStr">
        <is>
          <t>PJ-2022-G</t>
        </is>
      </c>
      <c r="B1076" s="10" t="inlineStr">
        <is>
          <t>位置合わせ(MS指定)／月内均等</t>
        </is>
      </c>
      <c r="C1076" s="10" t="inlineStr">
        <is>
          <t>2023-08</t>
        </is>
      </c>
      <c r="D1076" s="10" t="n">
        <v>19</v>
      </c>
      <c r="E1076" s="12" t="n">
        <v>12485.5</v>
      </c>
      <c r="F1076" s="12" t="n">
        <v>5336.7</v>
      </c>
      <c r="G1076" s="12" t="n">
        <v>7148.8</v>
      </c>
      <c r="H1076" s="13" t="n">
        <v>0.8270999999999999</v>
      </c>
      <c r="I1076" s="13" t="n">
        <v>0.9335</v>
      </c>
    </row>
    <row r="1077">
      <c r="A1077" s="10" t="inlineStr">
        <is>
          <t>PJ-2022-G</t>
        </is>
      </c>
      <c r="B1077" s="10" t="inlineStr">
        <is>
          <t>位置合わせ(MS指定)／月内均等</t>
        </is>
      </c>
      <c r="C1077" s="10" t="inlineStr">
        <is>
          <t>2023-09</t>
        </is>
      </c>
      <c r="D1077" s="10" t="n">
        <v>20</v>
      </c>
      <c r="E1077" s="12" t="n">
        <v>10791.5</v>
      </c>
      <c r="F1077" s="12" t="n">
        <v>4269.9</v>
      </c>
      <c r="G1077" s="12" t="n">
        <v>6521.6</v>
      </c>
      <c r="H1077" s="13" t="n">
        <v>0.8733</v>
      </c>
      <c r="I1077" s="13" t="n">
        <v>0.9518</v>
      </c>
    </row>
    <row r="1078">
      <c r="A1078" s="10" t="inlineStr">
        <is>
          <t>PJ-2022-G</t>
        </is>
      </c>
      <c r="B1078" s="10" t="inlineStr">
        <is>
          <t>位置合わせ(MS指定)／月内均等</t>
        </is>
      </c>
      <c r="C1078" s="10" t="inlineStr">
        <is>
          <t>2023-10</t>
        </is>
      </c>
      <c r="D1078" s="10" t="n">
        <v>21</v>
      </c>
      <c r="E1078" s="12" t="n">
        <v>9648.700000000001</v>
      </c>
      <c r="F1078" s="12" t="n">
        <v>4101.6</v>
      </c>
      <c r="G1078" s="12" t="n">
        <v>5547.1</v>
      </c>
      <c r="H1078" s="13" t="n">
        <v>0.9145</v>
      </c>
      <c r="I1078" s="13" t="n">
        <v>0.9693000000000001</v>
      </c>
    </row>
    <row r="1079">
      <c r="A1079" s="10" t="inlineStr">
        <is>
          <t>PJ-2022-G</t>
        </is>
      </c>
      <c r="B1079" s="10" t="inlineStr">
        <is>
          <t>位置合わせ(MS指定)／月内均等</t>
        </is>
      </c>
      <c r="C1079" s="10" t="inlineStr">
        <is>
          <t>2023-11</t>
        </is>
      </c>
      <c r="D1079" s="10" t="n">
        <v>22</v>
      </c>
      <c r="E1079" s="12" t="n">
        <v>7785.2</v>
      </c>
      <c r="F1079" s="12" t="n">
        <v>3281.7</v>
      </c>
      <c r="G1079" s="12" t="n">
        <v>4503.5</v>
      </c>
      <c r="H1079" s="13" t="n">
        <v>0.9479</v>
      </c>
      <c r="I1079" s="13" t="n">
        <v>0.9834000000000001</v>
      </c>
    </row>
    <row r="1080">
      <c r="A1080" s="10" t="inlineStr">
        <is>
          <t>PJ-2022-G</t>
        </is>
      </c>
      <c r="B1080" s="10" t="inlineStr">
        <is>
          <t>位置合わせ(MS指定)／月内均等</t>
        </is>
      </c>
      <c r="C1080" s="10" t="inlineStr">
        <is>
          <t>2023-12</t>
        </is>
      </c>
      <c r="D1080" s="10" t="n">
        <v>23</v>
      </c>
      <c r="E1080" s="12" t="n">
        <v>7626.1</v>
      </c>
      <c r="F1080" s="12" t="n">
        <v>2964.5</v>
      </c>
      <c r="G1080" s="12" t="n">
        <v>4661.6</v>
      </c>
      <c r="H1080" s="13" t="n">
        <v>0.9805</v>
      </c>
      <c r="I1080" s="13" t="n">
        <v>0.996</v>
      </c>
    </row>
    <row r="1081">
      <c r="A1081" s="10" t="inlineStr">
        <is>
          <t>PJ-2022-G</t>
        </is>
      </c>
      <c r="B1081" s="10" t="inlineStr">
        <is>
          <t>位置合わせ(MS指定)／月内均等</t>
        </is>
      </c>
      <c r="C1081" s="10" t="inlineStr">
        <is>
          <t>2024-01</t>
        </is>
      </c>
      <c r="D1081" s="10" t="n">
        <v>24</v>
      </c>
      <c r="E1081" s="12" t="n">
        <v>4563.7</v>
      </c>
      <c r="F1081" s="12" t="n">
        <v>925</v>
      </c>
      <c r="G1081" s="12" t="n">
        <v>3638.7</v>
      </c>
      <c r="H1081" s="13" t="n">
        <v>1</v>
      </c>
      <c r="I1081" s="13" t="n">
        <v>1</v>
      </c>
    </row>
    <row r="1082">
      <c r="A1082" s="10" t="inlineStr">
        <is>
          <t>PJ-2022-G</t>
        </is>
      </c>
      <c r="B1082" s="10" t="inlineStr">
        <is>
          <t>素朴版／単調補間</t>
        </is>
      </c>
      <c r="C1082" s="10" t="inlineStr">
        <is>
          <t>2022-02</t>
        </is>
      </c>
      <c r="D1082" s="10" t="n">
        <v>1</v>
      </c>
      <c r="E1082" s="12" t="n">
        <v>2918.9</v>
      </c>
      <c r="F1082" s="12" t="n">
        <v>9203.5</v>
      </c>
      <c r="G1082" s="12" t="n">
        <v>-6284.6</v>
      </c>
      <c r="H1082" s="13" t="n">
        <v>0.0125</v>
      </c>
      <c r="I1082" s="13" t="n">
        <v>0.0394</v>
      </c>
    </row>
    <row r="1083">
      <c r="A1083" s="10" t="inlineStr">
        <is>
          <t>PJ-2022-G</t>
        </is>
      </c>
      <c r="B1083" s="10" t="inlineStr">
        <is>
          <t>素朴版／単調補間</t>
        </is>
      </c>
      <c r="C1083" s="10" t="inlineStr">
        <is>
          <t>2022-03</t>
        </is>
      </c>
      <c r="D1083" s="10" t="n">
        <v>2</v>
      </c>
      <c r="E1083" s="12" t="n">
        <v>4359.3</v>
      </c>
      <c r="F1083" s="12" t="n">
        <v>11045.5</v>
      </c>
      <c r="G1083" s="12" t="n">
        <v>-6686.2</v>
      </c>
      <c r="H1083" s="13" t="n">
        <v>0.0311</v>
      </c>
      <c r="I1083" s="13" t="n">
        <v>0.0866</v>
      </c>
    </row>
    <row r="1084">
      <c r="A1084" s="10" t="inlineStr">
        <is>
          <t>PJ-2022-G</t>
        </is>
      </c>
      <c r="B1084" s="10" t="inlineStr">
        <is>
          <t>素朴版／単調補間</t>
        </is>
      </c>
      <c r="C1084" s="10" t="inlineStr">
        <is>
          <t>2022-04</t>
        </is>
      </c>
      <c r="D1084" s="10" t="n">
        <v>3</v>
      </c>
      <c r="E1084" s="12" t="n">
        <v>5034.7</v>
      </c>
      <c r="F1084" s="12" t="n">
        <v>10444.9</v>
      </c>
      <c r="G1084" s="12" t="n">
        <v>-5410.2</v>
      </c>
      <c r="H1084" s="13" t="n">
        <v>0.0527</v>
      </c>
      <c r="I1084" s="13" t="n">
        <v>0.1313</v>
      </c>
    </row>
    <row r="1085">
      <c r="A1085" s="10" t="inlineStr">
        <is>
          <t>PJ-2022-G</t>
        </is>
      </c>
      <c r="B1085" s="10" t="inlineStr">
        <is>
          <t>素朴版／単調補間</t>
        </is>
      </c>
      <c r="C1085" s="10" t="inlineStr">
        <is>
          <t>2022-05</t>
        </is>
      </c>
      <c r="D1085" s="10" t="n">
        <v>4</v>
      </c>
      <c r="E1085" s="12" t="n">
        <v>5901</v>
      </c>
      <c r="F1085" s="12" t="n">
        <v>11771</v>
      </c>
      <c r="G1085" s="12" t="n">
        <v>-5870</v>
      </c>
      <c r="H1085" s="13" t="n">
        <v>0.0779</v>
      </c>
      <c r="I1085" s="13" t="n">
        <v>0.1817</v>
      </c>
    </row>
    <row r="1086">
      <c r="A1086" s="10" t="inlineStr">
        <is>
          <t>PJ-2022-G</t>
        </is>
      </c>
      <c r="B1086" s="10" t="inlineStr">
        <is>
          <t>素朴版／単調補間</t>
        </is>
      </c>
      <c r="C1086" s="10" t="inlineStr">
        <is>
          <t>2022-06</t>
        </is>
      </c>
      <c r="D1086" s="10" t="n">
        <v>5</v>
      </c>
      <c r="E1086" s="12" t="n">
        <v>6053.3</v>
      </c>
      <c r="F1086" s="12" t="n">
        <v>10986.1</v>
      </c>
      <c r="G1086" s="12" t="n">
        <v>-4932.8</v>
      </c>
      <c r="H1086" s="13" t="n">
        <v>0.1038</v>
      </c>
      <c r="I1086" s="13" t="n">
        <v>0.2287</v>
      </c>
    </row>
    <row r="1087">
      <c r="A1087" s="10" t="inlineStr">
        <is>
          <t>PJ-2022-G</t>
        </is>
      </c>
      <c r="B1087" s="10" t="inlineStr">
        <is>
          <t>素朴版／単調補間</t>
        </is>
      </c>
      <c r="C1087" s="10" t="inlineStr">
        <is>
          <t>2022-07</t>
        </is>
      </c>
      <c r="D1087" s="10" t="n">
        <v>6</v>
      </c>
      <c r="E1087" s="12" t="n">
        <v>6798.5</v>
      </c>
      <c r="F1087" s="12" t="n">
        <v>12683.3</v>
      </c>
      <c r="G1087" s="12" t="n">
        <v>-5884.8</v>
      </c>
      <c r="H1087" s="13" t="n">
        <v>0.1329</v>
      </c>
      <c r="I1087" s="13" t="n">
        <v>0.2829</v>
      </c>
    </row>
    <row r="1088">
      <c r="A1088" s="10" t="inlineStr">
        <is>
          <t>PJ-2022-G</t>
        </is>
      </c>
      <c r="B1088" s="10" t="inlineStr">
        <is>
          <t>素朴版／単調補間</t>
        </is>
      </c>
      <c r="C1088" s="10" t="inlineStr">
        <is>
          <t>2022-08</t>
        </is>
      </c>
      <c r="D1088" s="10" t="n">
        <v>7</v>
      </c>
      <c r="E1088" s="12" t="n">
        <v>8090.4</v>
      </c>
      <c r="F1088" s="12" t="n">
        <v>14085.9</v>
      </c>
      <c r="G1088" s="12" t="n">
        <v>-5995.5</v>
      </c>
      <c r="H1088" s="13" t="n">
        <v>0.1675</v>
      </c>
      <c r="I1088" s="13" t="n">
        <v>0.3432</v>
      </c>
    </row>
    <row r="1089">
      <c r="A1089" s="10" t="inlineStr">
        <is>
          <t>PJ-2022-G</t>
        </is>
      </c>
      <c r="B1089" s="10" t="inlineStr">
        <is>
          <t>素朴版／単調補間</t>
        </is>
      </c>
      <c r="C1089" s="10" t="inlineStr">
        <is>
          <t>2022-09</t>
        </is>
      </c>
      <c r="D1089" s="10" t="n">
        <v>8</v>
      </c>
      <c r="E1089" s="12" t="n">
        <v>9333.9</v>
      </c>
      <c r="F1089" s="12" t="n">
        <v>16396.3</v>
      </c>
      <c r="G1089" s="12" t="n">
        <v>-7062.4</v>
      </c>
      <c r="H1089" s="13" t="n">
        <v>0.2074</v>
      </c>
      <c r="I1089" s="13" t="n">
        <v>0.4133</v>
      </c>
    </row>
    <row r="1090">
      <c r="A1090" s="10" t="inlineStr">
        <is>
          <t>PJ-2022-G</t>
        </is>
      </c>
      <c r="B1090" s="10" t="inlineStr">
        <is>
          <t>素朴版／単調補間</t>
        </is>
      </c>
      <c r="C1090" s="10" t="inlineStr">
        <is>
          <t>2022-10</t>
        </is>
      </c>
      <c r="D1090" s="10" t="n">
        <v>9</v>
      </c>
      <c r="E1090" s="12" t="n">
        <v>10797.6</v>
      </c>
      <c r="F1090" s="12" t="n">
        <v>16496.9</v>
      </c>
      <c r="G1090" s="12" t="n">
        <v>-5699.3</v>
      </c>
      <c r="H1090" s="13" t="n">
        <v>0.2536</v>
      </c>
      <c r="I1090" s="13" t="n">
        <v>0.4839</v>
      </c>
    </row>
    <row r="1091">
      <c r="A1091" s="10" t="inlineStr">
        <is>
          <t>PJ-2022-G</t>
        </is>
      </c>
      <c r="B1091" s="10" t="inlineStr">
        <is>
          <t>素朴版／単調補間</t>
        </is>
      </c>
      <c r="C1091" s="10" t="inlineStr">
        <is>
          <t>2022-11</t>
        </is>
      </c>
      <c r="D1091" s="10" t="n">
        <v>10</v>
      </c>
      <c r="E1091" s="12" t="n">
        <v>12100.5</v>
      </c>
      <c r="F1091" s="12" t="n">
        <v>15571.5</v>
      </c>
      <c r="G1091" s="12" t="n">
        <v>-3471</v>
      </c>
      <c r="H1091" s="13" t="n">
        <v>0.3054</v>
      </c>
      <c r="I1091" s="13" t="n">
        <v>0.5505</v>
      </c>
    </row>
    <row r="1092">
      <c r="A1092" s="10" t="inlineStr">
        <is>
          <t>PJ-2022-G</t>
        </is>
      </c>
      <c r="B1092" s="10" t="inlineStr">
        <is>
          <t>素朴版／単調補間</t>
        </is>
      </c>
      <c r="C1092" s="10" t="inlineStr">
        <is>
          <t>2022-12</t>
        </is>
      </c>
      <c r="D1092" s="10" t="n">
        <v>11</v>
      </c>
      <c r="E1092" s="12" t="n">
        <v>11974.4</v>
      </c>
      <c r="F1092" s="12" t="n">
        <v>12580.5</v>
      </c>
      <c r="G1092" s="12" t="n">
        <v>-606.1</v>
      </c>
      <c r="H1092" s="13" t="n">
        <v>0.3566</v>
      </c>
      <c r="I1092" s="13" t="n">
        <v>0.6042999999999999</v>
      </c>
    </row>
    <row r="1093">
      <c r="A1093" s="10" t="inlineStr">
        <is>
          <t>PJ-2022-G</t>
        </is>
      </c>
      <c r="B1093" s="10" t="inlineStr">
        <is>
          <t>素朴版／単調補間</t>
        </is>
      </c>
      <c r="C1093" s="10" t="inlineStr">
        <is>
          <t>2023-01</t>
        </is>
      </c>
      <c r="D1093" s="10" t="n">
        <v>12</v>
      </c>
      <c r="E1093" s="12" t="n">
        <v>11748.2</v>
      </c>
      <c r="F1093" s="12" t="n">
        <v>10581</v>
      </c>
      <c r="G1093" s="12" t="n">
        <v>1167.2</v>
      </c>
      <c r="H1093" s="13" t="n">
        <v>0.4069</v>
      </c>
      <c r="I1093" s="13" t="n">
        <v>0.6496</v>
      </c>
    </row>
    <row r="1094">
      <c r="A1094" s="10" t="inlineStr">
        <is>
          <t>PJ-2022-G</t>
        </is>
      </c>
      <c r="B1094" s="10" t="inlineStr">
        <is>
          <t>素朴版／単調補間</t>
        </is>
      </c>
      <c r="C1094" s="10" t="inlineStr">
        <is>
          <t>2023-02</t>
        </is>
      </c>
      <c r="D1094" s="10" t="n">
        <v>13</v>
      </c>
      <c r="E1094" s="12" t="n">
        <v>12270.3</v>
      </c>
      <c r="F1094" s="12" t="n">
        <v>9159.700000000001</v>
      </c>
      <c r="G1094" s="12" t="n">
        <v>3110.6</v>
      </c>
      <c r="H1094" s="13" t="n">
        <v>0.4594</v>
      </c>
      <c r="I1094" s="13" t="n">
        <v>0.6888</v>
      </c>
    </row>
    <row r="1095">
      <c r="A1095" s="10" t="inlineStr">
        <is>
          <t>PJ-2022-G</t>
        </is>
      </c>
      <c r="B1095" s="10" t="inlineStr">
        <is>
          <t>素朴版／単調補間</t>
        </is>
      </c>
      <c r="C1095" s="10" t="inlineStr">
        <is>
          <t>2023-03</t>
        </is>
      </c>
      <c r="D1095" s="10" t="n">
        <v>14</v>
      </c>
      <c r="E1095" s="12" t="n">
        <v>14133.3</v>
      </c>
      <c r="F1095" s="12" t="n">
        <v>10036.4</v>
      </c>
      <c r="G1095" s="12" t="n">
        <v>4096.9</v>
      </c>
      <c r="H1095" s="13" t="n">
        <v>0.5198</v>
      </c>
      <c r="I1095" s="13" t="n">
        <v>0.7317</v>
      </c>
    </row>
    <row r="1096">
      <c r="A1096" s="10" t="inlineStr">
        <is>
          <t>PJ-2022-G</t>
        </is>
      </c>
      <c r="B1096" s="10" t="inlineStr">
        <is>
          <t>素朴版／単調補間</t>
        </is>
      </c>
      <c r="C1096" s="10" t="inlineStr">
        <is>
          <t>2023-04</t>
        </is>
      </c>
      <c r="D1096" s="10" t="n">
        <v>15</v>
      </c>
      <c r="E1096" s="12" t="n">
        <v>14762.1</v>
      </c>
      <c r="F1096" s="12" t="n">
        <v>11511.6</v>
      </c>
      <c r="G1096" s="12" t="n">
        <v>3250.5</v>
      </c>
      <c r="H1096" s="13" t="n">
        <v>0.583</v>
      </c>
      <c r="I1096" s="13" t="n">
        <v>0.7809</v>
      </c>
    </row>
    <row r="1097">
      <c r="A1097" s="10" t="inlineStr">
        <is>
          <t>PJ-2022-G</t>
        </is>
      </c>
      <c r="B1097" s="10" t="inlineStr">
        <is>
          <t>素朴版／単調補間</t>
        </is>
      </c>
      <c r="C1097" s="10" t="inlineStr">
        <is>
          <t>2023-05</t>
        </is>
      </c>
      <c r="D1097" s="10" t="n">
        <v>16</v>
      </c>
      <c r="E1097" s="12" t="n">
        <v>15457.4</v>
      </c>
      <c r="F1097" s="12" t="n">
        <v>12070.3</v>
      </c>
      <c r="G1097" s="12" t="n">
        <v>3387.1</v>
      </c>
      <c r="H1097" s="13" t="n">
        <v>0.6491</v>
      </c>
      <c r="I1097" s="13" t="n">
        <v>0.8326</v>
      </c>
    </row>
    <row r="1098">
      <c r="A1098" s="10" t="inlineStr">
        <is>
          <t>PJ-2022-G</t>
        </is>
      </c>
      <c r="B1098" s="10" t="inlineStr">
        <is>
          <t>素朴版／単調補間</t>
        </is>
      </c>
      <c r="C1098" s="10" t="inlineStr">
        <is>
          <t>2023-06</t>
        </is>
      </c>
      <c r="D1098" s="10" t="n">
        <v>17</v>
      </c>
      <c r="E1098" s="12" t="n">
        <v>13662.7</v>
      </c>
      <c r="F1098" s="12" t="n">
        <v>10093.2</v>
      </c>
      <c r="G1098" s="12" t="n">
        <v>3569.5</v>
      </c>
      <c r="H1098" s="13" t="n">
        <v>0.7075</v>
      </c>
      <c r="I1098" s="13" t="n">
        <v>0.8758</v>
      </c>
    </row>
    <row r="1099">
      <c r="A1099" s="10" t="inlineStr">
        <is>
          <t>PJ-2022-G</t>
        </is>
      </c>
      <c r="B1099" s="10" t="inlineStr">
        <is>
          <t>素朴版／単調補間</t>
        </is>
      </c>
      <c r="C1099" s="10" t="inlineStr">
        <is>
          <t>2023-07</t>
        </is>
      </c>
      <c r="D1099" s="10" t="n">
        <v>18</v>
      </c>
      <c r="E1099" s="12" t="n">
        <v>13208.3</v>
      </c>
      <c r="F1099" s="12" t="n">
        <v>8162.9</v>
      </c>
      <c r="G1099" s="12" t="n">
        <v>5045.4</v>
      </c>
      <c r="H1099" s="13" t="n">
        <v>0.7641</v>
      </c>
      <c r="I1099" s="13" t="n">
        <v>0.9107</v>
      </c>
    </row>
    <row r="1100">
      <c r="A1100" s="10" t="inlineStr">
        <is>
          <t>PJ-2022-G</t>
        </is>
      </c>
      <c r="B1100" s="10" t="inlineStr">
        <is>
          <t>素朴版／単調補間</t>
        </is>
      </c>
      <c r="C1100" s="10" t="inlineStr">
        <is>
          <t>2023-08</t>
        </is>
      </c>
      <c r="D1100" s="10" t="n">
        <v>19</v>
      </c>
      <c r="E1100" s="12" t="n">
        <v>13643.5</v>
      </c>
      <c r="F1100" s="12" t="n">
        <v>5336.7</v>
      </c>
      <c r="G1100" s="12" t="n">
        <v>8306.799999999999</v>
      </c>
      <c r="H1100" s="13" t="n">
        <v>0.8224</v>
      </c>
      <c r="I1100" s="13" t="n">
        <v>0.9335</v>
      </c>
    </row>
    <row r="1101">
      <c r="A1101" s="10" t="inlineStr">
        <is>
          <t>PJ-2022-G</t>
        </is>
      </c>
      <c r="B1101" s="10" t="inlineStr">
        <is>
          <t>素朴版／単調補間</t>
        </is>
      </c>
      <c r="C1101" s="10" t="inlineStr">
        <is>
          <t>2023-09</t>
        </is>
      </c>
      <c r="D1101" s="10" t="n">
        <v>20</v>
      </c>
      <c r="E1101" s="12" t="n">
        <v>13075.1</v>
      </c>
      <c r="F1101" s="12" t="n">
        <v>4269.9</v>
      </c>
      <c r="G1101" s="12" t="n">
        <v>8805.200000000001</v>
      </c>
      <c r="H1101" s="13" t="n">
        <v>0.8784</v>
      </c>
      <c r="I1101" s="13" t="n">
        <v>0.9518</v>
      </c>
    </row>
    <row r="1102">
      <c r="A1102" s="10" t="inlineStr">
        <is>
          <t>PJ-2022-G</t>
        </is>
      </c>
      <c r="B1102" s="10" t="inlineStr">
        <is>
          <t>素朴版／単調補間</t>
        </is>
      </c>
      <c r="C1102" s="10" t="inlineStr">
        <is>
          <t>2023-10</t>
        </is>
      </c>
      <c r="D1102" s="10" t="n">
        <v>21</v>
      </c>
      <c r="E1102" s="12" t="n">
        <v>10580.2</v>
      </c>
      <c r="F1102" s="12" t="n">
        <v>4101.6</v>
      </c>
      <c r="G1102" s="12" t="n">
        <v>6478.6</v>
      </c>
      <c r="H1102" s="13" t="n">
        <v>0.9236</v>
      </c>
      <c r="I1102" s="13" t="n">
        <v>0.9693000000000001</v>
      </c>
    </row>
    <row r="1103">
      <c r="A1103" s="10" t="inlineStr">
        <is>
          <t>PJ-2022-G</t>
        </is>
      </c>
      <c r="B1103" s="10" t="inlineStr">
        <is>
          <t>素朴版／単調補間</t>
        </is>
      </c>
      <c r="C1103" s="10" t="inlineStr">
        <is>
          <t>2023-11</t>
        </is>
      </c>
      <c r="D1103" s="10" t="n">
        <v>22</v>
      </c>
      <c r="E1103" s="12" t="n">
        <v>7978.2</v>
      </c>
      <c r="F1103" s="12" t="n">
        <v>3281.7</v>
      </c>
      <c r="G1103" s="12" t="n">
        <v>4696.5</v>
      </c>
      <c r="H1103" s="13" t="n">
        <v>0.9577</v>
      </c>
      <c r="I1103" s="13" t="n">
        <v>0.9834000000000001</v>
      </c>
    </row>
    <row r="1104">
      <c r="A1104" s="10" t="inlineStr">
        <is>
          <t>PJ-2022-G</t>
        </is>
      </c>
      <c r="B1104" s="10" t="inlineStr">
        <is>
          <t>素朴版／単調補間</t>
        </is>
      </c>
      <c r="C1104" s="10" t="inlineStr">
        <is>
          <t>2023-12</t>
        </is>
      </c>
      <c r="D1104" s="10" t="n">
        <v>23</v>
      </c>
      <c r="E1104" s="12" t="n">
        <v>6392.4</v>
      </c>
      <c r="F1104" s="12" t="n">
        <v>2964.5</v>
      </c>
      <c r="G1104" s="12" t="n">
        <v>3427.9</v>
      </c>
      <c r="H1104" s="13" t="n">
        <v>0.9851</v>
      </c>
      <c r="I1104" s="13" t="n">
        <v>0.996</v>
      </c>
    </row>
    <row r="1105">
      <c r="A1105" s="10" t="inlineStr">
        <is>
          <t>PJ-2022-G</t>
        </is>
      </c>
      <c r="B1105" s="10" t="inlineStr">
        <is>
          <t>素朴版／単調補間</t>
        </is>
      </c>
      <c r="C1105" s="10" t="inlineStr">
        <is>
          <t>2024-01</t>
        </is>
      </c>
      <c r="D1105" s="10" t="n">
        <v>24</v>
      </c>
      <c r="E1105" s="12" t="n">
        <v>3485.8</v>
      </c>
      <c r="F1105" s="12" t="n">
        <v>925</v>
      </c>
      <c r="G1105" s="12" t="n">
        <v>2560.8</v>
      </c>
      <c r="H1105" s="13" t="n">
        <v>1</v>
      </c>
      <c r="I1105" s="13" t="n">
        <v>1</v>
      </c>
    </row>
    <row r="1106">
      <c r="A1106" s="10" t="inlineStr">
        <is>
          <t>PJ-2022-G</t>
        </is>
      </c>
      <c r="B1106" s="10" t="inlineStr">
        <is>
          <t>位置合わせ(MS学習値)／単調補間</t>
        </is>
      </c>
      <c r="C1106" s="10" t="inlineStr">
        <is>
          <t>2022-02</t>
        </is>
      </c>
      <c r="D1106" s="10" t="n">
        <v>1</v>
      </c>
      <c r="E1106" s="12" t="n">
        <v>2969.7</v>
      </c>
      <c r="F1106" s="12" t="n">
        <v>9203.5</v>
      </c>
      <c r="G1106" s="12" t="n">
        <v>-6233.8</v>
      </c>
      <c r="H1106" s="13" t="n">
        <v>0.0127</v>
      </c>
      <c r="I1106" s="13" t="n">
        <v>0.0394</v>
      </c>
    </row>
    <row r="1107">
      <c r="A1107" s="10" t="inlineStr">
        <is>
          <t>PJ-2022-G</t>
        </is>
      </c>
      <c r="B1107" s="10" t="inlineStr">
        <is>
          <t>位置合わせ(MS学習値)／単調補間</t>
        </is>
      </c>
      <c r="C1107" s="10" t="inlineStr">
        <is>
          <t>2022-03</t>
        </is>
      </c>
      <c r="D1107" s="10" t="n">
        <v>2</v>
      </c>
      <c r="E1107" s="12" t="n">
        <v>4346</v>
      </c>
      <c r="F1107" s="12" t="n">
        <v>11045.5</v>
      </c>
      <c r="G1107" s="12" t="n">
        <v>-6699.5</v>
      </c>
      <c r="H1107" s="13" t="n">
        <v>0.0313</v>
      </c>
      <c r="I1107" s="13" t="n">
        <v>0.0866</v>
      </c>
    </row>
    <row r="1108">
      <c r="A1108" s="10" t="inlineStr">
        <is>
          <t>PJ-2022-G</t>
        </is>
      </c>
      <c r="B1108" s="10" t="inlineStr">
        <is>
          <t>位置合わせ(MS学習値)／単調補間</t>
        </is>
      </c>
      <c r="C1108" s="10" t="inlineStr">
        <is>
          <t>2022-04</t>
        </is>
      </c>
      <c r="D1108" s="10" t="n">
        <v>3</v>
      </c>
      <c r="E1108" s="12" t="n">
        <v>4998.6</v>
      </c>
      <c r="F1108" s="12" t="n">
        <v>10444.9</v>
      </c>
      <c r="G1108" s="12" t="n">
        <v>-5446.3</v>
      </c>
      <c r="H1108" s="13" t="n">
        <v>0.0527</v>
      </c>
      <c r="I1108" s="13" t="n">
        <v>0.1313</v>
      </c>
    </row>
    <row r="1109">
      <c r="A1109" s="10" t="inlineStr">
        <is>
          <t>PJ-2022-G</t>
        </is>
      </c>
      <c r="B1109" s="10" t="inlineStr">
        <is>
          <t>位置合わせ(MS学習値)／単調補間</t>
        </is>
      </c>
      <c r="C1109" s="10" t="inlineStr">
        <is>
          <t>2022-05</t>
        </is>
      </c>
      <c r="D1109" s="10" t="n">
        <v>4</v>
      </c>
      <c r="E1109" s="12" t="n">
        <v>5853.1</v>
      </c>
      <c r="F1109" s="12" t="n">
        <v>11771</v>
      </c>
      <c r="G1109" s="12" t="n">
        <v>-5917.9</v>
      </c>
      <c r="H1109" s="13" t="n">
        <v>0.07770000000000001</v>
      </c>
      <c r="I1109" s="13" t="n">
        <v>0.1817</v>
      </c>
    </row>
    <row r="1110">
      <c r="A1110" s="10" t="inlineStr">
        <is>
          <t>PJ-2022-G</t>
        </is>
      </c>
      <c r="B1110" s="10" t="inlineStr">
        <is>
          <t>位置合わせ(MS学習値)／単調補間</t>
        </is>
      </c>
      <c r="C1110" s="10" t="inlineStr">
        <is>
          <t>2022-06</t>
        </is>
      </c>
      <c r="D1110" s="10" t="n">
        <v>5</v>
      </c>
      <c r="E1110" s="12" t="n">
        <v>5960.1</v>
      </c>
      <c r="F1110" s="12" t="n">
        <v>10986.1</v>
      </c>
      <c r="G1110" s="12" t="n">
        <v>-5026</v>
      </c>
      <c r="H1110" s="13" t="n">
        <v>0.1032</v>
      </c>
      <c r="I1110" s="13" t="n">
        <v>0.2287</v>
      </c>
    </row>
    <row r="1111">
      <c r="A1111" s="10" t="inlineStr">
        <is>
          <t>PJ-2022-G</t>
        </is>
      </c>
      <c r="B1111" s="10" t="inlineStr">
        <is>
          <t>位置合わせ(MS学習値)／単調補間</t>
        </is>
      </c>
      <c r="C1111" s="10" t="inlineStr">
        <is>
          <t>2022-07</t>
        </is>
      </c>
      <c r="D1111" s="10" t="n">
        <v>6</v>
      </c>
      <c r="E1111" s="12" t="n">
        <v>6711.6</v>
      </c>
      <c r="F1111" s="12" t="n">
        <v>12683.3</v>
      </c>
      <c r="G1111" s="12" t="n">
        <v>-5971.7</v>
      </c>
      <c r="H1111" s="13" t="n">
        <v>0.1319</v>
      </c>
      <c r="I1111" s="13" t="n">
        <v>0.2829</v>
      </c>
    </row>
    <row r="1112">
      <c r="A1112" s="10" t="inlineStr">
        <is>
          <t>PJ-2022-G</t>
        </is>
      </c>
      <c r="B1112" s="10" t="inlineStr">
        <is>
          <t>位置合わせ(MS学習値)／単調補間</t>
        </is>
      </c>
      <c r="C1112" s="10" t="inlineStr">
        <is>
          <t>2022-08</t>
        </is>
      </c>
      <c r="D1112" s="10" t="n">
        <v>7</v>
      </c>
      <c r="E1112" s="12" t="n">
        <v>7535.6</v>
      </c>
      <c r="F1112" s="12" t="n">
        <v>14085.9</v>
      </c>
      <c r="G1112" s="12" t="n">
        <v>-6550.3</v>
      </c>
      <c r="H1112" s="13" t="n">
        <v>0.1642</v>
      </c>
      <c r="I1112" s="13" t="n">
        <v>0.3432</v>
      </c>
    </row>
    <row r="1113">
      <c r="A1113" s="10" t="inlineStr">
        <is>
          <t>PJ-2022-G</t>
        </is>
      </c>
      <c r="B1113" s="10" t="inlineStr">
        <is>
          <t>位置合わせ(MS学習値)／単調補間</t>
        </is>
      </c>
      <c r="C1113" s="10" t="inlineStr">
        <is>
          <t>2022-09</t>
        </is>
      </c>
      <c r="D1113" s="10" t="n">
        <v>8</v>
      </c>
      <c r="E1113" s="12" t="n">
        <v>8291.4</v>
      </c>
      <c r="F1113" s="12" t="n">
        <v>16396.3</v>
      </c>
      <c r="G1113" s="12" t="n">
        <v>-8104.9</v>
      </c>
      <c r="H1113" s="13" t="n">
        <v>0.1996</v>
      </c>
      <c r="I1113" s="13" t="n">
        <v>0.4133</v>
      </c>
    </row>
    <row r="1114">
      <c r="A1114" s="10" t="inlineStr">
        <is>
          <t>PJ-2022-G</t>
        </is>
      </c>
      <c r="B1114" s="10" t="inlineStr">
        <is>
          <t>位置合わせ(MS学習値)／単調補間</t>
        </is>
      </c>
      <c r="C1114" s="10" t="inlineStr">
        <is>
          <t>2022-10</t>
        </is>
      </c>
      <c r="D1114" s="10" t="n">
        <v>9</v>
      </c>
      <c r="E1114" s="12" t="n">
        <v>10081.4</v>
      </c>
      <c r="F1114" s="12" t="n">
        <v>16496.9</v>
      </c>
      <c r="G1114" s="12" t="n">
        <v>-6415.5</v>
      </c>
      <c r="H1114" s="13" t="n">
        <v>0.2428</v>
      </c>
      <c r="I1114" s="13" t="n">
        <v>0.4839</v>
      </c>
    </row>
    <row r="1115">
      <c r="A1115" s="10" t="inlineStr">
        <is>
          <t>PJ-2022-G</t>
        </is>
      </c>
      <c r="B1115" s="10" t="inlineStr">
        <is>
          <t>位置合わせ(MS学習値)／単調補間</t>
        </is>
      </c>
      <c r="C1115" s="10" t="inlineStr">
        <is>
          <t>2022-11</t>
        </is>
      </c>
      <c r="D1115" s="10" t="n">
        <v>10</v>
      </c>
      <c r="E1115" s="12" t="n">
        <v>10694.2</v>
      </c>
      <c r="F1115" s="12" t="n">
        <v>15571.5</v>
      </c>
      <c r="G1115" s="12" t="n">
        <v>-4877.3</v>
      </c>
      <c r="H1115" s="13" t="n">
        <v>0.2885</v>
      </c>
      <c r="I1115" s="13" t="n">
        <v>0.5505</v>
      </c>
    </row>
    <row r="1116">
      <c r="A1116" s="10" t="inlineStr">
        <is>
          <t>PJ-2022-G</t>
        </is>
      </c>
      <c r="B1116" s="10" t="inlineStr">
        <is>
          <t>位置合わせ(MS学習値)／単調補間</t>
        </is>
      </c>
      <c r="C1116" s="10" t="inlineStr">
        <is>
          <t>2022-12</t>
        </is>
      </c>
      <c r="D1116" s="10" t="n">
        <v>11</v>
      </c>
      <c r="E1116" s="12" t="n">
        <v>12206</v>
      </c>
      <c r="F1116" s="12" t="n">
        <v>12580.5</v>
      </c>
      <c r="G1116" s="12" t="n">
        <v>-374.5</v>
      </c>
      <c r="H1116" s="13" t="n">
        <v>0.3407</v>
      </c>
      <c r="I1116" s="13" t="n">
        <v>0.6042999999999999</v>
      </c>
    </row>
    <row r="1117">
      <c r="A1117" s="10" t="inlineStr">
        <is>
          <t>PJ-2022-G</t>
        </is>
      </c>
      <c r="B1117" s="10" t="inlineStr">
        <is>
          <t>位置合わせ(MS学習値)／単調補間</t>
        </is>
      </c>
      <c r="C1117" s="10" t="inlineStr">
        <is>
          <t>2023-01</t>
        </is>
      </c>
      <c r="D1117" s="10" t="n">
        <v>12</v>
      </c>
      <c r="E1117" s="12" t="n">
        <v>14206.9</v>
      </c>
      <c r="F1117" s="12" t="n">
        <v>10581</v>
      </c>
      <c r="G1117" s="12" t="n">
        <v>3625.9</v>
      </c>
      <c r="H1117" s="13" t="n">
        <v>0.4015</v>
      </c>
      <c r="I1117" s="13" t="n">
        <v>0.6496</v>
      </c>
    </row>
    <row r="1118">
      <c r="A1118" s="10" t="inlineStr">
        <is>
          <t>PJ-2022-G</t>
        </is>
      </c>
      <c r="B1118" s="10" t="inlineStr">
        <is>
          <t>位置合わせ(MS学習値)／単調補間</t>
        </is>
      </c>
      <c r="C1118" s="10" t="inlineStr">
        <is>
          <t>2023-02</t>
        </is>
      </c>
      <c r="D1118" s="10" t="n">
        <v>13</v>
      </c>
      <c r="E1118" s="12" t="n">
        <v>13543</v>
      </c>
      <c r="F1118" s="12" t="n">
        <v>9159.700000000001</v>
      </c>
      <c r="G1118" s="12" t="n">
        <v>4383.3</v>
      </c>
      <c r="H1118" s="13" t="n">
        <v>0.4594</v>
      </c>
      <c r="I1118" s="13" t="n">
        <v>0.6888</v>
      </c>
    </row>
    <row r="1119">
      <c r="A1119" s="10" t="inlineStr">
        <is>
          <t>PJ-2022-G</t>
        </is>
      </c>
      <c r="B1119" s="10" t="inlineStr">
        <is>
          <t>位置合わせ(MS学習値)／単調補間</t>
        </is>
      </c>
      <c r="C1119" s="10" t="inlineStr">
        <is>
          <t>2023-03</t>
        </is>
      </c>
      <c r="D1119" s="10" t="n">
        <v>14</v>
      </c>
      <c r="E1119" s="12" t="n">
        <v>14940.1</v>
      </c>
      <c r="F1119" s="12" t="n">
        <v>10036.4</v>
      </c>
      <c r="G1119" s="12" t="n">
        <v>4903.7</v>
      </c>
      <c r="H1119" s="13" t="n">
        <v>0.5233</v>
      </c>
      <c r="I1119" s="13" t="n">
        <v>0.7317</v>
      </c>
    </row>
    <row r="1120">
      <c r="A1120" s="10" t="inlineStr">
        <is>
          <t>PJ-2022-G</t>
        </is>
      </c>
      <c r="B1120" s="10" t="inlineStr">
        <is>
          <t>位置合わせ(MS学習値)／単調補間</t>
        </is>
      </c>
      <c r="C1120" s="10" t="inlineStr">
        <is>
          <t>2023-04</t>
        </is>
      </c>
      <c r="D1120" s="10" t="n">
        <v>15</v>
      </c>
      <c r="E1120" s="12" t="n">
        <v>14138</v>
      </c>
      <c r="F1120" s="12" t="n">
        <v>11511.6</v>
      </c>
      <c r="G1120" s="12" t="n">
        <v>2626.4</v>
      </c>
      <c r="H1120" s="13" t="n">
        <v>0.5838</v>
      </c>
      <c r="I1120" s="13" t="n">
        <v>0.7809</v>
      </c>
    </row>
    <row r="1121">
      <c r="A1121" s="10" t="inlineStr">
        <is>
          <t>PJ-2022-G</t>
        </is>
      </c>
      <c r="B1121" s="10" t="inlineStr">
        <is>
          <t>位置合わせ(MS学習値)／単調補間</t>
        </is>
      </c>
      <c r="C1121" s="10" t="inlineStr">
        <is>
          <t>2023-05</t>
        </is>
      </c>
      <c r="D1121" s="10" t="n">
        <v>16</v>
      </c>
      <c r="E1121" s="12" t="n">
        <v>14633.4</v>
      </c>
      <c r="F1121" s="12" t="n">
        <v>12070.3</v>
      </c>
      <c r="G1121" s="12" t="n">
        <v>2563.1</v>
      </c>
      <c r="H1121" s="13" t="n">
        <v>0.6464</v>
      </c>
      <c r="I1121" s="13" t="n">
        <v>0.8326</v>
      </c>
    </row>
    <row r="1122">
      <c r="A1122" s="10" t="inlineStr">
        <is>
          <t>PJ-2022-G</t>
        </is>
      </c>
      <c r="B1122" s="10" t="inlineStr">
        <is>
          <t>位置合わせ(MS学習値)／単調補間</t>
        </is>
      </c>
      <c r="C1122" s="10" t="inlineStr">
        <is>
          <t>2023-06</t>
        </is>
      </c>
      <c r="D1122" s="10" t="n">
        <v>17</v>
      </c>
      <c r="E1122" s="12" t="n">
        <v>14821</v>
      </c>
      <c r="F1122" s="12" t="n">
        <v>10093.2</v>
      </c>
      <c r="G1122" s="12" t="n">
        <v>4727.8</v>
      </c>
      <c r="H1122" s="13" t="n">
        <v>0.7098</v>
      </c>
      <c r="I1122" s="13" t="n">
        <v>0.8758</v>
      </c>
    </row>
    <row r="1123">
      <c r="A1123" s="10" t="inlineStr">
        <is>
          <t>PJ-2022-G</t>
        </is>
      </c>
      <c r="B1123" s="10" t="inlineStr">
        <is>
          <t>位置合わせ(MS学習値)／単調補間</t>
        </is>
      </c>
      <c r="C1123" s="10" t="inlineStr">
        <is>
          <t>2023-07</t>
        </is>
      </c>
      <c r="D1123" s="10" t="n">
        <v>18</v>
      </c>
      <c r="E1123" s="12" t="n">
        <v>15665</v>
      </c>
      <c r="F1123" s="12" t="n">
        <v>8162.9</v>
      </c>
      <c r="G1123" s="12" t="n">
        <v>7502.1</v>
      </c>
      <c r="H1123" s="13" t="n">
        <v>0.7768</v>
      </c>
      <c r="I1123" s="13" t="n">
        <v>0.9107</v>
      </c>
    </row>
    <row r="1124">
      <c r="A1124" s="10" t="inlineStr">
        <is>
          <t>PJ-2022-G</t>
        </is>
      </c>
      <c r="B1124" s="10" t="inlineStr">
        <is>
          <t>位置合わせ(MS学習値)／単調補間</t>
        </is>
      </c>
      <c r="C1124" s="10" t="inlineStr">
        <is>
          <t>2023-08</t>
        </is>
      </c>
      <c r="D1124" s="10" t="n">
        <v>19</v>
      </c>
      <c r="E1124" s="12" t="n">
        <v>13098.2</v>
      </c>
      <c r="F1124" s="12" t="n">
        <v>5336.7</v>
      </c>
      <c r="G1124" s="12" t="n">
        <v>7761.5</v>
      </c>
      <c r="H1124" s="13" t="n">
        <v>0.8329</v>
      </c>
      <c r="I1124" s="13" t="n">
        <v>0.9335</v>
      </c>
    </row>
    <row r="1125">
      <c r="A1125" s="10" t="inlineStr">
        <is>
          <t>PJ-2022-G</t>
        </is>
      </c>
      <c r="B1125" s="10" t="inlineStr">
        <is>
          <t>位置合わせ(MS学習値)／単調補間</t>
        </is>
      </c>
      <c r="C1125" s="10" t="inlineStr">
        <is>
          <t>2023-09</t>
        </is>
      </c>
      <c r="D1125" s="10" t="n">
        <v>20</v>
      </c>
      <c r="E1125" s="12" t="n">
        <v>11552.4</v>
      </c>
      <c r="F1125" s="12" t="n">
        <v>4269.9</v>
      </c>
      <c r="G1125" s="12" t="n">
        <v>7282.5</v>
      </c>
      <c r="H1125" s="13" t="n">
        <v>0.8823</v>
      </c>
      <c r="I1125" s="13" t="n">
        <v>0.9518</v>
      </c>
    </row>
    <row r="1126">
      <c r="A1126" s="10" t="inlineStr">
        <is>
          <t>PJ-2022-G</t>
        </is>
      </c>
      <c r="B1126" s="10" t="inlineStr">
        <is>
          <t>位置合わせ(MS学習値)／単調補間</t>
        </is>
      </c>
      <c r="C1126" s="10" t="inlineStr">
        <is>
          <t>2023-10</t>
        </is>
      </c>
      <c r="D1126" s="10" t="n">
        <v>21</v>
      </c>
      <c r="E1126" s="12" t="n">
        <v>9665.700000000001</v>
      </c>
      <c r="F1126" s="12" t="n">
        <v>4101.6</v>
      </c>
      <c r="G1126" s="12" t="n">
        <v>5564.1</v>
      </c>
      <c r="H1126" s="13" t="n">
        <v>0.9236</v>
      </c>
      <c r="I1126" s="13" t="n">
        <v>0.9693000000000001</v>
      </c>
    </row>
    <row r="1127">
      <c r="A1127" s="10" t="inlineStr">
        <is>
          <t>PJ-2022-G</t>
        </is>
      </c>
      <c r="B1127" s="10" t="inlineStr">
        <is>
          <t>位置合わせ(MS学習値)／単調補間</t>
        </is>
      </c>
      <c r="C1127" s="10" t="inlineStr">
        <is>
          <t>2023-11</t>
        </is>
      </c>
      <c r="D1127" s="10" t="n">
        <v>22</v>
      </c>
      <c r="E1127" s="12" t="n">
        <v>7999.2</v>
      </c>
      <c r="F1127" s="12" t="n">
        <v>3281.7</v>
      </c>
      <c r="G1127" s="12" t="n">
        <v>4717.5</v>
      </c>
      <c r="H1127" s="13" t="n">
        <v>0.9579</v>
      </c>
      <c r="I1127" s="13" t="n">
        <v>0.9834000000000001</v>
      </c>
    </row>
    <row r="1128">
      <c r="A1128" s="10" t="inlineStr">
        <is>
          <t>PJ-2022-G</t>
        </is>
      </c>
      <c r="B1128" s="10" t="inlineStr">
        <is>
          <t>位置合わせ(MS学習値)／単調補間</t>
        </is>
      </c>
      <c r="C1128" s="10" t="inlineStr">
        <is>
          <t>2023-12</t>
        </is>
      </c>
      <c r="D1128" s="10" t="n">
        <v>23</v>
      </c>
      <c r="E1128" s="12" t="n">
        <v>6468.9</v>
      </c>
      <c r="F1128" s="12" t="n">
        <v>2964.5</v>
      </c>
      <c r="G1128" s="12" t="n">
        <v>3504.4</v>
      </c>
      <c r="H1128" s="13" t="n">
        <v>0.9855</v>
      </c>
      <c r="I1128" s="13" t="n">
        <v>0.996</v>
      </c>
    </row>
    <row r="1129">
      <c r="A1129" s="10" t="inlineStr">
        <is>
          <t>PJ-2022-G</t>
        </is>
      </c>
      <c r="B1129" s="10" t="inlineStr">
        <is>
          <t>位置合わせ(MS学習値)／単調補間</t>
        </is>
      </c>
      <c r="C1129" s="10" t="inlineStr">
        <is>
          <t>2024-01</t>
        </is>
      </c>
      <c r="D1129" s="10" t="n">
        <v>24</v>
      </c>
      <c r="E1129" s="12" t="n">
        <v>3380.4</v>
      </c>
      <c r="F1129" s="12" t="n">
        <v>925</v>
      </c>
      <c r="G1129" s="12" t="n">
        <v>2455.4</v>
      </c>
      <c r="H1129" s="13" t="n">
        <v>1</v>
      </c>
      <c r="I1129" s="13" t="n">
        <v>1</v>
      </c>
    </row>
    <row r="1130">
      <c r="A1130" s="10" t="inlineStr">
        <is>
          <t>PJ-2022-G</t>
        </is>
      </c>
      <c r="B1130" s="10" t="inlineStr">
        <is>
          <t>位置合わせ(MS指定)／単調補間</t>
        </is>
      </c>
      <c r="C1130" s="10" t="inlineStr">
        <is>
          <t>2022-02</t>
        </is>
      </c>
      <c r="D1130" s="10" t="n">
        <v>1</v>
      </c>
      <c r="E1130" s="12" t="n">
        <v>3267</v>
      </c>
      <c r="F1130" s="12" t="n">
        <v>9203.5</v>
      </c>
      <c r="G1130" s="12" t="n">
        <v>-5936.5</v>
      </c>
      <c r="H1130" s="13" t="n">
        <v>0.014</v>
      </c>
      <c r="I1130" s="13" t="n">
        <v>0.0394</v>
      </c>
    </row>
    <row r="1131">
      <c r="A1131" s="10" t="inlineStr">
        <is>
          <t>PJ-2022-G</t>
        </is>
      </c>
      <c r="B1131" s="10" t="inlineStr">
        <is>
          <t>位置合わせ(MS指定)／単調補間</t>
        </is>
      </c>
      <c r="C1131" s="10" t="inlineStr">
        <is>
          <t>2022-03</t>
        </is>
      </c>
      <c r="D1131" s="10" t="n">
        <v>2</v>
      </c>
      <c r="E1131" s="12" t="n">
        <v>4871.4</v>
      </c>
      <c r="F1131" s="12" t="n">
        <v>11045.5</v>
      </c>
      <c r="G1131" s="12" t="n">
        <v>-6174.1</v>
      </c>
      <c r="H1131" s="13" t="n">
        <v>0.0348</v>
      </c>
      <c r="I1131" s="13" t="n">
        <v>0.0866</v>
      </c>
    </row>
    <row r="1132">
      <c r="A1132" s="10" t="inlineStr">
        <is>
          <t>PJ-2022-G</t>
        </is>
      </c>
      <c r="B1132" s="10" t="inlineStr">
        <is>
          <t>位置合わせ(MS指定)／単調補間</t>
        </is>
      </c>
      <c r="C1132" s="10" t="inlineStr">
        <is>
          <t>2022-04</t>
        </is>
      </c>
      <c r="D1132" s="10" t="n">
        <v>3</v>
      </c>
      <c r="E1132" s="12" t="n">
        <v>5583.1</v>
      </c>
      <c r="F1132" s="12" t="n">
        <v>10444.9</v>
      </c>
      <c r="G1132" s="12" t="n">
        <v>-4861.8</v>
      </c>
      <c r="H1132" s="13" t="n">
        <v>0.0587</v>
      </c>
      <c r="I1132" s="13" t="n">
        <v>0.1313</v>
      </c>
    </row>
    <row r="1133">
      <c r="A1133" s="10" t="inlineStr">
        <is>
          <t>PJ-2022-G</t>
        </is>
      </c>
      <c r="B1133" s="10" t="inlineStr">
        <is>
          <t>位置合わせ(MS指定)／単調補間</t>
        </is>
      </c>
      <c r="C1133" s="10" t="inlineStr">
        <is>
          <t>2022-05</t>
        </is>
      </c>
      <c r="D1133" s="10" t="n">
        <v>4</v>
      </c>
      <c r="E1133" s="12" t="n">
        <v>6440.8</v>
      </c>
      <c r="F1133" s="12" t="n">
        <v>11771</v>
      </c>
      <c r="G1133" s="12" t="n">
        <v>-5330.2</v>
      </c>
      <c r="H1133" s="13" t="n">
        <v>0.0863</v>
      </c>
      <c r="I1133" s="13" t="n">
        <v>0.1817</v>
      </c>
    </row>
    <row r="1134">
      <c r="A1134" s="10" t="inlineStr">
        <is>
          <t>PJ-2022-G</t>
        </is>
      </c>
      <c r="B1134" s="10" t="inlineStr">
        <is>
          <t>位置合わせ(MS指定)／単調補間</t>
        </is>
      </c>
      <c r="C1134" s="10" t="inlineStr">
        <is>
          <t>2022-06</t>
        </is>
      </c>
      <c r="D1134" s="10" t="n">
        <v>5</v>
      </c>
      <c r="E1134" s="12" t="n">
        <v>6695.2</v>
      </c>
      <c r="F1134" s="12" t="n">
        <v>10986.1</v>
      </c>
      <c r="G1134" s="12" t="n">
        <v>-4290.9</v>
      </c>
      <c r="H1134" s="13" t="n">
        <v>0.1149</v>
      </c>
      <c r="I1134" s="13" t="n">
        <v>0.2287</v>
      </c>
    </row>
    <row r="1135">
      <c r="A1135" s="10" t="inlineStr">
        <is>
          <t>PJ-2022-G</t>
        </is>
      </c>
      <c r="B1135" s="10" t="inlineStr">
        <is>
          <t>位置合わせ(MS指定)／単調補間</t>
        </is>
      </c>
      <c r="C1135" s="10" t="inlineStr">
        <is>
          <t>2022-07</t>
        </is>
      </c>
      <c r="D1135" s="10" t="n">
        <v>6</v>
      </c>
      <c r="E1135" s="12" t="n">
        <v>7695.4</v>
      </c>
      <c r="F1135" s="12" t="n">
        <v>12683.3</v>
      </c>
      <c r="G1135" s="12" t="n">
        <v>-4987.9</v>
      </c>
      <c r="H1135" s="13" t="n">
        <v>0.1478</v>
      </c>
      <c r="I1135" s="13" t="n">
        <v>0.2829</v>
      </c>
    </row>
    <row r="1136">
      <c r="A1136" s="10" t="inlineStr">
        <is>
          <t>PJ-2022-G</t>
        </is>
      </c>
      <c r="B1136" s="10" t="inlineStr">
        <is>
          <t>位置合わせ(MS指定)／単調補間</t>
        </is>
      </c>
      <c r="C1136" s="10" t="inlineStr">
        <is>
          <t>2022-08</t>
        </is>
      </c>
      <c r="D1136" s="10" t="n">
        <v>7</v>
      </c>
      <c r="E1136" s="12" t="n">
        <v>8757.299999999999</v>
      </c>
      <c r="F1136" s="12" t="n">
        <v>14085.9</v>
      </c>
      <c r="G1136" s="12" t="n">
        <v>-5328.6</v>
      </c>
      <c r="H1136" s="13" t="n">
        <v>0.1853</v>
      </c>
      <c r="I1136" s="13" t="n">
        <v>0.3432</v>
      </c>
    </row>
    <row r="1137">
      <c r="A1137" s="10" t="inlineStr">
        <is>
          <t>PJ-2022-G</t>
        </is>
      </c>
      <c r="B1137" s="10" t="inlineStr">
        <is>
          <t>位置合わせ(MS指定)／単調補間</t>
        </is>
      </c>
      <c r="C1137" s="10" t="inlineStr">
        <is>
          <t>2022-09</t>
        </is>
      </c>
      <c r="D1137" s="10" t="n">
        <v>8</v>
      </c>
      <c r="E1137" s="12" t="n">
        <v>10070</v>
      </c>
      <c r="F1137" s="12" t="n">
        <v>16396.3</v>
      </c>
      <c r="G1137" s="12" t="n">
        <v>-6326.3</v>
      </c>
      <c r="H1137" s="13" t="n">
        <v>0.2284</v>
      </c>
      <c r="I1137" s="13" t="n">
        <v>0.4133</v>
      </c>
    </row>
    <row r="1138">
      <c r="A1138" s="10" t="inlineStr">
        <is>
          <t>PJ-2022-G</t>
        </is>
      </c>
      <c r="B1138" s="10" t="inlineStr">
        <is>
          <t>位置合わせ(MS指定)／単調補間</t>
        </is>
      </c>
      <c r="C1138" s="10" t="inlineStr">
        <is>
          <t>2022-10</t>
        </is>
      </c>
      <c r="D1138" s="10" t="n">
        <v>9</v>
      </c>
      <c r="E1138" s="12" t="n">
        <v>11694.6</v>
      </c>
      <c r="F1138" s="12" t="n">
        <v>16496.9</v>
      </c>
      <c r="G1138" s="12" t="n">
        <v>-4802.3</v>
      </c>
      <c r="H1138" s="13" t="n">
        <v>0.2784</v>
      </c>
      <c r="I1138" s="13" t="n">
        <v>0.4839</v>
      </c>
    </row>
    <row r="1139">
      <c r="A1139" s="10" t="inlineStr">
        <is>
          <t>PJ-2022-G</t>
        </is>
      </c>
      <c r="B1139" s="10" t="inlineStr">
        <is>
          <t>位置合わせ(MS指定)／単調補間</t>
        </is>
      </c>
      <c r="C1139" s="10" t="inlineStr">
        <is>
          <t>2022-11</t>
        </is>
      </c>
      <c r="D1139" s="10" t="n">
        <v>10</v>
      </c>
      <c r="E1139" s="12" t="n">
        <v>12544.2</v>
      </c>
      <c r="F1139" s="12" t="n">
        <v>15571.5</v>
      </c>
      <c r="G1139" s="12" t="n">
        <v>-3027.3</v>
      </c>
      <c r="H1139" s="13" t="n">
        <v>0.332</v>
      </c>
      <c r="I1139" s="13" t="n">
        <v>0.5505</v>
      </c>
    </row>
    <row r="1140">
      <c r="A1140" s="10" t="inlineStr">
        <is>
          <t>PJ-2022-G</t>
        </is>
      </c>
      <c r="B1140" s="10" t="inlineStr">
        <is>
          <t>位置合わせ(MS指定)／単調補間</t>
        </is>
      </c>
      <c r="C1140" s="10" t="inlineStr">
        <is>
          <t>2022-12</t>
        </is>
      </c>
      <c r="D1140" s="10" t="n">
        <v>11</v>
      </c>
      <c r="E1140" s="12" t="n">
        <v>15188</v>
      </c>
      <c r="F1140" s="12" t="n">
        <v>12580.5</v>
      </c>
      <c r="G1140" s="12" t="n">
        <v>2607.5</v>
      </c>
      <c r="H1140" s="13" t="n">
        <v>0.397</v>
      </c>
      <c r="I1140" s="13" t="n">
        <v>0.6042999999999999</v>
      </c>
    </row>
    <row r="1141">
      <c r="A1141" s="10" t="inlineStr">
        <is>
          <t>PJ-2022-G</t>
        </is>
      </c>
      <c r="B1141" s="10" t="inlineStr">
        <is>
          <t>位置合わせ(MS指定)／単調補間</t>
        </is>
      </c>
      <c r="C1141" s="10" t="inlineStr">
        <is>
          <t>2023-01</t>
        </is>
      </c>
      <c r="D1141" s="10" t="n">
        <v>12</v>
      </c>
      <c r="E1141" s="12" t="n">
        <v>12988.4</v>
      </c>
      <c r="F1141" s="12" t="n">
        <v>10581</v>
      </c>
      <c r="G1141" s="12" t="n">
        <v>2407.4</v>
      </c>
      <c r="H1141" s="13" t="n">
        <v>0.4526</v>
      </c>
      <c r="I1141" s="13" t="n">
        <v>0.6496</v>
      </c>
    </row>
    <row r="1142">
      <c r="A1142" s="10" t="inlineStr">
        <is>
          <t>PJ-2022-G</t>
        </is>
      </c>
      <c r="B1142" s="10" t="inlineStr">
        <is>
          <t>位置合わせ(MS指定)／単調補間</t>
        </is>
      </c>
      <c r="C1142" s="10" t="inlineStr">
        <is>
          <t>2023-02</t>
        </is>
      </c>
      <c r="D1142" s="10" t="n">
        <v>13</v>
      </c>
      <c r="E1142" s="12" t="n">
        <v>11615.9</v>
      </c>
      <c r="F1142" s="12" t="n">
        <v>9159.700000000001</v>
      </c>
      <c r="G1142" s="12" t="n">
        <v>2456.2</v>
      </c>
      <c r="H1142" s="13" t="n">
        <v>0.5023</v>
      </c>
      <c r="I1142" s="13" t="n">
        <v>0.6888</v>
      </c>
    </row>
    <row r="1143">
      <c r="A1143" s="10" t="inlineStr">
        <is>
          <t>PJ-2022-G</t>
        </is>
      </c>
      <c r="B1143" s="10" t="inlineStr">
        <is>
          <t>位置合わせ(MS指定)／単調補間</t>
        </is>
      </c>
      <c r="C1143" s="10" t="inlineStr">
        <is>
          <t>2023-03</t>
        </is>
      </c>
      <c r="D1143" s="10" t="n">
        <v>14</v>
      </c>
      <c r="E1143" s="12" t="n">
        <v>12529.3</v>
      </c>
      <c r="F1143" s="12" t="n">
        <v>10036.4</v>
      </c>
      <c r="G1143" s="12" t="n">
        <v>2492.9</v>
      </c>
      <c r="H1143" s="13" t="n">
        <v>0.5558999999999999</v>
      </c>
      <c r="I1143" s="13" t="n">
        <v>0.7317</v>
      </c>
    </row>
    <row r="1144">
      <c r="A1144" s="10" t="inlineStr">
        <is>
          <t>PJ-2022-G</t>
        </is>
      </c>
      <c r="B1144" s="10" t="inlineStr">
        <is>
          <t>位置合わせ(MS指定)／単調補間</t>
        </is>
      </c>
      <c r="C1144" s="10" t="inlineStr">
        <is>
          <t>2023-04</t>
        </is>
      </c>
      <c r="D1144" s="10" t="n">
        <v>15</v>
      </c>
      <c r="E1144" s="12" t="n">
        <v>12021.6</v>
      </c>
      <c r="F1144" s="12" t="n">
        <v>11511.6</v>
      </c>
      <c r="G1144" s="12" t="n">
        <v>510</v>
      </c>
      <c r="H1144" s="13" t="n">
        <v>0.6073</v>
      </c>
      <c r="I1144" s="13" t="n">
        <v>0.7809</v>
      </c>
    </row>
    <row r="1145">
      <c r="A1145" s="10" t="inlineStr">
        <is>
          <t>PJ-2022-G</t>
        </is>
      </c>
      <c r="B1145" s="10" t="inlineStr">
        <is>
          <t>位置合わせ(MS指定)／単調補間</t>
        </is>
      </c>
      <c r="C1145" s="10" t="inlineStr">
        <is>
          <t>2023-05</t>
        </is>
      </c>
      <c r="D1145" s="10" t="n">
        <v>16</v>
      </c>
      <c r="E1145" s="12" t="n">
        <v>12649.9</v>
      </c>
      <c r="F1145" s="12" t="n">
        <v>12070.3</v>
      </c>
      <c r="G1145" s="12" t="n">
        <v>579.6</v>
      </c>
      <c r="H1145" s="13" t="n">
        <v>0.6614</v>
      </c>
      <c r="I1145" s="13" t="n">
        <v>0.8326</v>
      </c>
    </row>
    <row r="1146">
      <c r="A1146" s="10" t="inlineStr">
        <is>
          <t>PJ-2022-G</t>
        </is>
      </c>
      <c r="B1146" s="10" t="inlineStr">
        <is>
          <t>位置合わせ(MS指定)／単調補間</t>
        </is>
      </c>
      <c r="C1146" s="10" t="inlineStr">
        <is>
          <t>2023-06</t>
        </is>
      </c>
      <c r="D1146" s="10" t="n">
        <v>17</v>
      </c>
      <c r="E1146" s="12" t="n">
        <v>12788.9</v>
      </c>
      <c r="F1146" s="12" t="n">
        <v>10093.2</v>
      </c>
      <c r="G1146" s="12" t="n">
        <v>2695.7</v>
      </c>
      <c r="H1146" s="13" t="n">
        <v>0.7161</v>
      </c>
      <c r="I1146" s="13" t="n">
        <v>0.8758</v>
      </c>
    </row>
    <row r="1147">
      <c r="A1147" s="10" t="inlineStr">
        <is>
          <t>PJ-2022-G</t>
        </is>
      </c>
      <c r="B1147" s="10" t="inlineStr">
        <is>
          <t>位置合わせ(MS指定)／単調補間</t>
        </is>
      </c>
      <c r="C1147" s="10" t="inlineStr">
        <is>
          <t>2023-07</t>
        </is>
      </c>
      <c r="D1147" s="10" t="n">
        <v>18</v>
      </c>
      <c r="E1147" s="12" t="n">
        <v>13675.5</v>
      </c>
      <c r="F1147" s="12" t="n">
        <v>8162.9</v>
      </c>
      <c r="G1147" s="12" t="n">
        <v>5512.6</v>
      </c>
      <c r="H1147" s="13" t="n">
        <v>0.7746</v>
      </c>
      <c r="I1147" s="13" t="n">
        <v>0.9107</v>
      </c>
    </row>
    <row r="1148">
      <c r="A1148" s="10" t="inlineStr">
        <is>
          <t>PJ-2022-G</t>
        </is>
      </c>
      <c r="B1148" s="10" t="inlineStr">
        <is>
          <t>位置合わせ(MS指定)／単調補間</t>
        </is>
      </c>
      <c r="C1148" s="10" t="inlineStr">
        <is>
          <t>2023-08</t>
        </is>
      </c>
      <c r="D1148" s="10" t="n">
        <v>19</v>
      </c>
      <c r="E1148" s="12" t="n">
        <v>12484</v>
      </c>
      <c r="F1148" s="12" t="n">
        <v>5336.7</v>
      </c>
      <c r="G1148" s="12" t="n">
        <v>7147.3</v>
      </c>
      <c r="H1148" s="13" t="n">
        <v>0.828</v>
      </c>
      <c r="I1148" s="13" t="n">
        <v>0.9335</v>
      </c>
    </row>
    <row r="1149">
      <c r="A1149" s="10" t="inlineStr">
        <is>
          <t>PJ-2022-G</t>
        </is>
      </c>
      <c r="B1149" s="10" t="inlineStr">
        <is>
          <t>位置合わせ(MS指定)／単調補間</t>
        </is>
      </c>
      <c r="C1149" s="10" t="inlineStr">
        <is>
          <t>2023-09</t>
        </is>
      </c>
      <c r="D1149" s="10" t="n">
        <v>20</v>
      </c>
      <c r="E1149" s="12" t="n">
        <v>10993.7</v>
      </c>
      <c r="F1149" s="12" t="n">
        <v>4269.9</v>
      </c>
      <c r="G1149" s="12" t="n">
        <v>6723.8</v>
      </c>
      <c r="H1149" s="13" t="n">
        <v>0.8751</v>
      </c>
      <c r="I1149" s="13" t="n">
        <v>0.9518</v>
      </c>
    </row>
    <row r="1150">
      <c r="A1150" s="10" t="inlineStr">
        <is>
          <t>PJ-2022-G</t>
        </is>
      </c>
      <c r="B1150" s="10" t="inlineStr">
        <is>
          <t>位置合わせ(MS指定)／単調補間</t>
        </is>
      </c>
      <c r="C1150" s="10" t="inlineStr">
        <is>
          <t>2023-10</t>
        </is>
      </c>
      <c r="D1150" s="10" t="n">
        <v>21</v>
      </c>
      <c r="E1150" s="12" t="n">
        <v>9513.799999999999</v>
      </c>
      <c r="F1150" s="12" t="n">
        <v>4101.6</v>
      </c>
      <c r="G1150" s="12" t="n">
        <v>5412.2</v>
      </c>
      <c r="H1150" s="13" t="n">
        <v>0.9157999999999999</v>
      </c>
      <c r="I1150" s="13" t="n">
        <v>0.9693000000000001</v>
      </c>
    </row>
    <row r="1151">
      <c r="A1151" s="10" t="inlineStr">
        <is>
          <t>PJ-2022-G</t>
        </is>
      </c>
      <c r="B1151" s="10" t="inlineStr">
        <is>
          <t>位置合わせ(MS指定)／単調補間</t>
        </is>
      </c>
      <c r="C1151" s="10" t="inlineStr">
        <is>
          <t>2023-11</t>
        </is>
      </c>
      <c r="D1151" s="10" t="n">
        <v>22</v>
      </c>
      <c r="E1151" s="12" t="n">
        <v>7821.1</v>
      </c>
      <c r="F1151" s="12" t="n">
        <v>3281.7</v>
      </c>
      <c r="G1151" s="12" t="n">
        <v>4539.4</v>
      </c>
      <c r="H1151" s="13" t="n">
        <v>0.9492</v>
      </c>
      <c r="I1151" s="13" t="n">
        <v>0.9834000000000001</v>
      </c>
    </row>
    <row r="1152">
      <c r="A1152" s="10" t="inlineStr">
        <is>
          <t>PJ-2022-G</t>
        </is>
      </c>
      <c r="B1152" s="10" t="inlineStr">
        <is>
          <t>位置合わせ(MS指定)／単調補間</t>
        </is>
      </c>
      <c r="C1152" s="10" t="inlineStr">
        <is>
          <t>2023-12</t>
        </is>
      </c>
      <c r="D1152" s="10" t="n">
        <v>23</v>
      </c>
      <c r="E1152" s="12" t="n">
        <v>7554.6</v>
      </c>
      <c r="F1152" s="12" t="n">
        <v>2964.5</v>
      </c>
      <c r="G1152" s="12" t="n">
        <v>4590.1</v>
      </c>
      <c r="H1152" s="13" t="n">
        <v>0.9815</v>
      </c>
      <c r="I1152" s="13" t="n">
        <v>0.996</v>
      </c>
    </row>
    <row r="1153">
      <c r="A1153" s="10" t="inlineStr">
        <is>
          <t>PJ-2022-G</t>
        </is>
      </c>
      <c r="B1153" s="10" t="inlineStr">
        <is>
          <t>位置合わせ(MS指定)／単調補間</t>
        </is>
      </c>
      <c r="C1153" s="10" t="inlineStr">
        <is>
          <t>2024-01</t>
        </is>
      </c>
      <c r="D1153" s="10" t="n">
        <v>24</v>
      </c>
      <c r="E1153" s="12" t="n">
        <v>4316.3</v>
      </c>
      <c r="F1153" s="12" t="n">
        <v>925</v>
      </c>
      <c r="G1153" s="12" t="n">
        <v>3391.3</v>
      </c>
      <c r="H1153" s="13" t="n">
        <v>1</v>
      </c>
      <c r="I1153" s="13" t="n">
        <v>1</v>
      </c>
    </row>
    <row r="1154">
      <c r="A1154" s="10" t="inlineStr">
        <is>
          <t>PJ-2023-H</t>
        </is>
      </c>
      <c r="B1154" s="10" t="inlineStr">
        <is>
          <t>素朴版／月内均等</t>
        </is>
      </c>
      <c r="C1154" s="10" t="inlineStr">
        <is>
          <t>2023-01</t>
        </is>
      </c>
      <c r="D1154" s="10" t="n">
        <v>1</v>
      </c>
      <c r="E1154" s="12" t="n">
        <v>3833.4</v>
      </c>
      <c r="F1154" s="12" t="n">
        <v>2440.7</v>
      </c>
      <c r="G1154" s="12" t="n">
        <v>1392.7</v>
      </c>
      <c r="H1154" s="13" t="n">
        <v>0.0217</v>
      </c>
      <c r="I1154" s="13" t="n">
        <v>0.0138</v>
      </c>
    </row>
    <row r="1155">
      <c r="A1155" s="10" t="inlineStr">
        <is>
          <t>PJ-2023-H</t>
        </is>
      </c>
      <c r="B1155" s="10" t="inlineStr">
        <is>
          <t>素朴版／月内均等</t>
        </is>
      </c>
      <c r="C1155" s="10" t="inlineStr">
        <is>
          <t>2023-02</t>
        </is>
      </c>
      <c r="D1155" s="10" t="n">
        <v>2</v>
      </c>
      <c r="E1155" s="12" t="n">
        <v>4419</v>
      </c>
      <c r="F1155" s="12" t="n">
        <v>3859.4</v>
      </c>
      <c r="G1155" s="12" t="n">
        <v>559.6</v>
      </c>
      <c r="H1155" s="13" t="n">
        <v>0.0467</v>
      </c>
      <c r="I1155" s="13" t="n">
        <v>0.0356</v>
      </c>
    </row>
    <row r="1156">
      <c r="A1156" s="10" t="inlineStr">
        <is>
          <t>PJ-2023-H</t>
        </is>
      </c>
      <c r="B1156" s="10" t="inlineStr">
        <is>
          <t>素朴版／月内均等</t>
        </is>
      </c>
      <c r="C1156" s="10" t="inlineStr">
        <is>
          <t>2023-03</t>
        </is>
      </c>
      <c r="D1156" s="10" t="n">
        <v>3</v>
      </c>
      <c r="E1156" s="12" t="n">
        <v>5475.7</v>
      </c>
      <c r="F1156" s="12" t="n">
        <v>6095.6</v>
      </c>
      <c r="G1156" s="12" t="n">
        <v>-619.9</v>
      </c>
      <c r="H1156" s="13" t="n">
        <v>0.07770000000000001</v>
      </c>
      <c r="I1156" s="13" t="n">
        <v>0.0701</v>
      </c>
    </row>
    <row r="1157">
      <c r="A1157" s="10" t="inlineStr">
        <is>
          <t>PJ-2023-H</t>
        </is>
      </c>
      <c r="B1157" s="10" t="inlineStr">
        <is>
          <t>素朴版／月内均等</t>
        </is>
      </c>
      <c r="C1157" s="10" t="inlineStr">
        <is>
          <t>2023-04</t>
        </is>
      </c>
      <c r="D1157" s="10" t="n">
        <v>4</v>
      </c>
      <c r="E1157" s="12" t="n">
        <v>5747.3</v>
      </c>
      <c r="F1157" s="12" t="n">
        <v>7110.8</v>
      </c>
      <c r="G1157" s="12" t="n">
        <v>-1363.5</v>
      </c>
      <c r="H1157" s="13" t="n">
        <v>0.1102</v>
      </c>
      <c r="I1157" s="13" t="n">
        <v>0.1103</v>
      </c>
    </row>
    <row r="1158">
      <c r="A1158" s="10" t="inlineStr">
        <is>
          <t>PJ-2023-H</t>
        </is>
      </c>
      <c r="B1158" s="10" t="inlineStr">
        <is>
          <t>素朴版／月内均等</t>
        </is>
      </c>
      <c r="C1158" s="10" t="inlineStr">
        <is>
          <t>2023-05</t>
        </is>
      </c>
      <c r="D1158" s="10" t="n">
        <v>5</v>
      </c>
      <c r="E1158" s="12" t="n">
        <v>6499.9</v>
      </c>
      <c r="F1158" s="12" t="n">
        <v>8343.200000000001</v>
      </c>
      <c r="G1158" s="12" t="n">
        <v>-1843.3</v>
      </c>
      <c r="H1158" s="13" t="n">
        <v>0.1469</v>
      </c>
      <c r="I1158" s="13" t="n">
        <v>0.1575</v>
      </c>
    </row>
    <row r="1159">
      <c r="A1159" s="10" t="inlineStr">
        <is>
          <t>PJ-2023-H</t>
        </is>
      </c>
      <c r="B1159" s="10" t="inlineStr">
        <is>
          <t>素朴版／月内均等</t>
        </is>
      </c>
      <c r="C1159" s="10" t="inlineStr">
        <is>
          <t>2023-06</t>
        </is>
      </c>
      <c r="D1159" s="10" t="n">
        <v>6</v>
      </c>
      <c r="E1159" s="12" t="n">
        <v>7658.7</v>
      </c>
      <c r="F1159" s="12" t="n">
        <v>9678</v>
      </c>
      <c r="G1159" s="12" t="n">
        <v>-2019.3</v>
      </c>
      <c r="H1159" s="13" t="n">
        <v>0.1903</v>
      </c>
      <c r="I1159" s="13" t="n">
        <v>0.2123</v>
      </c>
    </row>
    <row r="1160">
      <c r="A1160" s="10" t="inlineStr">
        <is>
          <t>PJ-2023-H</t>
        </is>
      </c>
      <c r="B1160" s="10" t="inlineStr">
        <is>
          <t>素朴版／月内均等</t>
        </is>
      </c>
      <c r="C1160" s="10" t="inlineStr">
        <is>
          <t>2023-07</t>
        </is>
      </c>
      <c r="D1160" s="10" t="n">
        <v>7</v>
      </c>
      <c r="E1160" s="12" t="n">
        <v>9439</v>
      </c>
      <c r="F1160" s="12" t="n">
        <v>11523.9</v>
      </c>
      <c r="G1160" s="12" t="n">
        <v>-2084.9</v>
      </c>
      <c r="H1160" s="13" t="n">
        <v>0.2436</v>
      </c>
      <c r="I1160" s="13" t="n">
        <v>0.2775</v>
      </c>
    </row>
    <row r="1161">
      <c r="A1161" s="10" t="inlineStr">
        <is>
          <t>PJ-2023-H</t>
        </is>
      </c>
      <c r="B1161" s="10" t="inlineStr">
        <is>
          <t>素朴版／月内均等</t>
        </is>
      </c>
      <c r="C1161" s="10" t="inlineStr">
        <is>
          <t>2023-08</t>
        </is>
      </c>
      <c r="D1161" s="10" t="n">
        <v>8</v>
      </c>
      <c r="E1161" s="12" t="n">
        <v>10647.5</v>
      </c>
      <c r="F1161" s="12" t="n">
        <v>13879.8</v>
      </c>
      <c r="G1161" s="12" t="n">
        <v>-3232.3</v>
      </c>
      <c r="H1161" s="13" t="n">
        <v>0.3039</v>
      </c>
      <c r="I1161" s="13" t="n">
        <v>0.356</v>
      </c>
    </row>
    <row r="1162">
      <c r="A1162" s="10" t="inlineStr">
        <is>
          <t>PJ-2023-H</t>
        </is>
      </c>
      <c r="B1162" s="10" t="inlineStr">
        <is>
          <t>素朴版／月内均等</t>
        </is>
      </c>
      <c r="C1162" s="10" t="inlineStr">
        <is>
          <t>2023-09</t>
        </is>
      </c>
      <c r="D1162" s="10" t="n">
        <v>9</v>
      </c>
      <c r="E1162" s="12" t="n">
        <v>10583.6</v>
      </c>
      <c r="F1162" s="12" t="n">
        <v>13966.5</v>
      </c>
      <c r="G1162" s="12" t="n">
        <v>-3382.9</v>
      </c>
      <c r="H1162" s="13" t="n">
        <v>0.3637</v>
      </c>
      <c r="I1162" s="13" t="n">
        <v>0.435</v>
      </c>
    </row>
    <row r="1163">
      <c r="A1163" s="10" t="inlineStr">
        <is>
          <t>PJ-2023-H</t>
        </is>
      </c>
      <c r="B1163" s="10" t="inlineStr">
        <is>
          <t>素朴版／月内均等</t>
        </is>
      </c>
      <c r="C1163" s="10" t="inlineStr">
        <is>
          <t>2023-10</t>
        </is>
      </c>
      <c r="D1163" s="10" t="n">
        <v>10</v>
      </c>
      <c r="E1163" s="12" t="n">
        <v>10605.4</v>
      </c>
      <c r="F1163" s="12" t="n">
        <v>10043.9</v>
      </c>
      <c r="G1163" s="12" t="n">
        <v>561.5</v>
      </c>
      <c r="H1163" s="13" t="n">
        <v>0.4237</v>
      </c>
      <c r="I1163" s="13" t="n">
        <v>0.4918</v>
      </c>
    </row>
    <row r="1164">
      <c r="A1164" s="10" t="inlineStr">
        <is>
          <t>PJ-2023-H</t>
        </is>
      </c>
      <c r="B1164" s="10" t="inlineStr">
        <is>
          <t>素朴版／月内均等</t>
        </is>
      </c>
      <c r="C1164" s="10" t="inlineStr">
        <is>
          <t>2023-11</t>
        </is>
      </c>
      <c r="D1164" s="10" t="n">
        <v>11</v>
      </c>
      <c r="E1164" s="12" t="n">
        <v>12081.1</v>
      </c>
      <c r="F1164" s="12" t="n">
        <v>9363.200000000001</v>
      </c>
      <c r="G1164" s="12" t="n">
        <v>2717.9</v>
      </c>
      <c r="H1164" s="13" t="n">
        <v>0.4921</v>
      </c>
      <c r="I1164" s="13" t="n">
        <v>0.5448</v>
      </c>
    </row>
    <row r="1165">
      <c r="A1165" s="10" t="inlineStr">
        <is>
          <t>PJ-2023-H</t>
        </is>
      </c>
      <c r="B1165" s="10" t="inlineStr">
        <is>
          <t>素朴版／月内均等</t>
        </is>
      </c>
      <c r="C1165" s="10" t="inlineStr">
        <is>
          <t>2023-12</t>
        </is>
      </c>
      <c r="D1165" s="10" t="n">
        <v>12</v>
      </c>
      <c r="E1165" s="12" t="n">
        <v>13291</v>
      </c>
      <c r="F1165" s="12" t="n">
        <v>8579.200000000001</v>
      </c>
      <c r="G1165" s="12" t="n">
        <v>4711.8</v>
      </c>
      <c r="H1165" s="13" t="n">
        <v>0.5672</v>
      </c>
      <c r="I1165" s="13" t="n">
        <v>0.5933</v>
      </c>
    </row>
    <row r="1166">
      <c r="A1166" s="10" t="inlineStr">
        <is>
          <t>PJ-2023-H</t>
        </is>
      </c>
      <c r="B1166" s="10" t="inlineStr">
        <is>
          <t>素朴版／月内均等</t>
        </is>
      </c>
      <c r="C1166" s="10" t="inlineStr">
        <is>
          <t>2024-01</t>
        </is>
      </c>
      <c r="D1166" s="10" t="n">
        <v>13</v>
      </c>
      <c r="E1166" s="12" t="n">
        <v>14196.1</v>
      </c>
      <c r="F1166" s="12" t="n">
        <v>8088</v>
      </c>
      <c r="G1166" s="12" t="n">
        <v>6108.1</v>
      </c>
      <c r="H1166" s="13" t="n">
        <v>0.6475</v>
      </c>
      <c r="I1166" s="13" t="n">
        <v>0.639</v>
      </c>
    </row>
    <row r="1167">
      <c r="A1167" s="10" t="inlineStr">
        <is>
          <t>PJ-2023-H</t>
        </is>
      </c>
      <c r="B1167" s="10" t="inlineStr">
        <is>
          <t>素朴版／月内均等</t>
        </is>
      </c>
      <c r="C1167" s="10" t="inlineStr">
        <is>
          <t>2024-02</t>
        </is>
      </c>
      <c r="D1167" s="10" t="n">
        <v>14</v>
      </c>
      <c r="E1167" s="12" t="n">
        <v>12331.2</v>
      </c>
      <c r="F1167" s="12" t="n">
        <v>8288.700000000001</v>
      </c>
      <c r="G1167" s="12" t="n">
        <v>4042.5</v>
      </c>
      <c r="H1167" s="13" t="n">
        <v>0.7173</v>
      </c>
      <c r="I1167" s="13" t="n">
        <v>0.6859</v>
      </c>
    </row>
    <row r="1168">
      <c r="A1168" s="10" t="inlineStr">
        <is>
          <t>PJ-2023-H</t>
        </is>
      </c>
      <c r="B1168" s="10" t="inlineStr">
        <is>
          <t>素朴版／月内均等</t>
        </is>
      </c>
      <c r="C1168" s="10" t="inlineStr">
        <is>
          <t>2024-03</t>
        </is>
      </c>
      <c r="D1168" s="10" t="n">
        <v>15</v>
      </c>
      <c r="E1168" s="12" t="n">
        <v>11864.8</v>
      </c>
      <c r="F1168" s="12" t="n">
        <v>9844.9</v>
      </c>
      <c r="G1168" s="12" t="n">
        <v>2019.9</v>
      </c>
      <c r="H1168" s="13" t="n">
        <v>0.7844</v>
      </c>
      <c r="I1168" s="13" t="n">
        <v>0.7416</v>
      </c>
    </row>
    <row r="1169">
      <c r="A1169" s="10" t="inlineStr">
        <is>
          <t>PJ-2023-H</t>
        </is>
      </c>
      <c r="B1169" s="10" t="inlineStr">
        <is>
          <t>素朴版／月内均等</t>
        </is>
      </c>
      <c r="C1169" s="10" t="inlineStr">
        <is>
          <t>2024-04</t>
        </is>
      </c>
      <c r="D1169" s="10" t="n">
        <v>16</v>
      </c>
      <c r="E1169" s="12" t="n">
        <v>11186.9</v>
      </c>
      <c r="F1169" s="12" t="n">
        <v>11975.4</v>
      </c>
      <c r="G1169" s="12" t="n">
        <v>-788.5</v>
      </c>
      <c r="H1169" s="13" t="n">
        <v>0.8477</v>
      </c>
      <c r="I1169" s="13" t="n">
        <v>0.8093</v>
      </c>
    </row>
    <row r="1170">
      <c r="A1170" s="10" t="inlineStr">
        <is>
          <t>PJ-2023-H</t>
        </is>
      </c>
      <c r="B1170" s="10" t="inlineStr">
        <is>
          <t>素朴版／月内均等</t>
        </is>
      </c>
      <c r="C1170" s="10" t="inlineStr">
        <is>
          <t>2024-05</t>
        </is>
      </c>
      <c r="D1170" s="10" t="n">
        <v>17</v>
      </c>
      <c r="E1170" s="12" t="n">
        <v>10259.5</v>
      </c>
      <c r="F1170" s="12" t="n">
        <v>13374.7</v>
      </c>
      <c r="G1170" s="12" t="n">
        <v>-3115.2</v>
      </c>
      <c r="H1170" s="13" t="n">
        <v>0.9056999999999999</v>
      </c>
      <c r="I1170" s="13" t="n">
        <v>0.885</v>
      </c>
    </row>
    <row r="1171">
      <c r="A1171" s="10" t="inlineStr">
        <is>
          <t>PJ-2023-H</t>
        </is>
      </c>
      <c r="B1171" s="10" t="inlineStr">
        <is>
          <t>素朴版／月内均等</t>
        </is>
      </c>
      <c r="C1171" s="10" t="inlineStr">
        <is>
          <t>2024-06</t>
        </is>
      </c>
      <c r="D1171" s="10" t="n">
        <v>18</v>
      </c>
      <c r="E1171" s="12" t="n">
        <v>7574.6</v>
      </c>
      <c r="F1171" s="12" t="n">
        <v>8541.700000000001</v>
      </c>
      <c r="G1171" s="12" t="n">
        <v>-967.1</v>
      </c>
      <c r="H1171" s="13" t="n">
        <v>0.9486</v>
      </c>
      <c r="I1171" s="13" t="n">
        <v>0.9333</v>
      </c>
    </row>
    <row r="1172">
      <c r="A1172" s="10" t="inlineStr">
        <is>
          <t>PJ-2023-H</t>
        </is>
      </c>
      <c r="B1172" s="10" t="inlineStr">
        <is>
          <t>素朴版／月内均等</t>
        </is>
      </c>
      <c r="C1172" s="10" t="inlineStr">
        <is>
          <t>2024-07</t>
        </is>
      </c>
      <c r="D1172" s="10" t="n">
        <v>19</v>
      </c>
      <c r="E1172" s="12" t="n">
        <v>5941.7</v>
      </c>
      <c r="F1172" s="12" t="n">
        <v>7179.1</v>
      </c>
      <c r="G1172" s="12" t="n">
        <v>-1237.4</v>
      </c>
      <c r="H1172" s="13" t="n">
        <v>0.9822</v>
      </c>
      <c r="I1172" s="13" t="n">
        <v>0.9739</v>
      </c>
    </row>
    <row r="1173">
      <c r="A1173" s="10" t="inlineStr">
        <is>
          <t>PJ-2023-H</t>
        </is>
      </c>
      <c r="B1173" s="10" t="inlineStr">
        <is>
          <t>素朴版／月内均等</t>
        </is>
      </c>
      <c r="C1173" s="10" t="inlineStr">
        <is>
          <t>2024-08</t>
        </is>
      </c>
      <c r="D1173" s="10" t="n">
        <v>20</v>
      </c>
      <c r="E1173" s="12" t="n">
        <v>3149.5</v>
      </c>
      <c r="F1173" s="12" t="n">
        <v>4609.2</v>
      </c>
      <c r="G1173" s="12" t="n">
        <v>-1459.7</v>
      </c>
      <c r="H1173" s="13" t="n">
        <v>1</v>
      </c>
      <c r="I1173" s="13" t="n">
        <v>1</v>
      </c>
    </row>
    <row r="1174">
      <c r="A1174" s="10" t="inlineStr">
        <is>
          <t>PJ-2023-H</t>
        </is>
      </c>
      <c r="B1174" s="10" t="inlineStr">
        <is>
          <t>位置合わせ(MS学習値)／月内均等</t>
        </is>
      </c>
      <c r="C1174" s="10" t="inlineStr">
        <is>
          <t>2023-01</t>
        </is>
      </c>
      <c r="D1174" s="10" t="n">
        <v>1</v>
      </c>
      <c r="E1174" s="12" t="n">
        <v>3817.6</v>
      </c>
      <c r="F1174" s="12" t="n">
        <v>2440.7</v>
      </c>
      <c r="G1174" s="12" t="n">
        <v>1376.9</v>
      </c>
      <c r="H1174" s="13" t="n">
        <v>0.0216</v>
      </c>
      <c r="I1174" s="13" t="n">
        <v>0.0138</v>
      </c>
    </row>
    <row r="1175">
      <c r="A1175" s="10" t="inlineStr">
        <is>
          <t>PJ-2023-H</t>
        </is>
      </c>
      <c r="B1175" s="10" t="inlineStr">
        <is>
          <t>位置合わせ(MS学習値)／月内均等</t>
        </is>
      </c>
      <c r="C1175" s="10" t="inlineStr">
        <is>
          <t>2023-02</t>
        </is>
      </c>
      <c r="D1175" s="10" t="n">
        <v>2</v>
      </c>
      <c r="E1175" s="12" t="n">
        <v>4388.8</v>
      </c>
      <c r="F1175" s="12" t="n">
        <v>3859.4</v>
      </c>
      <c r="G1175" s="12" t="n">
        <v>529.4</v>
      </c>
      <c r="H1175" s="13" t="n">
        <v>0.0464</v>
      </c>
      <c r="I1175" s="13" t="n">
        <v>0.0356</v>
      </c>
    </row>
    <row r="1176">
      <c r="A1176" s="10" t="inlineStr">
        <is>
          <t>PJ-2023-H</t>
        </is>
      </c>
      <c r="B1176" s="10" t="inlineStr">
        <is>
          <t>位置合わせ(MS学習値)／月内均等</t>
        </is>
      </c>
      <c r="C1176" s="10" t="inlineStr">
        <is>
          <t>2023-03</t>
        </is>
      </c>
      <c r="D1176" s="10" t="n">
        <v>3</v>
      </c>
      <c r="E1176" s="12" t="n">
        <v>5439.2</v>
      </c>
      <c r="F1176" s="12" t="n">
        <v>6095.6</v>
      </c>
      <c r="G1176" s="12" t="n">
        <v>-656.4</v>
      </c>
      <c r="H1176" s="13" t="n">
        <v>0.0772</v>
      </c>
      <c r="I1176" s="13" t="n">
        <v>0.0701</v>
      </c>
    </row>
    <row r="1177">
      <c r="A1177" s="10" t="inlineStr">
        <is>
          <t>PJ-2023-H</t>
        </is>
      </c>
      <c r="B1177" s="10" t="inlineStr">
        <is>
          <t>位置合わせ(MS学習値)／月内均等</t>
        </is>
      </c>
      <c r="C1177" s="10" t="inlineStr">
        <is>
          <t>2023-04</t>
        </is>
      </c>
      <c r="D1177" s="10" t="n">
        <v>4</v>
      </c>
      <c r="E1177" s="12" t="n">
        <v>5674</v>
      </c>
      <c r="F1177" s="12" t="n">
        <v>7110.8</v>
      </c>
      <c r="G1177" s="12" t="n">
        <v>-1436.8</v>
      </c>
      <c r="H1177" s="13" t="n">
        <v>0.1093</v>
      </c>
      <c r="I1177" s="13" t="n">
        <v>0.1103</v>
      </c>
    </row>
    <row r="1178">
      <c r="A1178" s="10" t="inlineStr">
        <is>
          <t>PJ-2023-H</t>
        </is>
      </c>
      <c r="B1178" s="10" t="inlineStr">
        <is>
          <t>位置合わせ(MS学習値)／月内均等</t>
        </is>
      </c>
      <c r="C1178" s="10" t="inlineStr">
        <is>
          <t>2023-05</t>
        </is>
      </c>
      <c r="D1178" s="10" t="n">
        <v>5</v>
      </c>
      <c r="E1178" s="12" t="n">
        <v>6373.2</v>
      </c>
      <c r="F1178" s="12" t="n">
        <v>8343.200000000001</v>
      </c>
      <c r="G1178" s="12" t="n">
        <v>-1970</v>
      </c>
      <c r="H1178" s="13" t="n">
        <v>0.1453</v>
      </c>
      <c r="I1178" s="13" t="n">
        <v>0.1575</v>
      </c>
    </row>
    <row r="1179">
      <c r="A1179" s="10" t="inlineStr">
        <is>
          <t>PJ-2023-H</t>
        </is>
      </c>
      <c r="B1179" s="10" t="inlineStr">
        <is>
          <t>位置合わせ(MS学習値)／月内均等</t>
        </is>
      </c>
      <c r="C1179" s="10" t="inlineStr">
        <is>
          <t>2023-06</t>
        </is>
      </c>
      <c r="D1179" s="10" t="n">
        <v>6</v>
      </c>
      <c r="E1179" s="12" t="n">
        <v>7037.2</v>
      </c>
      <c r="F1179" s="12" t="n">
        <v>9678</v>
      </c>
      <c r="G1179" s="12" t="n">
        <v>-2640.8</v>
      </c>
      <c r="H1179" s="13" t="n">
        <v>0.1851</v>
      </c>
      <c r="I1179" s="13" t="n">
        <v>0.2123</v>
      </c>
    </row>
    <row r="1180">
      <c r="A1180" s="10" t="inlineStr">
        <is>
          <t>PJ-2023-H</t>
        </is>
      </c>
      <c r="B1180" s="10" t="inlineStr">
        <is>
          <t>位置合わせ(MS学習値)／月内均等</t>
        </is>
      </c>
      <c r="C1180" s="10" t="inlineStr">
        <is>
          <t>2023-07</t>
        </is>
      </c>
      <c r="D1180" s="10" t="n">
        <v>7</v>
      </c>
      <c r="E1180" s="12" t="n">
        <v>8597.1</v>
      </c>
      <c r="F1180" s="12" t="n">
        <v>11523.9</v>
      </c>
      <c r="G1180" s="12" t="n">
        <v>-2926.8</v>
      </c>
      <c r="H1180" s="13" t="n">
        <v>0.2338</v>
      </c>
      <c r="I1180" s="13" t="n">
        <v>0.2775</v>
      </c>
    </row>
    <row r="1181">
      <c r="A1181" s="10" t="inlineStr">
        <is>
          <t>PJ-2023-H</t>
        </is>
      </c>
      <c r="B1181" s="10" t="inlineStr">
        <is>
          <t>位置合わせ(MS学習値)／月内均等</t>
        </is>
      </c>
      <c r="C1181" s="10" t="inlineStr">
        <is>
          <t>2023-08</t>
        </is>
      </c>
      <c r="D1181" s="10" t="n">
        <v>8</v>
      </c>
      <c r="E1181" s="12" t="n">
        <v>9938.799999999999</v>
      </c>
      <c r="F1181" s="12" t="n">
        <v>13879.8</v>
      </c>
      <c r="G1181" s="12" t="n">
        <v>-3941</v>
      </c>
      <c r="H1181" s="13" t="n">
        <v>0.29</v>
      </c>
      <c r="I1181" s="13" t="n">
        <v>0.356</v>
      </c>
    </row>
    <row r="1182">
      <c r="A1182" s="10" t="inlineStr">
        <is>
          <t>PJ-2023-H</t>
        </is>
      </c>
      <c r="B1182" s="10" t="inlineStr">
        <is>
          <t>位置合わせ(MS学習値)／月内均等</t>
        </is>
      </c>
      <c r="C1182" s="10" t="inlineStr">
        <is>
          <t>2023-09</t>
        </is>
      </c>
      <c r="D1182" s="10" t="n">
        <v>9</v>
      </c>
      <c r="E1182" s="12" t="n">
        <v>10513.7</v>
      </c>
      <c r="F1182" s="12" t="n">
        <v>13966.5</v>
      </c>
      <c r="G1182" s="12" t="n">
        <v>-3452.8</v>
      </c>
      <c r="H1182" s="13" t="n">
        <v>0.3495</v>
      </c>
      <c r="I1182" s="13" t="n">
        <v>0.435</v>
      </c>
    </row>
    <row r="1183">
      <c r="A1183" s="10" t="inlineStr">
        <is>
          <t>PJ-2023-H</t>
        </is>
      </c>
      <c r="B1183" s="10" t="inlineStr">
        <is>
          <t>位置合わせ(MS学習値)／月内均等</t>
        </is>
      </c>
      <c r="C1183" s="10" t="inlineStr">
        <is>
          <t>2023-10</t>
        </is>
      </c>
      <c r="D1183" s="10" t="n">
        <v>10</v>
      </c>
      <c r="E1183" s="12" t="n">
        <v>12342.2</v>
      </c>
      <c r="F1183" s="12" t="n">
        <v>10043.9</v>
      </c>
      <c r="G1183" s="12" t="n">
        <v>2298.3</v>
      </c>
      <c r="H1183" s="13" t="n">
        <v>0.4193</v>
      </c>
      <c r="I1183" s="13" t="n">
        <v>0.4918</v>
      </c>
    </row>
    <row r="1184">
      <c r="A1184" s="10" t="inlineStr">
        <is>
          <t>PJ-2023-H</t>
        </is>
      </c>
      <c r="B1184" s="10" t="inlineStr">
        <is>
          <t>位置合わせ(MS学習値)／月内均等</t>
        </is>
      </c>
      <c r="C1184" s="10" t="inlineStr">
        <is>
          <t>2023-11</t>
        </is>
      </c>
      <c r="D1184" s="10" t="n">
        <v>11</v>
      </c>
      <c r="E1184" s="12" t="n">
        <v>13131.8</v>
      </c>
      <c r="F1184" s="12" t="n">
        <v>9363.200000000001</v>
      </c>
      <c r="G1184" s="12" t="n">
        <v>3768.6</v>
      </c>
      <c r="H1184" s="13" t="n">
        <v>0.4936</v>
      </c>
      <c r="I1184" s="13" t="n">
        <v>0.5448</v>
      </c>
    </row>
    <row r="1185">
      <c r="A1185" s="10" t="inlineStr">
        <is>
          <t>PJ-2023-H</t>
        </is>
      </c>
      <c r="B1185" s="10" t="inlineStr">
        <is>
          <t>位置合わせ(MS学習値)／月内均等</t>
        </is>
      </c>
      <c r="C1185" s="10" t="inlineStr">
        <is>
          <t>2023-12</t>
        </is>
      </c>
      <c r="D1185" s="10" t="n">
        <v>12</v>
      </c>
      <c r="E1185" s="12" t="n">
        <v>13376.9</v>
      </c>
      <c r="F1185" s="12" t="n">
        <v>8579.200000000001</v>
      </c>
      <c r="G1185" s="12" t="n">
        <v>4797.7</v>
      </c>
      <c r="H1185" s="13" t="n">
        <v>0.5692</v>
      </c>
      <c r="I1185" s="13" t="n">
        <v>0.5933</v>
      </c>
    </row>
    <row r="1186">
      <c r="A1186" s="10" t="inlineStr">
        <is>
          <t>PJ-2023-H</t>
        </is>
      </c>
      <c r="B1186" s="10" t="inlineStr">
        <is>
          <t>位置合わせ(MS学習値)／月内均等</t>
        </is>
      </c>
      <c r="C1186" s="10" t="inlineStr">
        <is>
          <t>2024-01</t>
        </is>
      </c>
      <c r="D1186" s="10" t="n">
        <v>13</v>
      </c>
      <c r="E1186" s="12" t="n">
        <v>13680.9</v>
      </c>
      <c r="F1186" s="12" t="n">
        <v>8088</v>
      </c>
      <c r="G1186" s="12" t="n">
        <v>5592.9</v>
      </c>
      <c r="H1186" s="13" t="n">
        <v>0.6466</v>
      </c>
      <c r="I1186" s="13" t="n">
        <v>0.639</v>
      </c>
    </row>
    <row r="1187">
      <c r="A1187" s="10" t="inlineStr">
        <is>
          <t>PJ-2023-H</t>
        </is>
      </c>
      <c r="B1187" s="10" t="inlineStr">
        <is>
          <t>位置合わせ(MS学習値)／月内均等</t>
        </is>
      </c>
      <c r="C1187" s="10" t="inlineStr">
        <is>
          <t>2024-02</t>
        </is>
      </c>
      <c r="D1187" s="10" t="n">
        <v>14</v>
      </c>
      <c r="E1187" s="12" t="n">
        <v>13026.2</v>
      </c>
      <c r="F1187" s="12" t="n">
        <v>8288.700000000001</v>
      </c>
      <c r="G1187" s="12" t="n">
        <v>4737.5</v>
      </c>
      <c r="H1187" s="13" t="n">
        <v>0.7203000000000001</v>
      </c>
      <c r="I1187" s="13" t="n">
        <v>0.6859</v>
      </c>
    </row>
    <row r="1188">
      <c r="A1188" s="10" t="inlineStr">
        <is>
          <t>PJ-2023-H</t>
        </is>
      </c>
      <c r="B1188" s="10" t="inlineStr">
        <is>
          <t>位置合わせ(MS学習値)／月内均等</t>
        </is>
      </c>
      <c r="C1188" s="10" t="inlineStr">
        <is>
          <t>2024-03</t>
        </is>
      </c>
      <c r="D1188" s="10" t="n">
        <v>15</v>
      </c>
      <c r="E1188" s="12" t="n">
        <v>13353.1</v>
      </c>
      <c r="F1188" s="12" t="n">
        <v>9844.9</v>
      </c>
      <c r="G1188" s="12" t="n">
        <v>3508.2</v>
      </c>
      <c r="H1188" s="13" t="n">
        <v>0.7958</v>
      </c>
      <c r="I1188" s="13" t="n">
        <v>0.7416</v>
      </c>
    </row>
    <row r="1189">
      <c r="A1189" s="10" t="inlineStr">
        <is>
          <t>PJ-2023-H</t>
        </is>
      </c>
      <c r="B1189" s="10" t="inlineStr">
        <is>
          <t>位置合わせ(MS学習値)／月内均等</t>
        </is>
      </c>
      <c r="C1189" s="10" t="inlineStr">
        <is>
          <t>2024-04</t>
        </is>
      </c>
      <c r="D1189" s="10" t="n">
        <v>16</v>
      </c>
      <c r="E1189" s="12" t="n">
        <v>10305.4</v>
      </c>
      <c r="F1189" s="12" t="n">
        <v>11975.4</v>
      </c>
      <c r="G1189" s="12" t="n">
        <v>-1670</v>
      </c>
      <c r="H1189" s="13" t="n">
        <v>0.8541</v>
      </c>
      <c r="I1189" s="13" t="n">
        <v>0.8093</v>
      </c>
    </row>
    <row r="1190">
      <c r="A1190" s="10" t="inlineStr">
        <is>
          <t>PJ-2023-H</t>
        </is>
      </c>
      <c r="B1190" s="10" t="inlineStr">
        <is>
          <t>位置合わせ(MS学習値)／月内均等</t>
        </is>
      </c>
      <c r="C1190" s="10" t="inlineStr">
        <is>
          <t>2024-05</t>
        </is>
      </c>
      <c r="D1190" s="10" t="n">
        <v>17</v>
      </c>
      <c r="E1190" s="12" t="n">
        <v>9389.1</v>
      </c>
      <c r="F1190" s="12" t="n">
        <v>13374.7</v>
      </c>
      <c r="G1190" s="12" t="n">
        <v>-3985.6</v>
      </c>
      <c r="H1190" s="13" t="n">
        <v>0.9072</v>
      </c>
      <c r="I1190" s="13" t="n">
        <v>0.885</v>
      </c>
    </row>
    <row r="1191">
      <c r="A1191" s="10" t="inlineStr">
        <is>
          <t>PJ-2023-H</t>
        </is>
      </c>
      <c r="B1191" s="10" t="inlineStr">
        <is>
          <t>位置合わせ(MS学習値)／月内均等</t>
        </is>
      </c>
      <c r="C1191" s="10" t="inlineStr">
        <is>
          <t>2024-06</t>
        </is>
      </c>
      <c r="D1191" s="10" t="n">
        <v>18</v>
      </c>
      <c r="E1191" s="12" t="n">
        <v>7184.3</v>
      </c>
      <c r="F1191" s="12" t="n">
        <v>8541.700000000001</v>
      </c>
      <c r="G1191" s="12" t="n">
        <v>-1357.4</v>
      </c>
      <c r="H1191" s="13" t="n">
        <v>0.9479</v>
      </c>
      <c r="I1191" s="13" t="n">
        <v>0.9333</v>
      </c>
    </row>
    <row r="1192">
      <c r="A1192" s="10" t="inlineStr">
        <is>
          <t>PJ-2023-H</t>
        </is>
      </c>
      <c r="B1192" s="10" t="inlineStr">
        <is>
          <t>位置合わせ(MS学習値)／月内均等</t>
        </is>
      </c>
      <c r="C1192" s="10" t="inlineStr">
        <is>
          <t>2024-07</t>
        </is>
      </c>
      <c r="D1192" s="10" t="n">
        <v>19</v>
      </c>
      <c r="E1192" s="12" t="n">
        <v>6070.5</v>
      </c>
      <c r="F1192" s="12" t="n">
        <v>7179.1</v>
      </c>
      <c r="G1192" s="12" t="n">
        <v>-1108.6</v>
      </c>
      <c r="H1192" s="13" t="n">
        <v>0.9822</v>
      </c>
      <c r="I1192" s="13" t="n">
        <v>0.9739</v>
      </c>
    </row>
    <row r="1193">
      <c r="A1193" s="10" t="inlineStr">
        <is>
          <t>PJ-2023-H</t>
        </is>
      </c>
      <c r="B1193" s="10" t="inlineStr">
        <is>
          <t>位置合わせ(MS学習値)／月内均等</t>
        </is>
      </c>
      <c r="C1193" s="10" t="inlineStr">
        <is>
          <t>2024-08</t>
        </is>
      </c>
      <c r="D1193" s="10" t="n">
        <v>20</v>
      </c>
      <c r="E1193" s="12" t="n">
        <v>3146</v>
      </c>
      <c r="F1193" s="12" t="n">
        <v>4609.2</v>
      </c>
      <c r="G1193" s="12" t="n">
        <v>-1463.2</v>
      </c>
      <c r="H1193" s="13" t="n">
        <v>1</v>
      </c>
      <c r="I1193" s="13" t="n">
        <v>1</v>
      </c>
    </row>
    <row r="1194">
      <c r="A1194" s="10" t="inlineStr">
        <is>
          <t>PJ-2023-H</t>
        </is>
      </c>
      <c r="B1194" s="10" t="inlineStr">
        <is>
          <t>位置合わせ(MS指定)／月内均等</t>
        </is>
      </c>
      <c r="C1194" s="10" t="inlineStr">
        <is>
          <t>2023-01</t>
        </is>
      </c>
      <c r="D1194" s="10" t="n">
        <v>1</v>
      </c>
      <c r="E1194" s="12" t="n">
        <v>4489.3</v>
      </c>
      <c r="F1194" s="12" t="n">
        <v>2440.7</v>
      </c>
      <c r="G1194" s="12" t="n">
        <v>2048.6</v>
      </c>
      <c r="H1194" s="13" t="n">
        <v>0.0254</v>
      </c>
      <c r="I1194" s="13" t="n">
        <v>0.0138</v>
      </c>
    </row>
    <row r="1195">
      <c r="A1195" s="10" t="inlineStr">
        <is>
          <t>PJ-2023-H</t>
        </is>
      </c>
      <c r="B1195" s="10" t="inlineStr">
        <is>
          <t>位置合わせ(MS指定)／月内均等</t>
        </is>
      </c>
      <c r="C1195" s="10" t="inlineStr">
        <is>
          <t>2023-02</t>
        </is>
      </c>
      <c r="D1195" s="10" t="n">
        <v>2</v>
      </c>
      <c r="E1195" s="12" t="n">
        <v>5186.1</v>
      </c>
      <c r="F1195" s="12" t="n">
        <v>3859.4</v>
      </c>
      <c r="G1195" s="12" t="n">
        <v>1326.7</v>
      </c>
      <c r="H1195" s="13" t="n">
        <v>0.0547</v>
      </c>
      <c r="I1195" s="13" t="n">
        <v>0.0356</v>
      </c>
    </row>
    <row r="1196">
      <c r="A1196" s="10" t="inlineStr">
        <is>
          <t>PJ-2023-H</t>
        </is>
      </c>
      <c r="B1196" s="10" t="inlineStr">
        <is>
          <t>位置合わせ(MS指定)／月内均等</t>
        </is>
      </c>
      <c r="C1196" s="10" t="inlineStr">
        <is>
          <t>2023-03</t>
        </is>
      </c>
      <c r="D1196" s="10" t="n">
        <v>3</v>
      </c>
      <c r="E1196" s="12" t="n">
        <v>6518.8</v>
      </c>
      <c r="F1196" s="12" t="n">
        <v>6095.6</v>
      </c>
      <c r="G1196" s="12" t="n">
        <v>423.2</v>
      </c>
      <c r="H1196" s="13" t="n">
        <v>0.0916</v>
      </c>
      <c r="I1196" s="13" t="n">
        <v>0.0701</v>
      </c>
    </row>
    <row r="1197">
      <c r="A1197" s="10" t="inlineStr">
        <is>
          <t>PJ-2023-H</t>
        </is>
      </c>
      <c r="B1197" s="10" t="inlineStr">
        <is>
          <t>位置合わせ(MS指定)／月内均等</t>
        </is>
      </c>
      <c r="C1197" s="10" t="inlineStr">
        <is>
          <t>2023-04</t>
        </is>
      </c>
      <c r="D1197" s="10" t="n">
        <v>4</v>
      </c>
      <c r="E1197" s="12" t="n">
        <v>6756.2</v>
      </c>
      <c r="F1197" s="12" t="n">
        <v>7110.8</v>
      </c>
      <c r="G1197" s="12" t="n">
        <v>-354.6</v>
      </c>
      <c r="H1197" s="13" t="n">
        <v>0.1298</v>
      </c>
      <c r="I1197" s="13" t="n">
        <v>0.1103</v>
      </c>
    </row>
    <row r="1198">
      <c r="A1198" s="10" t="inlineStr">
        <is>
          <t>PJ-2023-H</t>
        </is>
      </c>
      <c r="B1198" s="10" t="inlineStr">
        <is>
          <t>位置合わせ(MS指定)／月内均等</t>
        </is>
      </c>
      <c r="C1198" s="10" t="inlineStr">
        <is>
          <t>2023-05</t>
        </is>
      </c>
      <c r="D1198" s="10" t="n">
        <v>5</v>
      </c>
      <c r="E1198" s="12" t="n">
        <v>8043.6</v>
      </c>
      <c r="F1198" s="12" t="n">
        <v>8343.200000000001</v>
      </c>
      <c r="G1198" s="12" t="n">
        <v>-299.6</v>
      </c>
      <c r="H1198" s="13" t="n">
        <v>0.1753</v>
      </c>
      <c r="I1198" s="13" t="n">
        <v>0.1575</v>
      </c>
    </row>
    <row r="1199">
      <c r="A1199" s="10" t="inlineStr">
        <is>
          <t>PJ-2023-H</t>
        </is>
      </c>
      <c r="B1199" s="10" t="inlineStr">
        <is>
          <t>位置合わせ(MS指定)／月内均等</t>
        </is>
      </c>
      <c r="C1199" s="10" t="inlineStr">
        <is>
          <t>2023-06</t>
        </is>
      </c>
      <c r="D1199" s="10" t="n">
        <v>6</v>
      </c>
      <c r="E1199" s="12" t="n">
        <v>9214.700000000001</v>
      </c>
      <c r="F1199" s="12" t="n">
        <v>9678</v>
      </c>
      <c r="G1199" s="12" t="n">
        <v>-463.3</v>
      </c>
      <c r="H1199" s="13" t="n">
        <v>0.2274</v>
      </c>
      <c r="I1199" s="13" t="n">
        <v>0.2123</v>
      </c>
    </row>
    <row r="1200">
      <c r="A1200" s="10" t="inlineStr">
        <is>
          <t>PJ-2023-H</t>
        </is>
      </c>
      <c r="B1200" s="10" t="inlineStr">
        <is>
          <t>位置合わせ(MS指定)／月内均等</t>
        </is>
      </c>
      <c r="C1200" s="10" t="inlineStr">
        <is>
          <t>2023-07</t>
        </is>
      </c>
      <c r="D1200" s="10" t="n">
        <v>7</v>
      </c>
      <c r="E1200" s="12" t="n">
        <v>11421</v>
      </c>
      <c r="F1200" s="12" t="n">
        <v>11523.9</v>
      </c>
      <c r="G1200" s="12" t="n">
        <v>-102.9</v>
      </c>
      <c r="H1200" s="13" t="n">
        <v>0.292</v>
      </c>
      <c r="I1200" s="13" t="n">
        <v>0.2775</v>
      </c>
    </row>
    <row r="1201">
      <c r="A1201" s="10" t="inlineStr">
        <is>
          <t>PJ-2023-H</t>
        </is>
      </c>
      <c r="B1201" s="10" t="inlineStr">
        <is>
          <t>位置合わせ(MS指定)／月内均等</t>
        </is>
      </c>
      <c r="C1201" s="10" t="inlineStr">
        <is>
          <t>2023-08</t>
        </is>
      </c>
      <c r="D1201" s="10" t="n">
        <v>8</v>
      </c>
      <c r="E1201" s="12" t="n">
        <v>12694.4</v>
      </c>
      <c r="F1201" s="12" t="n">
        <v>13879.8</v>
      </c>
      <c r="G1201" s="12" t="n">
        <v>-1185.4</v>
      </c>
      <c r="H1201" s="13" t="n">
        <v>0.3639</v>
      </c>
      <c r="I1201" s="13" t="n">
        <v>0.356</v>
      </c>
    </row>
    <row r="1202">
      <c r="A1202" s="10" t="inlineStr">
        <is>
          <t>PJ-2023-H</t>
        </is>
      </c>
      <c r="B1202" s="10" t="inlineStr">
        <is>
          <t>位置合わせ(MS指定)／月内均等</t>
        </is>
      </c>
      <c r="C1202" s="10" t="inlineStr">
        <is>
          <t>2023-09</t>
        </is>
      </c>
      <c r="D1202" s="10" t="n">
        <v>9</v>
      </c>
      <c r="E1202" s="12" t="n">
        <v>12499</v>
      </c>
      <c r="F1202" s="12" t="n">
        <v>13966.5</v>
      </c>
      <c r="G1202" s="12" t="n">
        <v>-1467.5</v>
      </c>
      <c r="H1202" s="13" t="n">
        <v>0.4346</v>
      </c>
      <c r="I1202" s="13" t="n">
        <v>0.435</v>
      </c>
    </row>
    <row r="1203">
      <c r="A1203" s="10" t="inlineStr">
        <is>
          <t>PJ-2023-H</t>
        </is>
      </c>
      <c r="B1203" s="10" t="inlineStr">
        <is>
          <t>位置合わせ(MS指定)／月内均等</t>
        </is>
      </c>
      <c r="C1203" s="10" t="inlineStr">
        <is>
          <t>2023-10</t>
        </is>
      </c>
      <c r="D1203" s="10" t="n">
        <v>10</v>
      </c>
      <c r="E1203" s="12" t="n">
        <v>8886.4</v>
      </c>
      <c r="F1203" s="12" t="n">
        <v>10043.9</v>
      </c>
      <c r="G1203" s="12" t="n">
        <v>-1157.5</v>
      </c>
      <c r="H1203" s="13" t="n">
        <v>0.4848</v>
      </c>
      <c r="I1203" s="13" t="n">
        <v>0.4918</v>
      </c>
    </row>
    <row r="1204">
      <c r="A1204" s="10" t="inlineStr">
        <is>
          <t>PJ-2023-H</t>
        </is>
      </c>
      <c r="B1204" s="10" t="inlineStr">
        <is>
          <t>位置合わせ(MS指定)／月内均等</t>
        </is>
      </c>
      <c r="C1204" s="10" t="inlineStr">
        <is>
          <t>2023-11</t>
        </is>
      </c>
      <c r="D1204" s="10" t="n">
        <v>11</v>
      </c>
      <c r="E1204" s="12" t="n">
        <v>8370.799999999999</v>
      </c>
      <c r="F1204" s="12" t="n">
        <v>9363.200000000001</v>
      </c>
      <c r="G1204" s="12" t="n">
        <v>-992.4</v>
      </c>
      <c r="H1204" s="13" t="n">
        <v>0.5322</v>
      </c>
      <c r="I1204" s="13" t="n">
        <v>0.5448</v>
      </c>
    </row>
    <row r="1205">
      <c r="A1205" s="10" t="inlineStr">
        <is>
          <t>PJ-2023-H</t>
        </is>
      </c>
      <c r="B1205" s="10" t="inlineStr">
        <is>
          <t>位置合わせ(MS指定)／月内均等</t>
        </is>
      </c>
      <c r="C1205" s="10" t="inlineStr">
        <is>
          <t>2023-12</t>
        </is>
      </c>
      <c r="D1205" s="10" t="n">
        <v>12</v>
      </c>
      <c r="E1205" s="12" t="n">
        <v>8703.200000000001</v>
      </c>
      <c r="F1205" s="12" t="n">
        <v>8579.200000000001</v>
      </c>
      <c r="G1205" s="12" t="n">
        <v>124</v>
      </c>
      <c r="H1205" s="13" t="n">
        <v>0.5814</v>
      </c>
      <c r="I1205" s="13" t="n">
        <v>0.5933</v>
      </c>
    </row>
    <row r="1206">
      <c r="A1206" s="10" t="inlineStr">
        <is>
          <t>PJ-2023-H</t>
        </is>
      </c>
      <c r="B1206" s="10" t="inlineStr">
        <is>
          <t>位置合わせ(MS指定)／月内均等</t>
        </is>
      </c>
      <c r="C1206" s="10" t="inlineStr">
        <is>
          <t>2024-01</t>
        </is>
      </c>
      <c r="D1206" s="10" t="n">
        <v>13</v>
      </c>
      <c r="E1206" s="12" t="n">
        <v>8844</v>
      </c>
      <c r="F1206" s="12" t="n">
        <v>8088</v>
      </c>
      <c r="G1206" s="12" t="n">
        <v>756</v>
      </c>
      <c r="H1206" s="13" t="n">
        <v>0.6314</v>
      </c>
      <c r="I1206" s="13" t="n">
        <v>0.639</v>
      </c>
    </row>
    <row r="1207">
      <c r="A1207" s="10" t="inlineStr">
        <is>
          <t>PJ-2023-H</t>
        </is>
      </c>
      <c r="B1207" s="10" t="inlineStr">
        <is>
          <t>位置合わせ(MS指定)／月内均等</t>
        </is>
      </c>
      <c r="C1207" s="10" t="inlineStr">
        <is>
          <t>2024-02</t>
        </is>
      </c>
      <c r="D1207" s="10" t="n">
        <v>14</v>
      </c>
      <c r="E1207" s="12" t="n">
        <v>8334.9</v>
      </c>
      <c r="F1207" s="12" t="n">
        <v>8288.700000000001</v>
      </c>
      <c r="G1207" s="12" t="n">
        <v>46.2</v>
      </c>
      <c r="H1207" s="13" t="n">
        <v>0.6786</v>
      </c>
      <c r="I1207" s="13" t="n">
        <v>0.6859</v>
      </c>
    </row>
    <row r="1208">
      <c r="A1208" s="10" t="inlineStr">
        <is>
          <t>PJ-2023-H</t>
        </is>
      </c>
      <c r="B1208" s="10" t="inlineStr">
        <is>
          <t>位置合わせ(MS指定)／月内均等</t>
        </is>
      </c>
      <c r="C1208" s="10" t="inlineStr">
        <is>
          <t>2024-03</t>
        </is>
      </c>
      <c r="D1208" s="10" t="n">
        <v>15</v>
      </c>
      <c r="E1208" s="12" t="n">
        <v>8990.200000000001</v>
      </c>
      <c r="F1208" s="12" t="n">
        <v>9844.9</v>
      </c>
      <c r="G1208" s="12" t="n">
        <v>-854.7</v>
      </c>
      <c r="H1208" s="13" t="n">
        <v>0.7294</v>
      </c>
      <c r="I1208" s="13" t="n">
        <v>0.7416</v>
      </c>
    </row>
    <row r="1209">
      <c r="A1209" s="10" t="inlineStr">
        <is>
          <t>PJ-2023-H</t>
        </is>
      </c>
      <c r="B1209" s="10" t="inlineStr">
        <is>
          <t>位置合わせ(MS指定)／月内均等</t>
        </is>
      </c>
      <c r="C1209" s="10" t="inlineStr">
        <is>
          <t>2024-04</t>
        </is>
      </c>
      <c r="D1209" s="10" t="n">
        <v>16</v>
      </c>
      <c r="E1209" s="12" t="n">
        <v>9562.4</v>
      </c>
      <c r="F1209" s="12" t="n">
        <v>11975.4</v>
      </c>
      <c r="G1209" s="12" t="n">
        <v>-2413</v>
      </c>
      <c r="H1209" s="13" t="n">
        <v>0.7835</v>
      </c>
      <c r="I1209" s="13" t="n">
        <v>0.8093</v>
      </c>
    </row>
    <row r="1210">
      <c r="A1210" s="10" t="inlineStr">
        <is>
          <t>PJ-2023-H</t>
        </is>
      </c>
      <c r="B1210" s="10" t="inlineStr">
        <is>
          <t>位置合わせ(MS指定)／月内均等</t>
        </is>
      </c>
      <c r="C1210" s="10" t="inlineStr">
        <is>
          <t>2024-05</t>
        </is>
      </c>
      <c r="D1210" s="10" t="n">
        <v>17</v>
      </c>
      <c r="E1210" s="12" t="n">
        <v>12777.6</v>
      </c>
      <c r="F1210" s="12" t="n">
        <v>13374.7</v>
      </c>
      <c r="G1210" s="12" t="n">
        <v>-597.1</v>
      </c>
      <c r="H1210" s="13" t="n">
        <v>0.8558</v>
      </c>
      <c r="I1210" s="13" t="n">
        <v>0.885</v>
      </c>
    </row>
    <row r="1211">
      <c r="A1211" s="10" t="inlineStr">
        <is>
          <t>PJ-2023-H</t>
        </is>
      </c>
      <c r="B1211" s="10" t="inlineStr">
        <is>
          <t>位置合わせ(MS指定)／月内均等</t>
        </is>
      </c>
      <c r="C1211" s="10" t="inlineStr">
        <is>
          <t>2024-06</t>
        </is>
      </c>
      <c r="D1211" s="10" t="n">
        <v>18</v>
      </c>
      <c r="E1211" s="12" t="n">
        <v>10423.5</v>
      </c>
      <c r="F1211" s="12" t="n">
        <v>8541.700000000001</v>
      </c>
      <c r="G1211" s="12" t="n">
        <v>1881.8</v>
      </c>
      <c r="H1211" s="13" t="n">
        <v>0.9147999999999999</v>
      </c>
      <c r="I1211" s="13" t="n">
        <v>0.9333</v>
      </c>
    </row>
    <row r="1212">
      <c r="A1212" s="10" t="inlineStr">
        <is>
          <t>PJ-2023-H</t>
        </is>
      </c>
      <c r="B1212" s="10" t="inlineStr">
        <is>
          <t>位置合わせ(MS指定)／月内均等</t>
        </is>
      </c>
      <c r="C1212" s="10" t="inlineStr">
        <is>
          <t>2024-07</t>
        </is>
      </c>
      <c r="D1212" s="10" t="n">
        <v>19</v>
      </c>
      <c r="E1212" s="12" t="n">
        <v>8510.5</v>
      </c>
      <c r="F1212" s="12" t="n">
        <v>7179.1</v>
      </c>
      <c r="G1212" s="12" t="n">
        <v>1331.4</v>
      </c>
      <c r="H1212" s="13" t="n">
        <v>0.9629</v>
      </c>
      <c r="I1212" s="13" t="n">
        <v>0.9739</v>
      </c>
    </row>
    <row r="1213">
      <c r="A1213" s="10" t="inlineStr">
        <is>
          <t>PJ-2023-H</t>
        </is>
      </c>
      <c r="B1213" s="10" t="inlineStr">
        <is>
          <t>位置合わせ(MS指定)／月内均等</t>
        </is>
      </c>
      <c r="C1213" s="10" t="inlineStr">
        <is>
          <t>2024-08</t>
        </is>
      </c>
      <c r="D1213" s="10" t="n">
        <v>20</v>
      </c>
      <c r="E1213" s="12" t="n">
        <v>6559.2</v>
      </c>
      <c r="F1213" s="12" t="n">
        <v>4609.2</v>
      </c>
      <c r="G1213" s="12" t="n">
        <v>1950</v>
      </c>
      <c r="H1213" s="13" t="n">
        <v>1</v>
      </c>
      <c r="I1213" s="13" t="n">
        <v>1</v>
      </c>
    </row>
    <row r="1214">
      <c r="A1214" s="10" t="inlineStr">
        <is>
          <t>PJ-2023-H</t>
        </is>
      </c>
      <c r="B1214" s="10" t="inlineStr">
        <is>
          <t>素朴版／単調補間</t>
        </is>
      </c>
      <c r="C1214" s="10" t="inlineStr">
        <is>
          <t>2023-01</t>
        </is>
      </c>
      <c r="D1214" s="10" t="n">
        <v>1</v>
      </c>
      <c r="E1214" s="12" t="n">
        <v>3793.7</v>
      </c>
      <c r="F1214" s="12" t="n">
        <v>2440.7</v>
      </c>
      <c r="G1214" s="12" t="n">
        <v>1353</v>
      </c>
      <c r="H1214" s="13" t="n">
        <v>0.0215</v>
      </c>
      <c r="I1214" s="13" t="n">
        <v>0.0138</v>
      </c>
    </row>
    <row r="1215">
      <c r="A1215" s="10" t="inlineStr">
        <is>
          <t>PJ-2023-H</t>
        </is>
      </c>
      <c r="B1215" s="10" t="inlineStr">
        <is>
          <t>素朴版／単調補間</t>
        </is>
      </c>
      <c r="C1215" s="10" t="inlineStr">
        <is>
          <t>2023-02</t>
        </is>
      </c>
      <c r="D1215" s="10" t="n">
        <v>2</v>
      </c>
      <c r="E1215" s="12" t="n">
        <v>4379.2</v>
      </c>
      <c r="F1215" s="12" t="n">
        <v>3859.4</v>
      </c>
      <c r="G1215" s="12" t="n">
        <v>519.8</v>
      </c>
      <c r="H1215" s="13" t="n">
        <v>0.0462</v>
      </c>
      <c r="I1215" s="13" t="n">
        <v>0.0356</v>
      </c>
    </row>
    <row r="1216">
      <c r="A1216" s="10" t="inlineStr">
        <is>
          <t>PJ-2023-H</t>
        </is>
      </c>
      <c r="B1216" s="10" t="inlineStr">
        <is>
          <t>素朴版／単調補間</t>
        </is>
      </c>
      <c r="C1216" s="10" t="inlineStr">
        <is>
          <t>2023-03</t>
        </is>
      </c>
      <c r="D1216" s="10" t="n">
        <v>3</v>
      </c>
      <c r="E1216" s="12" t="n">
        <v>5493.9</v>
      </c>
      <c r="F1216" s="12" t="n">
        <v>6095.6</v>
      </c>
      <c r="G1216" s="12" t="n">
        <v>-601.7</v>
      </c>
      <c r="H1216" s="13" t="n">
        <v>0.07729999999999999</v>
      </c>
      <c r="I1216" s="13" t="n">
        <v>0.0701</v>
      </c>
    </row>
    <row r="1217">
      <c r="A1217" s="10" t="inlineStr">
        <is>
          <t>PJ-2023-H</t>
        </is>
      </c>
      <c r="B1217" s="10" t="inlineStr">
        <is>
          <t>素朴版／単調補間</t>
        </is>
      </c>
      <c r="C1217" s="10" t="inlineStr">
        <is>
          <t>2023-04</t>
        </is>
      </c>
      <c r="D1217" s="10" t="n">
        <v>4</v>
      </c>
      <c r="E1217" s="12" t="n">
        <v>5749.2</v>
      </c>
      <c r="F1217" s="12" t="n">
        <v>7110.8</v>
      </c>
      <c r="G1217" s="12" t="n">
        <v>-1361.6</v>
      </c>
      <c r="H1217" s="13" t="n">
        <v>0.1098</v>
      </c>
      <c r="I1217" s="13" t="n">
        <v>0.1103</v>
      </c>
    </row>
    <row r="1218">
      <c r="A1218" s="10" t="inlineStr">
        <is>
          <t>PJ-2023-H</t>
        </is>
      </c>
      <c r="B1218" s="10" t="inlineStr">
        <is>
          <t>素朴版／単調補間</t>
        </is>
      </c>
      <c r="C1218" s="10" t="inlineStr">
        <is>
          <t>2023-05</t>
        </is>
      </c>
      <c r="D1218" s="10" t="n">
        <v>5</v>
      </c>
      <c r="E1218" s="12" t="n">
        <v>6474.3</v>
      </c>
      <c r="F1218" s="12" t="n">
        <v>8343.200000000001</v>
      </c>
      <c r="G1218" s="12" t="n">
        <v>-1868.9</v>
      </c>
      <c r="H1218" s="13" t="n">
        <v>0.1465</v>
      </c>
      <c r="I1218" s="13" t="n">
        <v>0.1575</v>
      </c>
    </row>
    <row r="1219">
      <c r="A1219" s="10" t="inlineStr">
        <is>
          <t>PJ-2023-H</t>
        </is>
      </c>
      <c r="B1219" s="10" t="inlineStr">
        <is>
          <t>素朴版／単調補間</t>
        </is>
      </c>
      <c r="C1219" s="10" t="inlineStr">
        <is>
          <t>2023-06</t>
        </is>
      </c>
      <c r="D1219" s="10" t="n">
        <v>6</v>
      </c>
      <c r="E1219" s="12" t="n">
        <v>7640.7</v>
      </c>
      <c r="F1219" s="12" t="n">
        <v>9678</v>
      </c>
      <c r="G1219" s="12" t="n">
        <v>-2037.3</v>
      </c>
      <c r="H1219" s="13" t="n">
        <v>0.1897</v>
      </c>
      <c r="I1219" s="13" t="n">
        <v>0.2123</v>
      </c>
    </row>
    <row r="1220">
      <c r="A1220" s="10" t="inlineStr">
        <is>
          <t>PJ-2023-H</t>
        </is>
      </c>
      <c r="B1220" s="10" t="inlineStr">
        <is>
          <t>素朴版／単調補間</t>
        </is>
      </c>
      <c r="C1220" s="10" t="inlineStr">
        <is>
          <t>2023-07</t>
        </is>
      </c>
      <c r="D1220" s="10" t="n">
        <v>7</v>
      </c>
      <c r="E1220" s="12" t="n">
        <v>9467.6</v>
      </c>
      <c r="F1220" s="12" t="n">
        <v>11523.9</v>
      </c>
      <c r="G1220" s="12" t="n">
        <v>-2056.3</v>
      </c>
      <c r="H1220" s="13" t="n">
        <v>0.2432</v>
      </c>
      <c r="I1220" s="13" t="n">
        <v>0.2775</v>
      </c>
    </row>
    <row r="1221">
      <c r="A1221" s="10" t="inlineStr">
        <is>
          <t>PJ-2023-H</t>
        </is>
      </c>
      <c r="B1221" s="10" t="inlineStr">
        <is>
          <t>素朴版／単調補間</t>
        </is>
      </c>
      <c r="C1221" s="10" t="inlineStr">
        <is>
          <t>2023-08</t>
        </is>
      </c>
      <c r="D1221" s="10" t="n">
        <v>8</v>
      </c>
      <c r="E1221" s="12" t="n">
        <v>10703.2</v>
      </c>
      <c r="F1221" s="12" t="n">
        <v>13879.8</v>
      </c>
      <c r="G1221" s="12" t="n">
        <v>-3176.6</v>
      </c>
      <c r="H1221" s="13" t="n">
        <v>0.3038</v>
      </c>
      <c r="I1221" s="13" t="n">
        <v>0.356</v>
      </c>
    </row>
    <row r="1222">
      <c r="A1222" s="10" t="inlineStr">
        <is>
          <t>PJ-2023-H</t>
        </is>
      </c>
      <c r="B1222" s="10" t="inlineStr">
        <is>
          <t>素朴版／単調補間</t>
        </is>
      </c>
      <c r="C1222" s="10" t="inlineStr">
        <is>
          <t>2023-09</t>
        </is>
      </c>
      <c r="D1222" s="10" t="n">
        <v>9</v>
      </c>
      <c r="E1222" s="12" t="n">
        <v>10595.1</v>
      </c>
      <c r="F1222" s="12" t="n">
        <v>13966.5</v>
      </c>
      <c r="G1222" s="12" t="n">
        <v>-3371.4</v>
      </c>
      <c r="H1222" s="13" t="n">
        <v>0.3637</v>
      </c>
      <c r="I1222" s="13" t="n">
        <v>0.435</v>
      </c>
    </row>
    <row r="1223">
      <c r="A1223" s="10" t="inlineStr">
        <is>
          <t>PJ-2023-H</t>
        </is>
      </c>
      <c r="B1223" s="10" t="inlineStr">
        <is>
          <t>素朴版／単調補間</t>
        </is>
      </c>
      <c r="C1223" s="10" t="inlineStr">
        <is>
          <t>2023-10</t>
        </is>
      </c>
      <c r="D1223" s="10" t="n">
        <v>10</v>
      </c>
      <c r="E1223" s="12" t="n">
        <v>10608.2</v>
      </c>
      <c r="F1223" s="12" t="n">
        <v>10043.9</v>
      </c>
      <c r="G1223" s="12" t="n">
        <v>564.3</v>
      </c>
      <c r="H1223" s="13" t="n">
        <v>0.4237</v>
      </c>
      <c r="I1223" s="13" t="n">
        <v>0.4918</v>
      </c>
    </row>
    <row r="1224">
      <c r="A1224" s="10" t="inlineStr">
        <is>
          <t>PJ-2023-H</t>
        </is>
      </c>
      <c r="B1224" s="10" t="inlineStr">
        <is>
          <t>素朴版／単調補間</t>
        </is>
      </c>
      <c r="C1224" s="10" t="inlineStr">
        <is>
          <t>2023-11</t>
        </is>
      </c>
      <c r="D1224" s="10" t="n">
        <v>11</v>
      </c>
      <c r="E1224" s="12" t="n">
        <v>11981.2</v>
      </c>
      <c r="F1224" s="12" t="n">
        <v>9363.200000000001</v>
      </c>
      <c r="G1224" s="12" t="n">
        <v>2618</v>
      </c>
      <c r="H1224" s="13" t="n">
        <v>0.4915</v>
      </c>
      <c r="I1224" s="13" t="n">
        <v>0.5448</v>
      </c>
    </row>
    <row r="1225">
      <c r="A1225" s="10" t="inlineStr">
        <is>
          <t>PJ-2023-H</t>
        </is>
      </c>
      <c r="B1225" s="10" t="inlineStr">
        <is>
          <t>素朴版／単調補間</t>
        </is>
      </c>
      <c r="C1225" s="10" t="inlineStr">
        <is>
          <t>2023-12</t>
        </is>
      </c>
      <c r="D1225" s="10" t="n">
        <v>12</v>
      </c>
      <c r="E1225" s="12" t="n">
        <v>13165.5</v>
      </c>
      <c r="F1225" s="12" t="n">
        <v>8579.200000000001</v>
      </c>
      <c r="G1225" s="12" t="n">
        <v>4586.3</v>
      </c>
      <c r="H1225" s="13" t="n">
        <v>0.5659</v>
      </c>
      <c r="I1225" s="13" t="n">
        <v>0.5933</v>
      </c>
    </row>
    <row r="1226">
      <c r="A1226" s="10" t="inlineStr">
        <is>
          <t>PJ-2023-H</t>
        </is>
      </c>
      <c r="B1226" s="10" t="inlineStr">
        <is>
          <t>素朴版／単調補間</t>
        </is>
      </c>
      <c r="C1226" s="10" t="inlineStr">
        <is>
          <t>2024-01</t>
        </is>
      </c>
      <c r="D1226" s="10" t="n">
        <v>13</v>
      </c>
      <c r="E1226" s="12" t="n">
        <v>14544.2</v>
      </c>
      <c r="F1226" s="12" t="n">
        <v>8088</v>
      </c>
      <c r="G1226" s="12" t="n">
        <v>6456.2</v>
      </c>
      <c r="H1226" s="13" t="n">
        <v>0.6482</v>
      </c>
      <c r="I1226" s="13" t="n">
        <v>0.639</v>
      </c>
    </row>
    <row r="1227">
      <c r="A1227" s="10" t="inlineStr">
        <is>
          <t>PJ-2023-H</t>
        </is>
      </c>
      <c r="B1227" s="10" t="inlineStr">
        <is>
          <t>素朴版／単調補間</t>
        </is>
      </c>
      <c r="C1227" s="10" t="inlineStr">
        <is>
          <t>2024-02</t>
        </is>
      </c>
      <c r="D1227" s="10" t="n">
        <v>14</v>
      </c>
      <c r="E1227" s="12" t="n">
        <v>12365.3</v>
      </c>
      <c r="F1227" s="12" t="n">
        <v>8288.700000000001</v>
      </c>
      <c r="G1227" s="12" t="n">
        <v>4076.6</v>
      </c>
      <c r="H1227" s="13" t="n">
        <v>0.7181999999999999</v>
      </c>
      <c r="I1227" s="13" t="n">
        <v>0.6859</v>
      </c>
    </row>
    <row r="1228">
      <c r="A1228" s="10" t="inlineStr">
        <is>
          <t>PJ-2023-H</t>
        </is>
      </c>
      <c r="B1228" s="10" t="inlineStr">
        <is>
          <t>素朴版／単調補間</t>
        </is>
      </c>
      <c r="C1228" s="10" t="inlineStr">
        <is>
          <t>2024-03</t>
        </is>
      </c>
      <c r="D1228" s="10" t="n">
        <v>15</v>
      </c>
      <c r="E1228" s="12" t="n">
        <v>11771.5</v>
      </c>
      <c r="F1228" s="12" t="n">
        <v>9844.9</v>
      </c>
      <c r="G1228" s="12" t="n">
        <v>1926.6</v>
      </c>
      <c r="H1228" s="13" t="n">
        <v>0.7848000000000001</v>
      </c>
      <c r="I1228" s="13" t="n">
        <v>0.7416</v>
      </c>
    </row>
    <row r="1229">
      <c r="A1229" s="10" t="inlineStr">
        <is>
          <t>PJ-2023-H</t>
        </is>
      </c>
      <c r="B1229" s="10" t="inlineStr">
        <is>
          <t>素朴版／単調補間</t>
        </is>
      </c>
      <c r="C1229" s="10" t="inlineStr">
        <is>
          <t>2024-04</t>
        </is>
      </c>
      <c r="D1229" s="10" t="n">
        <v>16</v>
      </c>
      <c r="E1229" s="12" t="n">
        <v>11176.8</v>
      </c>
      <c r="F1229" s="12" t="n">
        <v>11975.4</v>
      </c>
      <c r="G1229" s="12" t="n">
        <v>-798.6</v>
      </c>
      <c r="H1229" s="13" t="n">
        <v>0.848</v>
      </c>
      <c r="I1229" s="13" t="n">
        <v>0.8093</v>
      </c>
    </row>
    <row r="1230">
      <c r="A1230" s="10" t="inlineStr">
        <is>
          <t>PJ-2023-H</t>
        </is>
      </c>
      <c r="B1230" s="10" t="inlineStr">
        <is>
          <t>素朴版／単調補間</t>
        </is>
      </c>
      <c r="C1230" s="10" t="inlineStr">
        <is>
          <t>2024-05</t>
        </is>
      </c>
      <c r="D1230" s="10" t="n">
        <v>17</v>
      </c>
      <c r="E1230" s="12" t="n">
        <v>10474.6</v>
      </c>
      <c r="F1230" s="12" t="n">
        <v>13374.7</v>
      </c>
      <c r="G1230" s="12" t="n">
        <v>-2900.1</v>
      </c>
      <c r="H1230" s="13" t="n">
        <v>0.9072</v>
      </c>
      <c r="I1230" s="13" t="n">
        <v>0.885</v>
      </c>
    </row>
    <row r="1231">
      <c r="A1231" s="10" t="inlineStr">
        <is>
          <t>PJ-2023-H</t>
        </is>
      </c>
      <c r="B1231" s="10" t="inlineStr">
        <is>
          <t>素朴版／単調補間</t>
        </is>
      </c>
      <c r="C1231" s="10" t="inlineStr">
        <is>
          <t>2024-06</t>
        </is>
      </c>
      <c r="D1231" s="10" t="n">
        <v>18</v>
      </c>
      <c r="E1231" s="12" t="n">
        <v>7534.9</v>
      </c>
      <c r="F1231" s="12" t="n">
        <v>8541.700000000001</v>
      </c>
      <c r="G1231" s="12" t="n">
        <v>-1006.8</v>
      </c>
      <c r="H1231" s="13" t="n">
        <v>0.9498</v>
      </c>
      <c r="I1231" s="13" t="n">
        <v>0.9333</v>
      </c>
    </row>
    <row r="1232">
      <c r="A1232" s="10" t="inlineStr">
        <is>
          <t>PJ-2023-H</t>
        </is>
      </c>
      <c r="B1232" s="10" t="inlineStr">
        <is>
          <t>素朴版／単調補間</t>
        </is>
      </c>
      <c r="C1232" s="10" t="inlineStr">
        <is>
          <t>2024-07</t>
        </is>
      </c>
      <c r="D1232" s="10" t="n">
        <v>19</v>
      </c>
      <c r="E1232" s="12" t="n">
        <v>5847.8</v>
      </c>
      <c r="F1232" s="12" t="n">
        <v>7179.1</v>
      </c>
      <c r="G1232" s="12" t="n">
        <v>-1331.3</v>
      </c>
      <c r="H1232" s="13" t="n">
        <v>0.9829</v>
      </c>
      <c r="I1232" s="13" t="n">
        <v>0.9739</v>
      </c>
    </row>
    <row r="1233">
      <c r="A1233" s="10" t="inlineStr">
        <is>
          <t>PJ-2023-H</t>
        </is>
      </c>
      <c r="B1233" s="10" t="inlineStr">
        <is>
          <t>素朴版／単調補間</t>
        </is>
      </c>
      <c r="C1233" s="10" t="inlineStr">
        <is>
          <t>2024-08</t>
        </is>
      </c>
      <c r="D1233" s="10" t="n">
        <v>20</v>
      </c>
      <c r="E1233" s="12" t="n">
        <v>3018.9</v>
      </c>
      <c r="F1233" s="12" t="n">
        <v>4609.2</v>
      </c>
      <c r="G1233" s="12" t="n">
        <v>-1590.3</v>
      </c>
      <c r="H1233" s="13" t="n">
        <v>1</v>
      </c>
      <c r="I1233" s="13" t="n">
        <v>1</v>
      </c>
    </row>
    <row r="1234">
      <c r="A1234" s="10" t="inlineStr">
        <is>
          <t>PJ-2023-H</t>
        </is>
      </c>
      <c r="B1234" s="10" t="inlineStr">
        <is>
          <t>位置合わせ(MS学習値)／単調補間</t>
        </is>
      </c>
      <c r="C1234" s="10" t="inlineStr">
        <is>
          <t>2023-01</t>
        </is>
      </c>
      <c r="D1234" s="10" t="n">
        <v>1</v>
      </c>
      <c r="E1234" s="12" t="n">
        <v>3775.2</v>
      </c>
      <c r="F1234" s="12" t="n">
        <v>2440.7</v>
      </c>
      <c r="G1234" s="12" t="n">
        <v>1334.5</v>
      </c>
      <c r="H1234" s="13" t="n">
        <v>0.0214</v>
      </c>
      <c r="I1234" s="13" t="n">
        <v>0.0138</v>
      </c>
    </row>
    <row r="1235">
      <c r="A1235" s="10" t="inlineStr">
        <is>
          <t>PJ-2023-H</t>
        </is>
      </c>
      <c r="B1235" s="10" t="inlineStr">
        <is>
          <t>位置合わせ(MS学習値)／単調補間</t>
        </is>
      </c>
      <c r="C1235" s="10" t="inlineStr">
        <is>
          <t>2023-02</t>
        </is>
      </c>
      <c r="D1235" s="10" t="n">
        <v>2</v>
      </c>
      <c r="E1235" s="12" t="n">
        <v>4359</v>
      </c>
      <c r="F1235" s="12" t="n">
        <v>3859.4</v>
      </c>
      <c r="G1235" s="12" t="n">
        <v>499.6</v>
      </c>
      <c r="H1235" s="13" t="n">
        <v>0.046</v>
      </c>
      <c r="I1235" s="13" t="n">
        <v>0.0356</v>
      </c>
    </row>
    <row r="1236">
      <c r="A1236" s="10" t="inlineStr">
        <is>
          <t>PJ-2023-H</t>
        </is>
      </c>
      <c r="B1236" s="10" t="inlineStr">
        <is>
          <t>位置合わせ(MS学習値)／単調補間</t>
        </is>
      </c>
      <c r="C1236" s="10" t="inlineStr">
        <is>
          <t>2023-03</t>
        </is>
      </c>
      <c r="D1236" s="10" t="n">
        <v>3</v>
      </c>
      <c r="E1236" s="12" t="n">
        <v>5432.8</v>
      </c>
      <c r="F1236" s="12" t="n">
        <v>6095.6</v>
      </c>
      <c r="G1236" s="12" t="n">
        <v>-662.8</v>
      </c>
      <c r="H1236" s="13" t="n">
        <v>0.0767</v>
      </c>
      <c r="I1236" s="13" t="n">
        <v>0.0701</v>
      </c>
    </row>
    <row r="1237">
      <c r="A1237" s="10" t="inlineStr">
        <is>
          <t>PJ-2023-H</t>
        </is>
      </c>
      <c r="B1237" s="10" t="inlineStr">
        <is>
          <t>位置合わせ(MS学習値)／単調補間</t>
        </is>
      </c>
      <c r="C1237" s="10" t="inlineStr">
        <is>
          <t>2023-04</t>
        </is>
      </c>
      <c r="D1237" s="10" t="n">
        <v>4</v>
      </c>
      <c r="E1237" s="12" t="n">
        <v>5686</v>
      </c>
      <c r="F1237" s="12" t="n">
        <v>7110.8</v>
      </c>
      <c r="G1237" s="12" t="n">
        <v>-1424.8</v>
      </c>
      <c r="H1237" s="13" t="n">
        <v>0.1089</v>
      </c>
      <c r="I1237" s="13" t="n">
        <v>0.1103</v>
      </c>
    </row>
    <row r="1238">
      <c r="A1238" s="10" t="inlineStr">
        <is>
          <t>PJ-2023-H</t>
        </is>
      </c>
      <c r="B1238" s="10" t="inlineStr">
        <is>
          <t>位置合わせ(MS学習値)／単調補間</t>
        </is>
      </c>
      <c r="C1238" s="10" t="inlineStr">
        <is>
          <t>2023-05</t>
        </is>
      </c>
      <c r="D1238" s="10" t="n">
        <v>5</v>
      </c>
      <c r="E1238" s="12" t="n">
        <v>6365.1</v>
      </c>
      <c r="F1238" s="12" t="n">
        <v>8343.200000000001</v>
      </c>
      <c r="G1238" s="12" t="n">
        <v>-1978.1</v>
      </c>
      <c r="H1238" s="13" t="n">
        <v>0.1449</v>
      </c>
      <c r="I1238" s="13" t="n">
        <v>0.1575</v>
      </c>
    </row>
    <row r="1239">
      <c r="A1239" s="10" t="inlineStr">
        <is>
          <t>PJ-2023-H</t>
        </is>
      </c>
      <c r="B1239" s="10" t="inlineStr">
        <is>
          <t>位置合わせ(MS学習値)／単調補間</t>
        </is>
      </c>
      <c r="C1239" s="10" t="inlineStr">
        <is>
          <t>2023-06</t>
        </is>
      </c>
      <c r="D1239" s="10" t="n">
        <v>6</v>
      </c>
      <c r="E1239" s="12" t="n">
        <v>7044.4</v>
      </c>
      <c r="F1239" s="12" t="n">
        <v>9678</v>
      </c>
      <c r="G1239" s="12" t="n">
        <v>-2633.6</v>
      </c>
      <c r="H1239" s="13" t="n">
        <v>0.1848</v>
      </c>
      <c r="I1239" s="13" t="n">
        <v>0.2123</v>
      </c>
    </row>
    <row r="1240">
      <c r="A1240" s="10" t="inlineStr">
        <is>
          <t>PJ-2023-H</t>
        </is>
      </c>
      <c r="B1240" s="10" t="inlineStr">
        <is>
          <t>位置合わせ(MS学習値)／単調補間</t>
        </is>
      </c>
      <c r="C1240" s="10" t="inlineStr">
        <is>
          <t>2023-07</t>
        </is>
      </c>
      <c r="D1240" s="10" t="n">
        <v>7</v>
      </c>
      <c r="E1240" s="12" t="n">
        <v>8571.9</v>
      </c>
      <c r="F1240" s="12" t="n">
        <v>11523.9</v>
      </c>
      <c r="G1240" s="12" t="n">
        <v>-2952</v>
      </c>
      <c r="H1240" s="13" t="n">
        <v>0.2332</v>
      </c>
      <c r="I1240" s="13" t="n">
        <v>0.2775</v>
      </c>
    </row>
    <row r="1241">
      <c r="A1241" s="10" t="inlineStr">
        <is>
          <t>PJ-2023-H</t>
        </is>
      </c>
      <c r="B1241" s="10" t="inlineStr">
        <is>
          <t>位置合わせ(MS学習値)／単調補間</t>
        </is>
      </c>
      <c r="C1241" s="10" t="inlineStr">
        <is>
          <t>2023-08</t>
        </is>
      </c>
      <c r="D1241" s="10" t="n">
        <v>8</v>
      </c>
      <c r="E1241" s="12" t="n">
        <v>9970.700000000001</v>
      </c>
      <c r="F1241" s="12" t="n">
        <v>13879.8</v>
      </c>
      <c r="G1241" s="12" t="n">
        <v>-3909.1</v>
      </c>
      <c r="H1241" s="13" t="n">
        <v>0.2896</v>
      </c>
      <c r="I1241" s="13" t="n">
        <v>0.356</v>
      </c>
    </row>
    <row r="1242">
      <c r="A1242" s="10" t="inlineStr">
        <is>
          <t>PJ-2023-H</t>
        </is>
      </c>
      <c r="B1242" s="10" t="inlineStr">
        <is>
          <t>位置合わせ(MS学習値)／単調補間</t>
        </is>
      </c>
      <c r="C1242" s="10" t="inlineStr">
        <is>
          <t>2023-09</t>
        </is>
      </c>
      <c r="D1242" s="10" t="n">
        <v>9</v>
      </c>
      <c r="E1242" s="12" t="n">
        <v>10474.4</v>
      </c>
      <c r="F1242" s="12" t="n">
        <v>13966.5</v>
      </c>
      <c r="G1242" s="12" t="n">
        <v>-3492.1</v>
      </c>
      <c r="H1242" s="13" t="n">
        <v>0.3489</v>
      </c>
      <c r="I1242" s="13" t="n">
        <v>0.435</v>
      </c>
    </row>
    <row r="1243">
      <c r="A1243" s="10" t="inlineStr">
        <is>
          <t>PJ-2023-H</t>
        </is>
      </c>
      <c r="B1243" s="10" t="inlineStr">
        <is>
          <t>位置合わせ(MS学習値)／単調補間</t>
        </is>
      </c>
      <c r="C1243" s="10" t="inlineStr">
        <is>
          <t>2023-10</t>
        </is>
      </c>
      <c r="D1243" s="10" t="n">
        <v>10</v>
      </c>
      <c r="E1243" s="12" t="n">
        <v>12214</v>
      </c>
      <c r="F1243" s="12" t="n">
        <v>10043.9</v>
      </c>
      <c r="G1243" s="12" t="n">
        <v>2170.1</v>
      </c>
      <c r="H1243" s="13" t="n">
        <v>0.418</v>
      </c>
      <c r="I1243" s="13" t="n">
        <v>0.4918</v>
      </c>
    </row>
    <row r="1244">
      <c r="A1244" s="10" t="inlineStr">
        <is>
          <t>PJ-2023-H</t>
        </is>
      </c>
      <c r="B1244" s="10" t="inlineStr">
        <is>
          <t>位置合わせ(MS学習値)／単調補間</t>
        </is>
      </c>
      <c r="C1244" s="10" t="inlineStr">
        <is>
          <t>2023-11</t>
        </is>
      </c>
      <c r="D1244" s="10" t="n">
        <v>11</v>
      </c>
      <c r="E1244" s="12" t="n">
        <v>13151.1</v>
      </c>
      <c r="F1244" s="12" t="n">
        <v>9363.200000000001</v>
      </c>
      <c r="G1244" s="12" t="n">
        <v>3787.9</v>
      </c>
      <c r="H1244" s="13" t="n">
        <v>0.4924</v>
      </c>
      <c r="I1244" s="13" t="n">
        <v>0.5448</v>
      </c>
    </row>
    <row r="1245">
      <c r="A1245" s="10" t="inlineStr">
        <is>
          <t>PJ-2023-H</t>
        </is>
      </c>
      <c r="B1245" s="10" t="inlineStr">
        <is>
          <t>位置合わせ(MS学習値)／単調補間</t>
        </is>
      </c>
      <c r="C1245" s="10" t="inlineStr">
        <is>
          <t>2023-12</t>
        </is>
      </c>
      <c r="D1245" s="10" t="n">
        <v>12</v>
      </c>
      <c r="E1245" s="12" t="n">
        <v>13522.4</v>
      </c>
      <c r="F1245" s="12" t="n">
        <v>8579.200000000001</v>
      </c>
      <c r="G1245" s="12" t="n">
        <v>4943.2</v>
      </c>
      <c r="H1245" s="13" t="n">
        <v>0.5689</v>
      </c>
      <c r="I1245" s="13" t="n">
        <v>0.5933</v>
      </c>
    </row>
    <row r="1246">
      <c r="A1246" s="10" t="inlineStr">
        <is>
          <t>PJ-2023-H</t>
        </is>
      </c>
      <c r="B1246" s="10" t="inlineStr">
        <is>
          <t>位置合わせ(MS学習値)／単調補間</t>
        </is>
      </c>
      <c r="C1246" s="10" t="inlineStr">
        <is>
          <t>2024-01</t>
        </is>
      </c>
      <c r="D1246" s="10" t="n">
        <v>13</v>
      </c>
      <c r="E1246" s="12" t="n">
        <v>13817.2</v>
      </c>
      <c r="F1246" s="12" t="n">
        <v>8088</v>
      </c>
      <c r="G1246" s="12" t="n">
        <v>5729.2</v>
      </c>
      <c r="H1246" s="13" t="n">
        <v>0.647</v>
      </c>
      <c r="I1246" s="13" t="n">
        <v>0.639</v>
      </c>
    </row>
    <row r="1247">
      <c r="A1247" s="10" t="inlineStr">
        <is>
          <t>PJ-2023-H</t>
        </is>
      </c>
      <c r="B1247" s="10" t="inlineStr">
        <is>
          <t>位置合わせ(MS学習値)／単調補間</t>
        </is>
      </c>
      <c r="C1247" s="10" t="inlineStr">
        <is>
          <t>2024-02</t>
        </is>
      </c>
      <c r="D1247" s="10" t="n">
        <v>14</v>
      </c>
      <c r="E1247" s="12" t="n">
        <v>13112</v>
      </c>
      <c r="F1247" s="12" t="n">
        <v>8288.700000000001</v>
      </c>
      <c r="G1247" s="12" t="n">
        <v>4823.3</v>
      </c>
      <c r="H1247" s="13" t="n">
        <v>0.7212</v>
      </c>
      <c r="I1247" s="13" t="n">
        <v>0.6859</v>
      </c>
    </row>
    <row r="1248">
      <c r="A1248" s="10" t="inlineStr">
        <is>
          <t>PJ-2023-H</t>
        </is>
      </c>
      <c r="B1248" s="10" t="inlineStr">
        <is>
          <t>位置合わせ(MS学習値)／単調補間</t>
        </is>
      </c>
      <c r="C1248" s="10" t="inlineStr">
        <is>
          <t>2024-03</t>
        </is>
      </c>
      <c r="D1248" s="10" t="n">
        <v>15</v>
      </c>
      <c r="E1248" s="12" t="n">
        <v>13387.2</v>
      </c>
      <c r="F1248" s="12" t="n">
        <v>9844.9</v>
      </c>
      <c r="G1248" s="12" t="n">
        <v>3542.3</v>
      </c>
      <c r="H1248" s="13" t="n">
        <v>0.7969000000000001</v>
      </c>
      <c r="I1248" s="13" t="n">
        <v>0.7416</v>
      </c>
    </row>
    <row r="1249">
      <c r="A1249" s="10" t="inlineStr">
        <is>
          <t>PJ-2023-H</t>
        </is>
      </c>
      <c r="B1249" s="10" t="inlineStr">
        <is>
          <t>位置合わせ(MS学習値)／単調補間</t>
        </is>
      </c>
      <c r="C1249" s="10" t="inlineStr">
        <is>
          <t>2024-04</t>
        </is>
      </c>
      <c r="D1249" s="10" t="n">
        <v>16</v>
      </c>
      <c r="E1249" s="12" t="n">
        <v>10285.1</v>
      </c>
      <c r="F1249" s="12" t="n">
        <v>11975.4</v>
      </c>
      <c r="G1249" s="12" t="n">
        <v>-1690.3</v>
      </c>
      <c r="H1249" s="13" t="n">
        <v>0.8551</v>
      </c>
      <c r="I1249" s="13" t="n">
        <v>0.8093</v>
      </c>
    </row>
    <row r="1250">
      <c r="A1250" s="10" t="inlineStr">
        <is>
          <t>PJ-2023-H</t>
        </is>
      </c>
      <c r="B1250" s="10" t="inlineStr">
        <is>
          <t>位置合わせ(MS学習値)／単調補間</t>
        </is>
      </c>
      <c r="C1250" s="10" t="inlineStr">
        <is>
          <t>2024-05</t>
        </is>
      </c>
      <c r="D1250" s="10" t="n">
        <v>17</v>
      </c>
      <c r="E1250" s="12" t="n">
        <v>9387.9</v>
      </c>
      <c r="F1250" s="12" t="n">
        <v>13374.7</v>
      </c>
      <c r="G1250" s="12" t="n">
        <v>-3986.8</v>
      </c>
      <c r="H1250" s="13" t="n">
        <v>0.9082</v>
      </c>
      <c r="I1250" s="13" t="n">
        <v>0.885</v>
      </c>
    </row>
    <row r="1251">
      <c r="A1251" s="10" t="inlineStr">
        <is>
          <t>PJ-2023-H</t>
        </is>
      </c>
      <c r="B1251" s="10" t="inlineStr">
        <is>
          <t>位置合わせ(MS学習値)／単調補間</t>
        </is>
      </c>
      <c r="C1251" s="10" t="inlineStr">
        <is>
          <t>2024-06</t>
        </is>
      </c>
      <c r="D1251" s="10" t="n">
        <v>18</v>
      </c>
      <c r="E1251" s="12" t="n">
        <v>7236.6</v>
      </c>
      <c r="F1251" s="12" t="n">
        <v>8541.700000000001</v>
      </c>
      <c r="G1251" s="12" t="n">
        <v>-1305.1</v>
      </c>
      <c r="H1251" s="13" t="n">
        <v>0.9491000000000001</v>
      </c>
      <c r="I1251" s="13" t="n">
        <v>0.9333</v>
      </c>
    </row>
    <row r="1252">
      <c r="A1252" s="10" t="inlineStr">
        <is>
          <t>PJ-2023-H</t>
        </is>
      </c>
      <c r="B1252" s="10" t="inlineStr">
        <is>
          <t>位置合わせ(MS学習値)／単調補間</t>
        </is>
      </c>
      <c r="C1252" s="10" t="inlineStr">
        <is>
          <t>2024-07</t>
        </is>
      </c>
      <c r="D1252" s="10" t="n">
        <v>19</v>
      </c>
      <c r="E1252" s="12" t="n">
        <v>6010.9</v>
      </c>
      <c r="F1252" s="12" t="n">
        <v>7179.1</v>
      </c>
      <c r="G1252" s="12" t="n">
        <v>-1168.2</v>
      </c>
      <c r="H1252" s="13" t="n">
        <v>0.9831</v>
      </c>
      <c r="I1252" s="13" t="n">
        <v>0.9739</v>
      </c>
    </row>
    <row r="1253">
      <c r="A1253" s="10" t="inlineStr">
        <is>
          <t>PJ-2023-H</t>
        </is>
      </c>
      <c r="B1253" s="10" t="inlineStr">
        <is>
          <t>位置合わせ(MS学習値)／単調補間</t>
        </is>
      </c>
      <c r="C1253" s="10" t="inlineStr">
        <is>
          <t>2024-08</t>
        </is>
      </c>
      <c r="D1253" s="10" t="n">
        <v>20</v>
      </c>
      <c r="E1253" s="12" t="n">
        <v>2982</v>
      </c>
      <c r="F1253" s="12" t="n">
        <v>4609.2</v>
      </c>
      <c r="G1253" s="12" t="n">
        <v>-1627.2</v>
      </c>
      <c r="H1253" s="13" t="n">
        <v>1</v>
      </c>
      <c r="I1253" s="13" t="n">
        <v>1</v>
      </c>
    </row>
    <row r="1254">
      <c r="A1254" s="10" t="inlineStr">
        <is>
          <t>PJ-2023-H</t>
        </is>
      </c>
      <c r="B1254" s="10" t="inlineStr">
        <is>
          <t>位置合わせ(MS指定)／単調補間</t>
        </is>
      </c>
      <c r="C1254" s="10" t="inlineStr">
        <is>
          <t>2023-01</t>
        </is>
      </c>
      <c r="D1254" s="10" t="n">
        <v>1</v>
      </c>
      <c r="E1254" s="12" t="n">
        <v>4454.9</v>
      </c>
      <c r="F1254" s="12" t="n">
        <v>2440.7</v>
      </c>
      <c r="G1254" s="12" t="n">
        <v>2014.2</v>
      </c>
      <c r="H1254" s="13" t="n">
        <v>0.0252</v>
      </c>
      <c r="I1254" s="13" t="n">
        <v>0.0138</v>
      </c>
    </row>
    <row r="1255">
      <c r="A1255" s="10" t="inlineStr">
        <is>
          <t>PJ-2023-H</t>
        </is>
      </c>
      <c r="B1255" s="10" t="inlineStr">
        <is>
          <t>位置合わせ(MS指定)／単調補間</t>
        </is>
      </c>
      <c r="C1255" s="10" t="inlineStr">
        <is>
          <t>2023-02</t>
        </is>
      </c>
      <c r="D1255" s="10" t="n">
        <v>2</v>
      </c>
      <c r="E1255" s="12" t="n">
        <v>5182.9</v>
      </c>
      <c r="F1255" s="12" t="n">
        <v>3859.4</v>
      </c>
      <c r="G1255" s="12" t="n">
        <v>1323.5</v>
      </c>
      <c r="H1255" s="13" t="n">
        <v>0.0545</v>
      </c>
      <c r="I1255" s="13" t="n">
        <v>0.0356</v>
      </c>
    </row>
    <row r="1256">
      <c r="A1256" s="10" t="inlineStr">
        <is>
          <t>PJ-2023-H</t>
        </is>
      </c>
      <c r="B1256" s="10" t="inlineStr">
        <is>
          <t>位置合わせ(MS指定)／単調補間</t>
        </is>
      </c>
      <c r="C1256" s="10" t="inlineStr">
        <is>
          <t>2023-03</t>
        </is>
      </c>
      <c r="D1256" s="10" t="n">
        <v>3</v>
      </c>
      <c r="E1256" s="12" t="n">
        <v>6527.8</v>
      </c>
      <c r="F1256" s="12" t="n">
        <v>6095.6</v>
      </c>
      <c r="G1256" s="12" t="n">
        <v>432.2</v>
      </c>
      <c r="H1256" s="13" t="n">
        <v>0.0914</v>
      </c>
      <c r="I1256" s="13" t="n">
        <v>0.0701</v>
      </c>
    </row>
    <row r="1257">
      <c r="A1257" s="10" t="inlineStr">
        <is>
          <t>PJ-2023-H</t>
        </is>
      </c>
      <c r="B1257" s="10" t="inlineStr">
        <is>
          <t>位置合わせ(MS指定)／単調補間</t>
        </is>
      </c>
      <c r="C1257" s="10" t="inlineStr">
        <is>
          <t>2023-04</t>
        </is>
      </c>
      <c r="D1257" s="10" t="n">
        <v>4</v>
      </c>
      <c r="E1257" s="12" t="n">
        <v>6741.8</v>
      </c>
      <c r="F1257" s="12" t="n">
        <v>7110.8</v>
      </c>
      <c r="G1257" s="12" t="n">
        <v>-369</v>
      </c>
      <c r="H1257" s="13" t="n">
        <v>0.1296</v>
      </c>
      <c r="I1257" s="13" t="n">
        <v>0.1103</v>
      </c>
    </row>
    <row r="1258">
      <c r="A1258" s="10" t="inlineStr">
        <is>
          <t>PJ-2023-H</t>
        </is>
      </c>
      <c r="B1258" s="10" t="inlineStr">
        <is>
          <t>位置合わせ(MS指定)／単調補間</t>
        </is>
      </c>
      <c r="C1258" s="10" t="inlineStr">
        <is>
          <t>2023-05</t>
        </is>
      </c>
      <c r="D1258" s="10" t="n">
        <v>5</v>
      </c>
      <c r="E1258" s="12" t="n">
        <v>8008.2</v>
      </c>
      <c r="F1258" s="12" t="n">
        <v>8343.200000000001</v>
      </c>
      <c r="G1258" s="12" t="n">
        <v>-335</v>
      </c>
      <c r="H1258" s="13" t="n">
        <v>0.1749</v>
      </c>
      <c r="I1258" s="13" t="n">
        <v>0.1575</v>
      </c>
    </row>
    <row r="1259">
      <c r="A1259" s="10" t="inlineStr">
        <is>
          <t>PJ-2023-H</t>
        </is>
      </c>
      <c r="B1259" s="10" t="inlineStr">
        <is>
          <t>位置合わせ(MS指定)／単調補間</t>
        </is>
      </c>
      <c r="C1259" s="10" t="inlineStr">
        <is>
          <t>2023-06</t>
        </is>
      </c>
      <c r="D1259" s="10" t="n">
        <v>6</v>
      </c>
      <c r="E1259" s="12" t="n">
        <v>9194.6</v>
      </c>
      <c r="F1259" s="12" t="n">
        <v>9678</v>
      </c>
      <c r="G1259" s="12" t="n">
        <v>-483.4</v>
      </c>
      <c r="H1259" s="13" t="n">
        <v>0.2269</v>
      </c>
      <c r="I1259" s="13" t="n">
        <v>0.2123</v>
      </c>
    </row>
    <row r="1260">
      <c r="A1260" s="10" t="inlineStr">
        <is>
          <t>PJ-2023-H</t>
        </is>
      </c>
      <c r="B1260" s="10" t="inlineStr">
        <is>
          <t>位置合わせ(MS指定)／単調補間</t>
        </is>
      </c>
      <c r="C1260" s="10" t="inlineStr">
        <is>
          <t>2023-07</t>
        </is>
      </c>
      <c r="D1260" s="10" t="n">
        <v>7</v>
      </c>
      <c r="E1260" s="12" t="n">
        <v>11451.4</v>
      </c>
      <c r="F1260" s="12" t="n">
        <v>11523.9</v>
      </c>
      <c r="G1260" s="12" t="n">
        <v>-72.5</v>
      </c>
      <c r="H1260" s="13" t="n">
        <v>0.2917</v>
      </c>
      <c r="I1260" s="13" t="n">
        <v>0.2775</v>
      </c>
    </row>
    <row r="1261">
      <c r="A1261" s="10" t="inlineStr">
        <is>
          <t>PJ-2023-H</t>
        </is>
      </c>
      <c r="B1261" s="10" t="inlineStr">
        <is>
          <t>位置合わせ(MS指定)／単調補間</t>
        </is>
      </c>
      <c r="C1261" s="10" t="inlineStr">
        <is>
          <t>2023-08</t>
        </is>
      </c>
      <c r="D1261" s="10" t="n">
        <v>8</v>
      </c>
      <c r="E1261" s="12" t="n">
        <v>12623.9</v>
      </c>
      <c r="F1261" s="12" t="n">
        <v>13879.8</v>
      </c>
      <c r="G1261" s="12" t="n">
        <v>-1255.9</v>
      </c>
      <c r="H1261" s="13" t="n">
        <v>0.3631</v>
      </c>
      <c r="I1261" s="13" t="n">
        <v>0.356</v>
      </c>
    </row>
    <row r="1262">
      <c r="A1262" s="10" t="inlineStr">
        <is>
          <t>PJ-2023-H</t>
        </is>
      </c>
      <c r="B1262" s="10" t="inlineStr">
        <is>
          <t>位置合わせ(MS指定)／単調補間</t>
        </is>
      </c>
      <c r="C1262" s="10" t="inlineStr">
        <is>
          <t>2023-09</t>
        </is>
      </c>
      <c r="D1262" s="10" t="n">
        <v>9</v>
      </c>
      <c r="E1262" s="12" t="n">
        <v>12421.3</v>
      </c>
      <c r="F1262" s="12" t="n">
        <v>13966.5</v>
      </c>
      <c r="G1262" s="12" t="n">
        <v>-1545.2</v>
      </c>
      <c r="H1262" s="13" t="n">
        <v>0.4333</v>
      </c>
      <c r="I1262" s="13" t="n">
        <v>0.435</v>
      </c>
    </row>
    <row r="1263">
      <c r="A1263" s="10" t="inlineStr">
        <is>
          <t>PJ-2023-H</t>
        </is>
      </c>
      <c r="B1263" s="10" t="inlineStr">
        <is>
          <t>位置合わせ(MS指定)／単調補間</t>
        </is>
      </c>
      <c r="C1263" s="10" t="inlineStr">
        <is>
          <t>2023-10</t>
        </is>
      </c>
      <c r="D1263" s="10" t="n">
        <v>10</v>
      </c>
      <c r="E1263" s="12" t="n">
        <v>8875.799999999999</v>
      </c>
      <c r="F1263" s="12" t="n">
        <v>10043.9</v>
      </c>
      <c r="G1263" s="12" t="n">
        <v>-1168.1</v>
      </c>
      <c r="H1263" s="13" t="n">
        <v>0.4835</v>
      </c>
      <c r="I1263" s="13" t="n">
        <v>0.4918</v>
      </c>
    </row>
    <row r="1264">
      <c r="A1264" s="10" t="inlineStr">
        <is>
          <t>PJ-2023-H</t>
        </is>
      </c>
      <c r="B1264" s="10" t="inlineStr">
        <is>
          <t>位置合わせ(MS指定)／単調補間</t>
        </is>
      </c>
      <c r="C1264" s="10" t="inlineStr">
        <is>
          <t>2023-11</t>
        </is>
      </c>
      <c r="D1264" s="10" t="n">
        <v>11</v>
      </c>
      <c r="E1264" s="12" t="n">
        <v>8510.299999999999</v>
      </c>
      <c r="F1264" s="12" t="n">
        <v>9363.200000000001</v>
      </c>
      <c r="G1264" s="12" t="n">
        <v>-852.9</v>
      </c>
      <c r="H1264" s="13" t="n">
        <v>0.5317</v>
      </c>
      <c r="I1264" s="13" t="n">
        <v>0.5448</v>
      </c>
    </row>
    <row r="1265">
      <c r="A1265" s="10" t="inlineStr">
        <is>
          <t>PJ-2023-H</t>
        </is>
      </c>
      <c r="B1265" s="10" t="inlineStr">
        <is>
          <t>位置合わせ(MS指定)／単調補間</t>
        </is>
      </c>
      <c r="C1265" s="10" t="inlineStr">
        <is>
          <t>2023-12</t>
        </is>
      </c>
      <c r="D1265" s="10" t="n">
        <v>12</v>
      </c>
      <c r="E1265" s="12" t="n">
        <v>8725.1</v>
      </c>
      <c r="F1265" s="12" t="n">
        <v>8579.200000000001</v>
      </c>
      <c r="G1265" s="12" t="n">
        <v>145.9</v>
      </c>
      <c r="H1265" s="13" t="n">
        <v>0.581</v>
      </c>
      <c r="I1265" s="13" t="n">
        <v>0.5933</v>
      </c>
    </row>
    <row r="1266">
      <c r="A1266" s="10" t="inlineStr">
        <is>
          <t>PJ-2023-H</t>
        </is>
      </c>
      <c r="B1266" s="10" t="inlineStr">
        <is>
          <t>位置合わせ(MS指定)／単調補間</t>
        </is>
      </c>
      <c r="C1266" s="10" t="inlineStr">
        <is>
          <t>2024-01</t>
        </is>
      </c>
      <c r="D1266" s="10" t="n">
        <v>13</v>
      </c>
      <c r="E1266" s="12" t="n">
        <v>8949.5</v>
      </c>
      <c r="F1266" s="12" t="n">
        <v>8088</v>
      </c>
      <c r="G1266" s="12" t="n">
        <v>861.5</v>
      </c>
      <c r="H1266" s="13" t="n">
        <v>0.6317</v>
      </c>
      <c r="I1266" s="13" t="n">
        <v>0.639</v>
      </c>
    </row>
    <row r="1267">
      <c r="A1267" s="10" t="inlineStr">
        <is>
          <t>PJ-2023-H</t>
        </is>
      </c>
      <c r="B1267" s="10" t="inlineStr">
        <is>
          <t>位置合わせ(MS指定)／単調補間</t>
        </is>
      </c>
      <c r="C1267" s="10" t="inlineStr">
        <is>
          <t>2024-02</t>
        </is>
      </c>
      <c r="D1267" s="10" t="n">
        <v>14</v>
      </c>
      <c r="E1267" s="12" t="n">
        <v>8356.9</v>
      </c>
      <c r="F1267" s="12" t="n">
        <v>8288.700000000001</v>
      </c>
      <c r="G1267" s="12" t="n">
        <v>68.2</v>
      </c>
      <c r="H1267" s="13" t="n">
        <v>0.6788999999999999</v>
      </c>
      <c r="I1267" s="13" t="n">
        <v>0.6859</v>
      </c>
    </row>
    <row r="1268">
      <c r="A1268" s="10" t="inlineStr">
        <is>
          <t>PJ-2023-H</t>
        </is>
      </c>
      <c r="B1268" s="10" t="inlineStr">
        <is>
          <t>位置合わせ(MS指定)／単調補間</t>
        </is>
      </c>
      <c r="C1268" s="10" t="inlineStr">
        <is>
          <t>2024-03</t>
        </is>
      </c>
      <c r="D1268" s="10" t="n">
        <v>15</v>
      </c>
      <c r="E1268" s="12" t="n">
        <v>9120</v>
      </c>
      <c r="F1268" s="12" t="n">
        <v>9844.9</v>
      </c>
      <c r="G1268" s="12" t="n">
        <v>-724.9</v>
      </c>
      <c r="H1268" s="13" t="n">
        <v>0.7305</v>
      </c>
      <c r="I1268" s="13" t="n">
        <v>0.7416</v>
      </c>
    </row>
    <row r="1269">
      <c r="A1269" s="10" t="inlineStr">
        <is>
          <t>PJ-2023-H</t>
        </is>
      </c>
      <c r="B1269" s="10" t="inlineStr">
        <is>
          <t>位置合わせ(MS指定)／単調補間</t>
        </is>
      </c>
      <c r="C1269" s="10" t="inlineStr">
        <is>
          <t>2024-04</t>
        </is>
      </c>
      <c r="D1269" s="10" t="n">
        <v>16</v>
      </c>
      <c r="E1269" s="12" t="n">
        <v>9542.9</v>
      </c>
      <c r="F1269" s="12" t="n">
        <v>11975.4</v>
      </c>
      <c r="G1269" s="12" t="n">
        <v>-2432.5</v>
      </c>
      <c r="H1269" s="13" t="n">
        <v>0.7845</v>
      </c>
      <c r="I1269" s="13" t="n">
        <v>0.8093</v>
      </c>
    </row>
    <row r="1270">
      <c r="A1270" s="10" t="inlineStr">
        <is>
          <t>PJ-2023-H</t>
        </is>
      </c>
      <c r="B1270" s="10" t="inlineStr">
        <is>
          <t>位置合わせ(MS指定)／単調補間</t>
        </is>
      </c>
      <c r="C1270" s="10" t="inlineStr">
        <is>
          <t>2024-05</t>
        </is>
      </c>
      <c r="D1270" s="10" t="n">
        <v>17</v>
      </c>
      <c r="E1270" s="12" t="n">
        <v>12785</v>
      </c>
      <c r="F1270" s="12" t="n">
        <v>13374.7</v>
      </c>
      <c r="G1270" s="12" t="n">
        <v>-589.7</v>
      </c>
      <c r="H1270" s="13" t="n">
        <v>0.8568</v>
      </c>
      <c r="I1270" s="13" t="n">
        <v>0.885</v>
      </c>
    </row>
    <row r="1271">
      <c r="A1271" s="10" t="inlineStr">
        <is>
          <t>PJ-2023-H</t>
        </is>
      </c>
      <c r="B1271" s="10" t="inlineStr">
        <is>
          <t>位置合わせ(MS指定)／単調補間</t>
        </is>
      </c>
      <c r="C1271" s="10" t="inlineStr">
        <is>
          <t>2024-06</t>
        </is>
      </c>
      <c r="D1271" s="10" t="n">
        <v>18</v>
      </c>
      <c r="E1271" s="12" t="n">
        <v>10448.7</v>
      </c>
      <c r="F1271" s="12" t="n">
        <v>8541.700000000001</v>
      </c>
      <c r="G1271" s="12" t="n">
        <v>1907</v>
      </c>
      <c r="H1271" s="13" t="n">
        <v>0.9159</v>
      </c>
      <c r="I1271" s="13" t="n">
        <v>0.9333</v>
      </c>
    </row>
    <row r="1272">
      <c r="A1272" s="10" t="inlineStr">
        <is>
          <t>PJ-2023-H</t>
        </is>
      </c>
      <c r="B1272" s="10" t="inlineStr">
        <is>
          <t>位置合わせ(MS指定)／単調補間</t>
        </is>
      </c>
      <c r="C1272" s="10" t="inlineStr">
        <is>
          <t>2024-07</t>
        </is>
      </c>
      <c r="D1272" s="10" t="n">
        <v>19</v>
      </c>
      <c r="E1272" s="12" t="n">
        <v>8504.5</v>
      </c>
      <c r="F1272" s="12" t="n">
        <v>7179.1</v>
      </c>
      <c r="G1272" s="12" t="n">
        <v>1325.4</v>
      </c>
      <c r="H1272" s="13" t="n">
        <v>0.964</v>
      </c>
      <c r="I1272" s="13" t="n">
        <v>0.9739</v>
      </c>
    </row>
    <row r="1273">
      <c r="A1273" s="10" t="inlineStr">
        <is>
          <t>PJ-2023-H</t>
        </is>
      </c>
      <c r="B1273" s="10" t="inlineStr">
        <is>
          <t>位置合わせ(MS指定)／単調補間</t>
        </is>
      </c>
      <c r="C1273" s="10" t="inlineStr">
        <is>
          <t>2024-08</t>
        </is>
      </c>
      <c r="D1273" s="10" t="n">
        <v>20</v>
      </c>
      <c r="E1273" s="12" t="n">
        <v>6360.5</v>
      </c>
      <c r="F1273" s="12" t="n">
        <v>4609.2</v>
      </c>
      <c r="G1273" s="12" t="n">
        <v>1751.3</v>
      </c>
      <c r="H1273" s="13" t="n">
        <v>1</v>
      </c>
      <c r="I1273" s="13" t="n">
        <v>1</v>
      </c>
    </row>
    <row r="1274">
      <c r="A1274" s="10" t="inlineStr">
        <is>
          <t>PJ-2023-I</t>
        </is>
      </c>
      <c r="B1274" s="10" t="inlineStr">
        <is>
          <t>素朴版／月内均等</t>
        </is>
      </c>
      <c r="C1274" s="10" t="inlineStr">
        <is>
          <t>2023-05</t>
        </is>
      </c>
      <c r="D1274" s="10" t="n">
        <v>1</v>
      </c>
      <c r="E1274" s="12" t="n">
        <v>2891.4</v>
      </c>
      <c r="F1274" s="12" t="n">
        <v>1057.9</v>
      </c>
      <c r="G1274" s="12" t="n">
        <v>1833.5</v>
      </c>
      <c r="H1274" s="13" t="n">
        <v>0.0255</v>
      </c>
      <c r="I1274" s="13" t="n">
        <v>0.009299999999999999</v>
      </c>
    </row>
    <row r="1275">
      <c r="A1275" s="10" t="inlineStr">
        <is>
          <t>PJ-2023-I</t>
        </is>
      </c>
      <c r="B1275" s="10" t="inlineStr">
        <is>
          <t>素朴版／月内均等</t>
        </is>
      </c>
      <c r="C1275" s="10" t="inlineStr">
        <is>
          <t>2023-06</t>
        </is>
      </c>
      <c r="D1275" s="10" t="n">
        <v>2</v>
      </c>
      <c r="E1275" s="12" t="n">
        <v>3569</v>
      </c>
      <c r="F1275" s="12" t="n">
        <v>2017.9</v>
      </c>
      <c r="G1275" s="12" t="n">
        <v>1551.1</v>
      </c>
      <c r="H1275" s="13" t="n">
        <v>0.0569</v>
      </c>
      <c r="I1275" s="13" t="n">
        <v>0.0271</v>
      </c>
    </row>
    <row r="1276">
      <c r="A1276" s="10" t="inlineStr">
        <is>
          <t>PJ-2023-I</t>
        </is>
      </c>
      <c r="B1276" s="10" t="inlineStr">
        <is>
          <t>素朴版／月内均等</t>
        </is>
      </c>
      <c r="C1276" s="10" t="inlineStr">
        <is>
          <t>2023-07</t>
        </is>
      </c>
      <c r="D1276" s="10" t="n">
        <v>3</v>
      </c>
      <c r="E1276" s="12" t="n">
        <v>4249.6</v>
      </c>
      <c r="F1276" s="12" t="n">
        <v>2934.1</v>
      </c>
      <c r="G1276" s="12" t="n">
        <v>1315.5</v>
      </c>
      <c r="H1276" s="13" t="n">
        <v>0.09429999999999999</v>
      </c>
      <c r="I1276" s="13" t="n">
        <v>0.0529</v>
      </c>
    </row>
    <row r="1277">
      <c r="A1277" s="10" t="inlineStr">
        <is>
          <t>PJ-2023-I</t>
        </is>
      </c>
      <c r="B1277" s="10" t="inlineStr">
        <is>
          <t>素朴版／月内均等</t>
        </is>
      </c>
      <c r="C1277" s="10" t="inlineStr">
        <is>
          <t>2023-08</t>
        </is>
      </c>
      <c r="D1277" s="10" t="n">
        <v>4</v>
      </c>
      <c r="E1277" s="12" t="n">
        <v>4509.8</v>
      </c>
      <c r="F1277" s="12" t="n">
        <v>3879.4</v>
      </c>
      <c r="G1277" s="12" t="n">
        <v>630.4</v>
      </c>
      <c r="H1277" s="13" t="n">
        <v>0.134</v>
      </c>
      <c r="I1277" s="13" t="n">
        <v>0.0871</v>
      </c>
    </row>
    <row r="1278">
      <c r="A1278" s="10" t="inlineStr">
        <is>
          <t>PJ-2023-I</t>
        </is>
      </c>
      <c r="B1278" s="10" t="inlineStr">
        <is>
          <t>素朴版／月内均等</t>
        </is>
      </c>
      <c r="C1278" s="10" t="inlineStr">
        <is>
          <t>2023-09</t>
        </is>
      </c>
      <c r="D1278" s="10" t="n">
        <v>5</v>
      </c>
      <c r="E1278" s="12" t="n">
        <v>5064.7</v>
      </c>
      <c r="F1278" s="12" t="n">
        <v>4638.5</v>
      </c>
      <c r="G1278" s="12" t="n">
        <v>426.2</v>
      </c>
      <c r="H1278" s="13" t="n">
        <v>0.1786</v>
      </c>
      <c r="I1278" s="13" t="n">
        <v>0.1279</v>
      </c>
    </row>
    <row r="1279">
      <c r="A1279" s="10" t="inlineStr">
        <is>
          <t>PJ-2023-I</t>
        </is>
      </c>
      <c r="B1279" s="10" t="inlineStr">
        <is>
          <t>素朴版／月内均等</t>
        </is>
      </c>
      <c r="C1279" s="10" t="inlineStr">
        <is>
          <t>2023-10</t>
        </is>
      </c>
      <c r="D1279" s="10" t="n">
        <v>6</v>
      </c>
      <c r="E1279" s="12" t="n">
        <v>6680.2</v>
      </c>
      <c r="F1279" s="12" t="n">
        <v>5612.3</v>
      </c>
      <c r="G1279" s="12" t="n">
        <v>1067.9</v>
      </c>
      <c r="H1279" s="13" t="n">
        <v>0.2375</v>
      </c>
      <c r="I1279" s="13" t="n">
        <v>0.1774</v>
      </c>
    </row>
    <row r="1280">
      <c r="A1280" s="10" t="inlineStr">
        <is>
          <t>PJ-2023-I</t>
        </is>
      </c>
      <c r="B1280" s="10" t="inlineStr">
        <is>
          <t>素朴版／月内均等</t>
        </is>
      </c>
      <c r="C1280" s="10" t="inlineStr">
        <is>
          <t>2023-11</t>
        </is>
      </c>
      <c r="D1280" s="10" t="n">
        <v>7</v>
      </c>
      <c r="E1280" s="12" t="n">
        <v>7322.4</v>
      </c>
      <c r="F1280" s="12" t="n">
        <v>6590</v>
      </c>
      <c r="G1280" s="12" t="n">
        <v>732.4</v>
      </c>
      <c r="H1280" s="13" t="n">
        <v>0.302</v>
      </c>
      <c r="I1280" s="13" t="n">
        <v>0.2354</v>
      </c>
    </row>
    <row r="1281">
      <c r="A1281" s="10" t="inlineStr">
        <is>
          <t>PJ-2023-I</t>
        </is>
      </c>
      <c r="B1281" s="10" t="inlineStr">
        <is>
          <t>素朴版／月内均等</t>
        </is>
      </c>
      <c r="C1281" s="10" t="inlineStr">
        <is>
          <t>2023-12</t>
        </is>
      </c>
      <c r="D1281" s="10" t="n">
        <v>8</v>
      </c>
      <c r="E1281" s="12" t="n">
        <v>8104.9</v>
      </c>
      <c r="F1281" s="12" t="n">
        <v>8421.299999999999</v>
      </c>
      <c r="G1281" s="12" t="n">
        <v>-316.4</v>
      </c>
      <c r="H1281" s="13" t="n">
        <v>0.3733</v>
      </c>
      <c r="I1281" s="13" t="n">
        <v>0.3096</v>
      </c>
    </row>
    <row r="1282">
      <c r="A1282" s="10" t="inlineStr">
        <is>
          <t>PJ-2023-I</t>
        </is>
      </c>
      <c r="B1282" s="10" t="inlineStr">
        <is>
          <t>素朴版／月内均等</t>
        </is>
      </c>
      <c r="C1282" s="10" t="inlineStr">
        <is>
          <t>2024-01</t>
        </is>
      </c>
      <c r="D1282" s="10" t="n">
        <v>9</v>
      </c>
      <c r="E1282" s="12" t="n">
        <v>7204.9</v>
      </c>
      <c r="F1282" s="12" t="n">
        <v>11235.7</v>
      </c>
      <c r="G1282" s="12" t="n">
        <v>-4030.8</v>
      </c>
      <c r="H1282" s="13" t="n">
        <v>0.4368</v>
      </c>
      <c r="I1282" s="13" t="n">
        <v>0.4085</v>
      </c>
    </row>
    <row r="1283">
      <c r="A1283" s="10" t="inlineStr">
        <is>
          <t>PJ-2023-I</t>
        </is>
      </c>
      <c r="B1283" s="10" t="inlineStr">
        <is>
          <t>素朴版／月内均等</t>
        </is>
      </c>
      <c r="C1283" s="10" t="inlineStr">
        <is>
          <t>2024-02</t>
        </is>
      </c>
      <c r="D1283" s="10" t="n">
        <v>10</v>
      </c>
      <c r="E1283" s="12" t="n">
        <v>7573.9</v>
      </c>
      <c r="F1283" s="12" t="n">
        <v>13660.8</v>
      </c>
      <c r="G1283" s="12" t="n">
        <v>-6086.9</v>
      </c>
      <c r="H1283" s="13" t="n">
        <v>0.5034999999999999</v>
      </c>
      <c r="I1283" s="13" t="n">
        <v>0.5288</v>
      </c>
    </row>
    <row r="1284">
      <c r="A1284" s="10" t="inlineStr">
        <is>
          <t>PJ-2023-I</t>
        </is>
      </c>
      <c r="B1284" s="10" t="inlineStr">
        <is>
          <t>素朴版／月内均等</t>
        </is>
      </c>
      <c r="C1284" s="10" t="inlineStr">
        <is>
          <t>2024-03</t>
        </is>
      </c>
      <c r="D1284" s="10" t="n">
        <v>11</v>
      </c>
      <c r="E1284" s="12" t="n">
        <v>8786.700000000001</v>
      </c>
      <c r="F1284" s="12" t="n">
        <v>13455.6</v>
      </c>
      <c r="G1284" s="12" t="n">
        <v>-4668.9</v>
      </c>
      <c r="H1284" s="13" t="n">
        <v>0.5809</v>
      </c>
      <c r="I1284" s="13" t="n">
        <v>0.6473</v>
      </c>
    </row>
    <row r="1285">
      <c r="A1285" s="10" t="inlineStr">
        <is>
          <t>PJ-2023-I</t>
        </is>
      </c>
      <c r="B1285" s="10" t="inlineStr">
        <is>
          <t>素朴版／月内均等</t>
        </is>
      </c>
      <c r="C1285" s="10" t="inlineStr">
        <is>
          <t>2024-04</t>
        </is>
      </c>
      <c r="D1285" s="10" t="n">
        <v>12</v>
      </c>
      <c r="E1285" s="12" t="n">
        <v>8817.700000000001</v>
      </c>
      <c r="F1285" s="12" t="n">
        <v>15249</v>
      </c>
      <c r="G1285" s="12" t="n">
        <v>-6431.3</v>
      </c>
      <c r="H1285" s="13" t="n">
        <v>0.6585</v>
      </c>
      <c r="I1285" s="13" t="n">
        <v>0.7816</v>
      </c>
    </row>
    <row r="1286">
      <c r="A1286" s="10" t="inlineStr">
        <is>
          <t>PJ-2023-I</t>
        </is>
      </c>
      <c r="B1286" s="10" t="inlineStr">
        <is>
          <t>素朴版／月内均等</t>
        </is>
      </c>
      <c r="C1286" s="10" t="inlineStr">
        <is>
          <t>2024-05</t>
        </is>
      </c>
      <c r="D1286" s="10" t="n">
        <v>13</v>
      </c>
      <c r="E1286" s="12" t="n">
        <v>8815.299999999999</v>
      </c>
      <c r="F1286" s="12" t="n">
        <v>6881.4</v>
      </c>
      <c r="G1286" s="12" t="n">
        <v>1933.9</v>
      </c>
      <c r="H1286" s="13" t="n">
        <v>0.7362</v>
      </c>
      <c r="I1286" s="13" t="n">
        <v>0.8421999999999999</v>
      </c>
    </row>
    <row r="1287">
      <c r="A1287" s="10" t="inlineStr">
        <is>
          <t>PJ-2023-I</t>
        </is>
      </c>
      <c r="B1287" s="10" t="inlineStr">
        <is>
          <t>素朴版／月内均等</t>
        </is>
      </c>
      <c r="C1287" s="10" t="inlineStr">
        <is>
          <t>2024-06</t>
        </is>
      </c>
      <c r="D1287" s="10" t="n">
        <v>14</v>
      </c>
      <c r="E1287" s="12" t="n">
        <v>8116.3</v>
      </c>
      <c r="F1287" s="12" t="n">
        <v>5543.4</v>
      </c>
      <c r="G1287" s="12" t="n">
        <v>2572.9</v>
      </c>
      <c r="H1287" s="13" t="n">
        <v>0.8077</v>
      </c>
      <c r="I1287" s="13" t="n">
        <v>0.8911</v>
      </c>
    </row>
    <row r="1288">
      <c r="A1288" s="10" t="inlineStr">
        <is>
          <t>PJ-2023-I</t>
        </is>
      </c>
      <c r="B1288" s="10" t="inlineStr">
        <is>
          <t>素朴版／月内均等</t>
        </is>
      </c>
      <c r="C1288" s="10" t="inlineStr">
        <is>
          <t>2024-07</t>
        </is>
      </c>
      <c r="D1288" s="10" t="n">
        <v>15</v>
      </c>
      <c r="E1288" s="12" t="n">
        <v>8479.700000000001</v>
      </c>
      <c r="F1288" s="12" t="n">
        <v>3845</v>
      </c>
      <c r="G1288" s="12" t="n">
        <v>4634.7</v>
      </c>
      <c r="H1288" s="13" t="n">
        <v>0.8823</v>
      </c>
      <c r="I1288" s="13" t="n">
        <v>0.9249000000000001</v>
      </c>
    </row>
    <row r="1289">
      <c r="A1289" s="10" t="inlineStr">
        <is>
          <t>PJ-2023-I</t>
        </is>
      </c>
      <c r="B1289" s="10" t="inlineStr">
        <is>
          <t>素朴版／月内均等</t>
        </is>
      </c>
      <c r="C1289" s="10" t="inlineStr">
        <is>
          <t>2024-08</t>
        </is>
      </c>
      <c r="D1289" s="10" t="n">
        <v>16</v>
      </c>
      <c r="E1289" s="12" t="n">
        <v>6443.8</v>
      </c>
      <c r="F1289" s="12" t="n">
        <v>3094</v>
      </c>
      <c r="G1289" s="12" t="n">
        <v>3349.8</v>
      </c>
      <c r="H1289" s="13" t="n">
        <v>0.9391</v>
      </c>
      <c r="I1289" s="13" t="n">
        <v>0.9522</v>
      </c>
    </row>
    <row r="1290">
      <c r="A1290" s="10" t="inlineStr">
        <is>
          <t>PJ-2023-I</t>
        </is>
      </c>
      <c r="B1290" s="10" t="inlineStr">
        <is>
          <t>素朴版／月内均等</t>
        </is>
      </c>
      <c r="C1290" s="10" t="inlineStr">
        <is>
          <t>2024-09</t>
        </is>
      </c>
      <c r="D1290" s="10" t="n">
        <v>17</v>
      </c>
      <c r="E1290" s="12" t="n">
        <v>4421.1</v>
      </c>
      <c r="F1290" s="12" t="n">
        <v>3246</v>
      </c>
      <c r="G1290" s="12" t="n">
        <v>1175.1</v>
      </c>
      <c r="H1290" s="13" t="n">
        <v>0.978</v>
      </c>
      <c r="I1290" s="13" t="n">
        <v>0.9808</v>
      </c>
    </row>
    <row r="1291">
      <c r="A1291" s="10" t="inlineStr">
        <is>
          <t>PJ-2023-I</t>
        </is>
      </c>
      <c r="B1291" s="10" t="inlineStr">
        <is>
          <t>素朴版／月内均等</t>
        </is>
      </c>
      <c r="C1291" s="10" t="inlineStr">
        <is>
          <t>2024-10</t>
        </is>
      </c>
      <c r="D1291" s="10" t="n">
        <v>18</v>
      </c>
      <c r="E1291" s="12" t="n">
        <v>2495.6</v>
      </c>
      <c r="F1291" s="12" t="n">
        <v>2184.9</v>
      </c>
      <c r="G1291" s="12" t="n">
        <v>310.7</v>
      </c>
      <c r="H1291" s="13" t="n">
        <v>1</v>
      </c>
      <c r="I1291" s="13" t="n">
        <v>1</v>
      </c>
    </row>
    <row r="1292">
      <c r="A1292" s="10" t="inlineStr">
        <is>
          <t>PJ-2023-I</t>
        </is>
      </c>
      <c r="B1292" s="10" t="inlineStr">
        <is>
          <t>位置合わせ(MS学習値)／月内均等</t>
        </is>
      </c>
      <c r="C1292" s="10" t="inlineStr">
        <is>
          <t>2023-05</t>
        </is>
      </c>
      <c r="D1292" s="10" t="n">
        <v>1</v>
      </c>
      <c r="E1292" s="12" t="n">
        <v>2879.4</v>
      </c>
      <c r="F1292" s="12" t="n">
        <v>1057.9</v>
      </c>
      <c r="G1292" s="12" t="n">
        <v>1821.5</v>
      </c>
      <c r="H1292" s="13" t="n">
        <v>0.0254</v>
      </c>
      <c r="I1292" s="13" t="n">
        <v>0.009299999999999999</v>
      </c>
    </row>
    <row r="1293">
      <c r="A1293" s="10" t="inlineStr">
        <is>
          <t>PJ-2023-I</t>
        </is>
      </c>
      <c r="B1293" s="10" t="inlineStr">
        <is>
          <t>位置合わせ(MS学習値)／月内均等</t>
        </is>
      </c>
      <c r="C1293" s="10" t="inlineStr">
        <is>
          <t>2023-06</t>
        </is>
      </c>
      <c r="D1293" s="10" t="n">
        <v>2</v>
      </c>
      <c r="E1293" s="12" t="n">
        <v>3525</v>
      </c>
      <c r="F1293" s="12" t="n">
        <v>2017.9</v>
      </c>
      <c r="G1293" s="12" t="n">
        <v>1507.1</v>
      </c>
      <c r="H1293" s="13" t="n">
        <v>0.0564</v>
      </c>
      <c r="I1293" s="13" t="n">
        <v>0.0271</v>
      </c>
    </row>
    <row r="1294">
      <c r="A1294" s="10" t="inlineStr">
        <is>
          <t>PJ-2023-I</t>
        </is>
      </c>
      <c r="B1294" s="10" t="inlineStr">
        <is>
          <t>位置合わせ(MS学習値)／月内均等</t>
        </is>
      </c>
      <c r="C1294" s="10" t="inlineStr">
        <is>
          <t>2023-07</t>
        </is>
      </c>
      <c r="D1294" s="10" t="n">
        <v>3</v>
      </c>
      <c r="E1294" s="12" t="n">
        <v>4174.3</v>
      </c>
      <c r="F1294" s="12" t="n">
        <v>2934.1</v>
      </c>
      <c r="G1294" s="12" t="n">
        <v>1240.2</v>
      </c>
      <c r="H1294" s="13" t="n">
        <v>0.09320000000000001</v>
      </c>
      <c r="I1294" s="13" t="n">
        <v>0.0529</v>
      </c>
    </row>
    <row r="1295">
      <c r="A1295" s="10" t="inlineStr">
        <is>
          <t>PJ-2023-I</t>
        </is>
      </c>
      <c r="B1295" s="10" t="inlineStr">
        <is>
          <t>位置合わせ(MS学習値)／月内均等</t>
        </is>
      </c>
      <c r="C1295" s="10" t="inlineStr">
        <is>
          <t>2023-08</t>
        </is>
      </c>
      <c r="D1295" s="10" t="n">
        <v>4</v>
      </c>
      <c r="E1295" s="12" t="n">
        <v>4435.9</v>
      </c>
      <c r="F1295" s="12" t="n">
        <v>3879.4</v>
      </c>
      <c r="G1295" s="12" t="n">
        <v>556.5</v>
      </c>
      <c r="H1295" s="13" t="n">
        <v>0.1322</v>
      </c>
      <c r="I1295" s="13" t="n">
        <v>0.0871</v>
      </c>
    </row>
    <row r="1296">
      <c r="A1296" s="10" t="inlineStr">
        <is>
          <t>PJ-2023-I</t>
        </is>
      </c>
      <c r="B1296" s="10" t="inlineStr">
        <is>
          <t>位置合わせ(MS学習値)／月内均等</t>
        </is>
      </c>
      <c r="C1296" s="10" t="inlineStr">
        <is>
          <t>2023-09</t>
        </is>
      </c>
      <c r="D1296" s="10" t="n">
        <v>5</v>
      </c>
      <c r="E1296" s="12" t="n">
        <v>4878</v>
      </c>
      <c r="F1296" s="12" t="n">
        <v>4638.5</v>
      </c>
      <c r="G1296" s="12" t="n">
        <v>239.5</v>
      </c>
      <c r="H1296" s="13" t="n">
        <v>0.1752</v>
      </c>
      <c r="I1296" s="13" t="n">
        <v>0.1279</v>
      </c>
    </row>
    <row r="1297">
      <c r="A1297" s="10" t="inlineStr">
        <is>
          <t>PJ-2023-I</t>
        </is>
      </c>
      <c r="B1297" s="10" t="inlineStr">
        <is>
          <t>位置合わせ(MS学習値)／月内均等</t>
        </is>
      </c>
      <c r="C1297" s="10" t="inlineStr">
        <is>
          <t>2023-10</t>
        </is>
      </c>
      <c r="D1297" s="10" t="n">
        <v>6</v>
      </c>
      <c r="E1297" s="12" t="n">
        <v>5928.6</v>
      </c>
      <c r="F1297" s="12" t="n">
        <v>5612.3</v>
      </c>
      <c r="G1297" s="12" t="n">
        <v>316.3</v>
      </c>
      <c r="H1297" s="13" t="n">
        <v>0.2274</v>
      </c>
      <c r="I1297" s="13" t="n">
        <v>0.1774</v>
      </c>
    </row>
    <row r="1298">
      <c r="A1298" s="10" t="inlineStr">
        <is>
          <t>PJ-2023-I</t>
        </is>
      </c>
      <c r="B1298" s="10" t="inlineStr">
        <is>
          <t>位置合わせ(MS学習値)／月内均等</t>
        </is>
      </c>
      <c r="C1298" s="10" t="inlineStr">
        <is>
          <t>2023-11</t>
        </is>
      </c>
      <c r="D1298" s="10" t="n">
        <v>7</v>
      </c>
      <c r="E1298" s="12" t="n">
        <v>6837.9</v>
      </c>
      <c r="F1298" s="12" t="n">
        <v>6590</v>
      </c>
      <c r="G1298" s="12" t="n">
        <v>247.9</v>
      </c>
      <c r="H1298" s="13" t="n">
        <v>0.2876</v>
      </c>
      <c r="I1298" s="13" t="n">
        <v>0.2354</v>
      </c>
    </row>
    <row r="1299">
      <c r="A1299" s="10" t="inlineStr">
        <is>
          <t>PJ-2023-I</t>
        </is>
      </c>
      <c r="B1299" s="10" t="inlineStr">
        <is>
          <t>位置合わせ(MS学習値)／月内均等</t>
        </is>
      </c>
      <c r="C1299" s="10" t="inlineStr">
        <is>
          <t>2023-12</t>
        </is>
      </c>
      <c r="D1299" s="10" t="n">
        <v>8</v>
      </c>
      <c r="E1299" s="12" t="n">
        <v>7881.7</v>
      </c>
      <c r="F1299" s="12" t="n">
        <v>8421.299999999999</v>
      </c>
      <c r="G1299" s="12" t="n">
        <v>-539.6</v>
      </c>
      <c r="H1299" s="13" t="n">
        <v>0.357</v>
      </c>
      <c r="I1299" s="13" t="n">
        <v>0.3096</v>
      </c>
    </row>
    <row r="1300">
      <c r="A1300" s="10" t="inlineStr">
        <is>
          <t>PJ-2023-I</t>
        </is>
      </c>
      <c r="B1300" s="10" t="inlineStr">
        <is>
          <t>位置合わせ(MS学習値)／月内均等</t>
        </is>
      </c>
      <c r="C1300" s="10" t="inlineStr">
        <is>
          <t>2024-01</t>
        </is>
      </c>
      <c r="D1300" s="10" t="n">
        <v>9</v>
      </c>
      <c r="E1300" s="12" t="n">
        <v>8835.799999999999</v>
      </c>
      <c r="F1300" s="12" t="n">
        <v>11235.7</v>
      </c>
      <c r="G1300" s="12" t="n">
        <v>-2399.9</v>
      </c>
      <c r="H1300" s="13" t="n">
        <v>0.4349</v>
      </c>
      <c r="I1300" s="13" t="n">
        <v>0.4085</v>
      </c>
    </row>
    <row r="1301">
      <c r="A1301" s="10" t="inlineStr">
        <is>
          <t>PJ-2023-I</t>
        </is>
      </c>
      <c r="B1301" s="10" t="inlineStr">
        <is>
          <t>位置合わせ(MS学習値)／月内均等</t>
        </is>
      </c>
      <c r="C1301" s="10" t="inlineStr">
        <is>
          <t>2024-02</t>
        </is>
      </c>
      <c r="D1301" s="10" t="n">
        <v>10</v>
      </c>
      <c r="E1301" s="12" t="n">
        <v>8395</v>
      </c>
      <c r="F1301" s="12" t="n">
        <v>13660.8</v>
      </c>
      <c r="G1301" s="12" t="n">
        <v>-5265.8</v>
      </c>
      <c r="H1301" s="13" t="n">
        <v>0.5088</v>
      </c>
      <c r="I1301" s="13" t="n">
        <v>0.5288</v>
      </c>
    </row>
    <row r="1302">
      <c r="A1302" s="10" t="inlineStr">
        <is>
          <t>PJ-2023-I</t>
        </is>
      </c>
      <c r="B1302" s="10" t="inlineStr">
        <is>
          <t>位置合わせ(MS学習値)／月内均等</t>
        </is>
      </c>
      <c r="C1302" s="10" t="inlineStr">
        <is>
          <t>2024-03</t>
        </is>
      </c>
      <c r="D1302" s="10" t="n">
        <v>11</v>
      </c>
      <c r="E1302" s="12" t="n">
        <v>8691</v>
      </c>
      <c r="F1302" s="12" t="n">
        <v>13455.6</v>
      </c>
      <c r="G1302" s="12" t="n">
        <v>-4764.6</v>
      </c>
      <c r="H1302" s="13" t="n">
        <v>0.5853</v>
      </c>
      <c r="I1302" s="13" t="n">
        <v>0.6473</v>
      </c>
    </row>
    <row r="1303">
      <c r="A1303" s="10" t="inlineStr">
        <is>
          <t>PJ-2023-I</t>
        </is>
      </c>
      <c r="B1303" s="10" t="inlineStr">
        <is>
          <t>位置合わせ(MS学習値)／月内均等</t>
        </is>
      </c>
      <c r="C1303" s="10" t="inlineStr">
        <is>
          <t>2024-04</t>
        </is>
      </c>
      <c r="D1303" s="10" t="n">
        <v>12</v>
      </c>
      <c r="E1303" s="12" t="n">
        <v>8581.799999999999</v>
      </c>
      <c r="F1303" s="12" t="n">
        <v>15249</v>
      </c>
      <c r="G1303" s="12" t="n">
        <v>-6667.2</v>
      </c>
      <c r="H1303" s="13" t="n">
        <v>0.6609</v>
      </c>
      <c r="I1303" s="13" t="n">
        <v>0.7816</v>
      </c>
    </row>
    <row r="1304">
      <c r="A1304" s="10" t="inlineStr">
        <is>
          <t>PJ-2023-I</t>
        </is>
      </c>
      <c r="B1304" s="10" t="inlineStr">
        <is>
          <t>位置合わせ(MS学習値)／月内均等</t>
        </is>
      </c>
      <c r="C1304" s="10" t="inlineStr">
        <is>
          <t>2024-05</t>
        </is>
      </c>
      <c r="D1304" s="10" t="n">
        <v>13</v>
      </c>
      <c r="E1304" s="12" t="n">
        <v>9008.299999999999</v>
      </c>
      <c r="F1304" s="12" t="n">
        <v>6881.4</v>
      </c>
      <c r="G1304" s="12" t="n">
        <v>2126.9</v>
      </c>
      <c r="H1304" s="13" t="n">
        <v>0.7402</v>
      </c>
      <c r="I1304" s="13" t="n">
        <v>0.8421999999999999</v>
      </c>
    </row>
    <row r="1305">
      <c r="A1305" s="10" t="inlineStr">
        <is>
          <t>PJ-2023-I</t>
        </is>
      </c>
      <c r="B1305" s="10" t="inlineStr">
        <is>
          <t>位置合わせ(MS学習値)／月内均等</t>
        </is>
      </c>
      <c r="C1305" s="10" t="inlineStr">
        <is>
          <t>2024-06</t>
        </is>
      </c>
      <c r="D1305" s="10" t="n">
        <v>14</v>
      </c>
      <c r="E1305" s="12" t="n">
        <v>8608.9</v>
      </c>
      <c r="F1305" s="12" t="n">
        <v>5543.4</v>
      </c>
      <c r="G1305" s="12" t="n">
        <v>3065.5</v>
      </c>
      <c r="H1305" s="13" t="n">
        <v>0.8161</v>
      </c>
      <c r="I1305" s="13" t="n">
        <v>0.8911</v>
      </c>
    </row>
    <row r="1306">
      <c r="A1306" s="10" t="inlineStr">
        <is>
          <t>PJ-2023-I</t>
        </is>
      </c>
      <c r="B1306" s="10" t="inlineStr">
        <is>
          <t>位置合わせ(MS学習値)／月内均等</t>
        </is>
      </c>
      <c r="C1306" s="10" t="inlineStr">
        <is>
          <t>2024-07</t>
        </is>
      </c>
      <c r="D1306" s="10" t="n">
        <v>15</v>
      </c>
      <c r="E1306" s="12" t="n">
        <v>7663.7</v>
      </c>
      <c r="F1306" s="12" t="n">
        <v>3845</v>
      </c>
      <c r="G1306" s="12" t="n">
        <v>3818.7</v>
      </c>
      <c r="H1306" s="13" t="n">
        <v>0.8836000000000001</v>
      </c>
      <c r="I1306" s="13" t="n">
        <v>0.9249000000000001</v>
      </c>
    </row>
    <row r="1307">
      <c r="A1307" s="10" t="inlineStr">
        <is>
          <t>PJ-2023-I</t>
        </is>
      </c>
      <c r="B1307" s="10" t="inlineStr">
        <is>
          <t>位置合わせ(MS学習値)／月内均等</t>
        </is>
      </c>
      <c r="C1307" s="10" t="inlineStr">
        <is>
          <t>2024-08</t>
        </is>
      </c>
      <c r="D1307" s="10" t="n">
        <v>16</v>
      </c>
      <c r="E1307" s="12" t="n">
        <v>6186.7</v>
      </c>
      <c r="F1307" s="12" t="n">
        <v>3094</v>
      </c>
      <c r="G1307" s="12" t="n">
        <v>3092.7</v>
      </c>
      <c r="H1307" s="13" t="n">
        <v>0.9379999999999999</v>
      </c>
      <c r="I1307" s="13" t="n">
        <v>0.9522</v>
      </c>
    </row>
    <row r="1308">
      <c r="A1308" s="10" t="inlineStr">
        <is>
          <t>PJ-2023-I</t>
        </is>
      </c>
      <c r="B1308" s="10" t="inlineStr">
        <is>
          <t>位置合わせ(MS学習値)／月内均等</t>
        </is>
      </c>
      <c r="C1308" s="10" t="inlineStr">
        <is>
          <t>2024-09</t>
        </is>
      </c>
      <c r="D1308" s="10" t="n">
        <v>17</v>
      </c>
      <c r="E1308" s="12" t="n">
        <v>4562</v>
      </c>
      <c r="F1308" s="12" t="n">
        <v>3246</v>
      </c>
      <c r="G1308" s="12" t="n">
        <v>1316</v>
      </c>
      <c r="H1308" s="13" t="n">
        <v>0.9782</v>
      </c>
      <c r="I1308" s="13" t="n">
        <v>0.9808</v>
      </c>
    </row>
    <row r="1309">
      <c r="A1309" s="10" t="inlineStr">
        <is>
          <t>PJ-2023-I</t>
        </is>
      </c>
      <c r="B1309" s="10" t="inlineStr">
        <is>
          <t>位置合わせ(MS学習値)／月内均等</t>
        </is>
      </c>
      <c r="C1309" s="10" t="inlineStr">
        <is>
          <t>2024-10</t>
        </is>
      </c>
      <c r="D1309" s="10" t="n">
        <v>18</v>
      </c>
      <c r="E1309" s="12" t="n">
        <v>2473</v>
      </c>
      <c r="F1309" s="12" t="n">
        <v>2184.9</v>
      </c>
      <c r="G1309" s="12" t="n">
        <v>288.1</v>
      </c>
      <c r="H1309" s="13" t="n">
        <v>1</v>
      </c>
      <c r="I1309" s="13" t="n">
        <v>1</v>
      </c>
    </row>
    <row r="1310">
      <c r="A1310" s="10" t="inlineStr">
        <is>
          <t>PJ-2023-I</t>
        </is>
      </c>
      <c r="B1310" s="10" t="inlineStr">
        <is>
          <t>位置合わせ(MS指定)／月内均等</t>
        </is>
      </c>
      <c r="C1310" s="10" t="inlineStr">
        <is>
          <t>2023-05</t>
        </is>
      </c>
      <c r="D1310" s="10" t="n">
        <v>1</v>
      </c>
      <c r="E1310" s="12" t="n">
        <v>2894</v>
      </c>
      <c r="F1310" s="12" t="n">
        <v>1057.9</v>
      </c>
      <c r="G1310" s="12" t="n">
        <v>1836.1</v>
      </c>
      <c r="H1310" s="13" t="n">
        <v>0.0255</v>
      </c>
      <c r="I1310" s="13" t="n">
        <v>0.009299999999999999</v>
      </c>
    </row>
    <row r="1311">
      <c r="A1311" s="10" t="inlineStr">
        <is>
          <t>PJ-2023-I</t>
        </is>
      </c>
      <c r="B1311" s="10" t="inlineStr">
        <is>
          <t>位置合わせ(MS指定)／月内均等</t>
        </is>
      </c>
      <c r="C1311" s="10" t="inlineStr">
        <is>
          <t>2023-06</t>
        </is>
      </c>
      <c r="D1311" s="10" t="n">
        <v>2</v>
      </c>
      <c r="E1311" s="12" t="n">
        <v>3545</v>
      </c>
      <c r="F1311" s="12" t="n">
        <v>2017.9</v>
      </c>
      <c r="G1311" s="12" t="n">
        <v>1527.1</v>
      </c>
      <c r="H1311" s="13" t="n">
        <v>0.0567</v>
      </c>
      <c r="I1311" s="13" t="n">
        <v>0.0271</v>
      </c>
    </row>
    <row r="1312">
      <c r="A1312" s="10" t="inlineStr">
        <is>
          <t>PJ-2023-I</t>
        </is>
      </c>
      <c r="B1312" s="10" t="inlineStr">
        <is>
          <t>位置合わせ(MS指定)／月内均等</t>
        </is>
      </c>
      <c r="C1312" s="10" t="inlineStr">
        <is>
          <t>2023-07</t>
        </is>
      </c>
      <c r="D1312" s="10" t="n">
        <v>3</v>
      </c>
      <c r="E1312" s="12" t="n">
        <v>4194.9</v>
      </c>
      <c r="F1312" s="12" t="n">
        <v>2934.1</v>
      </c>
      <c r="G1312" s="12" t="n">
        <v>1260.8</v>
      </c>
      <c r="H1312" s="13" t="n">
        <v>0.09370000000000001</v>
      </c>
      <c r="I1312" s="13" t="n">
        <v>0.0529</v>
      </c>
    </row>
    <row r="1313">
      <c r="A1313" s="10" t="inlineStr">
        <is>
          <t>PJ-2023-I</t>
        </is>
      </c>
      <c r="B1313" s="10" t="inlineStr">
        <is>
          <t>位置合わせ(MS指定)／月内均等</t>
        </is>
      </c>
      <c r="C1313" s="10" t="inlineStr">
        <is>
          <t>2023-08</t>
        </is>
      </c>
      <c r="D1313" s="10" t="n">
        <v>4</v>
      </c>
      <c r="E1313" s="12" t="n">
        <v>4462.3</v>
      </c>
      <c r="F1313" s="12" t="n">
        <v>3879.4</v>
      </c>
      <c r="G1313" s="12" t="n">
        <v>582.9</v>
      </c>
      <c r="H1313" s="13" t="n">
        <v>0.133</v>
      </c>
      <c r="I1313" s="13" t="n">
        <v>0.0871</v>
      </c>
    </row>
    <row r="1314">
      <c r="A1314" s="10" t="inlineStr">
        <is>
          <t>PJ-2023-I</t>
        </is>
      </c>
      <c r="B1314" s="10" t="inlineStr">
        <is>
          <t>位置合わせ(MS指定)／月内均等</t>
        </is>
      </c>
      <c r="C1314" s="10" t="inlineStr">
        <is>
          <t>2023-09</t>
        </is>
      </c>
      <c r="D1314" s="10" t="n">
        <v>5</v>
      </c>
      <c r="E1314" s="12" t="n">
        <v>4889.9</v>
      </c>
      <c r="F1314" s="12" t="n">
        <v>4638.5</v>
      </c>
      <c r="G1314" s="12" t="n">
        <v>251.4</v>
      </c>
      <c r="H1314" s="13" t="n">
        <v>0.176</v>
      </c>
      <c r="I1314" s="13" t="n">
        <v>0.1279</v>
      </c>
    </row>
    <row r="1315">
      <c r="A1315" s="10" t="inlineStr">
        <is>
          <t>PJ-2023-I</t>
        </is>
      </c>
      <c r="B1315" s="10" t="inlineStr">
        <is>
          <t>位置合わせ(MS指定)／月内均等</t>
        </is>
      </c>
      <c r="C1315" s="10" t="inlineStr">
        <is>
          <t>2023-10</t>
        </is>
      </c>
      <c r="D1315" s="10" t="n">
        <v>6</v>
      </c>
      <c r="E1315" s="12" t="n">
        <v>5984.7</v>
      </c>
      <c r="F1315" s="12" t="n">
        <v>5612.3</v>
      </c>
      <c r="G1315" s="12" t="n">
        <v>372.4</v>
      </c>
      <c r="H1315" s="13" t="n">
        <v>0.2287</v>
      </c>
      <c r="I1315" s="13" t="n">
        <v>0.1774</v>
      </c>
    </row>
    <row r="1316">
      <c r="A1316" s="10" t="inlineStr">
        <is>
          <t>PJ-2023-I</t>
        </is>
      </c>
      <c r="B1316" s="10" t="inlineStr">
        <is>
          <t>位置合わせ(MS指定)／月内均等</t>
        </is>
      </c>
      <c r="C1316" s="10" t="inlineStr">
        <is>
          <t>2023-11</t>
        </is>
      </c>
      <c r="D1316" s="10" t="n">
        <v>7</v>
      </c>
      <c r="E1316" s="12" t="n">
        <v>6887.1</v>
      </c>
      <c r="F1316" s="12" t="n">
        <v>6590</v>
      </c>
      <c r="G1316" s="12" t="n">
        <v>297.1</v>
      </c>
      <c r="H1316" s="13" t="n">
        <v>0.2894</v>
      </c>
      <c r="I1316" s="13" t="n">
        <v>0.2354</v>
      </c>
    </row>
    <row r="1317">
      <c r="A1317" s="10" t="inlineStr">
        <is>
          <t>PJ-2023-I</t>
        </is>
      </c>
      <c r="B1317" s="10" t="inlineStr">
        <is>
          <t>位置合わせ(MS指定)／月内均等</t>
        </is>
      </c>
      <c r="C1317" s="10" t="inlineStr">
        <is>
          <t>2023-12</t>
        </is>
      </c>
      <c r="D1317" s="10" t="n">
        <v>8</v>
      </c>
      <c r="E1317" s="12" t="n">
        <v>7938.8</v>
      </c>
      <c r="F1317" s="12" t="n">
        <v>8421.299999999999</v>
      </c>
      <c r="G1317" s="12" t="n">
        <v>-482.5</v>
      </c>
      <c r="H1317" s="13" t="n">
        <v>0.3593</v>
      </c>
      <c r="I1317" s="13" t="n">
        <v>0.3096</v>
      </c>
    </row>
    <row r="1318">
      <c r="A1318" s="10" t="inlineStr">
        <is>
          <t>PJ-2023-I</t>
        </is>
      </c>
      <c r="B1318" s="10" t="inlineStr">
        <is>
          <t>位置合わせ(MS指定)／月内均等</t>
        </is>
      </c>
      <c r="C1318" s="10" t="inlineStr">
        <is>
          <t>2024-01</t>
        </is>
      </c>
      <c r="D1318" s="10" t="n">
        <v>9</v>
      </c>
      <c r="E1318" s="12" t="n">
        <v>9562.4</v>
      </c>
      <c r="F1318" s="12" t="n">
        <v>11235.7</v>
      </c>
      <c r="G1318" s="12" t="n">
        <v>-1673.3</v>
      </c>
      <c r="H1318" s="13" t="n">
        <v>0.4435</v>
      </c>
      <c r="I1318" s="13" t="n">
        <v>0.4085</v>
      </c>
    </row>
    <row r="1319">
      <c r="A1319" s="10" t="inlineStr">
        <is>
          <t>PJ-2023-I</t>
        </is>
      </c>
      <c r="B1319" s="10" t="inlineStr">
        <is>
          <t>位置合わせ(MS指定)／月内均等</t>
        </is>
      </c>
      <c r="C1319" s="10" t="inlineStr">
        <is>
          <t>2024-02</t>
        </is>
      </c>
      <c r="D1319" s="10" t="n">
        <v>10</v>
      </c>
      <c r="E1319" s="12" t="n">
        <v>11987.1</v>
      </c>
      <c r="F1319" s="12" t="n">
        <v>13660.8</v>
      </c>
      <c r="G1319" s="12" t="n">
        <v>-1673.7</v>
      </c>
      <c r="H1319" s="13" t="n">
        <v>0.5491</v>
      </c>
      <c r="I1319" s="13" t="n">
        <v>0.5288</v>
      </c>
    </row>
    <row r="1320">
      <c r="A1320" s="10" t="inlineStr">
        <is>
          <t>PJ-2023-I</t>
        </is>
      </c>
      <c r="B1320" s="10" t="inlineStr">
        <is>
          <t>位置合わせ(MS指定)／月内均等</t>
        </is>
      </c>
      <c r="C1320" s="10" t="inlineStr">
        <is>
          <t>2024-03</t>
        </is>
      </c>
      <c r="D1320" s="10" t="n">
        <v>11</v>
      </c>
      <c r="E1320" s="12" t="n">
        <v>12778.1</v>
      </c>
      <c r="F1320" s="12" t="n">
        <v>13455.6</v>
      </c>
      <c r="G1320" s="12" t="n">
        <v>-677.5</v>
      </c>
      <c r="H1320" s="13" t="n">
        <v>0.6616</v>
      </c>
      <c r="I1320" s="13" t="n">
        <v>0.6473</v>
      </c>
    </row>
    <row r="1321">
      <c r="A1321" s="10" t="inlineStr">
        <is>
          <t>PJ-2023-I</t>
        </is>
      </c>
      <c r="B1321" s="10" t="inlineStr">
        <is>
          <t>位置合わせ(MS指定)／月内均等</t>
        </is>
      </c>
      <c r="C1321" s="10" t="inlineStr">
        <is>
          <t>2024-04</t>
        </is>
      </c>
      <c r="D1321" s="10" t="n">
        <v>12</v>
      </c>
      <c r="E1321" s="12" t="n">
        <v>12831.7</v>
      </c>
      <c r="F1321" s="12" t="n">
        <v>15249</v>
      </c>
      <c r="G1321" s="12" t="n">
        <v>-2417.3</v>
      </c>
      <c r="H1321" s="13" t="n">
        <v>0.7746</v>
      </c>
      <c r="I1321" s="13" t="n">
        <v>0.7816</v>
      </c>
    </row>
    <row r="1322">
      <c r="A1322" s="10" t="inlineStr">
        <is>
          <t>PJ-2023-I</t>
        </is>
      </c>
      <c r="B1322" s="10" t="inlineStr">
        <is>
          <t>位置合わせ(MS指定)／月内均等</t>
        </is>
      </c>
      <c r="C1322" s="10" t="inlineStr">
        <is>
          <t>2024-05</t>
        </is>
      </c>
      <c r="D1322" s="10" t="n">
        <v>13</v>
      </c>
      <c r="E1322" s="12" t="n">
        <v>5526.8</v>
      </c>
      <c r="F1322" s="12" t="n">
        <v>6881.4</v>
      </c>
      <c r="G1322" s="12" t="n">
        <v>-1354.6</v>
      </c>
      <c r="H1322" s="13" t="n">
        <v>0.8233</v>
      </c>
      <c r="I1322" s="13" t="n">
        <v>0.8421999999999999</v>
      </c>
    </row>
    <row r="1323">
      <c r="A1323" s="10" t="inlineStr">
        <is>
          <t>PJ-2023-I</t>
        </is>
      </c>
      <c r="B1323" s="10" t="inlineStr">
        <is>
          <t>位置合わせ(MS指定)／月内均等</t>
        </is>
      </c>
      <c r="C1323" s="10" t="inlineStr">
        <is>
          <t>2024-06</t>
        </is>
      </c>
      <c r="D1323" s="10" t="n">
        <v>14</v>
      </c>
      <c r="E1323" s="12" t="n">
        <v>4933.9</v>
      </c>
      <c r="F1323" s="12" t="n">
        <v>5543.4</v>
      </c>
      <c r="G1323" s="12" t="n">
        <v>-609.5</v>
      </c>
      <c r="H1323" s="13" t="n">
        <v>0.8667</v>
      </c>
      <c r="I1323" s="13" t="n">
        <v>0.8911</v>
      </c>
    </row>
    <row r="1324">
      <c r="A1324" s="10" t="inlineStr">
        <is>
          <t>PJ-2023-I</t>
        </is>
      </c>
      <c r="B1324" s="10" t="inlineStr">
        <is>
          <t>位置合わせ(MS指定)／月内均等</t>
        </is>
      </c>
      <c r="C1324" s="10" t="inlineStr">
        <is>
          <t>2024-07</t>
        </is>
      </c>
      <c r="D1324" s="10" t="n">
        <v>15</v>
      </c>
      <c r="E1324" s="12" t="n">
        <v>4562.2</v>
      </c>
      <c r="F1324" s="12" t="n">
        <v>3845</v>
      </c>
      <c r="G1324" s="12" t="n">
        <v>717.2</v>
      </c>
      <c r="H1324" s="13" t="n">
        <v>0.9069</v>
      </c>
      <c r="I1324" s="13" t="n">
        <v>0.9249000000000001</v>
      </c>
    </row>
    <row r="1325">
      <c r="A1325" s="10" t="inlineStr">
        <is>
          <t>PJ-2023-I</t>
        </is>
      </c>
      <c r="B1325" s="10" t="inlineStr">
        <is>
          <t>位置合わせ(MS指定)／月内均等</t>
        </is>
      </c>
      <c r="C1325" s="10" t="inlineStr">
        <is>
          <t>2024-08</t>
        </is>
      </c>
      <c r="D1325" s="10" t="n">
        <v>16</v>
      </c>
      <c r="E1325" s="12" t="n">
        <v>3770.2</v>
      </c>
      <c r="F1325" s="12" t="n">
        <v>3094</v>
      </c>
      <c r="G1325" s="12" t="n">
        <v>676.2</v>
      </c>
      <c r="H1325" s="13" t="n">
        <v>0.9401</v>
      </c>
      <c r="I1325" s="13" t="n">
        <v>0.9522</v>
      </c>
    </row>
    <row r="1326">
      <c r="A1326" s="10" t="inlineStr">
        <is>
          <t>PJ-2023-I</t>
        </is>
      </c>
      <c r="B1326" s="10" t="inlineStr">
        <is>
          <t>位置合わせ(MS指定)／月内均等</t>
        </is>
      </c>
      <c r="C1326" s="10" t="inlineStr">
        <is>
          <t>2024-09</t>
        </is>
      </c>
      <c r="D1326" s="10" t="n">
        <v>17</v>
      </c>
      <c r="E1326" s="12" t="n">
        <v>3698.2</v>
      </c>
      <c r="F1326" s="12" t="n">
        <v>3246</v>
      </c>
      <c r="G1326" s="12" t="n">
        <v>452.2</v>
      </c>
      <c r="H1326" s="13" t="n">
        <v>0.9727</v>
      </c>
      <c r="I1326" s="13" t="n">
        <v>0.9808</v>
      </c>
    </row>
    <row r="1327">
      <c r="A1327" s="10" t="inlineStr">
        <is>
          <t>PJ-2023-I</t>
        </is>
      </c>
      <c r="B1327" s="10" t="inlineStr">
        <is>
          <t>位置合わせ(MS指定)／月内均等</t>
        </is>
      </c>
      <c r="C1327" s="10" t="inlineStr">
        <is>
          <t>2024-10</t>
        </is>
      </c>
      <c r="D1327" s="10" t="n">
        <v>18</v>
      </c>
      <c r="E1327" s="12" t="n">
        <v>3099.7</v>
      </c>
      <c r="F1327" s="12" t="n">
        <v>2184.9</v>
      </c>
      <c r="G1327" s="12" t="n">
        <v>914.8</v>
      </c>
      <c r="H1327" s="13" t="n">
        <v>1</v>
      </c>
      <c r="I1327" s="13" t="n">
        <v>1</v>
      </c>
    </row>
    <row r="1328">
      <c r="A1328" s="10" t="inlineStr">
        <is>
          <t>PJ-2023-I</t>
        </is>
      </c>
      <c r="B1328" s="10" t="inlineStr">
        <is>
          <t>素朴版／単調補間</t>
        </is>
      </c>
      <c r="C1328" s="10" t="inlineStr">
        <is>
          <t>2023-05</t>
        </is>
      </c>
      <c r="D1328" s="10" t="n">
        <v>1</v>
      </c>
      <c r="E1328" s="12" t="n">
        <v>2864.7</v>
      </c>
      <c r="F1328" s="12" t="n">
        <v>1057.9</v>
      </c>
      <c r="G1328" s="12" t="n">
        <v>1806.8</v>
      </c>
      <c r="H1328" s="13" t="n">
        <v>0.0252</v>
      </c>
      <c r="I1328" s="13" t="n">
        <v>0.009299999999999999</v>
      </c>
    </row>
    <row r="1329">
      <c r="A1329" s="10" t="inlineStr">
        <is>
          <t>PJ-2023-I</t>
        </is>
      </c>
      <c r="B1329" s="10" t="inlineStr">
        <is>
          <t>素朴版／単調補間</t>
        </is>
      </c>
      <c r="C1329" s="10" t="inlineStr">
        <is>
          <t>2023-06</t>
        </is>
      </c>
      <c r="D1329" s="10" t="n">
        <v>2</v>
      </c>
      <c r="E1329" s="12" t="n">
        <v>3559.4</v>
      </c>
      <c r="F1329" s="12" t="n">
        <v>2017.9</v>
      </c>
      <c r="G1329" s="12" t="n">
        <v>1541.5</v>
      </c>
      <c r="H1329" s="13" t="n">
        <v>0.0566</v>
      </c>
      <c r="I1329" s="13" t="n">
        <v>0.0271</v>
      </c>
    </row>
    <row r="1330">
      <c r="A1330" s="10" t="inlineStr">
        <is>
          <t>PJ-2023-I</t>
        </is>
      </c>
      <c r="B1330" s="10" t="inlineStr">
        <is>
          <t>素朴版／単調補間</t>
        </is>
      </c>
      <c r="C1330" s="10" t="inlineStr">
        <is>
          <t>2023-07</t>
        </is>
      </c>
      <c r="D1330" s="10" t="n">
        <v>3</v>
      </c>
      <c r="E1330" s="12" t="n">
        <v>4250.5</v>
      </c>
      <c r="F1330" s="12" t="n">
        <v>2934.1</v>
      </c>
      <c r="G1330" s="12" t="n">
        <v>1316.4</v>
      </c>
      <c r="H1330" s="13" t="n">
        <v>0.094</v>
      </c>
      <c r="I1330" s="13" t="n">
        <v>0.0529</v>
      </c>
    </row>
    <row r="1331">
      <c r="A1331" s="10" t="inlineStr">
        <is>
          <t>PJ-2023-I</t>
        </is>
      </c>
      <c r="B1331" s="10" t="inlineStr">
        <is>
          <t>素朴版／単調補間</t>
        </is>
      </c>
      <c r="C1331" s="10" t="inlineStr">
        <is>
          <t>2023-08</t>
        </is>
      </c>
      <c r="D1331" s="10" t="n">
        <v>4</v>
      </c>
      <c r="E1331" s="12" t="n">
        <v>4500.8</v>
      </c>
      <c r="F1331" s="12" t="n">
        <v>3879.4</v>
      </c>
      <c r="G1331" s="12" t="n">
        <v>621.4</v>
      </c>
      <c r="H1331" s="13" t="n">
        <v>0.1336</v>
      </c>
      <c r="I1331" s="13" t="n">
        <v>0.0871</v>
      </c>
    </row>
    <row r="1332">
      <c r="A1332" s="10" t="inlineStr">
        <is>
          <t>PJ-2023-I</t>
        </is>
      </c>
      <c r="B1332" s="10" t="inlineStr">
        <is>
          <t>素朴版／単調補間</t>
        </is>
      </c>
      <c r="C1332" s="10" t="inlineStr">
        <is>
          <t>2023-09</t>
        </is>
      </c>
      <c r="D1332" s="10" t="n">
        <v>5</v>
      </c>
      <c r="E1332" s="12" t="n">
        <v>5060.4</v>
      </c>
      <c r="F1332" s="12" t="n">
        <v>4638.5</v>
      </c>
      <c r="G1332" s="12" t="n">
        <v>421.9</v>
      </c>
      <c r="H1332" s="13" t="n">
        <v>0.1782</v>
      </c>
      <c r="I1332" s="13" t="n">
        <v>0.1279</v>
      </c>
    </row>
    <row r="1333">
      <c r="A1333" s="10" t="inlineStr">
        <is>
          <t>PJ-2023-I</t>
        </is>
      </c>
      <c r="B1333" s="10" t="inlineStr">
        <is>
          <t>素朴版／単調補間</t>
        </is>
      </c>
      <c r="C1333" s="10" t="inlineStr">
        <is>
          <t>2023-10</t>
        </is>
      </c>
      <c r="D1333" s="10" t="n">
        <v>6</v>
      </c>
      <c r="E1333" s="12" t="n">
        <v>6692.7</v>
      </c>
      <c r="F1333" s="12" t="n">
        <v>5612.3</v>
      </c>
      <c r="G1333" s="12" t="n">
        <v>1080.4</v>
      </c>
      <c r="H1333" s="13" t="n">
        <v>0.2372</v>
      </c>
      <c r="I1333" s="13" t="n">
        <v>0.1774</v>
      </c>
    </row>
    <row r="1334">
      <c r="A1334" s="10" t="inlineStr">
        <is>
          <t>PJ-2023-I</t>
        </is>
      </c>
      <c r="B1334" s="10" t="inlineStr">
        <is>
          <t>素朴版／単調補間</t>
        </is>
      </c>
      <c r="C1334" s="10" t="inlineStr">
        <is>
          <t>2023-11</t>
        </is>
      </c>
      <c r="D1334" s="10" t="n">
        <v>7</v>
      </c>
      <c r="E1334" s="12" t="n">
        <v>7330.4</v>
      </c>
      <c r="F1334" s="12" t="n">
        <v>6590</v>
      </c>
      <c r="G1334" s="12" t="n">
        <v>740.4</v>
      </c>
      <c r="H1334" s="13" t="n">
        <v>0.3017</v>
      </c>
      <c r="I1334" s="13" t="n">
        <v>0.2354</v>
      </c>
    </row>
    <row r="1335">
      <c r="A1335" s="10" t="inlineStr">
        <is>
          <t>PJ-2023-I</t>
        </is>
      </c>
      <c r="B1335" s="10" t="inlineStr">
        <is>
          <t>素朴版／単調補間</t>
        </is>
      </c>
      <c r="C1335" s="10" t="inlineStr">
        <is>
          <t>2023-12</t>
        </is>
      </c>
      <c r="D1335" s="10" t="n">
        <v>8</v>
      </c>
      <c r="E1335" s="12" t="n">
        <v>8152.2</v>
      </c>
      <c r="F1335" s="12" t="n">
        <v>8421.299999999999</v>
      </c>
      <c r="G1335" s="12" t="n">
        <v>-269.1</v>
      </c>
      <c r="H1335" s="13" t="n">
        <v>0.3735</v>
      </c>
      <c r="I1335" s="13" t="n">
        <v>0.3096</v>
      </c>
    </row>
    <row r="1336">
      <c r="A1336" s="10" t="inlineStr">
        <is>
          <t>PJ-2023-I</t>
        </is>
      </c>
      <c r="B1336" s="10" t="inlineStr">
        <is>
          <t>素朴版／単調補間</t>
        </is>
      </c>
      <c r="C1336" s="10" t="inlineStr">
        <is>
          <t>2024-01</t>
        </is>
      </c>
      <c r="D1336" s="10" t="n">
        <v>9</v>
      </c>
      <c r="E1336" s="12" t="n">
        <v>7174.2</v>
      </c>
      <c r="F1336" s="12" t="n">
        <v>11235.7</v>
      </c>
      <c r="G1336" s="12" t="n">
        <v>-4061.5</v>
      </c>
      <c r="H1336" s="13" t="n">
        <v>0.4367</v>
      </c>
      <c r="I1336" s="13" t="n">
        <v>0.4085</v>
      </c>
    </row>
    <row r="1337">
      <c r="A1337" s="10" t="inlineStr">
        <is>
          <t>PJ-2023-I</t>
        </is>
      </c>
      <c r="B1337" s="10" t="inlineStr">
        <is>
          <t>素朴版／単調補間</t>
        </is>
      </c>
      <c r="C1337" s="10" t="inlineStr">
        <is>
          <t>2024-02</t>
        </is>
      </c>
      <c r="D1337" s="10" t="n">
        <v>10</v>
      </c>
      <c r="E1337" s="12" t="n">
        <v>7515.3</v>
      </c>
      <c r="F1337" s="12" t="n">
        <v>13660.8</v>
      </c>
      <c r="G1337" s="12" t="n">
        <v>-6145.5</v>
      </c>
      <c r="H1337" s="13" t="n">
        <v>0.5029</v>
      </c>
      <c r="I1337" s="13" t="n">
        <v>0.5288</v>
      </c>
    </row>
    <row r="1338">
      <c r="A1338" s="10" t="inlineStr">
        <is>
          <t>PJ-2023-I</t>
        </is>
      </c>
      <c r="B1338" s="10" t="inlineStr">
        <is>
          <t>素朴版／単調補間</t>
        </is>
      </c>
      <c r="C1338" s="10" t="inlineStr">
        <is>
          <t>2024-03</t>
        </is>
      </c>
      <c r="D1338" s="10" t="n">
        <v>11</v>
      </c>
      <c r="E1338" s="12" t="n">
        <v>8734.1</v>
      </c>
      <c r="F1338" s="12" t="n">
        <v>13455.6</v>
      </c>
      <c r="G1338" s="12" t="n">
        <v>-4721.5</v>
      </c>
      <c r="H1338" s="13" t="n">
        <v>0.5798</v>
      </c>
      <c r="I1338" s="13" t="n">
        <v>0.6473</v>
      </c>
    </row>
    <row r="1339">
      <c r="A1339" s="10" t="inlineStr">
        <is>
          <t>PJ-2023-I</t>
        </is>
      </c>
      <c r="B1339" s="10" t="inlineStr">
        <is>
          <t>素朴版／単調補間</t>
        </is>
      </c>
      <c r="C1339" s="10" t="inlineStr">
        <is>
          <t>2024-04</t>
        </is>
      </c>
      <c r="D1339" s="10" t="n">
        <v>12</v>
      </c>
      <c r="E1339" s="12" t="n">
        <v>8916.4</v>
      </c>
      <c r="F1339" s="12" t="n">
        <v>15249</v>
      </c>
      <c r="G1339" s="12" t="n">
        <v>-6332.6</v>
      </c>
      <c r="H1339" s="13" t="n">
        <v>0.6583</v>
      </c>
      <c r="I1339" s="13" t="n">
        <v>0.7816</v>
      </c>
    </row>
    <row r="1340">
      <c r="A1340" s="10" t="inlineStr">
        <is>
          <t>PJ-2023-I</t>
        </is>
      </c>
      <c r="B1340" s="10" t="inlineStr">
        <is>
          <t>素朴版／単調補間</t>
        </is>
      </c>
      <c r="C1340" s="10" t="inlineStr">
        <is>
          <t>2024-05</t>
        </is>
      </c>
      <c r="D1340" s="10" t="n">
        <v>13</v>
      </c>
      <c r="E1340" s="12" t="n">
        <v>8849.4</v>
      </c>
      <c r="F1340" s="12" t="n">
        <v>6881.4</v>
      </c>
      <c r="G1340" s="12" t="n">
        <v>1968</v>
      </c>
      <c r="H1340" s="13" t="n">
        <v>0.7363</v>
      </c>
      <c r="I1340" s="13" t="n">
        <v>0.8421999999999999</v>
      </c>
    </row>
    <row r="1341">
      <c r="A1341" s="10" t="inlineStr">
        <is>
          <t>PJ-2023-I</t>
        </is>
      </c>
      <c r="B1341" s="10" t="inlineStr">
        <is>
          <t>素朴版／単調補間</t>
        </is>
      </c>
      <c r="C1341" s="10" t="inlineStr">
        <is>
          <t>2024-06</t>
        </is>
      </c>
      <c r="D1341" s="10" t="n">
        <v>14</v>
      </c>
      <c r="E1341" s="12" t="n">
        <v>8153.3</v>
      </c>
      <c r="F1341" s="12" t="n">
        <v>5543.4</v>
      </c>
      <c r="G1341" s="12" t="n">
        <v>2609.9</v>
      </c>
      <c r="H1341" s="13" t="n">
        <v>0.8081</v>
      </c>
      <c r="I1341" s="13" t="n">
        <v>0.8911</v>
      </c>
    </row>
    <row r="1342">
      <c r="A1342" s="10" t="inlineStr">
        <is>
          <t>PJ-2023-I</t>
        </is>
      </c>
      <c r="B1342" s="10" t="inlineStr">
        <is>
          <t>素朴版／単調補間</t>
        </is>
      </c>
      <c r="C1342" s="10" t="inlineStr">
        <is>
          <t>2024-07</t>
        </is>
      </c>
      <c r="D1342" s="10" t="n">
        <v>15</v>
      </c>
      <c r="E1342" s="12" t="n">
        <v>8596.1</v>
      </c>
      <c r="F1342" s="12" t="n">
        <v>3845</v>
      </c>
      <c r="G1342" s="12" t="n">
        <v>4751.1</v>
      </c>
      <c r="H1342" s="13" t="n">
        <v>0.8838</v>
      </c>
      <c r="I1342" s="13" t="n">
        <v>0.9249000000000001</v>
      </c>
    </row>
    <row r="1343">
      <c r="A1343" s="10" t="inlineStr">
        <is>
          <t>PJ-2023-I</t>
        </is>
      </c>
      <c r="B1343" s="10" t="inlineStr">
        <is>
          <t>素朴版／単調補間</t>
        </is>
      </c>
      <c r="C1343" s="10" t="inlineStr">
        <is>
          <t>2024-08</t>
        </is>
      </c>
      <c r="D1343" s="10" t="n">
        <v>16</v>
      </c>
      <c r="E1343" s="12" t="n">
        <v>6396.5</v>
      </c>
      <c r="F1343" s="12" t="n">
        <v>3094</v>
      </c>
      <c r="G1343" s="12" t="n">
        <v>3302.5</v>
      </c>
      <c r="H1343" s="13" t="n">
        <v>0.9401</v>
      </c>
      <c r="I1343" s="13" t="n">
        <v>0.9522</v>
      </c>
    </row>
    <row r="1344">
      <c r="A1344" s="10" t="inlineStr">
        <is>
          <t>PJ-2023-I</t>
        </is>
      </c>
      <c r="B1344" s="10" t="inlineStr">
        <is>
          <t>素朴版／単調補間</t>
        </is>
      </c>
      <c r="C1344" s="10" t="inlineStr">
        <is>
          <t>2024-09</t>
        </is>
      </c>
      <c r="D1344" s="10" t="n">
        <v>17</v>
      </c>
      <c r="E1344" s="12" t="n">
        <v>4383.9</v>
      </c>
      <c r="F1344" s="12" t="n">
        <v>3246</v>
      </c>
      <c r="G1344" s="12" t="n">
        <v>1137.9</v>
      </c>
      <c r="H1344" s="13" t="n">
        <v>0.9787</v>
      </c>
      <c r="I1344" s="13" t="n">
        <v>0.9808</v>
      </c>
    </row>
    <row r="1345">
      <c r="A1345" s="10" t="inlineStr">
        <is>
          <t>PJ-2023-I</t>
        </is>
      </c>
      <c r="B1345" s="10" t="inlineStr">
        <is>
          <t>素朴版／単調補間</t>
        </is>
      </c>
      <c r="C1345" s="10" t="inlineStr">
        <is>
          <t>2024-10</t>
        </is>
      </c>
      <c r="D1345" s="10" t="n">
        <v>18</v>
      </c>
      <c r="E1345" s="12" t="n">
        <v>2416.8</v>
      </c>
      <c r="F1345" s="12" t="n">
        <v>2184.9</v>
      </c>
      <c r="G1345" s="12" t="n">
        <v>231.9</v>
      </c>
      <c r="H1345" s="13" t="n">
        <v>1</v>
      </c>
      <c r="I1345" s="13" t="n">
        <v>1</v>
      </c>
    </row>
    <row r="1346">
      <c r="A1346" s="10" t="inlineStr">
        <is>
          <t>PJ-2023-I</t>
        </is>
      </c>
      <c r="B1346" s="10" t="inlineStr">
        <is>
          <t>位置合わせ(MS学習値)／単調補間</t>
        </is>
      </c>
      <c r="C1346" s="10" t="inlineStr">
        <is>
          <t>2023-05</t>
        </is>
      </c>
      <c r="D1346" s="10" t="n">
        <v>1</v>
      </c>
      <c r="E1346" s="12" t="n">
        <v>2855.5</v>
      </c>
      <c r="F1346" s="12" t="n">
        <v>1057.9</v>
      </c>
      <c r="G1346" s="12" t="n">
        <v>1797.6</v>
      </c>
      <c r="H1346" s="13" t="n">
        <v>0.0251</v>
      </c>
      <c r="I1346" s="13" t="n">
        <v>0.009299999999999999</v>
      </c>
    </row>
    <row r="1347">
      <c r="A1347" s="10" t="inlineStr">
        <is>
          <t>PJ-2023-I</t>
        </is>
      </c>
      <c r="B1347" s="10" t="inlineStr">
        <is>
          <t>位置合わせ(MS学習値)／単調補間</t>
        </is>
      </c>
      <c r="C1347" s="10" t="inlineStr">
        <is>
          <t>2023-06</t>
        </is>
      </c>
      <c r="D1347" s="10" t="n">
        <v>2</v>
      </c>
      <c r="E1347" s="12" t="n">
        <v>3529</v>
      </c>
      <c r="F1347" s="12" t="n">
        <v>2017.9</v>
      </c>
      <c r="G1347" s="12" t="n">
        <v>1511.1</v>
      </c>
      <c r="H1347" s="13" t="n">
        <v>0.0562</v>
      </c>
      <c r="I1347" s="13" t="n">
        <v>0.0271</v>
      </c>
    </row>
    <row r="1348">
      <c r="A1348" s="10" t="inlineStr">
        <is>
          <t>PJ-2023-I</t>
        </is>
      </c>
      <c r="B1348" s="10" t="inlineStr">
        <is>
          <t>位置合わせ(MS学習値)／単調補間</t>
        </is>
      </c>
      <c r="C1348" s="10" t="inlineStr">
        <is>
          <t>2023-07</t>
        </is>
      </c>
      <c r="D1348" s="10" t="n">
        <v>3</v>
      </c>
      <c r="E1348" s="12" t="n">
        <v>4176.3</v>
      </c>
      <c r="F1348" s="12" t="n">
        <v>2934.1</v>
      </c>
      <c r="G1348" s="12" t="n">
        <v>1242.2</v>
      </c>
      <c r="H1348" s="13" t="n">
        <v>0.093</v>
      </c>
      <c r="I1348" s="13" t="n">
        <v>0.0529</v>
      </c>
    </row>
    <row r="1349">
      <c r="A1349" s="10" t="inlineStr">
        <is>
          <t>PJ-2023-I</t>
        </is>
      </c>
      <c r="B1349" s="10" t="inlineStr">
        <is>
          <t>位置合わせ(MS学習値)／単調補間</t>
        </is>
      </c>
      <c r="C1349" s="10" t="inlineStr">
        <is>
          <t>2023-08</t>
        </is>
      </c>
      <c r="D1349" s="10" t="n">
        <v>4</v>
      </c>
      <c r="E1349" s="12" t="n">
        <v>4425.2</v>
      </c>
      <c r="F1349" s="12" t="n">
        <v>3879.4</v>
      </c>
      <c r="G1349" s="12" t="n">
        <v>545.8</v>
      </c>
      <c r="H1349" s="13" t="n">
        <v>0.132</v>
      </c>
      <c r="I1349" s="13" t="n">
        <v>0.0871</v>
      </c>
    </row>
    <row r="1350">
      <c r="A1350" s="10" t="inlineStr">
        <is>
          <t>PJ-2023-I</t>
        </is>
      </c>
      <c r="B1350" s="10" t="inlineStr">
        <is>
          <t>位置合わせ(MS学習値)／単調補間</t>
        </is>
      </c>
      <c r="C1350" s="10" t="inlineStr">
        <is>
          <t>2023-09</t>
        </is>
      </c>
      <c r="D1350" s="10" t="n">
        <v>5</v>
      </c>
      <c r="E1350" s="12" t="n">
        <v>4851.4</v>
      </c>
      <c r="F1350" s="12" t="n">
        <v>4638.5</v>
      </c>
      <c r="G1350" s="12" t="n">
        <v>212.9</v>
      </c>
      <c r="H1350" s="13" t="n">
        <v>0.1747</v>
      </c>
      <c r="I1350" s="13" t="n">
        <v>0.1279</v>
      </c>
    </row>
    <row r="1351">
      <c r="A1351" s="10" t="inlineStr">
        <is>
          <t>PJ-2023-I</t>
        </is>
      </c>
      <c r="B1351" s="10" t="inlineStr">
        <is>
          <t>位置合わせ(MS学習値)／単調補間</t>
        </is>
      </c>
      <c r="C1351" s="10" t="inlineStr">
        <is>
          <t>2023-10</t>
        </is>
      </c>
      <c r="D1351" s="10" t="n">
        <v>6</v>
      </c>
      <c r="E1351" s="12" t="n">
        <v>5926.2</v>
      </c>
      <c r="F1351" s="12" t="n">
        <v>5612.3</v>
      </c>
      <c r="G1351" s="12" t="n">
        <v>313.9</v>
      </c>
      <c r="H1351" s="13" t="n">
        <v>0.2269</v>
      </c>
      <c r="I1351" s="13" t="n">
        <v>0.1774</v>
      </c>
    </row>
    <row r="1352">
      <c r="A1352" s="10" t="inlineStr">
        <is>
          <t>PJ-2023-I</t>
        </is>
      </c>
      <c r="B1352" s="10" t="inlineStr">
        <is>
          <t>位置合わせ(MS学習値)／単調補間</t>
        </is>
      </c>
      <c r="C1352" s="10" t="inlineStr">
        <is>
          <t>2023-11</t>
        </is>
      </c>
      <c r="D1352" s="10" t="n">
        <v>7</v>
      </c>
      <c r="E1352" s="12" t="n">
        <v>6862.9</v>
      </c>
      <c r="F1352" s="12" t="n">
        <v>6590</v>
      </c>
      <c r="G1352" s="12" t="n">
        <v>272.9</v>
      </c>
      <c r="H1352" s="13" t="n">
        <v>0.2873</v>
      </c>
      <c r="I1352" s="13" t="n">
        <v>0.2354</v>
      </c>
    </row>
    <row r="1353">
      <c r="A1353" s="10" t="inlineStr">
        <is>
          <t>PJ-2023-I</t>
        </is>
      </c>
      <c r="B1353" s="10" t="inlineStr">
        <is>
          <t>位置合わせ(MS学習値)／単調補間</t>
        </is>
      </c>
      <c r="C1353" s="10" t="inlineStr">
        <is>
          <t>2023-12</t>
        </is>
      </c>
      <c r="D1353" s="10" t="n">
        <v>8</v>
      </c>
      <c r="E1353" s="12" t="n">
        <v>7849.9</v>
      </c>
      <c r="F1353" s="12" t="n">
        <v>8421.299999999999</v>
      </c>
      <c r="G1353" s="12" t="n">
        <v>-571.4</v>
      </c>
      <c r="H1353" s="13" t="n">
        <v>0.3565</v>
      </c>
      <c r="I1353" s="13" t="n">
        <v>0.3096</v>
      </c>
    </row>
    <row r="1354">
      <c r="A1354" s="10" t="inlineStr">
        <is>
          <t>PJ-2023-I</t>
        </is>
      </c>
      <c r="B1354" s="10" t="inlineStr">
        <is>
          <t>位置合わせ(MS学習値)／単調補間</t>
        </is>
      </c>
      <c r="C1354" s="10" t="inlineStr">
        <is>
          <t>2024-01</t>
        </is>
      </c>
      <c r="D1354" s="10" t="n">
        <v>9</v>
      </c>
      <c r="E1354" s="12" t="n">
        <v>8785.9</v>
      </c>
      <c r="F1354" s="12" t="n">
        <v>11235.7</v>
      </c>
      <c r="G1354" s="12" t="n">
        <v>-2449.8</v>
      </c>
      <c r="H1354" s="13" t="n">
        <v>0.4338</v>
      </c>
      <c r="I1354" s="13" t="n">
        <v>0.4085</v>
      </c>
    </row>
    <row r="1355">
      <c r="A1355" s="10" t="inlineStr">
        <is>
          <t>PJ-2023-I</t>
        </is>
      </c>
      <c r="B1355" s="10" t="inlineStr">
        <is>
          <t>位置合わせ(MS学習値)／単調補間</t>
        </is>
      </c>
      <c r="C1355" s="10" t="inlineStr">
        <is>
          <t>2024-02</t>
        </is>
      </c>
      <c r="D1355" s="10" t="n">
        <v>10</v>
      </c>
      <c r="E1355" s="12" t="n">
        <v>8410.700000000001</v>
      </c>
      <c r="F1355" s="12" t="n">
        <v>13660.8</v>
      </c>
      <c r="G1355" s="12" t="n">
        <v>-5250.1</v>
      </c>
      <c r="H1355" s="13" t="n">
        <v>0.5079</v>
      </c>
      <c r="I1355" s="13" t="n">
        <v>0.5288</v>
      </c>
    </row>
    <row r="1356">
      <c r="A1356" s="10" t="inlineStr">
        <is>
          <t>PJ-2023-I</t>
        </is>
      </c>
      <c r="B1356" s="10" t="inlineStr">
        <is>
          <t>位置合わせ(MS学習値)／単調補間</t>
        </is>
      </c>
      <c r="C1356" s="10" t="inlineStr">
        <is>
          <t>2024-03</t>
        </is>
      </c>
      <c r="D1356" s="10" t="n">
        <v>11</v>
      </c>
      <c r="E1356" s="12" t="n">
        <v>8755.200000000001</v>
      </c>
      <c r="F1356" s="12" t="n">
        <v>13455.6</v>
      </c>
      <c r="G1356" s="12" t="n">
        <v>-4700.4</v>
      </c>
      <c r="H1356" s="13" t="n">
        <v>0.585</v>
      </c>
      <c r="I1356" s="13" t="n">
        <v>0.6473</v>
      </c>
    </row>
    <row r="1357">
      <c r="A1357" s="10" t="inlineStr">
        <is>
          <t>PJ-2023-I</t>
        </is>
      </c>
      <c r="B1357" s="10" t="inlineStr">
        <is>
          <t>位置合わせ(MS学習値)／単調補間</t>
        </is>
      </c>
      <c r="C1357" s="10" t="inlineStr">
        <is>
          <t>2024-04</t>
        </is>
      </c>
      <c r="D1357" s="10" t="n">
        <v>12</v>
      </c>
      <c r="E1357" s="12" t="n">
        <v>8666.700000000001</v>
      </c>
      <c r="F1357" s="12" t="n">
        <v>15249</v>
      </c>
      <c r="G1357" s="12" t="n">
        <v>-6582.3</v>
      </c>
      <c r="H1357" s="13" t="n">
        <v>0.6614</v>
      </c>
      <c r="I1357" s="13" t="n">
        <v>0.7816</v>
      </c>
    </row>
    <row r="1358">
      <c r="A1358" s="10" t="inlineStr">
        <is>
          <t>PJ-2023-I</t>
        </is>
      </c>
      <c r="B1358" s="10" t="inlineStr">
        <is>
          <t>位置合わせ(MS学習値)／単調補間</t>
        </is>
      </c>
      <c r="C1358" s="10" t="inlineStr">
        <is>
          <t>2024-05</t>
        </is>
      </c>
      <c r="D1358" s="10" t="n">
        <v>13</v>
      </c>
      <c r="E1358" s="12" t="n">
        <v>9009.299999999999</v>
      </c>
      <c r="F1358" s="12" t="n">
        <v>6881.4</v>
      </c>
      <c r="G1358" s="12" t="n">
        <v>2127.9</v>
      </c>
      <c r="H1358" s="13" t="n">
        <v>0.7407</v>
      </c>
      <c r="I1358" s="13" t="n">
        <v>0.8421999999999999</v>
      </c>
    </row>
    <row r="1359">
      <c r="A1359" s="10" t="inlineStr">
        <is>
          <t>PJ-2023-I</t>
        </is>
      </c>
      <c r="B1359" s="10" t="inlineStr">
        <is>
          <t>位置合わせ(MS学習値)／単調補間</t>
        </is>
      </c>
      <c r="C1359" s="10" t="inlineStr">
        <is>
          <t>2024-06</t>
        </is>
      </c>
      <c r="D1359" s="10" t="n">
        <v>14</v>
      </c>
      <c r="E1359" s="12" t="n">
        <v>8651.799999999999</v>
      </c>
      <c r="F1359" s="12" t="n">
        <v>5543.4</v>
      </c>
      <c r="G1359" s="12" t="n">
        <v>3108.4</v>
      </c>
      <c r="H1359" s="13" t="n">
        <v>0.8169</v>
      </c>
      <c r="I1359" s="13" t="n">
        <v>0.8911</v>
      </c>
    </row>
    <row r="1360">
      <c r="A1360" s="10" t="inlineStr">
        <is>
          <t>PJ-2023-I</t>
        </is>
      </c>
      <c r="B1360" s="10" t="inlineStr">
        <is>
          <t>位置合わせ(MS学習値)／単調補間</t>
        </is>
      </c>
      <c r="C1360" s="10" t="inlineStr">
        <is>
          <t>2024-07</t>
        </is>
      </c>
      <c r="D1360" s="10" t="n">
        <v>15</v>
      </c>
      <c r="E1360" s="12" t="n">
        <v>7756.7</v>
      </c>
      <c r="F1360" s="12" t="n">
        <v>3845</v>
      </c>
      <c r="G1360" s="12" t="n">
        <v>3911.7</v>
      </c>
      <c r="H1360" s="13" t="n">
        <v>0.8852</v>
      </c>
      <c r="I1360" s="13" t="n">
        <v>0.9249000000000001</v>
      </c>
    </row>
    <row r="1361">
      <c r="A1361" s="10" t="inlineStr">
        <is>
          <t>PJ-2023-I</t>
        </is>
      </c>
      <c r="B1361" s="10" t="inlineStr">
        <is>
          <t>位置合わせ(MS学習値)／単調補間</t>
        </is>
      </c>
      <c r="C1361" s="10" t="inlineStr">
        <is>
          <t>2024-08</t>
        </is>
      </c>
      <c r="D1361" s="10" t="n">
        <v>16</v>
      </c>
      <c r="E1361" s="12" t="n">
        <v>6152.9</v>
      </c>
      <c r="F1361" s="12" t="n">
        <v>3094</v>
      </c>
      <c r="G1361" s="12" t="n">
        <v>3058.9</v>
      </c>
      <c r="H1361" s="13" t="n">
        <v>0.9394</v>
      </c>
      <c r="I1361" s="13" t="n">
        <v>0.9522</v>
      </c>
    </row>
    <row r="1362">
      <c r="A1362" s="10" t="inlineStr">
        <is>
          <t>PJ-2023-I</t>
        </is>
      </c>
      <c r="B1362" s="10" t="inlineStr">
        <is>
          <t>位置合わせ(MS学習値)／単調補間</t>
        </is>
      </c>
      <c r="C1362" s="10" t="inlineStr">
        <is>
          <t>2024-09</t>
        </is>
      </c>
      <c r="D1362" s="10" t="n">
        <v>17</v>
      </c>
      <c r="E1362" s="12" t="n">
        <v>4517.4</v>
      </c>
      <c r="F1362" s="12" t="n">
        <v>3246</v>
      </c>
      <c r="G1362" s="12" t="n">
        <v>1271.4</v>
      </c>
      <c r="H1362" s="13" t="n">
        <v>0.9792</v>
      </c>
      <c r="I1362" s="13" t="n">
        <v>0.9808</v>
      </c>
    </row>
    <row r="1363">
      <c r="A1363" s="10" t="inlineStr">
        <is>
          <t>PJ-2023-I</t>
        </is>
      </c>
      <c r="B1363" s="10" t="inlineStr">
        <is>
          <t>位置合わせ(MS学習値)／単調補間</t>
        </is>
      </c>
      <c r="C1363" s="10" t="inlineStr">
        <is>
          <t>2024-10</t>
        </is>
      </c>
      <c r="D1363" s="10" t="n">
        <v>18</v>
      </c>
      <c r="E1363" s="12" t="n">
        <v>2364.3</v>
      </c>
      <c r="F1363" s="12" t="n">
        <v>2184.9</v>
      </c>
      <c r="G1363" s="12" t="n">
        <v>179.4</v>
      </c>
      <c r="H1363" s="13" t="n">
        <v>1</v>
      </c>
      <c r="I1363" s="13" t="n">
        <v>1</v>
      </c>
    </row>
    <row r="1364">
      <c r="A1364" s="10" t="inlineStr">
        <is>
          <t>PJ-2023-I</t>
        </is>
      </c>
      <c r="B1364" s="10" t="inlineStr">
        <is>
          <t>位置合わせ(MS指定)／単調補間</t>
        </is>
      </c>
      <c r="C1364" s="10" t="inlineStr">
        <is>
          <t>2023-05</t>
        </is>
      </c>
      <c r="D1364" s="10" t="n">
        <v>1</v>
      </c>
      <c r="E1364" s="12" t="n">
        <v>2870.2</v>
      </c>
      <c r="F1364" s="12" t="n">
        <v>1057.9</v>
      </c>
      <c r="G1364" s="12" t="n">
        <v>1812.3</v>
      </c>
      <c r="H1364" s="13" t="n">
        <v>0.0253</v>
      </c>
      <c r="I1364" s="13" t="n">
        <v>0.009299999999999999</v>
      </c>
    </row>
    <row r="1365">
      <c r="A1365" s="10" t="inlineStr">
        <is>
          <t>PJ-2023-I</t>
        </is>
      </c>
      <c r="B1365" s="10" t="inlineStr">
        <is>
          <t>位置合わせ(MS指定)／単調補間</t>
        </is>
      </c>
      <c r="C1365" s="10" t="inlineStr">
        <is>
          <t>2023-06</t>
        </is>
      </c>
      <c r="D1365" s="10" t="n">
        <v>2</v>
      </c>
      <c r="E1365" s="12" t="n">
        <v>3548.7</v>
      </c>
      <c r="F1365" s="12" t="n">
        <v>2017.9</v>
      </c>
      <c r="G1365" s="12" t="n">
        <v>1530.8</v>
      </c>
      <c r="H1365" s="13" t="n">
        <v>0.0565</v>
      </c>
      <c r="I1365" s="13" t="n">
        <v>0.0271</v>
      </c>
    </row>
    <row r="1366">
      <c r="A1366" s="10" t="inlineStr">
        <is>
          <t>PJ-2023-I</t>
        </is>
      </c>
      <c r="B1366" s="10" t="inlineStr">
        <is>
          <t>位置合わせ(MS指定)／単調補間</t>
        </is>
      </c>
      <c r="C1366" s="10" t="inlineStr">
        <is>
          <t>2023-07</t>
        </is>
      </c>
      <c r="D1366" s="10" t="n">
        <v>3</v>
      </c>
      <c r="E1366" s="12" t="n">
        <v>4198.6</v>
      </c>
      <c r="F1366" s="12" t="n">
        <v>2934.1</v>
      </c>
      <c r="G1366" s="12" t="n">
        <v>1264.5</v>
      </c>
      <c r="H1366" s="13" t="n">
        <v>0.0935</v>
      </c>
      <c r="I1366" s="13" t="n">
        <v>0.0529</v>
      </c>
    </row>
    <row r="1367">
      <c r="A1367" s="10" t="inlineStr">
        <is>
          <t>PJ-2023-I</t>
        </is>
      </c>
      <c r="B1367" s="10" t="inlineStr">
        <is>
          <t>位置合わせ(MS指定)／単調補間</t>
        </is>
      </c>
      <c r="C1367" s="10" t="inlineStr">
        <is>
          <t>2023-08</t>
        </is>
      </c>
      <c r="D1367" s="10" t="n">
        <v>4</v>
      </c>
      <c r="E1367" s="12" t="n">
        <v>4451</v>
      </c>
      <c r="F1367" s="12" t="n">
        <v>3879.4</v>
      </c>
      <c r="G1367" s="12" t="n">
        <v>571.6</v>
      </c>
      <c r="H1367" s="13" t="n">
        <v>0.1327</v>
      </c>
      <c r="I1367" s="13" t="n">
        <v>0.0871</v>
      </c>
    </row>
    <row r="1368">
      <c r="A1368" s="10" t="inlineStr">
        <is>
          <t>PJ-2023-I</t>
        </is>
      </c>
      <c r="B1368" s="10" t="inlineStr">
        <is>
          <t>位置合わせ(MS指定)／単調補間</t>
        </is>
      </c>
      <c r="C1368" s="10" t="inlineStr">
        <is>
          <t>2023-09</t>
        </is>
      </c>
      <c r="D1368" s="10" t="n">
        <v>5</v>
      </c>
      <c r="E1368" s="12" t="n">
        <v>4863</v>
      </c>
      <c r="F1368" s="12" t="n">
        <v>4638.5</v>
      </c>
      <c r="G1368" s="12" t="n">
        <v>224.5</v>
      </c>
      <c r="H1368" s="13" t="n">
        <v>0.1755</v>
      </c>
      <c r="I1368" s="13" t="n">
        <v>0.1279</v>
      </c>
    </row>
    <row r="1369">
      <c r="A1369" s="10" t="inlineStr">
        <is>
          <t>PJ-2023-I</t>
        </is>
      </c>
      <c r="B1369" s="10" t="inlineStr">
        <is>
          <t>位置合わせ(MS指定)／単調補間</t>
        </is>
      </c>
      <c r="C1369" s="10" t="inlineStr">
        <is>
          <t>2023-10</t>
        </is>
      </c>
      <c r="D1369" s="10" t="n">
        <v>6</v>
      </c>
      <c r="E1369" s="12" t="n">
        <v>5980.3</v>
      </c>
      <c r="F1369" s="12" t="n">
        <v>5612.3</v>
      </c>
      <c r="G1369" s="12" t="n">
        <v>368</v>
      </c>
      <c r="H1369" s="13" t="n">
        <v>0.2282</v>
      </c>
      <c r="I1369" s="13" t="n">
        <v>0.1774</v>
      </c>
    </row>
    <row r="1370">
      <c r="A1370" s="10" t="inlineStr">
        <is>
          <t>PJ-2023-I</t>
        </is>
      </c>
      <c r="B1370" s="10" t="inlineStr">
        <is>
          <t>位置合わせ(MS指定)／単調補間</t>
        </is>
      </c>
      <c r="C1370" s="10" t="inlineStr">
        <is>
          <t>2023-11</t>
        </is>
      </c>
      <c r="D1370" s="10" t="n">
        <v>7</v>
      </c>
      <c r="E1370" s="12" t="n">
        <v>6912.4</v>
      </c>
      <c r="F1370" s="12" t="n">
        <v>6590</v>
      </c>
      <c r="G1370" s="12" t="n">
        <v>322.4</v>
      </c>
      <c r="H1370" s="13" t="n">
        <v>0.2891</v>
      </c>
      <c r="I1370" s="13" t="n">
        <v>0.2354</v>
      </c>
    </row>
    <row r="1371">
      <c r="A1371" s="10" t="inlineStr">
        <is>
          <t>PJ-2023-I</t>
        </is>
      </c>
      <c r="B1371" s="10" t="inlineStr">
        <is>
          <t>位置合わせ(MS指定)／単調補間</t>
        </is>
      </c>
      <c r="C1371" s="10" t="inlineStr">
        <is>
          <t>2023-12</t>
        </is>
      </c>
      <c r="D1371" s="10" t="n">
        <v>8</v>
      </c>
      <c r="E1371" s="12" t="n">
        <v>7903.3</v>
      </c>
      <c r="F1371" s="12" t="n">
        <v>8421.299999999999</v>
      </c>
      <c r="G1371" s="12" t="n">
        <v>-518</v>
      </c>
      <c r="H1371" s="13" t="n">
        <v>0.3587</v>
      </c>
      <c r="I1371" s="13" t="n">
        <v>0.3096</v>
      </c>
    </row>
    <row r="1372">
      <c r="A1372" s="10" t="inlineStr">
        <is>
          <t>PJ-2023-I</t>
        </is>
      </c>
      <c r="B1372" s="10" t="inlineStr">
        <is>
          <t>位置合わせ(MS指定)／単調補間</t>
        </is>
      </c>
      <c r="C1372" s="10" t="inlineStr">
        <is>
          <t>2024-01</t>
        </is>
      </c>
      <c r="D1372" s="10" t="n">
        <v>9</v>
      </c>
      <c r="E1372" s="12" t="n">
        <v>9493.299999999999</v>
      </c>
      <c r="F1372" s="12" t="n">
        <v>11235.7</v>
      </c>
      <c r="G1372" s="12" t="n">
        <v>-1742.4</v>
      </c>
      <c r="H1372" s="13" t="n">
        <v>0.4423</v>
      </c>
      <c r="I1372" s="13" t="n">
        <v>0.4085</v>
      </c>
    </row>
    <row r="1373">
      <c r="A1373" s="10" t="inlineStr">
        <is>
          <t>PJ-2023-I</t>
        </is>
      </c>
      <c r="B1373" s="10" t="inlineStr">
        <is>
          <t>位置合わせ(MS指定)／単調補間</t>
        </is>
      </c>
      <c r="C1373" s="10" t="inlineStr">
        <is>
          <t>2024-02</t>
        </is>
      </c>
      <c r="D1373" s="10" t="n">
        <v>10</v>
      </c>
      <c r="E1373" s="12" t="n">
        <v>12098.9</v>
      </c>
      <c r="F1373" s="12" t="n">
        <v>13660.8</v>
      </c>
      <c r="G1373" s="12" t="n">
        <v>-1561.9</v>
      </c>
      <c r="H1373" s="13" t="n">
        <v>0.5488</v>
      </c>
      <c r="I1373" s="13" t="n">
        <v>0.5288</v>
      </c>
    </row>
    <row r="1374">
      <c r="A1374" s="10" t="inlineStr">
        <is>
          <t>PJ-2023-I</t>
        </is>
      </c>
      <c r="B1374" s="10" t="inlineStr">
        <is>
          <t>位置合わせ(MS指定)／単調補間</t>
        </is>
      </c>
      <c r="C1374" s="10" t="inlineStr">
        <is>
          <t>2024-03</t>
        </is>
      </c>
      <c r="D1374" s="10" t="n">
        <v>11</v>
      </c>
      <c r="E1374" s="12" t="n">
        <v>12854.4</v>
      </c>
      <c r="F1374" s="12" t="n">
        <v>13455.6</v>
      </c>
      <c r="G1374" s="12" t="n">
        <v>-601.2</v>
      </c>
      <c r="H1374" s="13" t="n">
        <v>0.6621</v>
      </c>
      <c r="I1374" s="13" t="n">
        <v>0.6473</v>
      </c>
    </row>
    <row r="1375">
      <c r="A1375" s="10" t="inlineStr">
        <is>
          <t>PJ-2023-I</t>
        </is>
      </c>
      <c r="B1375" s="10" t="inlineStr">
        <is>
          <t>位置合わせ(MS指定)／単調補間</t>
        </is>
      </c>
      <c r="C1375" s="10" t="inlineStr">
        <is>
          <t>2024-04</t>
        </is>
      </c>
      <c r="D1375" s="10" t="n">
        <v>12</v>
      </c>
      <c r="E1375" s="12" t="n">
        <v>12873.1</v>
      </c>
      <c r="F1375" s="12" t="n">
        <v>15249</v>
      </c>
      <c r="G1375" s="12" t="n">
        <v>-2375.9</v>
      </c>
      <c r="H1375" s="13" t="n">
        <v>0.7754</v>
      </c>
      <c r="I1375" s="13" t="n">
        <v>0.7816</v>
      </c>
    </row>
    <row r="1376">
      <c r="A1376" s="10" t="inlineStr">
        <is>
          <t>PJ-2023-I</t>
        </is>
      </c>
      <c r="B1376" s="10" t="inlineStr">
        <is>
          <t>位置合わせ(MS指定)／単調補間</t>
        </is>
      </c>
      <c r="C1376" s="10" t="inlineStr">
        <is>
          <t>2024-05</t>
        </is>
      </c>
      <c r="D1376" s="10" t="n">
        <v>13</v>
      </c>
      <c r="E1376" s="12" t="n">
        <v>5533.2</v>
      </c>
      <c r="F1376" s="12" t="n">
        <v>6881.4</v>
      </c>
      <c r="G1376" s="12" t="n">
        <v>-1348.2</v>
      </c>
      <c r="H1376" s="13" t="n">
        <v>0.8242</v>
      </c>
      <c r="I1376" s="13" t="n">
        <v>0.8421999999999999</v>
      </c>
    </row>
    <row r="1377">
      <c r="A1377" s="10" t="inlineStr">
        <is>
          <t>PJ-2023-I</t>
        </is>
      </c>
      <c r="B1377" s="10" t="inlineStr">
        <is>
          <t>位置合わせ(MS指定)／単調補間</t>
        </is>
      </c>
      <c r="C1377" s="10" t="inlineStr">
        <is>
          <t>2024-06</t>
        </is>
      </c>
      <c r="D1377" s="10" t="n">
        <v>14</v>
      </c>
      <c r="E1377" s="12" t="n">
        <v>4991.7</v>
      </c>
      <c r="F1377" s="12" t="n">
        <v>5543.4</v>
      </c>
      <c r="G1377" s="12" t="n">
        <v>-551.7</v>
      </c>
      <c r="H1377" s="13" t="n">
        <v>0.8681</v>
      </c>
      <c r="I1377" s="13" t="n">
        <v>0.8911</v>
      </c>
    </row>
    <row r="1378">
      <c r="A1378" s="10" t="inlineStr">
        <is>
          <t>PJ-2023-I</t>
        </is>
      </c>
      <c r="B1378" s="10" t="inlineStr">
        <is>
          <t>位置合わせ(MS指定)／単調補間</t>
        </is>
      </c>
      <c r="C1378" s="10" t="inlineStr">
        <is>
          <t>2024-07</t>
        </is>
      </c>
      <c r="D1378" s="10" t="n">
        <v>15</v>
      </c>
      <c r="E1378" s="12" t="n">
        <v>4536.6</v>
      </c>
      <c r="F1378" s="12" t="n">
        <v>3845</v>
      </c>
      <c r="G1378" s="12" t="n">
        <v>691.6</v>
      </c>
      <c r="H1378" s="13" t="n">
        <v>0.9081</v>
      </c>
      <c r="I1378" s="13" t="n">
        <v>0.9249000000000001</v>
      </c>
    </row>
    <row r="1379">
      <c r="A1379" s="10" t="inlineStr">
        <is>
          <t>PJ-2023-I</t>
        </is>
      </c>
      <c r="B1379" s="10" t="inlineStr">
        <is>
          <t>位置合わせ(MS指定)／単調補間</t>
        </is>
      </c>
      <c r="C1379" s="10" t="inlineStr">
        <is>
          <t>2024-08</t>
        </is>
      </c>
      <c r="D1379" s="10" t="n">
        <v>16</v>
      </c>
      <c r="E1379" s="12" t="n">
        <v>3794.2</v>
      </c>
      <c r="F1379" s="12" t="n">
        <v>3094</v>
      </c>
      <c r="G1379" s="12" t="n">
        <v>700.2</v>
      </c>
      <c r="H1379" s="13" t="n">
        <v>0.9415</v>
      </c>
      <c r="I1379" s="13" t="n">
        <v>0.9522</v>
      </c>
    </row>
    <row r="1380">
      <c r="A1380" s="10" t="inlineStr">
        <is>
          <t>PJ-2023-I</t>
        </is>
      </c>
      <c r="B1380" s="10" t="inlineStr">
        <is>
          <t>位置合わせ(MS指定)／単調補間</t>
        </is>
      </c>
      <c r="C1380" s="10" t="inlineStr">
        <is>
          <t>2024-09</t>
        </is>
      </c>
      <c r="D1380" s="10" t="n">
        <v>17</v>
      </c>
      <c r="E1380" s="12" t="n">
        <v>3648.5</v>
      </c>
      <c r="F1380" s="12" t="n">
        <v>3246</v>
      </c>
      <c r="G1380" s="12" t="n">
        <v>402.5</v>
      </c>
      <c r="H1380" s="13" t="n">
        <v>0.9736</v>
      </c>
      <c r="I1380" s="13" t="n">
        <v>0.9808</v>
      </c>
    </row>
    <row r="1381">
      <c r="A1381" s="10" t="inlineStr">
        <is>
          <t>PJ-2023-I</t>
        </is>
      </c>
      <c r="B1381" s="10" t="inlineStr">
        <is>
          <t>位置合わせ(MS指定)／単調補間</t>
        </is>
      </c>
      <c r="C1381" s="10" t="inlineStr">
        <is>
          <t>2024-10</t>
        </is>
      </c>
      <c r="D1381" s="10" t="n">
        <v>18</v>
      </c>
      <c r="E1381" s="12" t="n">
        <v>2995.7</v>
      </c>
      <c r="F1381" s="12" t="n">
        <v>2184.9</v>
      </c>
      <c r="G1381" s="12" t="n">
        <v>810.8</v>
      </c>
      <c r="H1381" s="13" t="n">
        <v>1</v>
      </c>
      <c r="I1381" s="13" t="n">
        <v>1</v>
      </c>
    </row>
    <row r="1382">
      <c r="A1382" s="10" t="inlineStr">
        <is>
          <t>PJ-2024-J</t>
        </is>
      </c>
      <c r="B1382" s="10" t="inlineStr">
        <is>
          <t>素朴版／月内均等</t>
        </is>
      </c>
      <c r="C1382" s="10" t="inlineStr">
        <is>
          <t>2024-01</t>
        </is>
      </c>
      <c r="D1382" s="10" t="n">
        <v>1</v>
      </c>
      <c r="E1382" s="12" t="n">
        <v>5031.5</v>
      </c>
      <c r="F1382" s="12" t="n">
        <v>348</v>
      </c>
      <c r="G1382" s="12" t="n">
        <v>4683.5</v>
      </c>
      <c r="H1382" s="13" t="n">
        <v>0.0145</v>
      </c>
      <c r="I1382" s="13" t="n">
        <v>0.001</v>
      </c>
    </row>
    <row r="1383">
      <c r="A1383" s="10" t="inlineStr">
        <is>
          <t>PJ-2024-J</t>
        </is>
      </c>
      <c r="B1383" s="10" t="inlineStr">
        <is>
          <t>素朴版／月内均等</t>
        </is>
      </c>
      <c r="C1383" s="10" t="inlineStr">
        <is>
          <t>2024-02</t>
        </is>
      </c>
      <c r="D1383" s="10" t="n">
        <v>2</v>
      </c>
      <c r="E1383" s="12" t="n">
        <v>5710.3</v>
      </c>
      <c r="F1383" s="12" t="n">
        <v>930.5</v>
      </c>
      <c r="G1383" s="12" t="n">
        <v>4779.8</v>
      </c>
      <c r="H1383" s="13" t="n">
        <v>0.031</v>
      </c>
      <c r="I1383" s="13" t="n">
        <v>0.0037</v>
      </c>
    </row>
    <row r="1384">
      <c r="A1384" s="10" t="inlineStr">
        <is>
          <t>PJ-2024-J</t>
        </is>
      </c>
      <c r="B1384" s="10" t="inlineStr">
        <is>
          <t>素朴版／月内均等</t>
        </is>
      </c>
      <c r="C1384" s="10" t="inlineStr">
        <is>
          <t>2024-03</t>
        </is>
      </c>
      <c r="D1384" s="10" t="n">
        <v>3</v>
      </c>
      <c r="E1384" s="12" t="n">
        <v>7043.5</v>
      </c>
      <c r="F1384" s="12" t="n">
        <v>1612.9</v>
      </c>
      <c r="G1384" s="12" t="n">
        <v>5430.6</v>
      </c>
      <c r="H1384" s="13" t="n">
        <v>0.0514</v>
      </c>
      <c r="I1384" s="13" t="n">
        <v>0.008399999999999999</v>
      </c>
    </row>
    <row r="1385">
      <c r="A1385" s="10" t="inlineStr">
        <is>
          <t>PJ-2024-J</t>
        </is>
      </c>
      <c r="B1385" s="10" t="inlineStr">
        <is>
          <t>素朴版／月内均等</t>
        </is>
      </c>
      <c r="C1385" s="10" t="inlineStr">
        <is>
          <t>2024-04</t>
        </is>
      </c>
      <c r="D1385" s="10" t="n">
        <v>4</v>
      </c>
      <c r="E1385" s="12" t="n">
        <v>7333.8</v>
      </c>
      <c r="F1385" s="12" t="n">
        <v>2251.7</v>
      </c>
      <c r="G1385" s="12" t="n">
        <v>5082.1</v>
      </c>
      <c r="H1385" s="13" t="n">
        <v>0.0726</v>
      </c>
      <c r="I1385" s="13" t="n">
        <v>0.0149</v>
      </c>
    </row>
    <row r="1386">
      <c r="A1386" s="10" t="inlineStr">
        <is>
          <t>PJ-2024-J</t>
        </is>
      </c>
      <c r="B1386" s="10" t="inlineStr">
        <is>
          <t>素朴版／月内均等</t>
        </is>
      </c>
      <c r="C1386" s="10" t="inlineStr">
        <is>
          <t>2024-05</t>
        </is>
      </c>
      <c r="D1386" s="10" t="n">
        <v>5</v>
      </c>
      <c r="E1386" s="12" t="n">
        <v>8286.299999999999</v>
      </c>
      <c r="F1386" s="12" t="n">
        <v>2953</v>
      </c>
      <c r="G1386" s="12" t="n">
        <v>5333.3</v>
      </c>
      <c r="H1386" s="13" t="n">
        <v>0.0965</v>
      </c>
      <c r="I1386" s="13" t="n">
        <v>0.0234</v>
      </c>
    </row>
    <row r="1387">
      <c r="A1387" s="10" t="inlineStr">
        <is>
          <t>PJ-2024-J</t>
        </is>
      </c>
      <c r="B1387" s="10" t="inlineStr">
        <is>
          <t>素朴版／月内均等</t>
        </is>
      </c>
      <c r="C1387" s="10" t="inlineStr">
        <is>
          <t>2024-06</t>
        </is>
      </c>
      <c r="D1387" s="10" t="n">
        <v>6</v>
      </c>
      <c r="E1387" s="12" t="n">
        <v>8230.4</v>
      </c>
      <c r="F1387" s="12" t="n">
        <v>3308.8</v>
      </c>
      <c r="G1387" s="12" t="n">
        <v>4921.6</v>
      </c>
      <c r="H1387" s="13" t="n">
        <v>0.1203</v>
      </c>
      <c r="I1387" s="13" t="n">
        <v>0.033</v>
      </c>
    </row>
    <row r="1388">
      <c r="A1388" s="10" t="inlineStr">
        <is>
          <t>PJ-2024-J</t>
        </is>
      </c>
      <c r="B1388" s="10" t="inlineStr">
        <is>
          <t>素朴版／月内均等</t>
        </is>
      </c>
      <c r="C1388" s="10" t="inlineStr">
        <is>
          <t>2024-07</t>
        </is>
      </c>
      <c r="D1388" s="10" t="n">
        <v>7</v>
      </c>
      <c r="E1388" s="12" t="n">
        <v>9063.299999999999</v>
      </c>
      <c r="F1388" s="12" t="n">
        <v>4157.3</v>
      </c>
      <c r="G1388" s="12" t="n">
        <v>4906</v>
      </c>
      <c r="H1388" s="13" t="n">
        <v>0.1465</v>
      </c>
      <c r="I1388" s="13" t="n">
        <v>0.045</v>
      </c>
    </row>
    <row r="1389">
      <c r="A1389" s="10" t="inlineStr">
        <is>
          <t>PJ-2024-J</t>
        </is>
      </c>
      <c r="B1389" s="10" t="inlineStr">
        <is>
          <t>素朴版／月内均等</t>
        </is>
      </c>
      <c r="C1389" s="10" t="inlineStr">
        <is>
          <t>2024-08</t>
        </is>
      </c>
      <c r="D1389" s="10" t="n">
        <v>8</v>
      </c>
      <c r="E1389" s="12" t="n">
        <v>9927.200000000001</v>
      </c>
      <c r="F1389" s="12" t="n">
        <v>5704.7</v>
      </c>
      <c r="G1389" s="12" t="n">
        <v>4222.5</v>
      </c>
      <c r="H1389" s="13" t="n">
        <v>0.1752</v>
      </c>
      <c r="I1389" s="13" t="n">
        <v>0.0615</v>
      </c>
    </row>
    <row r="1390">
      <c r="A1390" s="10" t="inlineStr">
        <is>
          <t>PJ-2024-J</t>
        </is>
      </c>
      <c r="B1390" s="10" t="inlineStr">
        <is>
          <t>素朴版／月内均等</t>
        </is>
      </c>
      <c r="C1390" s="10" t="inlineStr">
        <is>
          <t>2024-09</t>
        </is>
      </c>
      <c r="D1390" s="10" t="n">
        <v>9</v>
      </c>
      <c r="E1390" s="12" t="n">
        <v>11317.3</v>
      </c>
      <c r="F1390" s="12" t="n">
        <v>6443.3</v>
      </c>
      <c r="G1390" s="12" t="n">
        <v>4874</v>
      </c>
      <c r="H1390" s="13" t="n">
        <v>0.2079</v>
      </c>
      <c r="I1390" s="13" t="n">
        <v>0.0801</v>
      </c>
    </row>
    <row r="1391">
      <c r="A1391" s="10" t="inlineStr">
        <is>
          <t>PJ-2024-J</t>
        </is>
      </c>
      <c r="B1391" s="10" t="inlineStr">
        <is>
          <t>素朴版／月内均等</t>
        </is>
      </c>
      <c r="C1391" s="10" t="inlineStr">
        <is>
          <t>2024-10</t>
        </is>
      </c>
      <c r="D1391" s="10" t="n">
        <v>10</v>
      </c>
      <c r="E1391" s="12" t="n">
        <v>12868</v>
      </c>
      <c r="F1391" s="12" t="n">
        <v>7892.9</v>
      </c>
      <c r="G1391" s="12" t="n">
        <v>4975.1</v>
      </c>
      <c r="H1391" s="13" t="n">
        <v>0.2451</v>
      </c>
      <c r="I1391" s="13" t="n">
        <v>0.1029</v>
      </c>
    </row>
    <row r="1392">
      <c r="A1392" s="10" t="inlineStr">
        <is>
          <t>PJ-2024-J</t>
        </is>
      </c>
      <c r="B1392" s="10" t="inlineStr">
        <is>
          <t>素朴版／月内均等</t>
        </is>
      </c>
      <c r="C1392" s="10" t="inlineStr">
        <is>
          <t>2024-11</t>
        </is>
      </c>
      <c r="D1392" s="10" t="n">
        <v>11</v>
      </c>
      <c r="E1392" s="12" t="n">
        <v>13600.9</v>
      </c>
      <c r="F1392" s="12" t="n">
        <v>9044.6</v>
      </c>
      <c r="G1392" s="12" t="n">
        <v>4556.3</v>
      </c>
      <c r="H1392" s="13" t="n">
        <v>0.2844</v>
      </c>
      <c r="I1392" s="13" t="n">
        <v>0.129</v>
      </c>
    </row>
    <row r="1393">
      <c r="A1393" s="10" t="inlineStr">
        <is>
          <t>PJ-2024-J</t>
        </is>
      </c>
      <c r="B1393" s="10" t="inlineStr">
        <is>
          <t>素朴版／月内均等</t>
        </is>
      </c>
      <c r="C1393" s="10" t="inlineStr">
        <is>
          <t>2024-12</t>
        </is>
      </c>
      <c r="D1393" s="10" t="n">
        <v>12</v>
      </c>
      <c r="E1393" s="12" t="n">
        <v>15198.9</v>
      </c>
      <c r="F1393" s="12" t="n">
        <v>9905.1</v>
      </c>
      <c r="G1393" s="12" t="n">
        <v>5293.8</v>
      </c>
      <c r="H1393" s="13" t="n">
        <v>0.3283</v>
      </c>
      <c r="I1393" s="13" t="n">
        <v>0.1577</v>
      </c>
    </row>
    <row r="1394">
      <c r="A1394" s="10" t="inlineStr">
        <is>
          <t>PJ-2024-J</t>
        </is>
      </c>
      <c r="B1394" s="10" t="inlineStr">
        <is>
          <t>素朴版／月内均等</t>
        </is>
      </c>
      <c r="C1394" s="10" t="inlineStr">
        <is>
          <t>2025-01</t>
        </is>
      </c>
      <c r="D1394" s="10" t="n">
        <v>13</v>
      </c>
      <c r="E1394" s="12" t="n">
        <v>15355.1</v>
      </c>
      <c r="F1394" s="12" t="n">
        <v>10668.8</v>
      </c>
      <c r="G1394" s="12" t="n">
        <v>4686.3</v>
      </c>
      <c r="H1394" s="13" t="n">
        <v>0.3727</v>
      </c>
      <c r="I1394" s="13" t="n">
        <v>0.1885</v>
      </c>
    </row>
    <row r="1395">
      <c r="A1395" s="10" t="inlineStr">
        <is>
          <t>PJ-2024-J</t>
        </is>
      </c>
      <c r="B1395" s="10" t="inlineStr">
        <is>
          <t>素朴版／月内均等</t>
        </is>
      </c>
      <c r="C1395" s="10" t="inlineStr">
        <is>
          <t>2025-02</t>
        </is>
      </c>
      <c r="D1395" s="10" t="n">
        <v>14</v>
      </c>
      <c r="E1395" s="12" t="n">
        <v>12950.5</v>
      </c>
      <c r="F1395" s="12" t="n">
        <v>10918.3</v>
      </c>
      <c r="G1395" s="12" t="n">
        <v>2032.2</v>
      </c>
      <c r="H1395" s="13" t="n">
        <v>0.4101</v>
      </c>
      <c r="I1395" s="13" t="n">
        <v>0.22</v>
      </c>
    </row>
    <row r="1396">
      <c r="A1396" s="10" t="inlineStr">
        <is>
          <t>PJ-2024-J</t>
        </is>
      </c>
      <c r="B1396" s="10" t="inlineStr">
        <is>
          <t>素朴版／月内均等</t>
        </is>
      </c>
      <c r="C1396" s="10" t="inlineStr">
        <is>
          <t>2025-03</t>
        </is>
      </c>
      <c r="D1396" s="10" t="n">
        <v>15</v>
      </c>
      <c r="E1396" s="12" t="n">
        <v>13769.8</v>
      </c>
      <c r="F1396" s="12" t="n">
        <v>13702.5</v>
      </c>
      <c r="G1396" s="12" t="n">
        <v>67.3</v>
      </c>
      <c r="H1396" s="13" t="n">
        <v>0.4499</v>
      </c>
      <c r="I1396" s="13" t="n">
        <v>0.2596</v>
      </c>
    </row>
    <row r="1397">
      <c r="A1397" s="10" t="inlineStr">
        <is>
          <t>PJ-2024-J</t>
        </is>
      </c>
      <c r="B1397" s="10" t="inlineStr">
        <is>
          <t>素朴版／月内均等</t>
        </is>
      </c>
      <c r="C1397" s="10" t="inlineStr">
        <is>
          <t>2025-04</t>
        </is>
      </c>
      <c r="D1397" s="10" t="n">
        <v>16</v>
      </c>
      <c r="E1397" s="12" t="n">
        <v>14872.4</v>
      </c>
      <c r="F1397" s="12" t="n">
        <v>18909.3</v>
      </c>
      <c r="G1397" s="12" t="n">
        <v>-4036.9</v>
      </c>
      <c r="H1397" s="13" t="n">
        <v>0.4929</v>
      </c>
      <c r="I1397" s="13" t="n">
        <v>0.3143</v>
      </c>
    </row>
    <row r="1398">
      <c r="A1398" s="10" t="inlineStr">
        <is>
          <t>PJ-2024-J</t>
        </is>
      </c>
      <c r="B1398" s="10" t="inlineStr">
        <is>
          <t>素朴版／月内均等</t>
        </is>
      </c>
      <c r="C1398" s="10" t="inlineStr">
        <is>
          <t>2025-05</t>
        </is>
      </c>
      <c r="D1398" s="10" t="n">
        <v>17</v>
      </c>
      <c r="E1398" s="12" t="n">
        <v>15069.1</v>
      </c>
      <c r="F1398" s="12" t="n">
        <v>26126.9</v>
      </c>
      <c r="G1398" s="12" t="n">
        <v>-11057.8</v>
      </c>
      <c r="H1398" s="13" t="n">
        <v>0.5365</v>
      </c>
      <c r="I1398" s="13" t="n">
        <v>0.3898</v>
      </c>
    </row>
    <row r="1399">
      <c r="A1399" s="10" t="inlineStr">
        <is>
          <t>PJ-2024-J</t>
        </is>
      </c>
      <c r="B1399" s="10" t="inlineStr">
        <is>
          <t>素朴版／月内均等</t>
        </is>
      </c>
      <c r="C1399" s="10" t="inlineStr">
        <is>
          <t>2025-06</t>
        </is>
      </c>
      <c r="D1399" s="10" t="n">
        <v>18</v>
      </c>
      <c r="E1399" s="12" t="n">
        <v>15110</v>
      </c>
      <c r="F1399" s="12" t="n">
        <v>31246.9</v>
      </c>
      <c r="G1399" s="12" t="n">
        <v>-16136.9</v>
      </c>
      <c r="H1399" s="13" t="n">
        <v>0.5800999999999999</v>
      </c>
      <c r="I1399" s="13" t="n">
        <v>0.4801</v>
      </c>
    </row>
    <row r="1400">
      <c r="A1400" s="10" t="inlineStr">
        <is>
          <t>PJ-2024-J</t>
        </is>
      </c>
      <c r="B1400" s="10" t="inlineStr">
        <is>
          <t>素朴版／月内均等</t>
        </is>
      </c>
      <c r="C1400" s="10" t="inlineStr">
        <is>
          <t>2025-07</t>
        </is>
      </c>
      <c r="D1400" s="10" t="n">
        <v>19</v>
      </c>
      <c r="E1400" s="12" t="n">
        <v>16681.1</v>
      </c>
      <c r="F1400" s="12" t="n">
        <v>28601.2</v>
      </c>
      <c r="G1400" s="12" t="n">
        <v>-11920.1</v>
      </c>
      <c r="H1400" s="13" t="n">
        <v>0.6284</v>
      </c>
      <c r="I1400" s="13" t="n">
        <v>0.5628</v>
      </c>
    </row>
    <row r="1401">
      <c r="A1401" s="10" t="inlineStr">
        <is>
          <t>PJ-2024-J</t>
        </is>
      </c>
      <c r="B1401" s="10" t="inlineStr">
        <is>
          <t>素朴版／月内均等</t>
        </is>
      </c>
      <c r="C1401" s="10" t="inlineStr">
        <is>
          <t>2025-08</t>
        </is>
      </c>
      <c r="D1401" s="10" t="n">
        <v>20</v>
      </c>
      <c r="E1401" s="12" t="n">
        <v>16671.9</v>
      </c>
      <c r="F1401" s="12" t="n">
        <v>25939.3</v>
      </c>
      <c r="G1401" s="12" t="n">
        <v>-9267.4</v>
      </c>
      <c r="H1401" s="13" t="n">
        <v>0.6765</v>
      </c>
      <c r="I1401" s="13" t="n">
        <v>0.6377</v>
      </c>
    </row>
    <row r="1402">
      <c r="A1402" s="10" t="inlineStr">
        <is>
          <t>PJ-2024-J</t>
        </is>
      </c>
      <c r="B1402" s="10" t="inlineStr">
        <is>
          <t>素朴版／月内均等</t>
        </is>
      </c>
      <c r="C1402" s="10" t="inlineStr">
        <is>
          <t>2025-09</t>
        </is>
      </c>
      <c r="D1402" s="10" t="n">
        <v>21</v>
      </c>
      <c r="E1402" s="12" t="n">
        <v>14995.1</v>
      </c>
      <c r="F1402" s="12" t="n">
        <v>20944.7</v>
      </c>
      <c r="G1402" s="12" t="n">
        <v>-5949.6</v>
      </c>
      <c r="H1402" s="13" t="n">
        <v>0.7199</v>
      </c>
      <c r="I1402" s="13" t="n">
        <v>0.6983</v>
      </c>
    </row>
    <row r="1403">
      <c r="A1403" s="10" t="inlineStr">
        <is>
          <t>PJ-2024-J</t>
        </is>
      </c>
      <c r="B1403" s="10" t="inlineStr">
        <is>
          <t>素朴版／月内均等</t>
        </is>
      </c>
      <c r="C1403" s="10" t="inlineStr">
        <is>
          <t>2025-10</t>
        </is>
      </c>
      <c r="D1403" s="10" t="n">
        <v>22</v>
      </c>
      <c r="E1403" s="12" t="n">
        <v>15350.6</v>
      </c>
      <c r="F1403" s="12" t="n">
        <v>14367.8</v>
      </c>
      <c r="G1403" s="12" t="n">
        <v>982.8</v>
      </c>
      <c r="H1403" s="13" t="n">
        <v>0.7642</v>
      </c>
      <c r="I1403" s="13" t="n">
        <v>0.7398</v>
      </c>
    </row>
    <row r="1404">
      <c r="A1404" s="10" t="inlineStr">
        <is>
          <t>PJ-2024-J</t>
        </is>
      </c>
      <c r="B1404" s="10" t="inlineStr">
        <is>
          <t>素朴版／月内均等</t>
        </is>
      </c>
      <c r="C1404" s="10" t="inlineStr">
        <is>
          <t>2025-11</t>
        </is>
      </c>
      <c r="D1404" s="10" t="n">
        <v>23</v>
      </c>
      <c r="E1404" s="12" t="n">
        <v>14255.1</v>
      </c>
      <c r="F1404" s="12" t="n">
        <v>16461.6</v>
      </c>
      <c r="G1404" s="12" t="n">
        <v>-2206.5</v>
      </c>
      <c r="H1404" s="13" t="n">
        <v>0.8054</v>
      </c>
      <c r="I1404" s="13" t="n">
        <v>0.7874</v>
      </c>
    </row>
    <row r="1405">
      <c r="A1405" s="10" t="inlineStr">
        <is>
          <t>PJ-2024-J</t>
        </is>
      </c>
      <c r="B1405" s="10" t="inlineStr">
        <is>
          <t>素朴版／月内均等</t>
        </is>
      </c>
      <c r="C1405" s="10" t="inlineStr">
        <is>
          <t>2025-12</t>
        </is>
      </c>
      <c r="D1405" s="10" t="n">
        <v>24</v>
      </c>
      <c r="E1405" s="12" t="n">
        <v>15124.2</v>
      </c>
      <c r="F1405" s="12" t="n">
        <v>17876.1</v>
      </c>
      <c r="G1405" s="12" t="n">
        <v>-2751.9</v>
      </c>
      <c r="H1405" s="13" t="n">
        <v>0.8491</v>
      </c>
      <c r="I1405" s="13" t="n">
        <v>0.839</v>
      </c>
    </row>
    <row r="1406">
      <c r="A1406" s="10" t="inlineStr">
        <is>
          <t>PJ-2024-J</t>
        </is>
      </c>
      <c r="B1406" s="10" t="inlineStr">
        <is>
          <t>素朴版／月内均等</t>
        </is>
      </c>
      <c r="C1406" s="10" t="inlineStr">
        <is>
          <t>2026-01</t>
        </is>
      </c>
      <c r="D1406" s="10" t="n">
        <v>25</v>
      </c>
      <c r="E1406" s="12" t="n">
        <v>14059</v>
      </c>
      <c r="F1406" s="12" t="n">
        <v>14931.3</v>
      </c>
      <c r="G1406" s="12" t="n">
        <v>-872.3</v>
      </c>
      <c r="H1406" s="13" t="n">
        <v>0.8898</v>
      </c>
      <c r="I1406" s="13" t="n">
        <v>0.8822</v>
      </c>
    </row>
    <row r="1407">
      <c r="A1407" s="10" t="inlineStr">
        <is>
          <t>PJ-2024-J</t>
        </is>
      </c>
      <c r="B1407" s="10" t="inlineStr">
        <is>
          <t>素朴版／月内均等</t>
        </is>
      </c>
      <c r="C1407" s="10" t="inlineStr">
        <is>
          <t>2026-02</t>
        </is>
      </c>
      <c r="D1407" s="10" t="n">
        <v>26</v>
      </c>
      <c r="E1407" s="12" t="n">
        <v>10912.7</v>
      </c>
      <c r="F1407" s="12" t="n">
        <v>10014.8</v>
      </c>
      <c r="G1407" s="12" t="n">
        <v>897.9</v>
      </c>
      <c r="H1407" s="13" t="n">
        <v>0.9213</v>
      </c>
      <c r="I1407" s="13" t="n">
        <v>0.9111</v>
      </c>
    </row>
    <row r="1408">
      <c r="A1408" s="10" t="inlineStr">
        <is>
          <t>PJ-2024-J</t>
        </is>
      </c>
      <c r="B1408" s="10" t="inlineStr">
        <is>
          <t>素朴版／月内均等</t>
        </is>
      </c>
      <c r="C1408" s="10" t="inlineStr">
        <is>
          <t>2026-03</t>
        </is>
      </c>
      <c r="D1408" s="10" t="n">
        <v>27</v>
      </c>
      <c r="E1408" s="12" t="n">
        <v>9709.700000000001</v>
      </c>
      <c r="F1408" s="12" t="n">
        <v>9594.1</v>
      </c>
      <c r="G1408" s="12" t="n">
        <v>115.6</v>
      </c>
      <c r="H1408" s="13" t="n">
        <v>0.9494</v>
      </c>
      <c r="I1408" s="13" t="n">
        <v>0.9389</v>
      </c>
    </row>
    <row r="1409">
      <c r="A1409" s="10" t="inlineStr">
        <is>
          <t>PJ-2024-J</t>
        </is>
      </c>
      <c r="B1409" s="10" t="inlineStr">
        <is>
          <t>素朴版／月内均等</t>
        </is>
      </c>
      <c r="C1409" s="10" t="inlineStr">
        <is>
          <t>2026-04</t>
        </is>
      </c>
      <c r="D1409" s="10" t="n">
        <v>28</v>
      </c>
      <c r="E1409" s="12" t="n">
        <v>8009.9</v>
      </c>
      <c r="F1409" s="12" t="n">
        <v>7976.6</v>
      </c>
      <c r="G1409" s="12" t="n">
        <v>33.3</v>
      </c>
      <c r="H1409" s="13" t="n">
        <v>0.9725</v>
      </c>
      <c r="I1409" s="13" t="n">
        <v>0.9619</v>
      </c>
    </row>
    <row r="1410">
      <c r="A1410" s="10" t="inlineStr">
        <is>
          <t>PJ-2024-J</t>
        </is>
      </c>
      <c r="B1410" s="10" t="inlineStr">
        <is>
          <t>素朴版／月内均等</t>
        </is>
      </c>
      <c r="C1410" s="10" t="inlineStr">
        <is>
          <t>2026-05</t>
        </is>
      </c>
      <c r="D1410" s="10" t="n">
        <v>29</v>
      </c>
      <c r="E1410" s="12" t="n">
        <v>5800.7</v>
      </c>
      <c r="F1410" s="12" t="n">
        <v>10449.5</v>
      </c>
      <c r="G1410" s="12" t="n">
        <v>-4648.8</v>
      </c>
      <c r="H1410" s="13" t="n">
        <v>0.9893</v>
      </c>
      <c r="I1410" s="13" t="n">
        <v>0.9921</v>
      </c>
    </row>
    <row r="1411">
      <c r="A1411" s="10" t="inlineStr">
        <is>
          <t>PJ-2024-J</t>
        </is>
      </c>
      <c r="B1411" s="10" t="inlineStr">
        <is>
          <t>素朴版／月内均等</t>
        </is>
      </c>
      <c r="C1411" s="10" t="inlineStr">
        <is>
          <t>2026-06</t>
        </is>
      </c>
      <c r="D1411" s="10" t="n">
        <v>30</v>
      </c>
      <c r="E1411" s="12" t="n">
        <v>3706.7</v>
      </c>
      <c r="F1411" s="12" t="n">
        <v>2732.1</v>
      </c>
      <c r="G1411" s="12" t="n">
        <v>974.6</v>
      </c>
      <c r="H1411" s="13" t="n">
        <v>1</v>
      </c>
      <c r="I1411" s="13" t="n">
        <v>1</v>
      </c>
    </row>
    <row r="1412">
      <c r="A1412" s="10" t="inlineStr">
        <is>
          <t>PJ-2024-J</t>
        </is>
      </c>
      <c r="B1412" s="10" t="inlineStr">
        <is>
          <t>位置合わせ(MS学習値)／月内均等</t>
        </is>
      </c>
      <c r="C1412" s="10" t="inlineStr">
        <is>
          <t>2024-01</t>
        </is>
      </c>
      <c r="D1412" s="10" t="n">
        <v>1</v>
      </c>
      <c r="E1412" s="12" t="n">
        <v>5072.1</v>
      </c>
      <c r="F1412" s="12" t="n">
        <v>348</v>
      </c>
      <c r="G1412" s="12" t="n">
        <v>4724.1</v>
      </c>
      <c r="H1412" s="13" t="n">
        <v>0.0147</v>
      </c>
      <c r="I1412" s="13" t="n">
        <v>0.001</v>
      </c>
    </row>
    <row r="1413">
      <c r="A1413" s="10" t="inlineStr">
        <is>
          <t>PJ-2024-J</t>
        </is>
      </c>
      <c r="B1413" s="10" t="inlineStr">
        <is>
          <t>位置合わせ(MS学習値)／月内均等</t>
        </is>
      </c>
      <c r="C1413" s="10" t="inlineStr">
        <is>
          <t>2024-02</t>
        </is>
      </c>
      <c r="D1413" s="10" t="n">
        <v>2</v>
      </c>
      <c r="E1413" s="12" t="n">
        <v>5649.1</v>
      </c>
      <c r="F1413" s="12" t="n">
        <v>930.5</v>
      </c>
      <c r="G1413" s="12" t="n">
        <v>4718.6</v>
      </c>
      <c r="H1413" s="13" t="n">
        <v>0.031</v>
      </c>
      <c r="I1413" s="13" t="n">
        <v>0.0037</v>
      </c>
    </row>
    <row r="1414">
      <c r="A1414" s="10" t="inlineStr">
        <is>
          <t>PJ-2024-J</t>
        </is>
      </c>
      <c r="B1414" s="10" t="inlineStr">
        <is>
          <t>位置合わせ(MS学習値)／月内均等</t>
        </is>
      </c>
      <c r="C1414" s="10" t="inlineStr">
        <is>
          <t>2024-03</t>
        </is>
      </c>
      <c r="D1414" s="10" t="n">
        <v>3</v>
      </c>
      <c r="E1414" s="12" t="n">
        <v>7018.8</v>
      </c>
      <c r="F1414" s="12" t="n">
        <v>1612.9</v>
      </c>
      <c r="G1414" s="12" t="n">
        <v>5405.9</v>
      </c>
      <c r="H1414" s="13" t="n">
        <v>0.0513</v>
      </c>
      <c r="I1414" s="13" t="n">
        <v>0.008399999999999999</v>
      </c>
    </row>
    <row r="1415">
      <c r="A1415" s="10" t="inlineStr">
        <is>
          <t>PJ-2024-J</t>
        </is>
      </c>
      <c r="B1415" s="10" t="inlineStr">
        <is>
          <t>位置合わせ(MS学習値)／月内均等</t>
        </is>
      </c>
      <c r="C1415" s="10" t="inlineStr">
        <is>
          <t>2024-04</t>
        </is>
      </c>
      <c r="D1415" s="10" t="n">
        <v>4</v>
      </c>
      <c r="E1415" s="12" t="n">
        <v>7251.1</v>
      </c>
      <c r="F1415" s="12" t="n">
        <v>2251.7</v>
      </c>
      <c r="G1415" s="12" t="n">
        <v>4999.4</v>
      </c>
      <c r="H1415" s="13" t="n">
        <v>0.0722</v>
      </c>
      <c r="I1415" s="13" t="n">
        <v>0.0149</v>
      </c>
    </row>
    <row r="1416">
      <c r="A1416" s="10" t="inlineStr">
        <is>
          <t>PJ-2024-J</t>
        </is>
      </c>
      <c r="B1416" s="10" t="inlineStr">
        <is>
          <t>位置合わせ(MS学習値)／月内均等</t>
        </is>
      </c>
      <c r="C1416" s="10" t="inlineStr">
        <is>
          <t>2024-05</t>
        </is>
      </c>
      <c r="D1416" s="10" t="n">
        <v>5</v>
      </c>
      <c r="E1416" s="12" t="n">
        <v>8107.6</v>
      </c>
      <c r="F1416" s="12" t="n">
        <v>2953</v>
      </c>
      <c r="G1416" s="12" t="n">
        <v>5154.6</v>
      </c>
      <c r="H1416" s="13" t="n">
        <v>0.09569999999999999</v>
      </c>
      <c r="I1416" s="13" t="n">
        <v>0.0234</v>
      </c>
    </row>
    <row r="1417">
      <c r="A1417" s="10" t="inlineStr">
        <is>
          <t>PJ-2024-J</t>
        </is>
      </c>
      <c r="B1417" s="10" t="inlineStr">
        <is>
          <t>位置合わせ(MS学習値)／月内均等</t>
        </is>
      </c>
      <c r="C1417" s="10" t="inlineStr">
        <is>
          <t>2024-06</t>
        </is>
      </c>
      <c r="D1417" s="10" t="n">
        <v>6</v>
      </c>
      <c r="E1417" s="12" t="n">
        <v>8199.5</v>
      </c>
      <c r="F1417" s="12" t="n">
        <v>3308.8</v>
      </c>
      <c r="G1417" s="12" t="n">
        <v>4890.7</v>
      </c>
      <c r="H1417" s="13" t="n">
        <v>0.1194</v>
      </c>
      <c r="I1417" s="13" t="n">
        <v>0.033</v>
      </c>
    </row>
    <row r="1418">
      <c r="A1418" s="10" t="inlineStr">
        <is>
          <t>PJ-2024-J</t>
        </is>
      </c>
      <c r="B1418" s="10" t="inlineStr">
        <is>
          <t>位置合わせ(MS学習値)／月内均等</t>
        </is>
      </c>
      <c r="C1418" s="10" t="inlineStr">
        <is>
          <t>2024-07</t>
        </is>
      </c>
      <c r="D1418" s="10" t="n">
        <v>7</v>
      </c>
      <c r="E1418" s="12" t="n">
        <v>8775.4</v>
      </c>
      <c r="F1418" s="12" t="n">
        <v>4157.3</v>
      </c>
      <c r="G1418" s="12" t="n">
        <v>4618.1</v>
      </c>
      <c r="H1418" s="13" t="n">
        <v>0.1447</v>
      </c>
      <c r="I1418" s="13" t="n">
        <v>0.045</v>
      </c>
    </row>
    <row r="1419">
      <c r="A1419" s="10" t="inlineStr">
        <is>
          <t>PJ-2024-J</t>
        </is>
      </c>
      <c r="B1419" s="10" t="inlineStr">
        <is>
          <t>位置合わせ(MS学習値)／月内均等</t>
        </is>
      </c>
      <c r="C1419" s="10" t="inlineStr">
        <is>
          <t>2024-08</t>
        </is>
      </c>
      <c r="D1419" s="10" t="n">
        <v>8</v>
      </c>
      <c r="E1419" s="12" t="n">
        <v>9651.6</v>
      </c>
      <c r="F1419" s="12" t="n">
        <v>5704.7</v>
      </c>
      <c r="G1419" s="12" t="n">
        <v>3946.9</v>
      </c>
      <c r="H1419" s="13" t="n">
        <v>0.1726</v>
      </c>
      <c r="I1419" s="13" t="n">
        <v>0.0615</v>
      </c>
    </row>
    <row r="1420">
      <c r="A1420" s="10" t="inlineStr">
        <is>
          <t>PJ-2024-J</t>
        </is>
      </c>
      <c r="B1420" s="10" t="inlineStr">
        <is>
          <t>位置合わせ(MS学習値)／月内均等</t>
        </is>
      </c>
      <c r="C1420" s="10" t="inlineStr">
        <is>
          <t>2024-09</t>
        </is>
      </c>
      <c r="D1420" s="10" t="n">
        <v>9</v>
      </c>
      <c r="E1420" s="12" t="n">
        <v>10066.4</v>
      </c>
      <c r="F1420" s="12" t="n">
        <v>6443.3</v>
      </c>
      <c r="G1420" s="12" t="n">
        <v>3623.1</v>
      </c>
      <c r="H1420" s="13" t="n">
        <v>0.2017</v>
      </c>
      <c r="I1420" s="13" t="n">
        <v>0.0801</v>
      </c>
    </row>
    <row r="1421">
      <c r="A1421" s="10" t="inlineStr">
        <is>
          <t>PJ-2024-J</t>
        </is>
      </c>
      <c r="B1421" s="10" t="inlineStr">
        <is>
          <t>位置合わせ(MS学習値)／月内均等</t>
        </is>
      </c>
      <c r="C1421" s="10" t="inlineStr">
        <is>
          <t>2024-10</t>
        </is>
      </c>
      <c r="D1421" s="10" t="n">
        <v>10</v>
      </c>
      <c r="E1421" s="12" t="n">
        <v>11685.1</v>
      </c>
      <c r="F1421" s="12" t="n">
        <v>7892.9</v>
      </c>
      <c r="G1421" s="12" t="n">
        <v>3792.2</v>
      </c>
      <c r="H1421" s="13" t="n">
        <v>0.2355</v>
      </c>
      <c r="I1421" s="13" t="n">
        <v>0.1029</v>
      </c>
    </row>
    <row r="1422">
      <c r="A1422" s="10" t="inlineStr">
        <is>
          <t>PJ-2024-J</t>
        </is>
      </c>
      <c r="B1422" s="10" t="inlineStr">
        <is>
          <t>位置合わせ(MS学習値)／月内均等</t>
        </is>
      </c>
      <c r="C1422" s="10" t="inlineStr">
        <is>
          <t>2024-11</t>
        </is>
      </c>
      <c r="D1422" s="10" t="n">
        <v>11</v>
      </c>
      <c r="E1422" s="12" t="n">
        <v>12782.9</v>
      </c>
      <c r="F1422" s="12" t="n">
        <v>9044.6</v>
      </c>
      <c r="G1422" s="12" t="n">
        <v>3738.3</v>
      </c>
      <c r="H1422" s="13" t="n">
        <v>0.2724</v>
      </c>
      <c r="I1422" s="13" t="n">
        <v>0.129</v>
      </c>
    </row>
    <row r="1423">
      <c r="A1423" s="10" t="inlineStr">
        <is>
          <t>PJ-2024-J</t>
        </is>
      </c>
      <c r="B1423" s="10" t="inlineStr">
        <is>
          <t>位置合わせ(MS学習値)／月内均等</t>
        </is>
      </c>
      <c r="C1423" s="10" t="inlineStr">
        <is>
          <t>2024-12</t>
        </is>
      </c>
      <c r="D1423" s="10" t="n">
        <v>12</v>
      </c>
      <c r="E1423" s="12" t="n">
        <v>13931.8</v>
      </c>
      <c r="F1423" s="12" t="n">
        <v>9905.1</v>
      </c>
      <c r="G1423" s="12" t="n">
        <v>4026.7</v>
      </c>
      <c r="H1423" s="13" t="n">
        <v>0.3127</v>
      </c>
      <c r="I1423" s="13" t="n">
        <v>0.1577</v>
      </c>
    </row>
    <row r="1424">
      <c r="A1424" s="10" t="inlineStr">
        <is>
          <t>PJ-2024-J</t>
        </is>
      </c>
      <c r="B1424" s="10" t="inlineStr">
        <is>
          <t>位置合わせ(MS学習値)／月内均等</t>
        </is>
      </c>
      <c r="C1424" s="10" t="inlineStr">
        <is>
          <t>2025-01</t>
        </is>
      </c>
      <c r="D1424" s="10" t="n">
        <v>13</v>
      </c>
      <c r="E1424" s="12" t="n">
        <v>14913.7</v>
      </c>
      <c r="F1424" s="12" t="n">
        <v>10668.8</v>
      </c>
      <c r="G1424" s="12" t="n">
        <v>4244.9</v>
      </c>
      <c r="H1424" s="13" t="n">
        <v>0.3558</v>
      </c>
      <c r="I1424" s="13" t="n">
        <v>0.1885</v>
      </c>
    </row>
    <row r="1425">
      <c r="A1425" s="10" t="inlineStr">
        <is>
          <t>PJ-2024-J</t>
        </is>
      </c>
      <c r="B1425" s="10" t="inlineStr">
        <is>
          <t>位置合わせ(MS学習値)／月内均等</t>
        </is>
      </c>
      <c r="C1425" s="10" t="inlineStr">
        <is>
          <t>2025-02</t>
        </is>
      </c>
      <c r="D1425" s="10" t="n">
        <v>14</v>
      </c>
      <c r="E1425" s="12" t="n">
        <v>14384.3</v>
      </c>
      <c r="F1425" s="12" t="n">
        <v>10918.3</v>
      </c>
      <c r="G1425" s="12" t="n">
        <v>3466</v>
      </c>
      <c r="H1425" s="13" t="n">
        <v>0.3974</v>
      </c>
      <c r="I1425" s="13" t="n">
        <v>0.22</v>
      </c>
    </row>
    <row r="1426">
      <c r="A1426" s="10" t="inlineStr">
        <is>
          <t>PJ-2024-J</t>
        </is>
      </c>
      <c r="B1426" s="10" t="inlineStr">
        <is>
          <t>位置合わせ(MS学習値)／月内均等</t>
        </is>
      </c>
      <c r="C1426" s="10" t="inlineStr">
        <is>
          <t>2025-03</t>
        </is>
      </c>
      <c r="D1426" s="10" t="n">
        <v>15</v>
      </c>
      <c r="E1426" s="12" t="n">
        <v>17239.6</v>
      </c>
      <c r="F1426" s="12" t="n">
        <v>13702.5</v>
      </c>
      <c r="G1426" s="12" t="n">
        <v>3537.1</v>
      </c>
      <c r="H1426" s="13" t="n">
        <v>0.4472</v>
      </c>
      <c r="I1426" s="13" t="n">
        <v>0.2596</v>
      </c>
    </row>
    <row r="1427">
      <c r="A1427" s="10" t="inlineStr">
        <is>
          <t>PJ-2024-J</t>
        </is>
      </c>
      <c r="B1427" s="10" t="inlineStr">
        <is>
          <t>位置合わせ(MS学習値)／月内均等</t>
        </is>
      </c>
      <c r="C1427" s="10" t="inlineStr">
        <is>
          <t>2025-04</t>
        </is>
      </c>
      <c r="D1427" s="10" t="n">
        <v>16</v>
      </c>
      <c r="E1427" s="12" t="n">
        <v>16494.8</v>
      </c>
      <c r="F1427" s="12" t="n">
        <v>18909.3</v>
      </c>
      <c r="G1427" s="12" t="n">
        <v>-2414.5</v>
      </c>
      <c r="H1427" s="13" t="n">
        <v>0.4948</v>
      </c>
      <c r="I1427" s="13" t="n">
        <v>0.3143</v>
      </c>
    </row>
    <row r="1428">
      <c r="A1428" s="10" t="inlineStr">
        <is>
          <t>PJ-2024-J</t>
        </is>
      </c>
      <c r="B1428" s="10" t="inlineStr">
        <is>
          <t>位置合わせ(MS学習値)／月内均等</t>
        </is>
      </c>
      <c r="C1428" s="10" t="inlineStr">
        <is>
          <t>2025-05</t>
        </is>
      </c>
      <c r="D1428" s="10" t="n">
        <v>17</v>
      </c>
      <c r="E1428" s="12" t="n">
        <v>16189.1</v>
      </c>
      <c r="F1428" s="12" t="n">
        <v>26126.9</v>
      </c>
      <c r="G1428" s="12" t="n">
        <v>-9937.799999999999</v>
      </c>
      <c r="H1428" s="13" t="n">
        <v>0.5416</v>
      </c>
      <c r="I1428" s="13" t="n">
        <v>0.3898</v>
      </c>
    </row>
    <row r="1429">
      <c r="A1429" s="10" t="inlineStr">
        <is>
          <t>PJ-2024-J</t>
        </is>
      </c>
      <c r="B1429" s="10" t="inlineStr">
        <is>
          <t>位置合わせ(MS学習値)／月内均等</t>
        </is>
      </c>
      <c r="C1429" s="10" t="inlineStr">
        <is>
          <t>2025-06</t>
        </is>
      </c>
      <c r="D1429" s="10" t="n">
        <v>18</v>
      </c>
      <c r="E1429" s="12" t="n">
        <v>14931.2</v>
      </c>
      <c r="F1429" s="12" t="n">
        <v>31246.9</v>
      </c>
      <c r="G1429" s="12" t="n">
        <v>-16315.7</v>
      </c>
      <c r="H1429" s="13" t="n">
        <v>0.5848</v>
      </c>
      <c r="I1429" s="13" t="n">
        <v>0.4801</v>
      </c>
    </row>
    <row r="1430">
      <c r="A1430" s="10" t="inlineStr">
        <is>
          <t>PJ-2024-J</t>
        </is>
      </c>
      <c r="B1430" s="10" t="inlineStr">
        <is>
          <t>位置合わせ(MS学習値)／月内均等</t>
        </is>
      </c>
      <c r="C1430" s="10" t="inlineStr">
        <is>
          <t>2025-07</t>
        </is>
      </c>
      <c r="D1430" s="10" t="n">
        <v>19</v>
      </c>
      <c r="E1430" s="12" t="n">
        <v>15711.5</v>
      </c>
      <c r="F1430" s="12" t="n">
        <v>28601.2</v>
      </c>
      <c r="G1430" s="12" t="n">
        <v>-12889.7</v>
      </c>
      <c r="H1430" s="13" t="n">
        <v>0.6302</v>
      </c>
      <c r="I1430" s="13" t="n">
        <v>0.5628</v>
      </c>
    </row>
    <row r="1431">
      <c r="A1431" s="10" t="inlineStr">
        <is>
          <t>PJ-2024-J</t>
        </is>
      </c>
      <c r="B1431" s="10" t="inlineStr">
        <is>
          <t>位置合わせ(MS学習値)／月内均等</t>
        </is>
      </c>
      <c r="C1431" s="10" t="inlineStr">
        <is>
          <t>2025-08</t>
        </is>
      </c>
      <c r="D1431" s="10" t="n">
        <v>20</v>
      </c>
      <c r="E1431" s="12" t="n">
        <v>15998.8</v>
      </c>
      <c r="F1431" s="12" t="n">
        <v>25939.3</v>
      </c>
      <c r="G1431" s="12" t="n">
        <v>-9940.5</v>
      </c>
      <c r="H1431" s="13" t="n">
        <v>0.6764</v>
      </c>
      <c r="I1431" s="13" t="n">
        <v>0.6377</v>
      </c>
    </row>
    <row r="1432">
      <c r="A1432" s="10" t="inlineStr">
        <is>
          <t>PJ-2024-J</t>
        </is>
      </c>
      <c r="B1432" s="10" t="inlineStr">
        <is>
          <t>位置合わせ(MS学習値)／月内均等</t>
        </is>
      </c>
      <c r="C1432" s="10" t="inlineStr">
        <is>
          <t>2025-09</t>
        </is>
      </c>
      <c r="D1432" s="10" t="n">
        <v>21</v>
      </c>
      <c r="E1432" s="12" t="n">
        <v>16190</v>
      </c>
      <c r="F1432" s="12" t="n">
        <v>20944.7</v>
      </c>
      <c r="G1432" s="12" t="n">
        <v>-4754.7</v>
      </c>
      <c r="H1432" s="13" t="n">
        <v>0.7232</v>
      </c>
      <c r="I1432" s="13" t="n">
        <v>0.6983</v>
      </c>
    </row>
    <row r="1433">
      <c r="A1433" s="10" t="inlineStr">
        <is>
          <t>PJ-2024-J</t>
        </is>
      </c>
      <c r="B1433" s="10" t="inlineStr">
        <is>
          <t>位置合わせ(MS学習値)／月内均等</t>
        </is>
      </c>
      <c r="C1433" s="10" t="inlineStr">
        <is>
          <t>2025-10</t>
        </is>
      </c>
      <c r="D1433" s="10" t="n">
        <v>22</v>
      </c>
      <c r="E1433" s="12" t="n">
        <v>17191.8</v>
      </c>
      <c r="F1433" s="12" t="n">
        <v>14367.8</v>
      </c>
      <c r="G1433" s="12" t="n">
        <v>2824</v>
      </c>
      <c r="H1433" s="13" t="n">
        <v>0.7729</v>
      </c>
      <c r="I1433" s="13" t="n">
        <v>0.7398</v>
      </c>
    </row>
    <row r="1434">
      <c r="A1434" s="10" t="inlineStr">
        <is>
          <t>PJ-2024-J</t>
        </is>
      </c>
      <c r="B1434" s="10" t="inlineStr">
        <is>
          <t>位置合わせ(MS学習値)／月内均等</t>
        </is>
      </c>
      <c r="C1434" s="10" t="inlineStr">
        <is>
          <t>2025-11</t>
        </is>
      </c>
      <c r="D1434" s="10" t="n">
        <v>23</v>
      </c>
      <c r="E1434" s="12" t="n">
        <v>15703.7</v>
      </c>
      <c r="F1434" s="12" t="n">
        <v>16461.6</v>
      </c>
      <c r="G1434" s="12" t="n">
        <v>-757.9</v>
      </c>
      <c r="H1434" s="13" t="n">
        <v>0.8183</v>
      </c>
      <c r="I1434" s="13" t="n">
        <v>0.7874</v>
      </c>
    </row>
    <row r="1435">
      <c r="A1435" s="10" t="inlineStr">
        <is>
          <t>PJ-2024-J</t>
        </is>
      </c>
      <c r="B1435" s="10" t="inlineStr">
        <is>
          <t>位置合わせ(MS学習値)／月内均等</t>
        </is>
      </c>
      <c r="C1435" s="10" t="inlineStr">
        <is>
          <t>2025-12</t>
        </is>
      </c>
      <c r="D1435" s="10" t="n">
        <v>24</v>
      </c>
      <c r="E1435" s="12" t="n">
        <v>13846.6</v>
      </c>
      <c r="F1435" s="12" t="n">
        <v>17876.1</v>
      </c>
      <c r="G1435" s="12" t="n">
        <v>-4029.5</v>
      </c>
      <c r="H1435" s="13" t="n">
        <v>0.8583</v>
      </c>
      <c r="I1435" s="13" t="n">
        <v>0.839</v>
      </c>
    </row>
    <row r="1436">
      <c r="A1436" s="10" t="inlineStr">
        <is>
          <t>PJ-2024-J</t>
        </is>
      </c>
      <c r="B1436" s="10" t="inlineStr">
        <is>
          <t>位置合わせ(MS学習値)／月内均等</t>
        </is>
      </c>
      <c r="C1436" s="10" t="inlineStr">
        <is>
          <t>2026-01</t>
        </is>
      </c>
      <c r="D1436" s="10" t="n">
        <v>25</v>
      </c>
      <c r="E1436" s="12" t="n">
        <v>12023.7</v>
      </c>
      <c r="F1436" s="12" t="n">
        <v>14931.3</v>
      </c>
      <c r="G1436" s="12" t="n">
        <v>-2907.6</v>
      </c>
      <c r="H1436" s="13" t="n">
        <v>0.8931</v>
      </c>
      <c r="I1436" s="13" t="n">
        <v>0.8822</v>
      </c>
    </row>
    <row r="1437">
      <c r="A1437" s="10" t="inlineStr">
        <is>
          <t>PJ-2024-J</t>
        </is>
      </c>
      <c r="B1437" s="10" t="inlineStr">
        <is>
          <t>位置合わせ(MS学習値)／月内均等</t>
        </is>
      </c>
      <c r="C1437" s="10" t="inlineStr">
        <is>
          <t>2026-02</t>
        </is>
      </c>
      <c r="D1437" s="10" t="n">
        <v>26</v>
      </c>
      <c r="E1437" s="12" t="n">
        <v>9808.9</v>
      </c>
      <c r="F1437" s="12" t="n">
        <v>10014.8</v>
      </c>
      <c r="G1437" s="12" t="n">
        <v>-205.9</v>
      </c>
      <c r="H1437" s="13" t="n">
        <v>0.9214</v>
      </c>
      <c r="I1437" s="13" t="n">
        <v>0.9111</v>
      </c>
    </row>
    <row r="1438">
      <c r="A1438" s="10" t="inlineStr">
        <is>
          <t>PJ-2024-J</t>
        </is>
      </c>
      <c r="B1438" s="10" t="inlineStr">
        <is>
          <t>位置合わせ(MS学習値)／月内均等</t>
        </is>
      </c>
      <c r="C1438" s="10" t="inlineStr">
        <is>
          <t>2026-03</t>
        </is>
      </c>
      <c r="D1438" s="10" t="n">
        <v>27</v>
      </c>
      <c r="E1438" s="12" t="n">
        <v>9501.6</v>
      </c>
      <c r="F1438" s="12" t="n">
        <v>9594.1</v>
      </c>
      <c r="G1438" s="12" t="n">
        <v>-92.5</v>
      </c>
      <c r="H1438" s="13" t="n">
        <v>0.9489</v>
      </c>
      <c r="I1438" s="13" t="n">
        <v>0.9389</v>
      </c>
    </row>
    <row r="1439">
      <c r="A1439" s="10" t="inlineStr">
        <is>
          <t>PJ-2024-J</t>
        </is>
      </c>
      <c r="B1439" s="10" t="inlineStr">
        <is>
          <t>位置合わせ(MS学習値)／月内均等</t>
        </is>
      </c>
      <c r="C1439" s="10" t="inlineStr">
        <is>
          <t>2026-04</t>
        </is>
      </c>
      <c r="D1439" s="10" t="n">
        <v>28</v>
      </c>
      <c r="E1439" s="12" t="n">
        <v>8176</v>
      </c>
      <c r="F1439" s="12" t="n">
        <v>7976.6</v>
      </c>
      <c r="G1439" s="12" t="n">
        <v>199.4</v>
      </c>
      <c r="H1439" s="13" t="n">
        <v>0.9725</v>
      </c>
      <c r="I1439" s="13" t="n">
        <v>0.9619</v>
      </c>
    </row>
    <row r="1440">
      <c r="A1440" s="10" t="inlineStr">
        <is>
          <t>PJ-2024-J</t>
        </is>
      </c>
      <c r="B1440" s="10" t="inlineStr">
        <is>
          <t>位置合わせ(MS学習値)／月内均等</t>
        </is>
      </c>
      <c r="C1440" s="10" t="inlineStr">
        <is>
          <t>2026-05</t>
        </is>
      </c>
      <c r="D1440" s="10" t="n">
        <v>29</v>
      </c>
      <c r="E1440" s="12" t="n">
        <v>5859.3</v>
      </c>
      <c r="F1440" s="12" t="n">
        <v>10449.5</v>
      </c>
      <c r="G1440" s="12" t="n">
        <v>-4590.2</v>
      </c>
      <c r="H1440" s="13" t="n">
        <v>0.9893999999999999</v>
      </c>
      <c r="I1440" s="13" t="n">
        <v>0.9921</v>
      </c>
    </row>
    <row r="1441">
      <c r="A1441" s="10" t="inlineStr">
        <is>
          <t>PJ-2024-J</t>
        </is>
      </c>
      <c r="B1441" s="10" t="inlineStr">
        <is>
          <t>位置合わせ(MS学習値)／月内均等</t>
        </is>
      </c>
      <c r="C1441" s="10" t="inlineStr">
        <is>
          <t>2026-06</t>
        </is>
      </c>
      <c r="D1441" s="10" t="n">
        <v>30</v>
      </c>
      <c r="E1441" s="12" t="n">
        <v>3658.5</v>
      </c>
      <c r="F1441" s="12" t="n">
        <v>2732.1</v>
      </c>
      <c r="G1441" s="12" t="n">
        <v>926.4</v>
      </c>
      <c r="H1441" s="13" t="n">
        <v>1</v>
      </c>
      <c r="I1441" s="13" t="n">
        <v>1</v>
      </c>
    </row>
    <row r="1442">
      <c r="A1442" s="10" t="inlineStr">
        <is>
          <t>PJ-2024-J</t>
        </is>
      </c>
      <c r="B1442" s="10" t="inlineStr">
        <is>
          <t>位置合わせ(MS指定)／月内均等</t>
        </is>
      </c>
      <c r="C1442" s="10" t="inlineStr">
        <is>
          <t>2024-01</t>
        </is>
      </c>
      <c r="D1442" s="10" t="n">
        <v>1</v>
      </c>
      <c r="E1442" s="12" t="n">
        <v>4950.3</v>
      </c>
      <c r="F1442" s="12" t="n">
        <v>348</v>
      </c>
      <c r="G1442" s="12" t="n">
        <v>4602.3</v>
      </c>
      <c r="H1442" s="13" t="n">
        <v>0.0143</v>
      </c>
      <c r="I1442" s="13" t="n">
        <v>0.001</v>
      </c>
    </row>
    <row r="1443">
      <c r="A1443" s="10" t="inlineStr">
        <is>
          <t>PJ-2024-J</t>
        </is>
      </c>
      <c r="B1443" s="10" t="inlineStr">
        <is>
          <t>位置合わせ(MS指定)／月内均等</t>
        </is>
      </c>
      <c r="C1443" s="10" t="inlineStr">
        <is>
          <t>2024-02</t>
        </is>
      </c>
      <c r="D1443" s="10" t="n">
        <v>2</v>
      </c>
      <c r="E1443" s="12" t="n">
        <v>5466.9</v>
      </c>
      <c r="F1443" s="12" t="n">
        <v>930.5</v>
      </c>
      <c r="G1443" s="12" t="n">
        <v>4536.4</v>
      </c>
      <c r="H1443" s="13" t="n">
        <v>0.0301</v>
      </c>
      <c r="I1443" s="13" t="n">
        <v>0.0037</v>
      </c>
    </row>
    <row r="1444">
      <c r="A1444" s="10" t="inlineStr">
        <is>
          <t>PJ-2024-J</t>
        </is>
      </c>
      <c r="B1444" s="10" t="inlineStr">
        <is>
          <t>位置合わせ(MS指定)／月内均等</t>
        </is>
      </c>
      <c r="C1444" s="10" t="inlineStr">
        <is>
          <t>2024-03</t>
        </is>
      </c>
      <c r="D1444" s="10" t="n">
        <v>3</v>
      </c>
      <c r="E1444" s="12" t="n">
        <v>6757.4</v>
      </c>
      <c r="F1444" s="12" t="n">
        <v>1612.9</v>
      </c>
      <c r="G1444" s="12" t="n">
        <v>5144.5</v>
      </c>
      <c r="H1444" s="13" t="n">
        <v>0.0496</v>
      </c>
      <c r="I1444" s="13" t="n">
        <v>0.008399999999999999</v>
      </c>
    </row>
    <row r="1445">
      <c r="A1445" s="10" t="inlineStr">
        <is>
          <t>PJ-2024-J</t>
        </is>
      </c>
      <c r="B1445" s="10" t="inlineStr">
        <is>
          <t>位置合わせ(MS指定)／月内均等</t>
        </is>
      </c>
      <c r="C1445" s="10" t="inlineStr">
        <is>
          <t>2024-04</t>
        </is>
      </c>
      <c r="D1445" s="10" t="n">
        <v>4</v>
      </c>
      <c r="E1445" s="12" t="n">
        <v>7045</v>
      </c>
      <c r="F1445" s="12" t="n">
        <v>2251.7</v>
      </c>
      <c r="G1445" s="12" t="n">
        <v>4793.3</v>
      </c>
      <c r="H1445" s="13" t="n">
        <v>0.07000000000000001</v>
      </c>
      <c r="I1445" s="13" t="n">
        <v>0.0149</v>
      </c>
    </row>
    <row r="1446">
      <c r="A1446" s="10" t="inlineStr">
        <is>
          <t>PJ-2024-J</t>
        </is>
      </c>
      <c r="B1446" s="10" t="inlineStr">
        <is>
          <t>位置合わせ(MS指定)／月内均等</t>
        </is>
      </c>
      <c r="C1446" s="10" t="inlineStr">
        <is>
          <t>2024-05</t>
        </is>
      </c>
      <c r="D1446" s="10" t="n">
        <v>5</v>
      </c>
      <c r="E1446" s="12" t="n">
        <v>7879.6</v>
      </c>
      <c r="F1446" s="12" t="n">
        <v>2953</v>
      </c>
      <c r="G1446" s="12" t="n">
        <v>4926.6</v>
      </c>
      <c r="H1446" s="13" t="n">
        <v>0.09279999999999999</v>
      </c>
      <c r="I1446" s="13" t="n">
        <v>0.0234</v>
      </c>
    </row>
    <row r="1447">
      <c r="A1447" s="10" t="inlineStr">
        <is>
          <t>PJ-2024-J</t>
        </is>
      </c>
      <c r="B1447" s="10" t="inlineStr">
        <is>
          <t>位置合わせ(MS指定)／月内均等</t>
        </is>
      </c>
      <c r="C1447" s="10" t="inlineStr">
        <is>
          <t>2024-06</t>
        </is>
      </c>
      <c r="D1447" s="10" t="n">
        <v>6</v>
      </c>
      <c r="E1447" s="12" t="n">
        <v>7866.9</v>
      </c>
      <c r="F1447" s="12" t="n">
        <v>3308.8</v>
      </c>
      <c r="G1447" s="12" t="n">
        <v>4558.1</v>
      </c>
      <c r="H1447" s="13" t="n">
        <v>0.1155</v>
      </c>
      <c r="I1447" s="13" t="n">
        <v>0.033</v>
      </c>
    </row>
    <row r="1448">
      <c r="A1448" s="10" t="inlineStr">
        <is>
          <t>PJ-2024-J</t>
        </is>
      </c>
      <c r="B1448" s="10" t="inlineStr">
        <is>
          <t>位置合わせ(MS指定)／月内均等</t>
        </is>
      </c>
      <c r="C1448" s="10" t="inlineStr">
        <is>
          <t>2024-07</t>
        </is>
      </c>
      <c r="D1448" s="10" t="n">
        <v>7</v>
      </c>
      <c r="E1448" s="12" t="n">
        <v>8498.299999999999</v>
      </c>
      <c r="F1448" s="12" t="n">
        <v>4157.3</v>
      </c>
      <c r="G1448" s="12" t="n">
        <v>4341</v>
      </c>
      <c r="H1448" s="13" t="n">
        <v>0.1401</v>
      </c>
      <c r="I1448" s="13" t="n">
        <v>0.045</v>
      </c>
    </row>
    <row r="1449">
      <c r="A1449" s="10" t="inlineStr">
        <is>
          <t>PJ-2024-J</t>
        </is>
      </c>
      <c r="B1449" s="10" t="inlineStr">
        <is>
          <t>位置合わせ(MS指定)／月内均等</t>
        </is>
      </c>
      <c r="C1449" s="10" t="inlineStr">
        <is>
          <t>2024-08</t>
        </is>
      </c>
      <c r="D1449" s="10" t="n">
        <v>8</v>
      </c>
      <c r="E1449" s="12" t="n">
        <v>9295.4</v>
      </c>
      <c r="F1449" s="12" t="n">
        <v>5704.7</v>
      </c>
      <c r="G1449" s="12" t="n">
        <v>3590.7</v>
      </c>
      <c r="H1449" s="13" t="n">
        <v>0.1669</v>
      </c>
      <c r="I1449" s="13" t="n">
        <v>0.0615</v>
      </c>
    </row>
    <row r="1450">
      <c r="A1450" s="10" t="inlineStr">
        <is>
          <t>PJ-2024-J</t>
        </is>
      </c>
      <c r="B1450" s="10" t="inlineStr">
        <is>
          <t>位置合わせ(MS指定)／月内均等</t>
        </is>
      </c>
      <c r="C1450" s="10" t="inlineStr">
        <is>
          <t>2024-09</t>
        </is>
      </c>
      <c r="D1450" s="10" t="n">
        <v>9</v>
      </c>
      <c r="E1450" s="12" t="n">
        <v>9563.799999999999</v>
      </c>
      <c r="F1450" s="12" t="n">
        <v>6443.3</v>
      </c>
      <c r="G1450" s="12" t="n">
        <v>3120.5</v>
      </c>
      <c r="H1450" s="13" t="n">
        <v>0.1946</v>
      </c>
      <c r="I1450" s="13" t="n">
        <v>0.0801</v>
      </c>
    </row>
    <row r="1451">
      <c r="A1451" s="10" t="inlineStr">
        <is>
          <t>PJ-2024-J</t>
        </is>
      </c>
      <c r="B1451" s="10" t="inlineStr">
        <is>
          <t>位置合わせ(MS指定)／月内均等</t>
        </is>
      </c>
      <c r="C1451" s="10" t="inlineStr">
        <is>
          <t>2024-10</t>
        </is>
      </c>
      <c r="D1451" s="10" t="n">
        <v>10</v>
      </c>
      <c r="E1451" s="12" t="n">
        <v>10995.9</v>
      </c>
      <c r="F1451" s="12" t="n">
        <v>7892.9</v>
      </c>
      <c r="G1451" s="12" t="n">
        <v>3103</v>
      </c>
      <c r="H1451" s="13" t="n">
        <v>0.2263</v>
      </c>
      <c r="I1451" s="13" t="n">
        <v>0.1029</v>
      </c>
    </row>
    <row r="1452">
      <c r="A1452" s="10" t="inlineStr">
        <is>
          <t>PJ-2024-J</t>
        </is>
      </c>
      <c r="B1452" s="10" t="inlineStr">
        <is>
          <t>位置合わせ(MS指定)／月内均等</t>
        </is>
      </c>
      <c r="C1452" s="10" t="inlineStr">
        <is>
          <t>2024-11</t>
        </is>
      </c>
      <c r="D1452" s="10" t="n">
        <v>11</v>
      </c>
      <c r="E1452" s="12" t="n">
        <v>12184.2</v>
      </c>
      <c r="F1452" s="12" t="n">
        <v>9044.6</v>
      </c>
      <c r="G1452" s="12" t="n">
        <v>3139.6</v>
      </c>
      <c r="H1452" s="13" t="n">
        <v>0.2616</v>
      </c>
      <c r="I1452" s="13" t="n">
        <v>0.129</v>
      </c>
    </row>
    <row r="1453">
      <c r="A1453" s="10" t="inlineStr">
        <is>
          <t>PJ-2024-J</t>
        </is>
      </c>
      <c r="B1453" s="10" t="inlineStr">
        <is>
          <t>位置合わせ(MS指定)／月内均等</t>
        </is>
      </c>
      <c r="C1453" s="10" t="inlineStr">
        <is>
          <t>2024-12</t>
        </is>
      </c>
      <c r="D1453" s="10" t="n">
        <v>12</v>
      </c>
      <c r="E1453" s="12" t="n">
        <v>13225.2</v>
      </c>
      <c r="F1453" s="12" t="n">
        <v>9905.1</v>
      </c>
      <c r="G1453" s="12" t="n">
        <v>3320.1</v>
      </c>
      <c r="H1453" s="13" t="n">
        <v>0.2998</v>
      </c>
      <c r="I1453" s="13" t="n">
        <v>0.1577</v>
      </c>
    </row>
    <row r="1454">
      <c r="A1454" s="10" t="inlineStr">
        <is>
          <t>PJ-2024-J</t>
        </is>
      </c>
      <c r="B1454" s="10" t="inlineStr">
        <is>
          <t>位置合わせ(MS指定)／月内均等</t>
        </is>
      </c>
      <c r="C1454" s="10" t="inlineStr">
        <is>
          <t>2025-01</t>
        </is>
      </c>
      <c r="D1454" s="10" t="n">
        <v>13</v>
      </c>
      <c r="E1454" s="12" t="n">
        <v>14309.5</v>
      </c>
      <c r="F1454" s="12" t="n">
        <v>10668.8</v>
      </c>
      <c r="G1454" s="12" t="n">
        <v>3640.7</v>
      </c>
      <c r="H1454" s="13" t="n">
        <v>0.3411</v>
      </c>
      <c r="I1454" s="13" t="n">
        <v>0.1885</v>
      </c>
    </row>
    <row r="1455">
      <c r="A1455" s="10" t="inlineStr">
        <is>
          <t>PJ-2024-J</t>
        </is>
      </c>
      <c r="B1455" s="10" t="inlineStr">
        <is>
          <t>位置合わせ(MS指定)／月内均等</t>
        </is>
      </c>
      <c r="C1455" s="10" t="inlineStr">
        <is>
          <t>2025-02</t>
        </is>
      </c>
      <c r="D1455" s="10" t="n">
        <v>14</v>
      </c>
      <c r="E1455" s="12" t="n">
        <v>13697.9</v>
      </c>
      <c r="F1455" s="12" t="n">
        <v>10918.3</v>
      </c>
      <c r="G1455" s="12" t="n">
        <v>2779.6</v>
      </c>
      <c r="H1455" s="13" t="n">
        <v>0.3807</v>
      </c>
      <c r="I1455" s="13" t="n">
        <v>0.22</v>
      </c>
    </row>
    <row r="1456">
      <c r="A1456" s="10" t="inlineStr">
        <is>
          <t>PJ-2024-J</t>
        </is>
      </c>
      <c r="B1456" s="10" t="inlineStr">
        <is>
          <t>位置合わせ(MS指定)／月内均等</t>
        </is>
      </c>
      <c r="C1456" s="10" t="inlineStr">
        <is>
          <t>2025-03</t>
        </is>
      </c>
      <c r="D1456" s="10" t="n">
        <v>15</v>
      </c>
      <c r="E1456" s="12" t="n">
        <v>16273.5</v>
      </c>
      <c r="F1456" s="12" t="n">
        <v>13702.5</v>
      </c>
      <c r="G1456" s="12" t="n">
        <v>2571</v>
      </c>
      <c r="H1456" s="13" t="n">
        <v>0.4278</v>
      </c>
      <c r="I1456" s="13" t="n">
        <v>0.2596</v>
      </c>
    </row>
    <row r="1457">
      <c r="A1457" s="10" t="inlineStr">
        <is>
          <t>PJ-2024-J</t>
        </is>
      </c>
      <c r="B1457" s="10" t="inlineStr">
        <is>
          <t>位置合わせ(MS指定)／月内均等</t>
        </is>
      </c>
      <c r="C1457" s="10" t="inlineStr">
        <is>
          <t>2025-04</t>
        </is>
      </c>
      <c r="D1457" s="10" t="n">
        <v>16</v>
      </c>
      <c r="E1457" s="12" t="n">
        <v>21384.9</v>
      </c>
      <c r="F1457" s="12" t="n">
        <v>18909.3</v>
      </c>
      <c r="G1457" s="12" t="n">
        <v>2475.6</v>
      </c>
      <c r="H1457" s="13" t="n">
        <v>0.4896</v>
      </c>
      <c r="I1457" s="13" t="n">
        <v>0.3143</v>
      </c>
    </row>
    <row r="1458">
      <c r="A1458" s="10" t="inlineStr">
        <is>
          <t>PJ-2024-J</t>
        </is>
      </c>
      <c r="B1458" s="10" t="inlineStr">
        <is>
          <t>位置合わせ(MS指定)／月内均等</t>
        </is>
      </c>
      <c r="C1458" s="10" t="inlineStr">
        <is>
          <t>2025-05</t>
        </is>
      </c>
      <c r="D1458" s="10" t="n">
        <v>17</v>
      </c>
      <c r="E1458" s="12" t="n">
        <v>21789.3</v>
      </c>
      <c r="F1458" s="12" t="n">
        <v>26126.9</v>
      </c>
      <c r="G1458" s="12" t="n">
        <v>-4337.6</v>
      </c>
      <c r="H1458" s="13" t="n">
        <v>0.5525</v>
      </c>
      <c r="I1458" s="13" t="n">
        <v>0.3898</v>
      </c>
    </row>
    <row r="1459">
      <c r="A1459" s="10" t="inlineStr">
        <is>
          <t>PJ-2024-J</t>
        </is>
      </c>
      <c r="B1459" s="10" t="inlineStr">
        <is>
          <t>位置合わせ(MS指定)／月内均等</t>
        </is>
      </c>
      <c r="C1459" s="10" t="inlineStr">
        <is>
          <t>2025-06</t>
        </is>
      </c>
      <c r="D1459" s="10" t="n">
        <v>18</v>
      </c>
      <c r="E1459" s="12" t="n">
        <v>20445.5</v>
      </c>
      <c r="F1459" s="12" t="n">
        <v>31246.9</v>
      </c>
      <c r="G1459" s="12" t="n">
        <v>-10801.4</v>
      </c>
      <c r="H1459" s="13" t="n">
        <v>0.6116</v>
      </c>
      <c r="I1459" s="13" t="n">
        <v>0.4801</v>
      </c>
    </row>
    <row r="1460">
      <c r="A1460" s="10" t="inlineStr">
        <is>
          <t>PJ-2024-J</t>
        </is>
      </c>
      <c r="B1460" s="10" t="inlineStr">
        <is>
          <t>位置合わせ(MS指定)／月内均等</t>
        </is>
      </c>
      <c r="C1460" s="10" t="inlineStr">
        <is>
          <t>2025-07</t>
        </is>
      </c>
      <c r="D1460" s="10" t="n">
        <v>19</v>
      </c>
      <c r="E1460" s="12" t="n">
        <v>21468.3</v>
      </c>
      <c r="F1460" s="12" t="n">
        <v>28601.2</v>
      </c>
      <c r="G1460" s="12" t="n">
        <v>-7132.9</v>
      </c>
      <c r="H1460" s="13" t="n">
        <v>0.6737</v>
      </c>
      <c r="I1460" s="13" t="n">
        <v>0.5628</v>
      </c>
    </row>
    <row r="1461">
      <c r="A1461" s="10" t="inlineStr">
        <is>
          <t>PJ-2024-J</t>
        </is>
      </c>
      <c r="B1461" s="10" t="inlineStr">
        <is>
          <t>位置合わせ(MS指定)／月内均等</t>
        </is>
      </c>
      <c r="C1461" s="10" t="inlineStr">
        <is>
          <t>2025-08</t>
        </is>
      </c>
      <c r="D1461" s="10" t="n">
        <v>20</v>
      </c>
      <c r="E1461" s="12" t="n">
        <v>22705.5</v>
      </c>
      <c r="F1461" s="12" t="n">
        <v>25939.3</v>
      </c>
      <c r="G1461" s="12" t="n">
        <v>-3233.8</v>
      </c>
      <c r="H1461" s="13" t="n">
        <v>0.7393</v>
      </c>
      <c r="I1461" s="13" t="n">
        <v>0.6377</v>
      </c>
    </row>
    <row r="1462">
      <c r="A1462" s="10" t="inlineStr">
        <is>
          <t>PJ-2024-J</t>
        </is>
      </c>
      <c r="B1462" s="10" t="inlineStr">
        <is>
          <t>位置合わせ(MS指定)／月内均等</t>
        </is>
      </c>
      <c r="C1462" s="10" t="inlineStr">
        <is>
          <t>2025-09</t>
        </is>
      </c>
      <c r="D1462" s="10" t="n">
        <v>21</v>
      </c>
      <c r="E1462" s="12" t="n">
        <v>19618.2</v>
      </c>
      <c r="F1462" s="12" t="n">
        <v>20944.7</v>
      </c>
      <c r="G1462" s="12" t="n">
        <v>-1326.5</v>
      </c>
      <c r="H1462" s="13" t="n">
        <v>0.796</v>
      </c>
      <c r="I1462" s="13" t="n">
        <v>0.6983</v>
      </c>
    </row>
    <row r="1463">
      <c r="A1463" s="10" t="inlineStr">
        <is>
          <t>PJ-2024-J</t>
        </is>
      </c>
      <c r="B1463" s="10" t="inlineStr">
        <is>
          <t>位置合わせ(MS指定)／月内均等</t>
        </is>
      </c>
      <c r="C1463" s="10" t="inlineStr">
        <is>
          <t>2025-10</t>
        </is>
      </c>
      <c r="D1463" s="10" t="n">
        <v>22</v>
      </c>
      <c r="E1463" s="12" t="n">
        <v>11052.9</v>
      </c>
      <c r="F1463" s="12" t="n">
        <v>14367.8</v>
      </c>
      <c r="G1463" s="12" t="n">
        <v>-3314.9</v>
      </c>
      <c r="H1463" s="13" t="n">
        <v>0.8279</v>
      </c>
      <c r="I1463" s="13" t="n">
        <v>0.7398</v>
      </c>
    </row>
    <row r="1464">
      <c r="A1464" s="10" t="inlineStr">
        <is>
          <t>PJ-2024-J</t>
        </is>
      </c>
      <c r="B1464" s="10" t="inlineStr">
        <is>
          <t>位置合わせ(MS指定)／月内均等</t>
        </is>
      </c>
      <c r="C1464" s="10" t="inlineStr">
        <is>
          <t>2025-11</t>
        </is>
      </c>
      <c r="D1464" s="10" t="n">
        <v>23</v>
      </c>
      <c r="E1464" s="12" t="n">
        <v>9852.5</v>
      </c>
      <c r="F1464" s="12" t="n">
        <v>16461.6</v>
      </c>
      <c r="G1464" s="12" t="n">
        <v>-6609.1</v>
      </c>
      <c r="H1464" s="13" t="n">
        <v>0.8564000000000001</v>
      </c>
      <c r="I1464" s="13" t="n">
        <v>0.7874</v>
      </c>
    </row>
    <row r="1465">
      <c r="A1465" s="10" t="inlineStr">
        <is>
          <t>PJ-2024-J</t>
        </is>
      </c>
      <c r="B1465" s="10" t="inlineStr">
        <is>
          <t>位置合わせ(MS指定)／月内均等</t>
        </is>
      </c>
      <c r="C1465" s="10" t="inlineStr">
        <is>
          <t>2025-12</t>
        </is>
      </c>
      <c r="D1465" s="10" t="n">
        <v>24</v>
      </c>
      <c r="E1465" s="12" t="n">
        <v>9095.4</v>
      </c>
      <c r="F1465" s="12" t="n">
        <v>17876.1</v>
      </c>
      <c r="G1465" s="12" t="n">
        <v>-8780.700000000001</v>
      </c>
      <c r="H1465" s="13" t="n">
        <v>0.8827</v>
      </c>
      <c r="I1465" s="13" t="n">
        <v>0.839</v>
      </c>
    </row>
    <row r="1466">
      <c r="A1466" s="10" t="inlineStr">
        <is>
          <t>PJ-2024-J</t>
        </is>
      </c>
      <c r="B1466" s="10" t="inlineStr">
        <is>
          <t>位置合わせ(MS指定)／月内均等</t>
        </is>
      </c>
      <c r="C1466" s="10" t="inlineStr">
        <is>
          <t>2026-01</t>
        </is>
      </c>
      <c r="D1466" s="10" t="n">
        <v>25</v>
      </c>
      <c r="E1466" s="12" t="n">
        <v>8521.9</v>
      </c>
      <c r="F1466" s="12" t="n">
        <v>14931.3</v>
      </c>
      <c r="G1466" s="12" t="n">
        <v>-6409.4</v>
      </c>
      <c r="H1466" s="13" t="n">
        <v>0.9073</v>
      </c>
      <c r="I1466" s="13" t="n">
        <v>0.8822</v>
      </c>
    </row>
    <row r="1467">
      <c r="A1467" s="10" t="inlineStr">
        <is>
          <t>PJ-2024-J</t>
        </is>
      </c>
      <c r="B1467" s="10" t="inlineStr">
        <is>
          <t>位置合わせ(MS指定)／月内均等</t>
        </is>
      </c>
      <c r="C1467" s="10" t="inlineStr">
        <is>
          <t>2026-02</t>
        </is>
      </c>
      <c r="D1467" s="10" t="n">
        <v>26</v>
      </c>
      <c r="E1467" s="12" t="n">
        <v>6796.6</v>
      </c>
      <c r="F1467" s="12" t="n">
        <v>10014.8</v>
      </c>
      <c r="G1467" s="12" t="n">
        <v>-3218.2</v>
      </c>
      <c r="H1467" s="13" t="n">
        <v>0.927</v>
      </c>
      <c r="I1467" s="13" t="n">
        <v>0.9111</v>
      </c>
    </row>
    <row r="1468">
      <c r="A1468" s="10" t="inlineStr">
        <is>
          <t>PJ-2024-J</t>
        </is>
      </c>
      <c r="B1468" s="10" t="inlineStr">
        <is>
          <t>位置合わせ(MS指定)／月内均等</t>
        </is>
      </c>
      <c r="C1468" s="10" t="inlineStr">
        <is>
          <t>2026-03</t>
        </is>
      </c>
      <c r="D1468" s="10" t="n">
        <v>27</v>
      </c>
      <c r="E1468" s="12" t="n">
        <v>7047.4</v>
      </c>
      <c r="F1468" s="12" t="n">
        <v>9594.1</v>
      </c>
      <c r="G1468" s="12" t="n">
        <v>-2546.7</v>
      </c>
      <c r="H1468" s="13" t="n">
        <v>0.9473</v>
      </c>
      <c r="I1468" s="13" t="n">
        <v>0.9389</v>
      </c>
    </row>
    <row r="1469">
      <c r="A1469" s="10" t="inlineStr">
        <is>
          <t>PJ-2024-J</t>
        </is>
      </c>
      <c r="B1469" s="10" t="inlineStr">
        <is>
          <t>位置合わせ(MS指定)／月内均等</t>
        </is>
      </c>
      <c r="C1469" s="10" t="inlineStr">
        <is>
          <t>2026-04</t>
        </is>
      </c>
      <c r="D1469" s="10" t="n">
        <v>28</v>
      </c>
      <c r="E1469" s="12" t="n">
        <v>6805.8</v>
      </c>
      <c r="F1469" s="12" t="n">
        <v>7976.6</v>
      </c>
      <c r="G1469" s="12" t="n">
        <v>-1170.8</v>
      </c>
      <c r="H1469" s="13" t="n">
        <v>0.967</v>
      </c>
      <c r="I1469" s="13" t="n">
        <v>0.9619</v>
      </c>
    </row>
    <row r="1470">
      <c r="A1470" s="10" t="inlineStr">
        <is>
          <t>PJ-2024-J</t>
        </is>
      </c>
      <c r="B1470" s="10" t="inlineStr">
        <is>
          <t>位置合わせ(MS指定)／月内均等</t>
        </is>
      </c>
      <c r="C1470" s="10" t="inlineStr">
        <is>
          <t>2026-05</t>
        </is>
      </c>
      <c r="D1470" s="10" t="n">
        <v>29</v>
      </c>
      <c r="E1470" s="12" t="n">
        <v>7191.3</v>
      </c>
      <c r="F1470" s="12" t="n">
        <v>10449.5</v>
      </c>
      <c r="G1470" s="12" t="n">
        <v>-3258.2</v>
      </c>
      <c r="H1470" s="13" t="n">
        <v>0.9878</v>
      </c>
      <c r="I1470" s="13" t="n">
        <v>0.9921</v>
      </c>
    </row>
    <row r="1471">
      <c r="A1471" s="10" t="inlineStr">
        <is>
          <t>PJ-2024-J</t>
        </is>
      </c>
      <c r="B1471" s="10" t="inlineStr">
        <is>
          <t>位置合わせ(MS指定)／月内均等</t>
        </is>
      </c>
      <c r="C1471" s="10" t="inlineStr">
        <is>
          <t>2026-06</t>
        </is>
      </c>
      <c r="D1471" s="10" t="n">
        <v>30</v>
      </c>
      <c r="E1471" s="12" t="n">
        <v>4229.5</v>
      </c>
      <c r="F1471" s="12" t="n">
        <v>2732.1</v>
      </c>
      <c r="G1471" s="12" t="n">
        <v>1497.4</v>
      </c>
      <c r="H1471" s="13" t="n">
        <v>1</v>
      </c>
      <c r="I1471" s="13" t="n">
        <v>1</v>
      </c>
    </row>
    <row r="1472">
      <c r="A1472" s="10" t="inlineStr">
        <is>
          <t>PJ-2024-J</t>
        </is>
      </c>
      <c r="B1472" s="10" t="inlineStr">
        <is>
          <t>素朴版／単調補間</t>
        </is>
      </c>
      <c r="C1472" s="10" t="inlineStr">
        <is>
          <t>2024-01</t>
        </is>
      </c>
      <c r="D1472" s="10" t="n">
        <v>1</v>
      </c>
      <c r="E1472" s="12" t="n">
        <v>4899.1</v>
      </c>
      <c r="F1472" s="12" t="n">
        <v>348</v>
      </c>
      <c r="G1472" s="12" t="n">
        <v>4551.1</v>
      </c>
      <c r="H1472" s="13" t="n">
        <v>0.0142</v>
      </c>
      <c r="I1472" s="13" t="n">
        <v>0.001</v>
      </c>
    </row>
    <row r="1473">
      <c r="A1473" s="10" t="inlineStr">
        <is>
          <t>PJ-2024-J</t>
        </is>
      </c>
      <c r="B1473" s="10" t="inlineStr">
        <is>
          <t>素朴版／単調補間</t>
        </is>
      </c>
      <c r="C1473" s="10" t="inlineStr">
        <is>
          <t>2024-02</t>
        </is>
      </c>
      <c r="D1473" s="10" t="n">
        <v>2</v>
      </c>
      <c r="E1473" s="12" t="n">
        <v>5690.2</v>
      </c>
      <c r="F1473" s="12" t="n">
        <v>930.5</v>
      </c>
      <c r="G1473" s="12" t="n">
        <v>4759.7</v>
      </c>
      <c r="H1473" s="13" t="n">
        <v>0.0306</v>
      </c>
      <c r="I1473" s="13" t="n">
        <v>0.0037</v>
      </c>
    </row>
    <row r="1474">
      <c r="A1474" s="10" t="inlineStr">
        <is>
          <t>PJ-2024-J</t>
        </is>
      </c>
      <c r="B1474" s="10" t="inlineStr">
        <is>
          <t>素朴版／単調補間</t>
        </is>
      </c>
      <c r="C1474" s="10" t="inlineStr">
        <is>
          <t>2024-03</t>
        </is>
      </c>
      <c r="D1474" s="10" t="n">
        <v>3</v>
      </c>
      <c r="E1474" s="12" t="n">
        <v>7032.6</v>
      </c>
      <c r="F1474" s="12" t="n">
        <v>1612.9</v>
      </c>
      <c r="G1474" s="12" t="n">
        <v>5419.7</v>
      </c>
      <c r="H1474" s="13" t="n">
        <v>0.0509</v>
      </c>
      <c r="I1474" s="13" t="n">
        <v>0.008399999999999999</v>
      </c>
    </row>
    <row r="1475">
      <c r="A1475" s="10" t="inlineStr">
        <is>
          <t>PJ-2024-J</t>
        </is>
      </c>
      <c r="B1475" s="10" t="inlineStr">
        <is>
          <t>素朴版／単調補間</t>
        </is>
      </c>
      <c r="C1475" s="10" t="inlineStr">
        <is>
          <t>2024-04</t>
        </is>
      </c>
      <c r="D1475" s="10" t="n">
        <v>4</v>
      </c>
      <c r="E1475" s="12" t="n">
        <v>7345</v>
      </c>
      <c r="F1475" s="12" t="n">
        <v>2251.7</v>
      </c>
      <c r="G1475" s="12" t="n">
        <v>5093.3</v>
      </c>
      <c r="H1475" s="13" t="n">
        <v>0.0722</v>
      </c>
      <c r="I1475" s="13" t="n">
        <v>0.0149</v>
      </c>
    </row>
    <row r="1476">
      <c r="A1476" s="10" t="inlineStr">
        <is>
          <t>PJ-2024-J</t>
        </is>
      </c>
      <c r="B1476" s="10" t="inlineStr">
        <is>
          <t>素朴版／単調補間</t>
        </is>
      </c>
      <c r="C1476" s="10" t="inlineStr">
        <is>
          <t>2024-05</t>
        </is>
      </c>
      <c r="D1476" s="10" t="n">
        <v>5</v>
      </c>
      <c r="E1476" s="12" t="n">
        <v>8322.799999999999</v>
      </c>
      <c r="F1476" s="12" t="n">
        <v>2953</v>
      </c>
      <c r="G1476" s="12" t="n">
        <v>5369.8</v>
      </c>
      <c r="H1476" s="13" t="n">
        <v>0.09619999999999999</v>
      </c>
      <c r="I1476" s="13" t="n">
        <v>0.0234</v>
      </c>
    </row>
    <row r="1477">
      <c r="A1477" s="10" t="inlineStr">
        <is>
          <t>PJ-2024-J</t>
        </is>
      </c>
      <c r="B1477" s="10" t="inlineStr">
        <is>
          <t>素朴版／単調補間</t>
        </is>
      </c>
      <c r="C1477" s="10" t="inlineStr">
        <is>
          <t>2024-06</t>
        </is>
      </c>
      <c r="D1477" s="10" t="n">
        <v>6</v>
      </c>
      <c r="E1477" s="12" t="n">
        <v>8226.6</v>
      </c>
      <c r="F1477" s="12" t="n">
        <v>3308.8</v>
      </c>
      <c r="G1477" s="12" t="n">
        <v>4917.8</v>
      </c>
      <c r="H1477" s="13" t="n">
        <v>0.12</v>
      </c>
      <c r="I1477" s="13" t="n">
        <v>0.033</v>
      </c>
    </row>
    <row r="1478">
      <c r="A1478" s="10" t="inlineStr">
        <is>
          <t>PJ-2024-J</t>
        </is>
      </c>
      <c r="B1478" s="10" t="inlineStr">
        <is>
          <t>素朴版／単調補間</t>
        </is>
      </c>
      <c r="C1478" s="10" t="inlineStr">
        <is>
          <t>2024-07</t>
        </is>
      </c>
      <c r="D1478" s="10" t="n">
        <v>7</v>
      </c>
      <c r="E1478" s="12" t="n">
        <v>9000.200000000001</v>
      </c>
      <c r="F1478" s="12" t="n">
        <v>4157.3</v>
      </c>
      <c r="G1478" s="12" t="n">
        <v>4842.9</v>
      </c>
      <c r="H1478" s="13" t="n">
        <v>0.146</v>
      </c>
      <c r="I1478" s="13" t="n">
        <v>0.045</v>
      </c>
    </row>
    <row r="1479">
      <c r="A1479" s="10" t="inlineStr">
        <is>
          <t>PJ-2024-J</t>
        </is>
      </c>
      <c r="B1479" s="10" t="inlineStr">
        <is>
          <t>素朴版／単調補間</t>
        </is>
      </c>
      <c r="C1479" s="10" t="inlineStr">
        <is>
          <t>2024-08</t>
        </is>
      </c>
      <c r="D1479" s="10" t="n">
        <v>8</v>
      </c>
      <c r="E1479" s="12" t="n">
        <v>9913.200000000001</v>
      </c>
      <c r="F1479" s="12" t="n">
        <v>5704.7</v>
      </c>
      <c r="G1479" s="12" t="n">
        <v>4208.5</v>
      </c>
      <c r="H1479" s="13" t="n">
        <v>0.1746</v>
      </c>
      <c r="I1479" s="13" t="n">
        <v>0.0615</v>
      </c>
    </row>
    <row r="1480">
      <c r="A1480" s="10" t="inlineStr">
        <is>
          <t>PJ-2024-J</t>
        </is>
      </c>
      <c r="B1480" s="10" t="inlineStr">
        <is>
          <t>素朴版／単調補間</t>
        </is>
      </c>
      <c r="C1480" s="10" t="inlineStr">
        <is>
          <t>2024-09</t>
        </is>
      </c>
      <c r="D1480" s="10" t="n">
        <v>9</v>
      </c>
      <c r="E1480" s="12" t="n">
        <v>11304.8</v>
      </c>
      <c r="F1480" s="12" t="n">
        <v>6443.3</v>
      </c>
      <c r="G1480" s="12" t="n">
        <v>4861.5</v>
      </c>
      <c r="H1480" s="13" t="n">
        <v>0.2073</v>
      </c>
      <c r="I1480" s="13" t="n">
        <v>0.0801</v>
      </c>
    </row>
    <row r="1481">
      <c r="A1481" s="10" t="inlineStr">
        <is>
          <t>PJ-2024-J</t>
        </is>
      </c>
      <c r="B1481" s="10" t="inlineStr">
        <is>
          <t>素朴版／単調補間</t>
        </is>
      </c>
      <c r="C1481" s="10" t="inlineStr">
        <is>
          <t>2024-10</t>
        </is>
      </c>
      <c r="D1481" s="10" t="n">
        <v>10</v>
      </c>
      <c r="E1481" s="12" t="n">
        <v>12963.8</v>
      </c>
      <c r="F1481" s="12" t="n">
        <v>7892.9</v>
      </c>
      <c r="G1481" s="12" t="n">
        <v>5070.9</v>
      </c>
      <c r="H1481" s="13" t="n">
        <v>0.2448</v>
      </c>
      <c r="I1481" s="13" t="n">
        <v>0.1029</v>
      </c>
    </row>
    <row r="1482">
      <c r="A1482" s="10" t="inlineStr">
        <is>
          <t>PJ-2024-J</t>
        </is>
      </c>
      <c r="B1482" s="10" t="inlineStr">
        <is>
          <t>素朴版／単調補間</t>
        </is>
      </c>
      <c r="C1482" s="10" t="inlineStr">
        <is>
          <t>2024-11</t>
        </is>
      </c>
      <c r="D1482" s="10" t="n">
        <v>11</v>
      </c>
      <c r="E1482" s="12" t="n">
        <v>13499.6</v>
      </c>
      <c r="F1482" s="12" t="n">
        <v>9044.6</v>
      </c>
      <c r="G1482" s="12" t="n">
        <v>4455</v>
      </c>
      <c r="H1482" s="13" t="n">
        <v>0.2838</v>
      </c>
      <c r="I1482" s="13" t="n">
        <v>0.129</v>
      </c>
    </row>
    <row r="1483">
      <c r="A1483" s="10" t="inlineStr">
        <is>
          <t>PJ-2024-J</t>
        </is>
      </c>
      <c r="B1483" s="10" t="inlineStr">
        <is>
          <t>素朴版／単調補間</t>
        </is>
      </c>
      <c r="C1483" s="10" t="inlineStr">
        <is>
          <t>2024-12</t>
        </is>
      </c>
      <c r="D1483" s="10" t="n">
        <v>12</v>
      </c>
      <c r="E1483" s="12" t="n">
        <v>15387.3</v>
      </c>
      <c r="F1483" s="12" t="n">
        <v>9905.1</v>
      </c>
      <c r="G1483" s="12" t="n">
        <v>5482.2</v>
      </c>
      <c r="H1483" s="13" t="n">
        <v>0.3283</v>
      </c>
      <c r="I1483" s="13" t="n">
        <v>0.1577</v>
      </c>
    </row>
    <row r="1484">
      <c r="A1484" s="10" t="inlineStr">
        <is>
          <t>PJ-2024-J</t>
        </is>
      </c>
      <c r="B1484" s="10" t="inlineStr">
        <is>
          <t>素朴版／単調補間</t>
        </is>
      </c>
      <c r="C1484" s="10" t="inlineStr">
        <is>
          <t>2025-01</t>
        </is>
      </c>
      <c r="D1484" s="10" t="n">
        <v>13</v>
      </c>
      <c r="E1484" s="12" t="n">
        <v>15484.8</v>
      </c>
      <c r="F1484" s="12" t="n">
        <v>10668.8</v>
      </c>
      <c r="G1484" s="12" t="n">
        <v>4816</v>
      </c>
      <c r="H1484" s="13" t="n">
        <v>0.373</v>
      </c>
      <c r="I1484" s="13" t="n">
        <v>0.1885</v>
      </c>
    </row>
    <row r="1485">
      <c r="A1485" s="10" t="inlineStr">
        <is>
          <t>PJ-2024-J</t>
        </is>
      </c>
      <c r="B1485" s="10" t="inlineStr">
        <is>
          <t>素朴版／単調補間</t>
        </is>
      </c>
      <c r="C1485" s="10" t="inlineStr">
        <is>
          <t>2025-02</t>
        </is>
      </c>
      <c r="D1485" s="10" t="n">
        <v>14</v>
      </c>
      <c r="E1485" s="12" t="n">
        <v>12803</v>
      </c>
      <c r="F1485" s="12" t="n">
        <v>10918.3</v>
      </c>
      <c r="G1485" s="12" t="n">
        <v>1884.7</v>
      </c>
      <c r="H1485" s="13" t="n">
        <v>0.41</v>
      </c>
      <c r="I1485" s="13" t="n">
        <v>0.22</v>
      </c>
    </row>
    <row r="1486">
      <c r="A1486" s="10" t="inlineStr">
        <is>
          <t>PJ-2024-J</t>
        </is>
      </c>
      <c r="B1486" s="10" t="inlineStr">
        <is>
          <t>素朴版／単調補間</t>
        </is>
      </c>
      <c r="C1486" s="10" t="inlineStr">
        <is>
          <t>2025-03</t>
        </is>
      </c>
      <c r="D1486" s="10" t="n">
        <v>15</v>
      </c>
      <c r="E1486" s="12" t="n">
        <v>13803.8</v>
      </c>
      <c r="F1486" s="12" t="n">
        <v>13702.5</v>
      </c>
      <c r="G1486" s="12" t="n">
        <v>101.3</v>
      </c>
      <c r="H1486" s="13" t="n">
        <v>0.4499</v>
      </c>
      <c r="I1486" s="13" t="n">
        <v>0.2596</v>
      </c>
    </row>
    <row r="1487">
      <c r="A1487" s="10" t="inlineStr">
        <is>
          <t>PJ-2024-J</t>
        </is>
      </c>
      <c r="B1487" s="10" t="inlineStr">
        <is>
          <t>素朴版／単調補間</t>
        </is>
      </c>
      <c r="C1487" s="10" t="inlineStr">
        <is>
          <t>2025-04</t>
        </is>
      </c>
      <c r="D1487" s="10" t="n">
        <v>16</v>
      </c>
      <c r="E1487" s="12" t="n">
        <v>14796.2</v>
      </c>
      <c r="F1487" s="12" t="n">
        <v>18909.3</v>
      </c>
      <c r="G1487" s="12" t="n">
        <v>-4113.1</v>
      </c>
      <c r="H1487" s="13" t="n">
        <v>0.4927</v>
      </c>
      <c r="I1487" s="13" t="n">
        <v>0.3143</v>
      </c>
    </row>
    <row r="1488">
      <c r="A1488" s="10" t="inlineStr">
        <is>
          <t>PJ-2024-J</t>
        </is>
      </c>
      <c r="B1488" s="10" t="inlineStr">
        <is>
          <t>素朴版／単調補間</t>
        </is>
      </c>
      <c r="C1488" s="10" t="inlineStr">
        <is>
          <t>2025-05</t>
        </is>
      </c>
      <c r="D1488" s="10" t="n">
        <v>17</v>
      </c>
      <c r="E1488" s="12" t="n">
        <v>15080.4</v>
      </c>
      <c r="F1488" s="12" t="n">
        <v>26126.9</v>
      </c>
      <c r="G1488" s="12" t="n">
        <v>-11046.5</v>
      </c>
      <c r="H1488" s="13" t="n">
        <v>0.5363</v>
      </c>
      <c r="I1488" s="13" t="n">
        <v>0.3898</v>
      </c>
    </row>
    <row r="1489">
      <c r="A1489" s="10" t="inlineStr">
        <is>
          <t>PJ-2024-J</t>
        </is>
      </c>
      <c r="B1489" s="10" t="inlineStr">
        <is>
          <t>素朴版／単調補間</t>
        </is>
      </c>
      <c r="C1489" s="10" t="inlineStr">
        <is>
          <t>2025-06</t>
        </is>
      </c>
      <c r="D1489" s="10" t="n">
        <v>18</v>
      </c>
      <c r="E1489" s="12" t="n">
        <v>14722.3</v>
      </c>
      <c r="F1489" s="12" t="n">
        <v>31246.9</v>
      </c>
      <c r="G1489" s="12" t="n">
        <v>-16524.6</v>
      </c>
      <c r="H1489" s="13" t="n">
        <v>0.5788</v>
      </c>
      <c r="I1489" s="13" t="n">
        <v>0.4801</v>
      </c>
    </row>
    <row r="1490">
      <c r="A1490" s="10" t="inlineStr">
        <is>
          <t>PJ-2024-J</t>
        </is>
      </c>
      <c r="B1490" s="10" t="inlineStr">
        <is>
          <t>素朴版／単調補間</t>
        </is>
      </c>
      <c r="C1490" s="10" t="inlineStr">
        <is>
          <t>2025-07</t>
        </is>
      </c>
      <c r="D1490" s="10" t="n">
        <v>19</v>
      </c>
      <c r="E1490" s="12" t="n">
        <v>17078.7</v>
      </c>
      <c r="F1490" s="12" t="n">
        <v>28601.2</v>
      </c>
      <c r="G1490" s="12" t="n">
        <v>-11522.5</v>
      </c>
      <c r="H1490" s="13" t="n">
        <v>0.6282</v>
      </c>
      <c r="I1490" s="13" t="n">
        <v>0.5628</v>
      </c>
    </row>
    <row r="1491">
      <c r="A1491" s="10" t="inlineStr">
        <is>
          <t>PJ-2024-J</t>
        </is>
      </c>
      <c r="B1491" s="10" t="inlineStr">
        <is>
          <t>素朴版／単調補間</t>
        </is>
      </c>
      <c r="C1491" s="10" t="inlineStr">
        <is>
          <t>2025-08</t>
        </is>
      </c>
      <c r="D1491" s="10" t="n">
        <v>20</v>
      </c>
      <c r="E1491" s="12" t="n">
        <v>16717.4</v>
      </c>
      <c r="F1491" s="12" t="n">
        <v>25939.3</v>
      </c>
      <c r="G1491" s="12" t="n">
        <v>-9221.9</v>
      </c>
      <c r="H1491" s="13" t="n">
        <v>0.6765</v>
      </c>
      <c r="I1491" s="13" t="n">
        <v>0.6377</v>
      </c>
    </row>
    <row r="1492">
      <c r="A1492" s="10" t="inlineStr">
        <is>
          <t>PJ-2024-J</t>
        </is>
      </c>
      <c r="B1492" s="10" t="inlineStr">
        <is>
          <t>素朴版／単調補間</t>
        </is>
      </c>
      <c r="C1492" s="10" t="inlineStr">
        <is>
          <t>2025-09</t>
        </is>
      </c>
      <c r="D1492" s="10" t="n">
        <v>21</v>
      </c>
      <c r="E1492" s="12" t="n">
        <v>15263.4</v>
      </c>
      <c r="F1492" s="12" t="n">
        <v>20944.7</v>
      </c>
      <c r="G1492" s="12" t="n">
        <v>-5681.3</v>
      </c>
      <c r="H1492" s="13" t="n">
        <v>0.7206</v>
      </c>
      <c r="I1492" s="13" t="n">
        <v>0.6983</v>
      </c>
    </row>
    <row r="1493">
      <c r="A1493" s="10" t="inlineStr">
        <is>
          <t>PJ-2024-J</t>
        </is>
      </c>
      <c r="B1493" s="10" t="inlineStr">
        <is>
          <t>素朴版／単調補間</t>
        </is>
      </c>
      <c r="C1493" s="10" t="inlineStr">
        <is>
          <t>2025-10</t>
        </is>
      </c>
      <c r="D1493" s="10" t="n">
        <v>22</v>
      </c>
      <c r="E1493" s="12" t="n">
        <v>15169.9</v>
      </c>
      <c r="F1493" s="12" t="n">
        <v>14367.8</v>
      </c>
      <c r="G1493" s="12" t="n">
        <v>802.1</v>
      </c>
      <c r="H1493" s="13" t="n">
        <v>0.7644</v>
      </c>
      <c r="I1493" s="13" t="n">
        <v>0.7398</v>
      </c>
    </row>
    <row r="1494">
      <c r="A1494" s="10" t="inlineStr">
        <is>
          <t>PJ-2024-J</t>
        </is>
      </c>
      <c r="B1494" s="10" t="inlineStr">
        <is>
          <t>素朴版／単調補間</t>
        </is>
      </c>
      <c r="C1494" s="10" t="inlineStr">
        <is>
          <t>2025-11</t>
        </is>
      </c>
      <c r="D1494" s="10" t="n">
        <v>23</v>
      </c>
      <c r="E1494" s="12" t="n">
        <v>14356.7</v>
      </c>
      <c r="F1494" s="12" t="n">
        <v>16461.6</v>
      </c>
      <c r="G1494" s="12" t="n">
        <v>-2104.9</v>
      </c>
      <c r="H1494" s="13" t="n">
        <v>0.8058999999999999</v>
      </c>
      <c r="I1494" s="13" t="n">
        <v>0.7874</v>
      </c>
    </row>
    <row r="1495">
      <c r="A1495" s="10" t="inlineStr">
        <is>
          <t>PJ-2024-J</t>
        </is>
      </c>
      <c r="B1495" s="10" t="inlineStr">
        <is>
          <t>素朴版／単調補間</t>
        </is>
      </c>
      <c r="C1495" s="10" t="inlineStr">
        <is>
          <t>2025-12</t>
        </is>
      </c>
      <c r="D1495" s="10" t="n">
        <v>24</v>
      </c>
      <c r="E1495" s="12" t="n">
        <v>15062.4</v>
      </c>
      <c r="F1495" s="12" t="n">
        <v>17876.1</v>
      </c>
      <c r="G1495" s="12" t="n">
        <v>-2813.7</v>
      </c>
      <c r="H1495" s="13" t="n">
        <v>0.8495</v>
      </c>
      <c r="I1495" s="13" t="n">
        <v>0.839</v>
      </c>
    </row>
    <row r="1496">
      <c r="A1496" s="10" t="inlineStr">
        <is>
          <t>PJ-2024-J</t>
        </is>
      </c>
      <c r="B1496" s="10" t="inlineStr">
        <is>
          <t>素朴版／単調補間</t>
        </is>
      </c>
      <c r="C1496" s="10" t="inlineStr">
        <is>
          <t>2026-01</t>
        </is>
      </c>
      <c r="D1496" s="10" t="n">
        <v>25</v>
      </c>
      <c r="E1496" s="12" t="n">
        <v>14435.1</v>
      </c>
      <c r="F1496" s="12" t="n">
        <v>14931.3</v>
      </c>
      <c r="G1496" s="12" t="n">
        <v>-496.2</v>
      </c>
      <c r="H1496" s="13" t="n">
        <v>0.8912</v>
      </c>
      <c r="I1496" s="13" t="n">
        <v>0.8822</v>
      </c>
    </row>
    <row r="1497">
      <c r="A1497" s="10" t="inlineStr">
        <is>
          <t>PJ-2024-J</t>
        </is>
      </c>
      <c r="B1497" s="10" t="inlineStr">
        <is>
          <t>素朴版／単調補間</t>
        </is>
      </c>
      <c r="C1497" s="10" t="inlineStr">
        <is>
          <t>2026-02</t>
        </is>
      </c>
      <c r="D1497" s="10" t="n">
        <v>26</v>
      </c>
      <c r="E1497" s="12" t="n">
        <v>10856.4</v>
      </c>
      <c r="F1497" s="12" t="n">
        <v>10014.8</v>
      </c>
      <c r="G1497" s="12" t="n">
        <v>841.6</v>
      </c>
      <c r="H1497" s="13" t="n">
        <v>0.9225</v>
      </c>
      <c r="I1497" s="13" t="n">
        <v>0.9111</v>
      </c>
    </row>
    <row r="1498">
      <c r="A1498" s="10" t="inlineStr">
        <is>
          <t>PJ-2024-J</t>
        </is>
      </c>
      <c r="B1498" s="10" t="inlineStr">
        <is>
          <t>素朴版／単調補間</t>
        </is>
      </c>
      <c r="C1498" s="10" t="inlineStr">
        <is>
          <t>2026-03</t>
        </is>
      </c>
      <c r="D1498" s="10" t="n">
        <v>27</v>
      </c>
      <c r="E1498" s="12" t="n">
        <v>9736.6</v>
      </c>
      <c r="F1498" s="12" t="n">
        <v>9594.1</v>
      </c>
      <c r="G1498" s="12" t="n">
        <v>142.5</v>
      </c>
      <c r="H1498" s="13" t="n">
        <v>0.9507</v>
      </c>
      <c r="I1498" s="13" t="n">
        <v>0.9389</v>
      </c>
    </row>
    <row r="1499">
      <c r="A1499" s="10" t="inlineStr">
        <is>
          <t>PJ-2024-J</t>
        </is>
      </c>
      <c r="B1499" s="10" t="inlineStr">
        <is>
          <t>素朴版／単調補間</t>
        </is>
      </c>
      <c r="C1499" s="10" t="inlineStr">
        <is>
          <t>2026-04</t>
        </is>
      </c>
      <c r="D1499" s="10" t="n">
        <v>28</v>
      </c>
      <c r="E1499" s="12" t="n">
        <v>7930.9</v>
      </c>
      <c r="F1499" s="12" t="n">
        <v>7976.6</v>
      </c>
      <c r="G1499" s="12" t="n">
        <v>-45.7</v>
      </c>
      <c r="H1499" s="13" t="n">
        <v>0.9736</v>
      </c>
      <c r="I1499" s="13" t="n">
        <v>0.9619</v>
      </c>
    </row>
    <row r="1500">
      <c r="A1500" s="10" t="inlineStr">
        <is>
          <t>PJ-2024-J</t>
        </is>
      </c>
      <c r="B1500" s="10" t="inlineStr">
        <is>
          <t>素朴版／単調補間</t>
        </is>
      </c>
      <c r="C1500" s="10" t="inlineStr">
        <is>
          <t>2026-05</t>
        </is>
      </c>
      <c r="D1500" s="10" t="n">
        <v>29</v>
      </c>
      <c r="E1500" s="12" t="n">
        <v>5764.4</v>
      </c>
      <c r="F1500" s="12" t="n">
        <v>10449.5</v>
      </c>
      <c r="G1500" s="12" t="n">
        <v>-4685.1</v>
      </c>
      <c r="H1500" s="13" t="n">
        <v>0.9903</v>
      </c>
      <c r="I1500" s="13" t="n">
        <v>0.9921</v>
      </c>
    </row>
    <row r="1501">
      <c r="A1501" s="10" t="inlineStr">
        <is>
          <t>PJ-2024-J</t>
        </is>
      </c>
      <c r="B1501" s="10" t="inlineStr">
        <is>
          <t>素朴版／単調補間</t>
        </is>
      </c>
      <c r="C1501" s="10" t="inlineStr">
        <is>
          <t>2026-06</t>
        </is>
      </c>
      <c r="D1501" s="10" t="n">
        <v>30</v>
      </c>
      <c r="E1501" s="12" t="n">
        <v>3367.1</v>
      </c>
      <c r="F1501" s="12" t="n">
        <v>2732.1</v>
      </c>
      <c r="G1501" s="12" t="n">
        <v>635</v>
      </c>
      <c r="H1501" s="13" t="n">
        <v>1</v>
      </c>
      <c r="I1501" s="13" t="n">
        <v>1</v>
      </c>
    </row>
    <row r="1502">
      <c r="A1502" s="10" t="inlineStr">
        <is>
          <t>PJ-2024-J</t>
        </is>
      </c>
      <c r="B1502" s="10" t="inlineStr">
        <is>
          <t>位置合わせ(MS学習値)／単調補間</t>
        </is>
      </c>
      <c r="C1502" s="10" t="inlineStr">
        <is>
          <t>2024-01</t>
        </is>
      </c>
      <c r="D1502" s="10" t="n">
        <v>1</v>
      </c>
      <c r="E1502" s="12" t="n">
        <v>4936</v>
      </c>
      <c r="F1502" s="12" t="n">
        <v>348</v>
      </c>
      <c r="G1502" s="12" t="n">
        <v>4588</v>
      </c>
      <c r="H1502" s="13" t="n">
        <v>0.0143</v>
      </c>
      <c r="I1502" s="13" t="n">
        <v>0.001</v>
      </c>
    </row>
    <row r="1503">
      <c r="A1503" s="10" t="inlineStr">
        <is>
          <t>PJ-2024-J</t>
        </is>
      </c>
      <c r="B1503" s="10" t="inlineStr">
        <is>
          <t>位置合わせ(MS学習値)／単調補間</t>
        </is>
      </c>
      <c r="C1503" s="10" t="inlineStr">
        <is>
          <t>2024-02</t>
        </is>
      </c>
      <c r="D1503" s="10" t="n">
        <v>2</v>
      </c>
      <c r="E1503" s="12" t="n">
        <v>5629</v>
      </c>
      <c r="F1503" s="12" t="n">
        <v>930.5</v>
      </c>
      <c r="G1503" s="12" t="n">
        <v>4698.5</v>
      </c>
      <c r="H1503" s="13" t="n">
        <v>0.0305</v>
      </c>
      <c r="I1503" s="13" t="n">
        <v>0.0037</v>
      </c>
    </row>
    <row r="1504">
      <c r="A1504" s="10" t="inlineStr">
        <is>
          <t>PJ-2024-J</t>
        </is>
      </c>
      <c r="B1504" s="10" t="inlineStr">
        <is>
          <t>位置合わせ(MS学習値)／単調補間</t>
        </is>
      </c>
      <c r="C1504" s="10" t="inlineStr">
        <is>
          <t>2024-03</t>
        </is>
      </c>
      <c r="D1504" s="10" t="n">
        <v>3</v>
      </c>
      <c r="E1504" s="12" t="n">
        <v>7029.7</v>
      </c>
      <c r="F1504" s="12" t="n">
        <v>1612.9</v>
      </c>
      <c r="G1504" s="12" t="n">
        <v>5416.8</v>
      </c>
      <c r="H1504" s="13" t="n">
        <v>0.0508</v>
      </c>
      <c r="I1504" s="13" t="n">
        <v>0.008399999999999999</v>
      </c>
    </row>
    <row r="1505">
      <c r="A1505" s="10" t="inlineStr">
        <is>
          <t>PJ-2024-J</t>
        </is>
      </c>
      <c r="B1505" s="10" t="inlineStr">
        <is>
          <t>位置合わせ(MS学習値)／単調補間</t>
        </is>
      </c>
      <c r="C1505" s="10" t="inlineStr">
        <is>
          <t>2024-04</t>
        </is>
      </c>
      <c r="D1505" s="10" t="n">
        <v>4</v>
      </c>
      <c r="E1505" s="12" t="n">
        <v>7208.3</v>
      </c>
      <c r="F1505" s="12" t="n">
        <v>2251.7</v>
      </c>
      <c r="G1505" s="12" t="n">
        <v>4956.6</v>
      </c>
      <c r="H1505" s="13" t="n">
        <v>0.0717</v>
      </c>
      <c r="I1505" s="13" t="n">
        <v>0.0149</v>
      </c>
    </row>
    <row r="1506">
      <c r="A1506" s="10" t="inlineStr">
        <is>
          <t>PJ-2024-J</t>
        </is>
      </c>
      <c r="B1506" s="10" t="inlineStr">
        <is>
          <t>位置合わせ(MS学習値)／単調補間</t>
        </is>
      </c>
      <c r="C1506" s="10" t="inlineStr">
        <is>
          <t>2024-05</t>
        </is>
      </c>
      <c r="D1506" s="10" t="n">
        <v>5</v>
      </c>
      <c r="E1506" s="12" t="n">
        <v>8224</v>
      </c>
      <c r="F1506" s="12" t="n">
        <v>2953</v>
      </c>
      <c r="G1506" s="12" t="n">
        <v>5271</v>
      </c>
      <c r="H1506" s="13" t="n">
        <v>0.0954</v>
      </c>
      <c r="I1506" s="13" t="n">
        <v>0.0234</v>
      </c>
    </row>
    <row r="1507">
      <c r="A1507" s="10" t="inlineStr">
        <is>
          <t>PJ-2024-J</t>
        </is>
      </c>
      <c r="B1507" s="10" t="inlineStr">
        <is>
          <t>位置合わせ(MS学習値)／単調補間</t>
        </is>
      </c>
      <c r="C1507" s="10" t="inlineStr">
        <is>
          <t>2024-06</t>
        </is>
      </c>
      <c r="D1507" s="10" t="n">
        <v>6</v>
      </c>
      <c r="E1507" s="12" t="n">
        <v>8090.7</v>
      </c>
      <c r="F1507" s="12" t="n">
        <v>3308.8</v>
      </c>
      <c r="G1507" s="12" t="n">
        <v>4781.9</v>
      </c>
      <c r="H1507" s="13" t="n">
        <v>0.1188</v>
      </c>
      <c r="I1507" s="13" t="n">
        <v>0.033</v>
      </c>
    </row>
    <row r="1508">
      <c r="A1508" s="10" t="inlineStr">
        <is>
          <t>PJ-2024-J</t>
        </is>
      </c>
      <c r="B1508" s="10" t="inlineStr">
        <is>
          <t>位置合わせ(MS学習値)／単調補間</t>
        </is>
      </c>
      <c r="C1508" s="10" t="inlineStr">
        <is>
          <t>2024-07</t>
        </is>
      </c>
      <c r="D1508" s="10" t="n">
        <v>7</v>
      </c>
      <c r="E1508" s="12" t="n">
        <v>8855.700000000001</v>
      </c>
      <c r="F1508" s="12" t="n">
        <v>4157.3</v>
      </c>
      <c r="G1508" s="12" t="n">
        <v>4698.4</v>
      </c>
      <c r="H1508" s="13" t="n">
        <v>0.1444</v>
      </c>
      <c r="I1508" s="13" t="n">
        <v>0.045</v>
      </c>
    </row>
    <row r="1509">
      <c r="A1509" s="10" t="inlineStr">
        <is>
          <t>PJ-2024-J</t>
        </is>
      </c>
      <c r="B1509" s="10" t="inlineStr">
        <is>
          <t>位置合わせ(MS学習値)／単調補間</t>
        </is>
      </c>
      <c r="C1509" s="10" t="inlineStr">
        <is>
          <t>2024-08</t>
        </is>
      </c>
      <c r="D1509" s="10" t="n">
        <v>8</v>
      </c>
      <c r="E1509" s="12" t="n">
        <v>9564.1</v>
      </c>
      <c r="F1509" s="12" t="n">
        <v>5704.7</v>
      </c>
      <c r="G1509" s="12" t="n">
        <v>3859.4</v>
      </c>
      <c r="H1509" s="13" t="n">
        <v>0.1721</v>
      </c>
      <c r="I1509" s="13" t="n">
        <v>0.0615</v>
      </c>
    </row>
    <row r="1510">
      <c r="A1510" s="10" t="inlineStr">
        <is>
          <t>PJ-2024-J</t>
        </is>
      </c>
      <c r="B1510" s="10" t="inlineStr">
        <is>
          <t>位置合わせ(MS学習値)／単調補間</t>
        </is>
      </c>
      <c r="C1510" s="10" t="inlineStr">
        <is>
          <t>2024-09</t>
        </is>
      </c>
      <c r="D1510" s="10" t="n">
        <v>9</v>
      </c>
      <c r="E1510" s="12" t="n">
        <v>10075.5</v>
      </c>
      <c r="F1510" s="12" t="n">
        <v>6443.3</v>
      </c>
      <c r="G1510" s="12" t="n">
        <v>3632.2</v>
      </c>
      <c r="H1510" s="13" t="n">
        <v>0.2012</v>
      </c>
      <c r="I1510" s="13" t="n">
        <v>0.0801</v>
      </c>
    </row>
    <row r="1511">
      <c r="A1511" s="10" t="inlineStr">
        <is>
          <t>PJ-2024-J</t>
        </is>
      </c>
      <c r="B1511" s="10" t="inlineStr">
        <is>
          <t>位置合わせ(MS学習値)／単調補間</t>
        </is>
      </c>
      <c r="C1511" s="10" t="inlineStr">
        <is>
          <t>2024-10</t>
        </is>
      </c>
      <c r="D1511" s="10" t="n">
        <v>10</v>
      </c>
      <c r="E1511" s="12" t="n">
        <v>11672</v>
      </c>
      <c r="F1511" s="12" t="n">
        <v>7892.9</v>
      </c>
      <c r="G1511" s="12" t="n">
        <v>3779.1</v>
      </c>
      <c r="H1511" s="13" t="n">
        <v>0.2349</v>
      </c>
      <c r="I1511" s="13" t="n">
        <v>0.1029</v>
      </c>
    </row>
    <row r="1512">
      <c r="A1512" s="10" t="inlineStr">
        <is>
          <t>PJ-2024-J</t>
        </is>
      </c>
      <c r="B1512" s="10" t="inlineStr">
        <is>
          <t>位置合わせ(MS学習値)／単調補間</t>
        </is>
      </c>
      <c r="C1512" s="10" t="inlineStr">
        <is>
          <t>2024-11</t>
        </is>
      </c>
      <c r="D1512" s="10" t="n">
        <v>11</v>
      </c>
      <c r="E1512" s="12" t="n">
        <v>12836.4</v>
      </c>
      <c r="F1512" s="12" t="n">
        <v>9044.6</v>
      </c>
      <c r="G1512" s="12" t="n">
        <v>3791.8</v>
      </c>
      <c r="H1512" s="13" t="n">
        <v>0.272</v>
      </c>
      <c r="I1512" s="13" t="n">
        <v>0.129</v>
      </c>
    </row>
    <row r="1513">
      <c r="A1513" s="10" t="inlineStr">
        <is>
          <t>PJ-2024-J</t>
        </is>
      </c>
      <c r="B1513" s="10" t="inlineStr">
        <is>
          <t>位置合わせ(MS学習値)／単調補間</t>
        </is>
      </c>
      <c r="C1513" s="10" t="inlineStr">
        <is>
          <t>2024-12</t>
        </is>
      </c>
      <c r="D1513" s="10" t="n">
        <v>12</v>
      </c>
      <c r="E1513" s="12" t="n">
        <v>13889.6</v>
      </c>
      <c r="F1513" s="12" t="n">
        <v>9905.1</v>
      </c>
      <c r="G1513" s="12" t="n">
        <v>3984.5</v>
      </c>
      <c r="H1513" s="13" t="n">
        <v>0.3122</v>
      </c>
      <c r="I1513" s="13" t="n">
        <v>0.1577</v>
      </c>
    </row>
    <row r="1514">
      <c r="A1514" s="10" t="inlineStr">
        <is>
          <t>PJ-2024-J</t>
        </is>
      </c>
      <c r="B1514" s="10" t="inlineStr">
        <is>
          <t>位置合わせ(MS学習値)／単調補間</t>
        </is>
      </c>
      <c r="C1514" s="10" t="inlineStr">
        <is>
          <t>2025-01</t>
        </is>
      </c>
      <c r="D1514" s="10" t="n">
        <v>13</v>
      </c>
      <c r="E1514" s="12" t="n">
        <v>14940.6</v>
      </c>
      <c r="F1514" s="12" t="n">
        <v>10668.8</v>
      </c>
      <c r="G1514" s="12" t="n">
        <v>4271.8</v>
      </c>
      <c r="H1514" s="13" t="n">
        <v>0.3553</v>
      </c>
      <c r="I1514" s="13" t="n">
        <v>0.1885</v>
      </c>
    </row>
    <row r="1515">
      <c r="A1515" s="10" t="inlineStr">
        <is>
          <t>PJ-2024-J</t>
        </is>
      </c>
      <c r="B1515" s="10" t="inlineStr">
        <is>
          <t>位置合わせ(MS学習値)／単調補間</t>
        </is>
      </c>
      <c r="C1515" s="10" t="inlineStr">
        <is>
          <t>2025-02</t>
        </is>
      </c>
      <c r="D1515" s="10" t="n">
        <v>14</v>
      </c>
      <c r="E1515" s="12" t="n">
        <v>14282.6</v>
      </c>
      <c r="F1515" s="12" t="n">
        <v>10918.3</v>
      </c>
      <c r="G1515" s="12" t="n">
        <v>3364.3</v>
      </c>
      <c r="H1515" s="13" t="n">
        <v>0.3966</v>
      </c>
      <c r="I1515" s="13" t="n">
        <v>0.22</v>
      </c>
    </row>
    <row r="1516">
      <c r="A1516" s="10" t="inlineStr">
        <is>
          <t>PJ-2024-J</t>
        </is>
      </c>
      <c r="B1516" s="10" t="inlineStr">
        <is>
          <t>位置合わせ(MS学習値)／単調補間</t>
        </is>
      </c>
      <c r="C1516" s="10" t="inlineStr">
        <is>
          <t>2025-03</t>
        </is>
      </c>
      <c r="D1516" s="10" t="n">
        <v>15</v>
      </c>
      <c r="E1516" s="12" t="n">
        <v>17182</v>
      </c>
      <c r="F1516" s="12" t="n">
        <v>13702.5</v>
      </c>
      <c r="G1516" s="12" t="n">
        <v>3479.5</v>
      </c>
      <c r="H1516" s="13" t="n">
        <v>0.4463</v>
      </c>
      <c r="I1516" s="13" t="n">
        <v>0.2596</v>
      </c>
    </row>
    <row r="1517">
      <c r="A1517" s="10" t="inlineStr">
        <is>
          <t>PJ-2024-J</t>
        </is>
      </c>
      <c r="B1517" s="10" t="inlineStr">
        <is>
          <t>位置合わせ(MS学習値)／単調補間</t>
        </is>
      </c>
      <c r="C1517" s="10" t="inlineStr">
        <is>
          <t>2025-04</t>
        </is>
      </c>
      <c r="D1517" s="10" t="n">
        <v>16</v>
      </c>
      <c r="E1517" s="12" t="n">
        <v>16397.3</v>
      </c>
      <c r="F1517" s="12" t="n">
        <v>18909.3</v>
      </c>
      <c r="G1517" s="12" t="n">
        <v>-2512</v>
      </c>
      <c r="H1517" s="13" t="n">
        <v>0.4937</v>
      </c>
      <c r="I1517" s="13" t="n">
        <v>0.3143</v>
      </c>
    </row>
    <row r="1518">
      <c r="A1518" s="10" t="inlineStr">
        <is>
          <t>PJ-2024-J</t>
        </is>
      </c>
      <c r="B1518" s="10" t="inlineStr">
        <is>
          <t>位置合わせ(MS学習値)／単調補間</t>
        </is>
      </c>
      <c r="C1518" s="10" t="inlineStr">
        <is>
          <t>2025-05</t>
        </is>
      </c>
      <c r="D1518" s="10" t="n">
        <v>17</v>
      </c>
      <c r="E1518" s="12" t="n">
        <v>16446</v>
      </c>
      <c r="F1518" s="12" t="n">
        <v>26126.9</v>
      </c>
      <c r="G1518" s="12" t="n">
        <v>-9680.9</v>
      </c>
      <c r="H1518" s="13" t="n">
        <v>0.5412</v>
      </c>
      <c r="I1518" s="13" t="n">
        <v>0.3898</v>
      </c>
    </row>
    <row r="1519">
      <c r="A1519" s="10" t="inlineStr">
        <is>
          <t>PJ-2024-J</t>
        </is>
      </c>
      <c r="B1519" s="10" t="inlineStr">
        <is>
          <t>位置合わせ(MS学習値)／単調補間</t>
        </is>
      </c>
      <c r="C1519" s="10" t="inlineStr">
        <is>
          <t>2025-06</t>
        </is>
      </c>
      <c r="D1519" s="10" t="n">
        <v>18</v>
      </c>
      <c r="E1519" s="12" t="n">
        <v>14996.6</v>
      </c>
      <c r="F1519" s="12" t="n">
        <v>31246.9</v>
      </c>
      <c r="G1519" s="12" t="n">
        <v>-16250.3</v>
      </c>
      <c r="H1519" s="13" t="n">
        <v>0.5845</v>
      </c>
      <c r="I1519" s="13" t="n">
        <v>0.4801</v>
      </c>
    </row>
    <row r="1520">
      <c r="A1520" s="10" t="inlineStr">
        <is>
          <t>PJ-2024-J</t>
        </is>
      </c>
      <c r="B1520" s="10" t="inlineStr">
        <is>
          <t>位置合わせ(MS学習値)／単調補間</t>
        </is>
      </c>
      <c r="C1520" s="10" t="inlineStr">
        <is>
          <t>2025-07</t>
        </is>
      </c>
      <c r="D1520" s="10" t="n">
        <v>19</v>
      </c>
      <c r="E1520" s="12" t="n">
        <v>15764.5</v>
      </c>
      <c r="F1520" s="12" t="n">
        <v>28601.2</v>
      </c>
      <c r="G1520" s="12" t="n">
        <v>-12836.7</v>
      </c>
      <c r="H1520" s="13" t="n">
        <v>0.6301</v>
      </c>
      <c r="I1520" s="13" t="n">
        <v>0.5628</v>
      </c>
    </row>
    <row r="1521">
      <c r="A1521" s="10" t="inlineStr">
        <is>
          <t>PJ-2024-J</t>
        </is>
      </c>
      <c r="B1521" s="10" t="inlineStr">
        <is>
          <t>位置合わせ(MS学習値)／単調補間</t>
        </is>
      </c>
      <c r="C1521" s="10" t="inlineStr">
        <is>
          <t>2025-08</t>
        </is>
      </c>
      <c r="D1521" s="10" t="n">
        <v>20</v>
      </c>
      <c r="E1521" s="12" t="n">
        <v>16166.7</v>
      </c>
      <c r="F1521" s="12" t="n">
        <v>25939.3</v>
      </c>
      <c r="G1521" s="12" t="n">
        <v>-9772.6</v>
      </c>
      <c r="H1521" s="13" t="n">
        <v>0.6768</v>
      </c>
      <c r="I1521" s="13" t="n">
        <v>0.6377</v>
      </c>
    </row>
    <row r="1522">
      <c r="A1522" s="10" t="inlineStr">
        <is>
          <t>PJ-2024-J</t>
        </is>
      </c>
      <c r="B1522" s="10" t="inlineStr">
        <is>
          <t>位置合わせ(MS学習値)／単調補間</t>
        </is>
      </c>
      <c r="C1522" s="10" t="inlineStr">
        <is>
          <t>2025-09</t>
        </is>
      </c>
      <c r="D1522" s="10" t="n">
        <v>21</v>
      </c>
      <c r="E1522" s="12" t="n">
        <v>16262.1</v>
      </c>
      <c r="F1522" s="12" t="n">
        <v>20944.7</v>
      </c>
      <c r="G1522" s="12" t="n">
        <v>-4682.6</v>
      </c>
      <c r="H1522" s="13" t="n">
        <v>0.7238</v>
      </c>
      <c r="I1522" s="13" t="n">
        <v>0.6983</v>
      </c>
    </row>
    <row r="1523">
      <c r="A1523" s="10" t="inlineStr">
        <is>
          <t>PJ-2024-J</t>
        </is>
      </c>
      <c r="B1523" s="10" t="inlineStr">
        <is>
          <t>位置合わせ(MS学習値)／単調補間</t>
        </is>
      </c>
      <c r="C1523" s="10" t="inlineStr">
        <is>
          <t>2025-10</t>
        </is>
      </c>
      <c r="D1523" s="10" t="n">
        <v>22</v>
      </c>
      <c r="E1523" s="12" t="n">
        <v>17339</v>
      </c>
      <c r="F1523" s="12" t="n">
        <v>14367.8</v>
      </c>
      <c r="G1523" s="12" t="n">
        <v>2971.2</v>
      </c>
      <c r="H1523" s="13" t="n">
        <v>0.7739</v>
      </c>
      <c r="I1523" s="13" t="n">
        <v>0.7398</v>
      </c>
    </row>
    <row r="1524">
      <c r="A1524" s="10" t="inlineStr">
        <is>
          <t>PJ-2024-J</t>
        </is>
      </c>
      <c r="B1524" s="10" t="inlineStr">
        <is>
          <t>位置合わせ(MS学習値)／単調補間</t>
        </is>
      </c>
      <c r="C1524" s="10" t="inlineStr">
        <is>
          <t>2025-11</t>
        </is>
      </c>
      <c r="D1524" s="10" t="n">
        <v>23</v>
      </c>
      <c r="E1524" s="12" t="n">
        <v>15664.9</v>
      </c>
      <c r="F1524" s="12" t="n">
        <v>16461.6</v>
      </c>
      <c r="G1524" s="12" t="n">
        <v>-796.7</v>
      </c>
      <c r="H1524" s="13" t="n">
        <v>0.8192</v>
      </c>
      <c r="I1524" s="13" t="n">
        <v>0.7874</v>
      </c>
    </row>
    <row r="1525">
      <c r="A1525" s="10" t="inlineStr">
        <is>
          <t>PJ-2024-J</t>
        </is>
      </c>
      <c r="B1525" s="10" t="inlineStr">
        <is>
          <t>位置合わせ(MS学習値)／単調補間</t>
        </is>
      </c>
      <c r="C1525" s="10" t="inlineStr">
        <is>
          <t>2025-12</t>
        </is>
      </c>
      <c r="D1525" s="10" t="n">
        <v>24</v>
      </c>
      <c r="E1525" s="12" t="n">
        <v>13877.3</v>
      </c>
      <c r="F1525" s="12" t="n">
        <v>17876.1</v>
      </c>
      <c r="G1525" s="12" t="n">
        <v>-3998.8</v>
      </c>
      <c r="H1525" s="13" t="n">
        <v>0.8593</v>
      </c>
      <c r="I1525" s="13" t="n">
        <v>0.839</v>
      </c>
    </row>
    <row r="1526">
      <c r="A1526" s="10" t="inlineStr">
        <is>
          <t>PJ-2024-J</t>
        </is>
      </c>
      <c r="B1526" s="10" t="inlineStr">
        <is>
          <t>位置合わせ(MS学習値)／単調補間</t>
        </is>
      </c>
      <c r="C1526" s="10" t="inlineStr">
        <is>
          <t>2026-01</t>
        </is>
      </c>
      <c r="D1526" s="10" t="n">
        <v>25</v>
      </c>
      <c r="E1526" s="12" t="n">
        <v>12265.9</v>
      </c>
      <c r="F1526" s="12" t="n">
        <v>14931.3</v>
      </c>
      <c r="G1526" s="12" t="n">
        <v>-2665.4</v>
      </c>
      <c r="H1526" s="13" t="n">
        <v>0.8947000000000001</v>
      </c>
      <c r="I1526" s="13" t="n">
        <v>0.8822</v>
      </c>
    </row>
    <row r="1527">
      <c r="A1527" s="10" t="inlineStr">
        <is>
          <t>PJ-2024-J</t>
        </is>
      </c>
      <c r="B1527" s="10" t="inlineStr">
        <is>
          <t>位置合わせ(MS学習値)／単調補間</t>
        </is>
      </c>
      <c r="C1527" s="10" t="inlineStr">
        <is>
          <t>2026-02</t>
        </is>
      </c>
      <c r="D1527" s="10" t="n">
        <v>26</v>
      </c>
      <c r="E1527" s="12" t="n">
        <v>9618.5</v>
      </c>
      <c r="F1527" s="12" t="n">
        <v>10014.8</v>
      </c>
      <c r="G1527" s="12" t="n">
        <v>-396.3</v>
      </c>
      <c r="H1527" s="13" t="n">
        <v>0.9225</v>
      </c>
      <c r="I1527" s="13" t="n">
        <v>0.9111</v>
      </c>
    </row>
    <row r="1528">
      <c r="A1528" s="10" t="inlineStr">
        <is>
          <t>PJ-2024-J</t>
        </is>
      </c>
      <c r="B1528" s="10" t="inlineStr">
        <is>
          <t>位置合わせ(MS学習値)／単調補間</t>
        </is>
      </c>
      <c r="C1528" s="10" t="inlineStr">
        <is>
          <t>2026-03</t>
        </is>
      </c>
      <c r="D1528" s="10" t="n">
        <v>27</v>
      </c>
      <c r="E1528" s="12" t="n">
        <v>9576</v>
      </c>
      <c r="F1528" s="12" t="n">
        <v>9594.1</v>
      </c>
      <c r="G1528" s="12" t="n">
        <v>-18.1</v>
      </c>
      <c r="H1528" s="13" t="n">
        <v>0.9502</v>
      </c>
      <c r="I1528" s="13" t="n">
        <v>0.9389</v>
      </c>
    </row>
    <row r="1529">
      <c r="A1529" s="10" t="inlineStr">
        <is>
          <t>PJ-2024-J</t>
        </is>
      </c>
      <c r="B1529" s="10" t="inlineStr">
        <is>
          <t>位置合わせ(MS学習値)／単調補間</t>
        </is>
      </c>
      <c r="C1529" s="10" t="inlineStr">
        <is>
          <t>2026-04</t>
        </is>
      </c>
      <c r="D1529" s="10" t="n">
        <v>28</v>
      </c>
      <c r="E1529" s="12" t="n">
        <v>8035.8</v>
      </c>
      <c r="F1529" s="12" t="n">
        <v>7976.6</v>
      </c>
      <c r="G1529" s="12" t="n">
        <v>59.2</v>
      </c>
      <c r="H1529" s="13" t="n">
        <v>0.9734</v>
      </c>
      <c r="I1529" s="13" t="n">
        <v>0.9619</v>
      </c>
    </row>
    <row r="1530">
      <c r="A1530" s="10" t="inlineStr">
        <is>
          <t>PJ-2024-J</t>
        </is>
      </c>
      <c r="B1530" s="10" t="inlineStr">
        <is>
          <t>位置合わせ(MS学習値)／単調補間</t>
        </is>
      </c>
      <c r="C1530" s="10" t="inlineStr">
        <is>
          <t>2026-05</t>
        </is>
      </c>
      <c r="D1530" s="10" t="n">
        <v>29</v>
      </c>
      <c r="E1530" s="12" t="n">
        <v>5884</v>
      </c>
      <c r="F1530" s="12" t="n">
        <v>10449.5</v>
      </c>
      <c r="G1530" s="12" t="n">
        <v>-4565.5</v>
      </c>
      <c r="H1530" s="13" t="n">
        <v>0.9905</v>
      </c>
      <c r="I1530" s="13" t="n">
        <v>0.9921</v>
      </c>
    </row>
    <row r="1531">
      <c r="A1531" s="10" t="inlineStr">
        <is>
          <t>PJ-2024-J</t>
        </is>
      </c>
      <c r="B1531" s="10" t="inlineStr">
        <is>
          <t>位置合わせ(MS学習値)／単調補間</t>
        </is>
      </c>
      <c r="C1531" s="10" t="inlineStr">
        <is>
          <t>2026-06</t>
        </is>
      </c>
      <c r="D1531" s="10" t="n">
        <v>30</v>
      </c>
      <c r="E1531" s="12" t="n">
        <v>3303.8</v>
      </c>
      <c r="F1531" s="12" t="n">
        <v>2732.1</v>
      </c>
      <c r="G1531" s="12" t="n">
        <v>571.7</v>
      </c>
      <c r="H1531" s="13" t="n">
        <v>1</v>
      </c>
      <c r="I1531" s="13" t="n">
        <v>1</v>
      </c>
    </row>
    <row r="1532">
      <c r="A1532" s="10" t="inlineStr">
        <is>
          <t>PJ-2024-J</t>
        </is>
      </c>
      <c r="B1532" s="10" t="inlineStr">
        <is>
          <t>位置合わせ(MS指定)／単調補間</t>
        </is>
      </c>
      <c r="C1532" s="10" t="inlineStr">
        <is>
          <t>2024-01</t>
        </is>
      </c>
      <c r="D1532" s="10" t="n">
        <v>1</v>
      </c>
      <c r="E1532" s="12" t="n">
        <v>4814.9</v>
      </c>
      <c r="F1532" s="12" t="n">
        <v>348</v>
      </c>
      <c r="G1532" s="12" t="n">
        <v>4466.9</v>
      </c>
      <c r="H1532" s="13" t="n">
        <v>0.0139</v>
      </c>
      <c r="I1532" s="13" t="n">
        <v>0.001</v>
      </c>
    </row>
    <row r="1533">
      <c r="A1533" s="10" t="inlineStr">
        <is>
          <t>PJ-2024-J</t>
        </is>
      </c>
      <c r="B1533" s="10" t="inlineStr">
        <is>
          <t>位置合わせ(MS指定)／単調補間</t>
        </is>
      </c>
      <c r="C1533" s="10" t="inlineStr">
        <is>
          <t>2024-02</t>
        </is>
      </c>
      <c r="D1533" s="10" t="n">
        <v>2</v>
      </c>
      <c r="E1533" s="12" t="n">
        <v>5463.6</v>
      </c>
      <c r="F1533" s="12" t="n">
        <v>930.5</v>
      </c>
      <c r="G1533" s="12" t="n">
        <v>4533.1</v>
      </c>
      <c r="H1533" s="13" t="n">
        <v>0.0297</v>
      </c>
      <c r="I1533" s="13" t="n">
        <v>0.0037</v>
      </c>
    </row>
    <row r="1534">
      <c r="A1534" s="10" t="inlineStr">
        <is>
          <t>PJ-2024-J</t>
        </is>
      </c>
      <c r="B1534" s="10" t="inlineStr">
        <is>
          <t>位置合わせ(MS指定)／単調補間</t>
        </is>
      </c>
      <c r="C1534" s="10" t="inlineStr">
        <is>
          <t>2024-03</t>
        </is>
      </c>
      <c r="D1534" s="10" t="n">
        <v>3</v>
      </c>
      <c r="E1534" s="12" t="n">
        <v>6732.3</v>
      </c>
      <c r="F1534" s="12" t="n">
        <v>1612.9</v>
      </c>
      <c r="G1534" s="12" t="n">
        <v>5119.4</v>
      </c>
      <c r="H1534" s="13" t="n">
        <v>0.0492</v>
      </c>
      <c r="I1534" s="13" t="n">
        <v>0.008399999999999999</v>
      </c>
    </row>
    <row r="1535">
      <c r="A1535" s="10" t="inlineStr">
        <is>
          <t>PJ-2024-J</t>
        </is>
      </c>
      <c r="B1535" s="10" t="inlineStr">
        <is>
          <t>位置合わせ(MS指定)／単調補間</t>
        </is>
      </c>
      <c r="C1535" s="10" t="inlineStr">
        <is>
          <t>2024-04</t>
        </is>
      </c>
      <c r="D1535" s="10" t="n">
        <v>4</v>
      </c>
      <c r="E1535" s="12" t="n">
        <v>7034.1</v>
      </c>
      <c r="F1535" s="12" t="n">
        <v>2251.7</v>
      </c>
      <c r="G1535" s="12" t="n">
        <v>4782.4</v>
      </c>
      <c r="H1535" s="13" t="n">
        <v>0.06950000000000001</v>
      </c>
      <c r="I1535" s="13" t="n">
        <v>0.0149</v>
      </c>
    </row>
    <row r="1536">
      <c r="A1536" s="10" t="inlineStr">
        <is>
          <t>PJ-2024-J</t>
        </is>
      </c>
      <c r="B1536" s="10" t="inlineStr">
        <is>
          <t>位置合わせ(MS指定)／単調補間</t>
        </is>
      </c>
      <c r="C1536" s="10" t="inlineStr">
        <is>
          <t>2024-05</t>
        </is>
      </c>
      <c r="D1536" s="10" t="n">
        <v>5</v>
      </c>
      <c r="E1536" s="12" t="n">
        <v>7958.8</v>
      </c>
      <c r="F1536" s="12" t="n">
        <v>2953</v>
      </c>
      <c r="G1536" s="12" t="n">
        <v>5005.8</v>
      </c>
      <c r="H1536" s="13" t="n">
        <v>0.0925</v>
      </c>
      <c r="I1536" s="13" t="n">
        <v>0.0234</v>
      </c>
    </row>
    <row r="1537">
      <c r="A1537" s="10" t="inlineStr">
        <is>
          <t>PJ-2024-J</t>
        </is>
      </c>
      <c r="B1537" s="10" t="inlineStr">
        <is>
          <t>位置合わせ(MS指定)／単調補間</t>
        </is>
      </c>
      <c r="C1537" s="10" t="inlineStr">
        <is>
          <t>2024-06</t>
        </is>
      </c>
      <c r="D1537" s="10" t="n">
        <v>6</v>
      </c>
      <c r="E1537" s="12" t="n">
        <v>7796.6</v>
      </c>
      <c r="F1537" s="12" t="n">
        <v>3308.8</v>
      </c>
      <c r="G1537" s="12" t="n">
        <v>4487.8</v>
      </c>
      <c r="H1537" s="13" t="n">
        <v>0.115</v>
      </c>
      <c r="I1537" s="13" t="n">
        <v>0.033</v>
      </c>
    </row>
    <row r="1538">
      <c r="A1538" s="10" t="inlineStr">
        <is>
          <t>PJ-2024-J</t>
        </is>
      </c>
      <c r="B1538" s="10" t="inlineStr">
        <is>
          <t>位置合わせ(MS指定)／単調補間</t>
        </is>
      </c>
      <c r="C1538" s="10" t="inlineStr">
        <is>
          <t>2024-07</t>
        </is>
      </c>
      <c r="D1538" s="10" t="n">
        <v>7</v>
      </c>
      <c r="E1538" s="12" t="n">
        <v>8571.6</v>
      </c>
      <c r="F1538" s="12" t="n">
        <v>4157.3</v>
      </c>
      <c r="G1538" s="12" t="n">
        <v>4414.3</v>
      </c>
      <c r="H1538" s="13" t="n">
        <v>0.1398</v>
      </c>
      <c r="I1538" s="13" t="n">
        <v>0.045</v>
      </c>
    </row>
    <row r="1539">
      <c r="A1539" s="10" t="inlineStr">
        <is>
          <t>PJ-2024-J</t>
        </is>
      </c>
      <c r="B1539" s="10" t="inlineStr">
        <is>
          <t>位置合わせ(MS指定)／単調補間</t>
        </is>
      </c>
      <c r="C1539" s="10" t="inlineStr">
        <is>
          <t>2024-08</t>
        </is>
      </c>
      <c r="D1539" s="10" t="n">
        <v>8</v>
      </c>
      <c r="E1539" s="12" t="n">
        <v>9194.299999999999</v>
      </c>
      <c r="F1539" s="12" t="n">
        <v>5704.7</v>
      </c>
      <c r="G1539" s="12" t="n">
        <v>3489.6</v>
      </c>
      <c r="H1539" s="13" t="n">
        <v>0.1664</v>
      </c>
      <c r="I1539" s="13" t="n">
        <v>0.0615</v>
      </c>
    </row>
    <row r="1540">
      <c r="A1540" s="10" t="inlineStr">
        <is>
          <t>PJ-2024-J</t>
        </is>
      </c>
      <c r="B1540" s="10" t="inlineStr">
        <is>
          <t>位置合わせ(MS指定)／単調補間</t>
        </is>
      </c>
      <c r="C1540" s="10" t="inlineStr">
        <is>
          <t>2024-09</t>
        </is>
      </c>
      <c r="D1540" s="10" t="n">
        <v>9</v>
      </c>
      <c r="E1540" s="12" t="n">
        <v>9600.1</v>
      </c>
      <c r="F1540" s="12" t="n">
        <v>6443.3</v>
      </c>
      <c r="G1540" s="12" t="n">
        <v>3156.8</v>
      </c>
      <c r="H1540" s="13" t="n">
        <v>0.1941</v>
      </c>
      <c r="I1540" s="13" t="n">
        <v>0.0801</v>
      </c>
    </row>
    <row r="1541">
      <c r="A1541" s="10" t="inlineStr">
        <is>
          <t>PJ-2024-J</t>
        </is>
      </c>
      <c r="B1541" s="10" t="inlineStr">
        <is>
          <t>位置合わせ(MS指定)／単調補間</t>
        </is>
      </c>
      <c r="C1541" s="10" t="inlineStr">
        <is>
          <t>2024-10</t>
        </is>
      </c>
      <c r="D1541" s="10" t="n">
        <v>10</v>
      </c>
      <c r="E1541" s="12" t="n">
        <v>10941.7</v>
      </c>
      <c r="F1541" s="12" t="n">
        <v>7892.9</v>
      </c>
      <c r="G1541" s="12" t="n">
        <v>3048.8</v>
      </c>
      <c r="H1541" s="13" t="n">
        <v>0.2257</v>
      </c>
      <c r="I1541" s="13" t="n">
        <v>0.1029</v>
      </c>
    </row>
    <row r="1542">
      <c r="A1542" s="10" t="inlineStr">
        <is>
          <t>PJ-2024-J</t>
        </is>
      </c>
      <c r="B1542" s="10" t="inlineStr">
        <is>
          <t>位置合わせ(MS指定)／単調補間</t>
        </is>
      </c>
      <c r="C1542" s="10" t="inlineStr">
        <is>
          <t>2024-11</t>
        </is>
      </c>
      <c r="D1542" s="10" t="n">
        <v>11</v>
      </c>
      <c r="E1542" s="12" t="n">
        <v>12263.9</v>
      </c>
      <c r="F1542" s="12" t="n">
        <v>9044.6</v>
      </c>
      <c r="G1542" s="12" t="n">
        <v>3219.3</v>
      </c>
      <c r="H1542" s="13" t="n">
        <v>0.2612</v>
      </c>
      <c r="I1542" s="13" t="n">
        <v>0.129</v>
      </c>
    </row>
    <row r="1543">
      <c r="A1543" s="10" t="inlineStr">
        <is>
          <t>PJ-2024-J</t>
        </is>
      </c>
      <c r="B1543" s="10" t="inlineStr">
        <is>
          <t>位置合わせ(MS指定)／単調補間</t>
        </is>
      </c>
      <c r="C1543" s="10" t="inlineStr">
        <is>
          <t>2024-12</t>
        </is>
      </c>
      <c r="D1543" s="10" t="n">
        <v>12</v>
      </c>
      <c r="E1543" s="12" t="n">
        <v>13256.1</v>
      </c>
      <c r="F1543" s="12" t="n">
        <v>9905.1</v>
      </c>
      <c r="G1543" s="12" t="n">
        <v>3351</v>
      </c>
      <c r="H1543" s="13" t="n">
        <v>0.2995</v>
      </c>
      <c r="I1543" s="13" t="n">
        <v>0.1577</v>
      </c>
    </row>
    <row r="1544">
      <c r="A1544" s="10" t="inlineStr">
        <is>
          <t>PJ-2024-J</t>
        </is>
      </c>
      <c r="B1544" s="10" t="inlineStr">
        <is>
          <t>位置合わせ(MS指定)／単調補間</t>
        </is>
      </c>
      <c r="C1544" s="10" t="inlineStr">
        <is>
          <t>2025-01</t>
        </is>
      </c>
      <c r="D1544" s="10" t="n">
        <v>13</v>
      </c>
      <c r="E1544" s="12" t="n">
        <v>14296.7</v>
      </c>
      <c r="F1544" s="12" t="n">
        <v>10668.8</v>
      </c>
      <c r="G1544" s="12" t="n">
        <v>3627.9</v>
      </c>
      <c r="H1544" s="13" t="n">
        <v>0.3408</v>
      </c>
      <c r="I1544" s="13" t="n">
        <v>0.1885</v>
      </c>
    </row>
    <row r="1545">
      <c r="A1545" s="10" t="inlineStr">
        <is>
          <t>PJ-2024-J</t>
        </is>
      </c>
      <c r="B1545" s="10" t="inlineStr">
        <is>
          <t>位置合わせ(MS指定)／単調補間</t>
        </is>
      </c>
      <c r="C1545" s="10" t="inlineStr">
        <is>
          <t>2025-02</t>
        </is>
      </c>
      <c r="D1545" s="10" t="n">
        <v>14</v>
      </c>
      <c r="E1545" s="12" t="n">
        <v>13552.1</v>
      </c>
      <c r="F1545" s="12" t="n">
        <v>10918.3</v>
      </c>
      <c r="G1545" s="12" t="n">
        <v>2633.8</v>
      </c>
      <c r="H1545" s="13" t="n">
        <v>0.38</v>
      </c>
      <c r="I1545" s="13" t="n">
        <v>0.22</v>
      </c>
    </row>
    <row r="1546">
      <c r="A1546" s="10" t="inlineStr">
        <is>
          <t>PJ-2024-J</t>
        </is>
      </c>
      <c r="B1546" s="10" t="inlineStr">
        <is>
          <t>位置合わせ(MS指定)／単調補間</t>
        </is>
      </c>
      <c r="C1546" s="10" t="inlineStr">
        <is>
          <t>2025-03</t>
        </is>
      </c>
      <c r="D1546" s="10" t="n">
        <v>15</v>
      </c>
      <c r="E1546" s="12" t="n">
        <v>16349.6</v>
      </c>
      <c r="F1546" s="12" t="n">
        <v>13702.5</v>
      </c>
      <c r="G1546" s="12" t="n">
        <v>2647.1</v>
      </c>
      <c r="H1546" s="13" t="n">
        <v>0.4272</v>
      </c>
      <c r="I1546" s="13" t="n">
        <v>0.2596</v>
      </c>
    </row>
    <row r="1547">
      <c r="A1547" s="10" t="inlineStr">
        <is>
          <t>PJ-2024-J</t>
        </is>
      </c>
      <c r="B1547" s="10" t="inlineStr">
        <is>
          <t>位置合わせ(MS指定)／単調補間</t>
        </is>
      </c>
      <c r="C1547" s="10" t="inlineStr">
        <is>
          <t>2025-04</t>
        </is>
      </c>
      <c r="D1547" s="10" t="n">
        <v>16</v>
      </c>
      <c r="E1547" s="12" t="n">
        <v>21133.3</v>
      </c>
      <c r="F1547" s="12" t="n">
        <v>18909.3</v>
      </c>
      <c r="G1547" s="12" t="n">
        <v>2224</v>
      </c>
      <c r="H1547" s="13" t="n">
        <v>0.4883</v>
      </c>
      <c r="I1547" s="13" t="n">
        <v>0.3143</v>
      </c>
    </row>
    <row r="1548">
      <c r="A1548" s="10" t="inlineStr">
        <is>
          <t>PJ-2024-J</t>
        </is>
      </c>
      <c r="B1548" s="10" t="inlineStr">
        <is>
          <t>位置合わせ(MS指定)／単調補間</t>
        </is>
      </c>
      <c r="C1548" s="10" t="inlineStr">
        <is>
          <t>2025-05</t>
        </is>
      </c>
      <c r="D1548" s="10" t="n">
        <v>17</v>
      </c>
      <c r="E1548" s="12" t="n">
        <v>22128.2</v>
      </c>
      <c r="F1548" s="12" t="n">
        <v>26126.9</v>
      </c>
      <c r="G1548" s="12" t="n">
        <v>-3998.7</v>
      </c>
      <c r="H1548" s="13" t="n">
        <v>0.5523</v>
      </c>
      <c r="I1548" s="13" t="n">
        <v>0.3898</v>
      </c>
    </row>
    <row r="1549">
      <c r="A1549" s="10" t="inlineStr">
        <is>
          <t>PJ-2024-J</t>
        </is>
      </c>
      <c r="B1549" s="10" t="inlineStr">
        <is>
          <t>位置合わせ(MS指定)／単調補間</t>
        </is>
      </c>
      <c r="C1549" s="10" t="inlineStr">
        <is>
          <t>2025-06</t>
        </is>
      </c>
      <c r="D1549" s="10" t="n">
        <v>18</v>
      </c>
      <c r="E1549" s="12" t="n">
        <v>20372.9</v>
      </c>
      <c r="F1549" s="12" t="n">
        <v>31246.9</v>
      </c>
      <c r="G1549" s="12" t="n">
        <v>-10874</v>
      </c>
      <c r="H1549" s="13" t="n">
        <v>0.6111</v>
      </c>
      <c r="I1549" s="13" t="n">
        <v>0.4801</v>
      </c>
    </row>
    <row r="1550">
      <c r="A1550" s="10" t="inlineStr">
        <is>
          <t>PJ-2024-J</t>
        </is>
      </c>
      <c r="B1550" s="10" t="inlineStr">
        <is>
          <t>位置合わせ(MS指定)／単調補間</t>
        </is>
      </c>
      <c r="C1550" s="10" t="inlineStr">
        <is>
          <t>2025-07</t>
        </is>
      </c>
      <c r="D1550" s="10" t="n">
        <v>19</v>
      </c>
      <c r="E1550" s="12" t="n">
        <v>21768.1</v>
      </c>
      <c r="F1550" s="12" t="n">
        <v>28601.2</v>
      </c>
      <c r="G1550" s="12" t="n">
        <v>-6833.1</v>
      </c>
      <c r="H1550" s="13" t="n">
        <v>0.674</v>
      </c>
      <c r="I1550" s="13" t="n">
        <v>0.5628</v>
      </c>
    </row>
    <row r="1551">
      <c r="A1551" s="10" t="inlineStr">
        <is>
          <t>PJ-2024-J</t>
        </is>
      </c>
      <c r="B1551" s="10" t="inlineStr">
        <is>
          <t>位置合わせ(MS指定)／単調補間</t>
        </is>
      </c>
      <c r="C1551" s="10" t="inlineStr">
        <is>
          <t>2025-08</t>
        </is>
      </c>
      <c r="D1551" s="10" t="n">
        <v>20</v>
      </c>
      <c r="E1551" s="12" t="n">
        <v>22902</v>
      </c>
      <c r="F1551" s="12" t="n">
        <v>25939.3</v>
      </c>
      <c r="G1551" s="12" t="n">
        <v>-3037.3</v>
      </c>
      <c r="H1551" s="13" t="n">
        <v>0.7402</v>
      </c>
      <c r="I1551" s="13" t="n">
        <v>0.6377</v>
      </c>
    </row>
    <row r="1552">
      <c r="A1552" s="10" t="inlineStr">
        <is>
          <t>PJ-2024-J</t>
        </is>
      </c>
      <c r="B1552" s="10" t="inlineStr">
        <is>
          <t>位置合わせ(MS指定)／単調補間</t>
        </is>
      </c>
      <c r="C1552" s="10" t="inlineStr">
        <is>
          <t>2025-09</t>
        </is>
      </c>
      <c r="D1552" s="10" t="n">
        <v>21</v>
      </c>
      <c r="E1552" s="12" t="n">
        <v>19621.3</v>
      </c>
      <c r="F1552" s="12" t="n">
        <v>20944.7</v>
      </c>
      <c r="G1552" s="12" t="n">
        <v>-1323.4</v>
      </c>
      <c r="H1552" s="13" t="n">
        <v>0.7969000000000001</v>
      </c>
      <c r="I1552" s="13" t="n">
        <v>0.6983</v>
      </c>
    </row>
    <row r="1553">
      <c r="A1553" s="10" t="inlineStr">
        <is>
          <t>PJ-2024-J</t>
        </is>
      </c>
      <c r="B1553" s="10" t="inlineStr">
        <is>
          <t>位置合わせ(MS指定)／単調補間</t>
        </is>
      </c>
      <c r="C1553" s="10" t="inlineStr">
        <is>
          <t>2025-10</t>
        </is>
      </c>
      <c r="D1553" s="10" t="n">
        <v>22</v>
      </c>
      <c r="E1553" s="12" t="n">
        <v>11049.1</v>
      </c>
      <c r="F1553" s="12" t="n">
        <v>14367.8</v>
      </c>
      <c r="G1553" s="12" t="n">
        <v>-3318.7</v>
      </c>
      <c r="H1553" s="13" t="n">
        <v>0.8289</v>
      </c>
      <c r="I1553" s="13" t="n">
        <v>0.7398</v>
      </c>
    </row>
    <row r="1554">
      <c r="A1554" s="10" t="inlineStr">
        <is>
          <t>PJ-2024-J</t>
        </is>
      </c>
      <c r="B1554" s="10" t="inlineStr">
        <is>
          <t>位置合わせ(MS指定)／単調補間</t>
        </is>
      </c>
      <c r="C1554" s="10" t="inlineStr">
        <is>
          <t>2025-11</t>
        </is>
      </c>
      <c r="D1554" s="10" t="n">
        <v>23</v>
      </c>
      <c r="E1554" s="12" t="n">
        <v>9860.700000000001</v>
      </c>
      <c r="F1554" s="12" t="n">
        <v>16461.6</v>
      </c>
      <c r="G1554" s="12" t="n">
        <v>-6600.9</v>
      </c>
      <c r="H1554" s="13" t="n">
        <v>0.8574000000000001</v>
      </c>
      <c r="I1554" s="13" t="n">
        <v>0.7874</v>
      </c>
    </row>
    <row r="1555">
      <c r="A1555" s="10" t="inlineStr">
        <is>
          <t>PJ-2024-J</t>
        </is>
      </c>
      <c r="B1555" s="10" t="inlineStr">
        <is>
          <t>位置合わせ(MS指定)／単調補間</t>
        </is>
      </c>
      <c r="C1555" s="10" t="inlineStr">
        <is>
          <t>2025-12</t>
        </is>
      </c>
      <c r="D1555" s="10" t="n">
        <v>24</v>
      </c>
      <c r="E1555" s="12" t="n">
        <v>9318.299999999999</v>
      </c>
      <c r="F1555" s="12" t="n">
        <v>17876.1</v>
      </c>
      <c r="G1555" s="12" t="n">
        <v>-8557.799999999999</v>
      </c>
      <c r="H1555" s="13" t="n">
        <v>0.8843</v>
      </c>
      <c r="I1555" s="13" t="n">
        <v>0.839</v>
      </c>
    </row>
    <row r="1556">
      <c r="A1556" s="10" t="inlineStr">
        <is>
          <t>PJ-2024-J</t>
        </is>
      </c>
      <c r="B1556" s="10" t="inlineStr">
        <is>
          <t>位置合わせ(MS指定)／単調補間</t>
        </is>
      </c>
      <c r="C1556" s="10" t="inlineStr">
        <is>
          <t>2026-01</t>
        </is>
      </c>
      <c r="D1556" s="10" t="n">
        <v>25</v>
      </c>
      <c r="E1556" s="12" t="n">
        <v>8406.1</v>
      </c>
      <c r="F1556" s="12" t="n">
        <v>14931.3</v>
      </c>
      <c r="G1556" s="12" t="n">
        <v>-6525.2</v>
      </c>
      <c r="H1556" s="13" t="n">
        <v>0.9086</v>
      </c>
      <c r="I1556" s="13" t="n">
        <v>0.8822</v>
      </c>
    </row>
    <row r="1557">
      <c r="A1557" s="10" t="inlineStr">
        <is>
          <t>PJ-2024-J</t>
        </is>
      </c>
      <c r="B1557" s="10" t="inlineStr">
        <is>
          <t>位置合わせ(MS指定)／単調補間</t>
        </is>
      </c>
      <c r="C1557" s="10" t="inlineStr">
        <is>
          <t>2026-02</t>
        </is>
      </c>
      <c r="D1557" s="10" t="n">
        <v>26</v>
      </c>
      <c r="E1557" s="12" t="n">
        <v>6795.7</v>
      </c>
      <c r="F1557" s="12" t="n">
        <v>10014.8</v>
      </c>
      <c r="G1557" s="12" t="n">
        <v>-3219.1</v>
      </c>
      <c r="H1557" s="13" t="n">
        <v>0.9282</v>
      </c>
      <c r="I1557" s="13" t="n">
        <v>0.9111</v>
      </c>
    </row>
    <row r="1558">
      <c r="A1558" s="10" t="inlineStr">
        <is>
          <t>PJ-2024-J</t>
        </is>
      </c>
      <c r="B1558" s="10" t="inlineStr">
        <is>
          <t>位置合わせ(MS指定)／単調補間</t>
        </is>
      </c>
      <c r="C1558" s="10" t="inlineStr">
        <is>
          <t>2026-03</t>
        </is>
      </c>
      <c r="D1558" s="10" t="n">
        <v>27</v>
      </c>
      <c r="E1558" s="12" t="n">
        <v>7071.4</v>
      </c>
      <c r="F1558" s="12" t="n">
        <v>9594.1</v>
      </c>
      <c r="G1558" s="12" t="n">
        <v>-2522.7</v>
      </c>
      <c r="H1558" s="13" t="n">
        <v>0.9487</v>
      </c>
      <c r="I1558" s="13" t="n">
        <v>0.9389</v>
      </c>
    </row>
    <row r="1559">
      <c r="A1559" s="10" t="inlineStr">
        <is>
          <t>PJ-2024-J</t>
        </is>
      </c>
      <c r="B1559" s="10" t="inlineStr">
        <is>
          <t>位置合わせ(MS指定)／単調補間</t>
        </is>
      </c>
      <c r="C1559" s="10" t="inlineStr">
        <is>
          <t>2026-04</t>
        </is>
      </c>
      <c r="D1559" s="10" t="n">
        <v>28</v>
      </c>
      <c r="E1559" s="12" t="n">
        <v>6718.2</v>
      </c>
      <c r="F1559" s="12" t="n">
        <v>7976.6</v>
      </c>
      <c r="G1559" s="12" t="n">
        <v>-1258.4</v>
      </c>
      <c r="H1559" s="13" t="n">
        <v>0.9681</v>
      </c>
      <c r="I1559" s="13" t="n">
        <v>0.9619</v>
      </c>
    </row>
    <row r="1560">
      <c r="A1560" s="10" t="inlineStr">
        <is>
          <t>PJ-2024-J</t>
        </is>
      </c>
      <c r="B1560" s="10" t="inlineStr">
        <is>
          <t>位置合わせ(MS指定)／単調補間</t>
        </is>
      </c>
      <c r="C1560" s="10" t="inlineStr">
        <is>
          <t>2026-05</t>
        </is>
      </c>
      <c r="D1560" s="10" t="n">
        <v>29</v>
      </c>
      <c r="E1560" s="12" t="n">
        <v>7154.7</v>
      </c>
      <c r="F1560" s="12" t="n">
        <v>10449.5</v>
      </c>
      <c r="G1560" s="12" t="n">
        <v>-3294.8</v>
      </c>
      <c r="H1560" s="13" t="n">
        <v>0.9888</v>
      </c>
      <c r="I1560" s="13" t="n">
        <v>0.9921</v>
      </c>
    </row>
    <row r="1561">
      <c r="A1561" s="10" t="inlineStr">
        <is>
          <t>PJ-2024-J</t>
        </is>
      </c>
      <c r="B1561" s="10" t="inlineStr">
        <is>
          <t>位置合わせ(MS指定)／単調補間</t>
        </is>
      </c>
      <c r="C1561" s="10" t="inlineStr">
        <is>
          <t>2026-06</t>
        </is>
      </c>
      <c r="D1561" s="10" t="n">
        <v>30</v>
      </c>
      <c r="E1561" s="12" t="n">
        <v>3888.3</v>
      </c>
      <c r="F1561" s="12" t="n">
        <v>2732.1</v>
      </c>
      <c r="G1561" s="12" t="n">
        <v>1156.2</v>
      </c>
      <c r="H1561" s="13" t="n">
        <v>1</v>
      </c>
      <c r="I1561" s="13" t="n">
        <v>1</v>
      </c>
    </row>
  </sheetData>
  <printOptions horizontalCentered="0"/>
  <pageMargins left="0.75" right="0.75" top="1" bottom="1"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K80"/>
  <sheetViews>
    <sheetView workbookViewId="0">
      <selection activeCell="A1" sqref="A1"/>
    </sheetView>
  </sheetViews>
  <sheetFormatPr baseColWidth="8" defaultRowHeight="15"/>
  <cols>
    <col width="26" customWidth="1" min="1" max="1"/>
    <col width="12" customWidth="1" min="2" max="2"/>
    <col width="8" customWidth="1" min="3" max="3"/>
    <col width="11" customWidth="1" min="4" max="4"/>
    <col width="11" customWidth="1" min="5" max="5"/>
    <col width="15" customWidth="1" min="6" max="6"/>
    <col width="15" customWidth="1" min="7" max="7"/>
    <col width="15" customWidth="1" min="8" max="8"/>
    <col width="15" customWidth="1" min="9" max="9"/>
    <col width="15" customWidth="1" min="10" max="10"/>
    <col width="11" customWidth="1" min="11" max="11"/>
  </cols>
  <sheetData>
    <row r="1">
      <c r="A1" s="1" t="inlineStr">
        <is>
          <t>実行条件</t>
        </is>
      </c>
    </row>
    <row r="2">
      <c r="A2" s="5" t="inlineStr">
        <is>
          <t>パラメータを変えて何度も回す段階では、「この結果はどの設定で出したか」を追えないと結果の比較ができなくなる。</t>
        </is>
      </c>
    </row>
    <row r="4">
      <c r="A4" s="6" t="inlineStr">
        <is>
          <t>■ パラメータ</t>
        </is>
      </c>
    </row>
    <row r="5">
      <c r="A5" s="8" t="inlineStr">
        <is>
          <t>項目</t>
        </is>
      </c>
      <c r="B5" s="8" t="inlineStr">
        <is>
          <t>値</t>
        </is>
      </c>
    </row>
    <row r="6">
      <c r="A6" s="10" t="inlineStr">
        <is>
          <t>実行日時</t>
        </is>
      </c>
      <c r="B6" s="10" t="inlineStr">
        <is>
          <t>2026-09-03 10:42:05</t>
        </is>
      </c>
    </row>
    <row r="7">
      <c r="A7" s="10" t="inlineStr">
        <is>
          <t>予測対象</t>
        </is>
      </c>
      <c r="B7" s="10" t="inlineStr">
        <is>
          <t>PJ-2026-K  蒼穹のレガリア II</t>
        </is>
      </c>
    </row>
    <row r="8">
      <c r="A8" s="10" t="inlineStr">
        <is>
          <t>マスタ</t>
        </is>
      </c>
      <c r="B8" s="10" t="inlineStr">
        <is>
          <t>/home/user/Man-hour-forecasting/data/master.xlsx</t>
        </is>
      </c>
    </row>
    <row r="9">
      <c r="A9" s="10" t="inlineStr">
        <is>
          <t>実績データ</t>
        </is>
      </c>
      <c r="B9" s="10" t="inlineStr">
        <is>
          <t>/home/user/Man-hour-forecasting/data/actuals.csv</t>
        </is>
      </c>
    </row>
    <row r="10">
      <c r="A10" s="10" t="inlineStr">
        <is>
          <t>集約軸</t>
        </is>
      </c>
      <c r="B10" s="10" t="inlineStr">
        <is>
          <t>行程グループ</t>
        </is>
      </c>
    </row>
    <row r="11">
      <c r="A11" s="10" t="inlineStr">
        <is>
          <t>位置合わせ</t>
        </is>
      </c>
      <c r="B11" s="10" t="inlineStr">
        <is>
          <t>ON</t>
        </is>
      </c>
    </row>
    <row r="12">
      <c r="A12" s="10" t="inlineStr">
        <is>
          <t>背骨マイルストーン</t>
        </is>
      </c>
      <c r="B12" s="10" t="inlineStr">
        <is>
          <t>α版, β版, マスターアップ</t>
        </is>
      </c>
    </row>
    <row r="13">
      <c r="A13" s="10" t="inlineStr">
        <is>
          <t>背骨最小カバー率</t>
        </is>
      </c>
      <c r="B13" s="10" t="n">
        <v>0.6</v>
      </c>
    </row>
    <row r="14">
      <c r="A14" s="10" t="inlineStr">
        <is>
          <t>位置合わせ強度</t>
        </is>
      </c>
      <c r="B14" s="10" t="n">
        <v>1</v>
      </c>
    </row>
    <row r="15">
      <c r="A15" s="10" t="inlineStr">
        <is>
          <t>伸縮率上限</t>
        </is>
      </c>
      <c r="B15" s="10" t="inlineStr">
        <is>
          <t>無制限</t>
        </is>
      </c>
    </row>
    <row r="16">
      <c r="A16" s="10" t="inlineStr">
        <is>
          <t>カーブ復元</t>
        </is>
      </c>
      <c r="B16" s="10" t="inlineStr">
        <is>
          <t>月内均等</t>
        </is>
      </c>
    </row>
    <row r="17">
      <c r="A17" s="10" t="inlineStr">
        <is>
          <t>カーブ解像度</t>
        </is>
      </c>
      <c r="B17" s="10" t="n">
        <v>100</v>
      </c>
    </row>
    <row r="18">
      <c r="A18" s="10" t="inlineStr">
        <is>
          <t>人月換算係数</t>
        </is>
      </c>
      <c r="B18" s="10" t="n">
        <v>160</v>
      </c>
    </row>
    <row r="19">
      <c r="A19" s="10" t="inlineStr">
        <is>
          <t>学習案件数</t>
        </is>
      </c>
      <c r="B19" s="10" t="n">
        <v>10</v>
      </c>
    </row>
    <row r="20">
      <c r="A20" s="10" t="inlineStr">
        <is>
          <t>総量の根拠</t>
        </is>
      </c>
      <c r="B20" s="10" t="inlineStr">
        <is>
          <t>契約人月 + 学習比率</t>
        </is>
      </c>
    </row>
    <row r="21">
      <c r="A21" s="10" t="inlineStr">
        <is>
          <t>予測した行程グループ</t>
        </is>
      </c>
      <c r="B21" s="10" t="inlineStr">
        <is>
          <t>企画・プリプロ, ゲームデザイン・シナリオ, プログラム, アート, サウンド, QA・デバッグ, PM・運営</t>
        </is>
      </c>
    </row>
    <row r="22">
      <c r="A22" s="10" t="inlineStr">
        <is>
          <t>除外した行程グループ</t>
        </is>
      </c>
      <c r="B22" s="10" t="inlineStr">
        <is>
          <t>(なし)</t>
        </is>
      </c>
    </row>
    <row r="23">
      <c r="A23" s="10" t="inlineStr">
        <is>
          <t>実装範囲</t>
        </is>
      </c>
      <c r="B23" s="10" t="inlineStr">
        <is>
          <t>実装順序 1〜2(素朴版 + マイルストーン位置合わせ) + 見積もりによる総量指定</t>
        </is>
      </c>
    </row>
    <row r="24">
      <c r="A24" s="10" t="inlineStr">
        <is>
          <t>未使用パラメータ</t>
        </is>
      </c>
      <c r="B24" s="10" t="inlineStr">
        <is>
          <t>k=3.0, タグ重み係数=0.5 (実装順序 3・4 で使用予定)</t>
        </is>
      </c>
    </row>
    <row r="26">
      <c r="A26" s="6" t="inlineStr">
        <is>
          <t>■ 人月換算</t>
        </is>
      </c>
    </row>
    <row r="27">
      <c r="A27" s="2" t="inlineStr">
        <is>
          <t>換算係数</t>
        </is>
      </c>
      <c r="B27" s="4" t="n">
        <v>160</v>
      </c>
      <c r="C27" s="2" t="inlineStr">
        <is>
          <t>時間 / 人月</t>
        </is>
      </c>
    </row>
    <row r="28">
      <c r="A28" s="5" t="inlineStr">
        <is>
          <t>人月の定義は組織によって揺れる。この係数を明記しないまま数字が独り歩きすると議論が噛み合わなくなる(設計書 4-3)。</t>
        </is>
      </c>
    </row>
    <row r="30">
      <c r="A30" s="6" t="inlineStr">
        <is>
          <t>■ 学習に使用した案件と重み</t>
        </is>
      </c>
    </row>
    <row r="31">
      <c r="A31" s="5" t="inlineStr">
        <is>
          <t>第1版(素朴版+位置合わせ)では全案件の重みを 1.0 で固定している。種別・タグによる重み付けは実装順序 3・4 で導入する。</t>
        </is>
      </c>
    </row>
    <row r="32">
      <c r="A32" s="8" t="inlineStr">
        <is>
          <t>案件ID</t>
        </is>
      </c>
      <c r="B32" s="8" t="inlineStr">
        <is>
          <t>名称</t>
        </is>
      </c>
      <c r="C32" s="8" t="inlineStr">
        <is>
          <t>種別</t>
        </is>
      </c>
      <c r="D32" s="8" t="inlineStr">
        <is>
          <t>重み</t>
        </is>
      </c>
      <c r="E32" s="8" t="inlineStr">
        <is>
          <t>契約人月</t>
        </is>
      </c>
      <c r="F32" s="8" t="inlineStr">
        <is>
          <t>実績人月</t>
        </is>
      </c>
      <c r="G32" s="8" t="inlineStr">
        <is>
          <t>乖離率(%)</t>
        </is>
      </c>
      <c r="H32" s="8" t="inlineStr">
        <is>
          <t>期間(月)</t>
        </is>
      </c>
      <c r="I32" s="8" t="inlineStr">
        <is>
          <t>マイルストーン数</t>
        </is>
      </c>
    </row>
    <row r="33">
      <c r="A33" s="10" t="inlineStr">
        <is>
          <t>PJ-2019-A</t>
        </is>
      </c>
      <c r="B33" s="10" t="inlineStr">
        <is>
          <t>蒼穹のレガリア</t>
        </is>
      </c>
      <c r="C33" s="10" t="inlineStr">
        <is>
          <t>新規タイトル開発</t>
        </is>
      </c>
      <c r="D33" s="23" t="n">
        <v>1</v>
      </c>
      <c r="E33" s="12" t="n">
        <v>2400</v>
      </c>
      <c r="F33" s="12" t="n">
        <v>2372.3</v>
      </c>
      <c r="G33" s="10" t="n">
        <v>-1.2</v>
      </c>
      <c r="H33" s="10" t="n">
        <v>36</v>
      </c>
      <c r="I33" s="10" t="n">
        <v>4</v>
      </c>
    </row>
    <row r="34">
      <c r="A34" s="10" t="inlineStr">
        <is>
          <t>PJ-2020-B</t>
        </is>
      </c>
      <c r="B34" s="10" t="inlineStr">
        <is>
          <t>ブレイブフロンティア外伝(後半集中)</t>
        </is>
      </c>
      <c r="C34" s="10" t="inlineStr">
        <is>
          <t>大型アップデート</t>
        </is>
      </c>
      <c r="D34" s="23" t="n">
        <v>1</v>
      </c>
      <c r="E34" s="12" t="n">
        <v>620</v>
      </c>
      <c r="F34" s="12" t="n">
        <v>625.1</v>
      </c>
      <c r="G34" s="10" t="n">
        <v>0.8</v>
      </c>
      <c r="H34" s="10" t="n">
        <v>14</v>
      </c>
      <c r="I34" s="10" t="n">
        <v>3</v>
      </c>
    </row>
    <row r="35">
      <c r="A35" s="10" t="inlineStr">
        <is>
          <t>PJ-2020-C</t>
        </is>
      </c>
      <c r="B35" s="10" t="inlineStr">
        <is>
          <t>クロノスギア(二山)</t>
        </is>
      </c>
      <c r="C35" s="10" t="inlineStr">
        <is>
          <t>新規タイトル開発</t>
        </is>
      </c>
      <c r="D35" s="23" t="n">
        <v>1</v>
      </c>
      <c r="E35" s="12" t="n">
        <v>1800</v>
      </c>
      <c r="F35" s="12" t="n">
        <v>1806.5</v>
      </c>
      <c r="G35" s="10" t="n">
        <v>0.4</v>
      </c>
      <c r="H35" s="10" t="n">
        <v>30</v>
      </c>
      <c r="I35" s="10" t="n">
        <v>4</v>
      </c>
    </row>
    <row r="36">
      <c r="A36" s="10" t="inlineStr">
        <is>
          <t>PJ-2021-D</t>
        </is>
      </c>
      <c r="B36" s="10" t="inlineStr">
        <is>
          <t>蒼穹のレガリア HD Edition(前倒し)</t>
        </is>
      </c>
      <c r="C36" s="10" t="inlineStr">
        <is>
          <t>移植・リマスター</t>
        </is>
      </c>
      <c r="D36" s="23" t="n">
        <v>1</v>
      </c>
      <c r="E36" s="12" t="n">
        <v>520</v>
      </c>
      <c r="F36" s="12" t="n">
        <v>518.2</v>
      </c>
      <c r="G36" s="10" t="n">
        <v>-0.3</v>
      </c>
      <c r="H36" s="10" t="n">
        <v>15</v>
      </c>
      <c r="I36" s="10" t="n">
        <v>3</v>
      </c>
    </row>
    <row r="37">
      <c r="A37" s="10" t="inlineStr">
        <is>
          <t>PJ-2021-E</t>
        </is>
      </c>
      <c r="B37" s="10" t="inlineStr">
        <is>
          <t>シャドウヴェイル</t>
        </is>
      </c>
      <c r="C37" s="10" t="inlineStr">
        <is>
          <t>新規タイトル開発</t>
        </is>
      </c>
      <c r="D37" s="23" t="n">
        <v>1</v>
      </c>
      <c r="E37" s="12" t="n">
        <v>2950</v>
      </c>
      <c r="F37" s="12" t="n">
        <v>3013.4</v>
      </c>
      <c r="G37" s="10" t="n">
        <v>2.2</v>
      </c>
      <c r="H37" s="10" t="n">
        <v>36</v>
      </c>
      <c r="I37" s="10" t="n">
        <v>4</v>
      </c>
    </row>
    <row r="38">
      <c r="A38" s="10" t="inlineStr">
        <is>
          <t>PJ-2022-F</t>
        </is>
      </c>
      <c r="B38" s="10" t="inlineStr">
        <is>
          <t>ネオンハーツ Season2</t>
        </is>
      </c>
      <c r="C38" s="10" t="inlineStr">
        <is>
          <t>大型アップデート</t>
        </is>
      </c>
      <c r="D38" s="23" t="n">
        <v>1</v>
      </c>
      <c r="E38" s="12" t="n">
        <v>880</v>
      </c>
      <c r="F38" s="12" t="n">
        <v>881.8</v>
      </c>
      <c r="G38" s="10" t="n">
        <v>0.2</v>
      </c>
      <c r="H38" s="10" t="n">
        <v>18</v>
      </c>
      <c r="I38" s="10" t="n">
        <v>3</v>
      </c>
    </row>
    <row r="39">
      <c r="A39" s="10" t="inlineStr">
        <is>
          <t>PJ-2022-G</t>
        </is>
      </c>
      <c r="B39" s="10" t="inlineStr">
        <is>
          <t>ギルドマスターズ(前倒し)</t>
        </is>
      </c>
      <c r="C39" s="10" t="inlineStr">
        <is>
          <t>新規タイトル開発</t>
        </is>
      </c>
      <c r="D39" s="23" t="n">
        <v>1</v>
      </c>
      <c r="E39" s="12" t="n">
        <v>1450</v>
      </c>
      <c r="F39" s="12" t="n">
        <v>1461</v>
      </c>
      <c r="G39" s="10" t="n">
        <v>0.8</v>
      </c>
      <c r="H39" s="10" t="n">
        <v>24</v>
      </c>
      <c r="I39" s="10" t="n">
        <v>4</v>
      </c>
    </row>
    <row r="40">
      <c r="A40" s="10" t="inlineStr">
        <is>
          <t>PJ-2023-H</t>
        </is>
      </c>
      <c r="B40" s="10" t="inlineStr">
        <is>
          <t>クロノスギア:蒼き遺産</t>
        </is>
      </c>
      <c r="C40" s="10" t="inlineStr">
        <is>
          <t>大型アップデート</t>
        </is>
      </c>
      <c r="D40" s="23" t="n">
        <v>1</v>
      </c>
      <c r="E40" s="12" t="n">
        <v>1100</v>
      </c>
      <c r="F40" s="12" t="n">
        <v>1104.9</v>
      </c>
      <c r="G40" s="10" t="n">
        <v>0.4</v>
      </c>
      <c r="H40" s="10" t="n">
        <v>20</v>
      </c>
      <c r="I40" s="10" t="n">
        <v>3</v>
      </c>
    </row>
    <row r="41">
      <c r="A41" s="10" t="inlineStr">
        <is>
          <t>PJ-2023-I</t>
        </is>
      </c>
      <c r="B41" s="10" t="inlineStr">
        <is>
          <t>ブレイブフロンティア Remaster</t>
        </is>
      </c>
      <c r="C41" s="10" t="inlineStr">
        <is>
          <t>移植・リマスター</t>
        </is>
      </c>
      <c r="D41" s="23" t="n">
        <v>1</v>
      </c>
      <c r="E41" s="12" t="n">
        <v>700</v>
      </c>
      <c r="F41" s="12" t="n">
        <v>709.7</v>
      </c>
      <c r="G41" s="10" t="n">
        <v>1.4</v>
      </c>
      <c r="H41" s="10" t="n">
        <v>18</v>
      </c>
      <c r="I41" s="10" t="n">
        <v>3</v>
      </c>
    </row>
    <row r="42">
      <c r="A42" s="10" t="inlineStr">
        <is>
          <t>PJ-2024-J</t>
        </is>
      </c>
      <c r="B42" s="10" t="inlineStr">
        <is>
          <t>オーヴァーロード・サーガ(後半集中)</t>
        </is>
      </c>
      <c r="C42" s="10" t="inlineStr">
        <is>
          <t>新規タイトル開発</t>
        </is>
      </c>
      <c r="D42" s="23" t="n">
        <v>1</v>
      </c>
      <c r="E42" s="12" t="n">
        <v>2200</v>
      </c>
      <c r="F42" s="12" t="n">
        <v>2162.6</v>
      </c>
      <c r="G42" s="10" t="n">
        <v>-1.7</v>
      </c>
      <c r="H42" s="10" t="n">
        <v>30</v>
      </c>
      <c r="I42" s="10" t="n">
        <v>4</v>
      </c>
    </row>
    <row r="44">
      <c r="A44" s="6" t="inlineStr">
        <is>
          <t>■ 案件別 × 行程グループ 実績工数(人月)</t>
        </is>
      </c>
    </row>
    <row r="45">
      <c r="A45" s="5" t="inlineStr">
        <is>
          <t>予測と同じ集計(phase_map に載る行程・契約期間内)での実績合計。0 はその案件がその業務を行っていないことを示す。最下行は全案件の合計で、その構成比が学習値そのものではない点に注意(学習は案件ごとの構成比を平均するため、規模の大きい案件に引っ張られない)。</t>
        </is>
      </c>
    </row>
    <row r="47">
      <c r="A47" s="8" t="inlineStr">
        <is>
          <t>案件ID</t>
        </is>
      </c>
      <c r="B47" s="8" t="inlineStr">
        <is>
          <t>名称</t>
        </is>
      </c>
      <c r="C47" s="8" t="inlineStr">
        <is>
          <t>期間(月)</t>
        </is>
      </c>
      <c r="D47" s="8" t="inlineStr">
        <is>
          <t>企画・プリプロ</t>
        </is>
      </c>
      <c r="E47" s="8" t="inlineStr">
        <is>
          <t>ゲームデザイン・シナリオ</t>
        </is>
      </c>
      <c r="F47" s="8" t="inlineStr">
        <is>
          <t>プログラム</t>
        </is>
      </c>
      <c r="G47" s="8" t="inlineStr">
        <is>
          <t>アート</t>
        </is>
      </c>
      <c r="H47" s="8" t="inlineStr">
        <is>
          <t>サウンド</t>
        </is>
      </c>
      <c r="I47" s="8" t="inlineStr">
        <is>
          <t>QA・デバッグ</t>
        </is>
      </c>
      <c r="J47" s="8" t="inlineStr">
        <is>
          <t>PM・運営</t>
        </is>
      </c>
      <c r="K47" s="8" t="inlineStr">
        <is>
          <t>合計</t>
        </is>
      </c>
    </row>
    <row r="48">
      <c r="A48" s="10" t="inlineStr">
        <is>
          <t>PJ-2019-A</t>
        </is>
      </c>
      <c r="B48" s="10" t="inlineStr">
        <is>
          <t>蒼穹のレガリア</t>
        </is>
      </c>
      <c r="C48" s="10" t="n">
        <v>36</v>
      </c>
      <c r="D48" s="19" t="n">
        <v>185</v>
      </c>
      <c r="E48" s="19" t="n">
        <v>297.4</v>
      </c>
      <c r="F48" s="19" t="n">
        <v>589.6</v>
      </c>
      <c r="G48" s="19" t="n">
        <v>772.4</v>
      </c>
      <c r="H48" s="19" t="n">
        <v>119.1</v>
      </c>
      <c r="I48" s="19" t="n">
        <v>272.4</v>
      </c>
      <c r="J48" s="19" t="n">
        <v>136.4</v>
      </c>
      <c r="K48" s="19" t="n">
        <v>2372.3</v>
      </c>
    </row>
    <row r="49">
      <c r="A49" s="10" t="inlineStr">
        <is>
          <t>PJ-2020-B</t>
        </is>
      </c>
      <c r="B49" s="10" t="inlineStr">
        <is>
          <t>ブレイブフロンティア外伝(後半集中)</t>
        </is>
      </c>
      <c r="C49" s="10" t="n">
        <v>14</v>
      </c>
      <c r="D49" s="19" t="n">
        <v>40.2</v>
      </c>
      <c r="E49" s="19" t="n">
        <v>85.5</v>
      </c>
      <c r="F49" s="19" t="n">
        <v>145.7</v>
      </c>
      <c r="G49" s="19" t="n">
        <v>202.1</v>
      </c>
      <c r="H49" s="19" t="n">
        <v>25.6</v>
      </c>
      <c r="I49" s="19" t="n">
        <v>87.59999999999999</v>
      </c>
      <c r="J49" s="19" t="n">
        <v>38.5</v>
      </c>
      <c r="K49" s="19" t="n">
        <v>625.1</v>
      </c>
    </row>
    <row r="50">
      <c r="A50" s="10" t="inlineStr">
        <is>
          <t>PJ-2020-C</t>
        </is>
      </c>
      <c r="B50" s="10" t="inlineStr">
        <is>
          <t>クロノスギア(二山)</t>
        </is>
      </c>
      <c r="C50" s="10" t="n">
        <v>30</v>
      </c>
      <c r="D50" s="19" t="n">
        <v>141.4</v>
      </c>
      <c r="E50" s="19" t="n">
        <v>217.4</v>
      </c>
      <c r="F50" s="19" t="n">
        <v>502.4</v>
      </c>
      <c r="G50" s="19" t="n">
        <v>524.6</v>
      </c>
      <c r="H50" s="19" t="n">
        <v>87.40000000000001</v>
      </c>
      <c r="I50" s="19" t="n">
        <v>225.2</v>
      </c>
      <c r="J50" s="19" t="n">
        <v>108.2</v>
      </c>
      <c r="K50" s="19" t="n">
        <v>1806.5</v>
      </c>
    </row>
    <row r="51">
      <c r="A51" s="10" t="inlineStr">
        <is>
          <t>PJ-2021-D</t>
        </is>
      </c>
      <c r="B51" s="10" t="inlineStr">
        <is>
          <t>蒼穹のレガリア HD Edition(前倒し)</t>
        </is>
      </c>
      <c r="C51" s="10" t="n">
        <v>15</v>
      </c>
      <c r="D51" s="19" t="n">
        <v>19.6</v>
      </c>
      <c r="E51" s="19" t="n">
        <v>24.2</v>
      </c>
      <c r="F51" s="19" t="n">
        <v>211.1</v>
      </c>
      <c r="G51" s="19" t="n">
        <v>127.2</v>
      </c>
      <c r="H51" s="19" t="n">
        <v>14</v>
      </c>
      <c r="I51" s="19" t="n">
        <v>93.2</v>
      </c>
      <c r="J51" s="19" t="n">
        <v>28.8</v>
      </c>
      <c r="K51" s="19" t="n">
        <v>518.2</v>
      </c>
    </row>
    <row r="52">
      <c r="A52" s="10" t="inlineStr">
        <is>
          <t>PJ-2021-E</t>
        </is>
      </c>
      <c r="B52" s="10" t="inlineStr">
        <is>
          <t>シャドウヴェイル</t>
        </is>
      </c>
      <c r="C52" s="10" t="n">
        <v>36</v>
      </c>
      <c r="D52" s="19" t="n">
        <v>251</v>
      </c>
      <c r="E52" s="19" t="n">
        <v>373</v>
      </c>
      <c r="F52" s="19" t="n">
        <v>795.5</v>
      </c>
      <c r="G52" s="19" t="n">
        <v>930.9</v>
      </c>
      <c r="H52" s="19" t="n">
        <v>147.4</v>
      </c>
      <c r="I52" s="19" t="n">
        <v>346.7</v>
      </c>
      <c r="J52" s="19" t="n">
        <v>168.9</v>
      </c>
      <c r="K52" s="19" t="n">
        <v>3013.4</v>
      </c>
    </row>
    <row r="53">
      <c r="A53" s="10" t="inlineStr">
        <is>
          <t>PJ-2022-F</t>
        </is>
      </c>
      <c r="B53" s="10" t="inlineStr">
        <is>
          <t>ネオンハーツ Season2</t>
        </is>
      </c>
      <c r="C53" s="10" t="n">
        <v>18</v>
      </c>
      <c r="D53" s="19" t="n">
        <v>51.8</v>
      </c>
      <c r="E53" s="19" t="n">
        <v>129.1</v>
      </c>
      <c r="F53" s="19" t="n">
        <v>204.3</v>
      </c>
      <c r="G53" s="19" t="n">
        <v>286.5</v>
      </c>
      <c r="H53" s="19" t="n">
        <v>37.3</v>
      </c>
      <c r="I53" s="19" t="n">
        <v>124.6</v>
      </c>
      <c r="J53" s="19" t="n">
        <v>48.2</v>
      </c>
      <c r="K53" s="19" t="n">
        <v>881.8</v>
      </c>
    </row>
    <row r="54">
      <c r="A54" s="10" t="inlineStr">
        <is>
          <t>PJ-2022-G</t>
        </is>
      </c>
      <c r="B54" s="10" t="inlineStr">
        <is>
          <t>ギルドマスターズ(前倒し)</t>
        </is>
      </c>
      <c r="C54" s="10" t="n">
        <v>24</v>
      </c>
      <c r="D54" s="19" t="n">
        <v>123.2</v>
      </c>
      <c r="E54" s="19" t="n">
        <v>170</v>
      </c>
      <c r="F54" s="19" t="n">
        <v>392.3</v>
      </c>
      <c r="G54" s="19" t="n">
        <v>446</v>
      </c>
      <c r="H54" s="19" t="n">
        <v>71.7</v>
      </c>
      <c r="I54" s="19" t="n">
        <v>171.6</v>
      </c>
      <c r="J54" s="19" t="n">
        <v>86.40000000000001</v>
      </c>
      <c r="K54" s="19" t="n">
        <v>1461</v>
      </c>
    </row>
    <row r="55">
      <c r="A55" s="10" t="inlineStr">
        <is>
          <t>PJ-2023-H</t>
        </is>
      </c>
      <c r="B55" s="10" t="inlineStr">
        <is>
          <t>クロノスギア:蒼き遺産</t>
        </is>
      </c>
      <c r="C55" s="10" t="n">
        <v>20</v>
      </c>
      <c r="D55" s="19" t="n">
        <v>61.4</v>
      </c>
      <c r="E55" s="19" t="n">
        <v>155.3</v>
      </c>
      <c r="F55" s="19" t="n">
        <v>260.3</v>
      </c>
      <c r="G55" s="19" t="n">
        <v>371</v>
      </c>
      <c r="H55" s="19" t="n">
        <v>40.6</v>
      </c>
      <c r="I55" s="19" t="n">
        <v>150.1</v>
      </c>
      <c r="J55" s="19" t="n">
        <v>66.3</v>
      </c>
      <c r="K55" s="19" t="n">
        <v>1104.9</v>
      </c>
    </row>
    <row r="56">
      <c r="A56" s="10" t="inlineStr">
        <is>
          <t>PJ-2023-I</t>
        </is>
      </c>
      <c r="B56" s="10" t="inlineStr">
        <is>
          <t>ブレイブフロンティア Remaster</t>
        </is>
      </c>
      <c r="C56" s="10" t="n">
        <v>18</v>
      </c>
      <c r="D56" s="19" t="n">
        <v>29.2</v>
      </c>
      <c r="E56" s="19" t="n">
        <v>34.4</v>
      </c>
      <c r="F56" s="19" t="n">
        <v>308.5</v>
      </c>
      <c r="G56" s="19" t="n">
        <v>171.1</v>
      </c>
      <c r="H56" s="19" t="n">
        <v>20.9</v>
      </c>
      <c r="I56" s="19" t="n">
        <v>106.1</v>
      </c>
      <c r="J56" s="19" t="n">
        <v>39.5</v>
      </c>
      <c r="K56" s="19" t="n">
        <v>709.7</v>
      </c>
    </row>
    <row r="57">
      <c r="A57" s="10" t="inlineStr">
        <is>
          <t>PJ-2024-J</t>
        </is>
      </c>
      <c r="B57" s="10" t="inlineStr">
        <is>
          <t>オーヴァーロード・サーガ(後半集中)</t>
        </is>
      </c>
      <c r="C57" s="10" t="n">
        <v>30</v>
      </c>
      <c r="D57" s="19" t="n">
        <v>153.8</v>
      </c>
      <c r="E57" s="19" t="n">
        <v>254</v>
      </c>
      <c r="F57" s="19" t="n">
        <v>600.1</v>
      </c>
      <c r="G57" s="19" t="n">
        <v>658.4</v>
      </c>
      <c r="H57" s="19" t="n">
        <v>122.6</v>
      </c>
      <c r="I57" s="19" t="n">
        <v>234.8</v>
      </c>
      <c r="J57" s="19" t="n">
        <v>138.9</v>
      </c>
      <c r="K57" s="19" t="n">
        <v>2162.6</v>
      </c>
    </row>
    <row r="58">
      <c r="A58" s="10" t="inlineStr">
        <is>
          <t>合計</t>
        </is>
      </c>
      <c r="B58" s="10" t="inlineStr"/>
      <c r="C58" s="10" t="n"/>
      <c r="D58" s="19" t="n">
        <v>1056.6</v>
      </c>
      <c r="E58" s="19" t="n">
        <v>1740.3</v>
      </c>
      <c r="F58" s="19" t="n">
        <v>4009.8</v>
      </c>
      <c r="G58" s="19" t="n">
        <v>4490.2</v>
      </c>
      <c r="H58" s="19" t="n">
        <v>686.6</v>
      </c>
      <c r="I58" s="19" t="n">
        <v>1812.3</v>
      </c>
      <c r="J58" s="19" t="n">
        <v>860.1</v>
      </c>
      <c r="K58" s="19" t="n">
        <v>14655.5</v>
      </c>
    </row>
    <row r="59">
      <c r="A59" s="10" t="inlineStr">
        <is>
          <t>構成比</t>
        </is>
      </c>
      <c r="B59" s="10" t="inlineStr">
        <is>
          <t>(全案件の単純合計)</t>
        </is>
      </c>
      <c r="C59" s="10" t="n"/>
      <c r="D59" s="17" t="n">
        <v>0.0721</v>
      </c>
      <c r="E59" s="17" t="n">
        <v>0.1187</v>
      </c>
      <c r="F59" s="17" t="n">
        <v>0.2736</v>
      </c>
      <c r="G59" s="17" t="n">
        <v>0.3064</v>
      </c>
      <c r="H59" s="17" t="n">
        <v>0.0468</v>
      </c>
      <c r="I59" s="17" t="n">
        <v>0.1237</v>
      </c>
      <c r="J59" s="17" t="n">
        <v>0.0587</v>
      </c>
      <c r="K59" s="17" t="n">
        <v>1</v>
      </c>
    </row>
    <row r="61">
      <c r="A61" s="6" t="inlineStr">
        <is>
          <t>■ マイルストーン位置分布(学習値)</t>
        </is>
      </c>
    </row>
    <row r="62">
      <c r="A62" s="8" t="inlineStr">
        <is>
          <t>マイルストーン名</t>
        </is>
      </c>
      <c r="B62" s="8" t="inlineStr">
        <is>
          <t>平均位置</t>
        </is>
      </c>
      <c r="C62" s="8" t="inlineStr">
        <is>
          <t>標準偏差</t>
        </is>
      </c>
      <c r="D62" s="8" t="inlineStr">
        <is>
          <t>件数</t>
        </is>
      </c>
      <c r="E62" s="8" t="inlineStr">
        <is>
          <t>背骨</t>
        </is>
      </c>
    </row>
    <row r="63">
      <c r="A63" s="10" t="inlineStr">
        <is>
          <t>プロトタイプ</t>
        </is>
      </c>
      <c r="B63" s="21" t="n">
        <v>0.2221532959371338</v>
      </c>
      <c r="C63" s="21" t="n">
        <v>0.03637563642833318</v>
      </c>
      <c r="D63" s="10" t="n">
        <v>5</v>
      </c>
      <c r="E63" s="10" t="inlineStr"/>
    </row>
    <row r="64">
      <c r="A64" s="10" t="inlineStr">
        <is>
          <t>α版</t>
        </is>
      </c>
      <c r="B64" s="21" t="n">
        <v>0.4953098864353987</v>
      </c>
      <c r="C64" s="21" t="n">
        <v>0.05533379643187637</v>
      </c>
      <c r="D64" s="10" t="n">
        <v>10</v>
      </c>
      <c r="E64" s="10" t="inlineStr">
        <is>
          <t>○</t>
        </is>
      </c>
    </row>
    <row r="65">
      <c r="A65" s="10" t="inlineStr">
        <is>
          <t>β版</t>
        </is>
      </c>
      <c r="B65" s="21" t="n">
        <v>0.7386599587169929</v>
      </c>
      <c r="C65" s="21" t="n">
        <v>0.05597108196235069</v>
      </c>
      <c r="D65" s="10" t="n">
        <v>10</v>
      </c>
      <c r="E65" s="10" t="inlineStr">
        <is>
          <t>○</t>
        </is>
      </c>
    </row>
    <row r="66">
      <c r="A66" s="10" t="inlineStr">
        <is>
          <t>マスターアップ</t>
        </is>
      </c>
      <c r="B66" s="21" t="n">
        <v>0.9205380919958953</v>
      </c>
      <c r="C66" s="21" t="n">
        <v>0.01700127379121672</v>
      </c>
      <c r="D66" s="10" t="n">
        <v>10</v>
      </c>
      <c r="E66" s="10" t="inlineStr">
        <is>
          <t>○</t>
        </is>
      </c>
    </row>
    <row r="68">
      <c r="A68" s="6" t="inlineStr">
        <is>
          <t>■ 行程グループ別 工数比率(学習値)</t>
        </is>
      </c>
    </row>
    <row r="69">
      <c r="A69" s="5" t="inlineStr">
        <is>
          <t>件数 = そのグループの形状カーブの学習に参加した案件数。そのグループの業務が無い案件は形の平均に参加しないため、件数が少ないカーブは参考値として扱うこと。比率のほうは業務が無い案件も0として平均に含めている。</t>
        </is>
      </c>
    </row>
    <row r="70">
      <c r="A70" s="8" t="inlineStr">
        <is>
          <t>行程グループ</t>
        </is>
      </c>
      <c r="B70" s="8" t="inlineStr">
        <is>
          <t>比率</t>
        </is>
      </c>
      <c r="C70" s="8" t="inlineStr">
        <is>
          <t>件数</t>
        </is>
      </c>
    </row>
    <row r="71">
      <c r="A71" s="10" t="inlineStr">
        <is>
          <t>企画・プリプロ</t>
        </is>
      </c>
      <c r="B71" s="13" t="n">
        <v>0.06524885174932314</v>
      </c>
      <c r="C71" s="11" t="n">
        <v>10</v>
      </c>
    </row>
    <row r="72">
      <c r="A72" s="10" t="inlineStr">
        <is>
          <t>ゲームデザイン・シナリオ</t>
        </is>
      </c>
      <c r="B72" s="13" t="n">
        <v>0.1122043113713705</v>
      </c>
      <c r="C72" s="11" t="n">
        <v>10</v>
      </c>
    </row>
    <row r="73">
      <c r="A73" s="10" t="inlineStr">
        <is>
          <t>プログラム</t>
        </is>
      </c>
      <c r="B73" s="13" t="n">
        <v>0.2879091969215787</v>
      </c>
      <c r="C73" s="11" t="n">
        <v>10</v>
      </c>
    </row>
    <row r="74">
      <c r="A74" s="10" t="inlineStr">
        <is>
          <t>アート</t>
        </is>
      </c>
      <c r="B74" s="13" t="n">
        <v>0.3005002389104883</v>
      </c>
      <c r="C74" s="11" t="n">
        <v>10</v>
      </c>
    </row>
    <row r="75">
      <c r="A75" s="10" t="inlineStr">
        <is>
          <t>サウンド</t>
        </is>
      </c>
      <c r="B75" s="13" t="n">
        <v>0.04298558319794448</v>
      </c>
      <c r="C75" s="11" t="n">
        <v>10</v>
      </c>
    </row>
    <row r="76">
      <c r="A76" s="10" t="inlineStr">
        <is>
          <t>QA・デバッグ</t>
        </is>
      </c>
      <c r="B76" s="13" t="n">
        <v>0.1327188838365589</v>
      </c>
      <c r="C76" s="11" t="n">
        <v>10</v>
      </c>
    </row>
    <row r="77">
      <c r="A77" s="10" t="inlineStr">
        <is>
          <t>PM・運営</t>
        </is>
      </c>
      <c r="B77" s="13" t="n">
        <v>0.05843293401273604</v>
      </c>
      <c r="C77" s="11" t="n">
        <v>10</v>
      </c>
    </row>
    <row r="79">
      <c r="A79" s="6" t="inlineStr">
        <is>
          <t>■ 警告</t>
        </is>
      </c>
    </row>
    <row r="80">
      <c r="A80" s="24" t="inlineStr">
        <is>
          <t>⚠ マイルストーン「プロトタイプ」はカバー率 5/10 が閾値 60% 未満のため位置合わせには使っていない。</t>
        </is>
      </c>
    </row>
  </sheetData>
  <printOptions horizontalCentered="0"/>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2026-09-03T10:42:05Z</dcterms:created>
  <dcterms:modified xsi:type="dcterms:W3CDTF">2026-09-03T10:42:05Z</dcterms:modified>
</cp:coreProperties>
</file>