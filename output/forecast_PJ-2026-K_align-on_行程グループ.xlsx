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条件"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工数密度カーブ(非累積・太線=平均)</a:t>
            </a:r>
          </a:p>
        </rich>
      </tx>
    </title>
    <plotArea>
      <lineChart>
        <grouping val="standard"/>
        <ser>
          <idx val="0"/>
          <order val="0"/>
          <tx>
            <strRef>
              <f>'カーブ'!B133</f>
            </strRef>
          </tx>
          <spPr>
            <a:ln>
              <a:prstDash val="solid"/>
            </a:ln>
          </spPr>
          <marker>
            <symbol val="none"/>
            <spPr>
              <a:ln>
                <a:prstDash val="solid"/>
              </a:ln>
            </spPr>
          </marker>
          <cat>
            <numRef>
              <f>'カーブ'!$A$134:$A$233</f>
            </numRef>
          </cat>
          <val>
            <numRef>
              <f>'カーブ'!$B$134:$B$233</f>
            </numRef>
          </val>
          <smooth val="0"/>
        </ser>
        <ser>
          <idx val="1"/>
          <order val="1"/>
          <tx>
            <strRef>
              <f>'カーブ'!C133</f>
            </strRef>
          </tx>
          <spPr>
            <a:ln>
              <a:prstDash val="solid"/>
            </a:ln>
          </spPr>
          <marker>
            <symbol val="none"/>
            <spPr>
              <a:ln>
                <a:prstDash val="solid"/>
              </a:ln>
            </spPr>
          </marker>
          <cat>
            <numRef>
              <f>'カーブ'!$A$134:$A$233</f>
            </numRef>
          </cat>
          <val>
            <numRef>
              <f>'カーブ'!$C$134:$C$233</f>
            </numRef>
          </val>
          <smooth val="0"/>
        </ser>
        <ser>
          <idx val="2"/>
          <order val="2"/>
          <tx>
            <strRef>
              <f>'カーブ'!D133</f>
            </strRef>
          </tx>
          <spPr>
            <a:ln>
              <a:prstDash val="solid"/>
            </a:ln>
          </spPr>
          <marker>
            <symbol val="none"/>
            <spPr>
              <a:ln>
                <a:prstDash val="solid"/>
              </a:ln>
            </spPr>
          </marker>
          <cat>
            <numRef>
              <f>'カーブ'!$A$134:$A$233</f>
            </numRef>
          </cat>
          <val>
            <numRef>
              <f>'カーブ'!$D$134:$D$233</f>
            </numRef>
          </val>
          <smooth val="0"/>
        </ser>
        <ser>
          <idx val="3"/>
          <order val="3"/>
          <tx>
            <strRef>
              <f>'カーブ'!E133</f>
            </strRef>
          </tx>
          <spPr>
            <a:ln>
              <a:prstDash val="solid"/>
            </a:ln>
          </spPr>
          <marker>
            <symbol val="none"/>
            <spPr>
              <a:ln>
                <a:prstDash val="solid"/>
              </a:ln>
            </spPr>
          </marker>
          <cat>
            <numRef>
              <f>'カーブ'!$A$134:$A$233</f>
            </numRef>
          </cat>
          <val>
            <numRef>
              <f>'カーブ'!$E$134:$E$233</f>
            </numRef>
          </val>
          <smooth val="0"/>
        </ser>
        <ser>
          <idx val="4"/>
          <order val="4"/>
          <tx>
            <strRef>
              <f>'カーブ'!F133</f>
            </strRef>
          </tx>
          <spPr>
            <a:ln>
              <a:prstDash val="solid"/>
            </a:ln>
          </spPr>
          <marker>
            <symbol val="none"/>
            <spPr>
              <a:ln>
                <a:prstDash val="solid"/>
              </a:ln>
            </spPr>
          </marker>
          <cat>
            <numRef>
              <f>'カーブ'!$A$134:$A$233</f>
            </numRef>
          </cat>
          <val>
            <numRef>
              <f>'カーブ'!$F$134:$F$233</f>
            </numRef>
          </val>
          <smooth val="0"/>
        </ser>
        <ser>
          <idx val="5"/>
          <order val="5"/>
          <tx>
            <strRef>
              <f>'カーブ'!G133</f>
            </strRef>
          </tx>
          <spPr>
            <a:ln>
              <a:prstDash val="solid"/>
            </a:ln>
          </spPr>
          <marker>
            <symbol val="none"/>
            <spPr>
              <a:ln>
                <a:prstDash val="solid"/>
              </a:ln>
            </spPr>
          </marker>
          <cat>
            <numRef>
              <f>'カーブ'!$A$134:$A$233</f>
            </numRef>
          </cat>
          <val>
            <numRef>
              <f>'カーブ'!$G$134:$G$233</f>
            </numRef>
          </val>
          <smooth val="0"/>
        </ser>
        <ser>
          <idx val="6"/>
          <order val="6"/>
          <tx>
            <strRef>
              <f>'カーブ'!H133</f>
            </strRef>
          </tx>
          <spPr>
            <a:ln>
              <a:prstDash val="solid"/>
            </a:ln>
          </spPr>
          <marker>
            <symbol val="none"/>
            <spPr>
              <a:ln>
                <a:prstDash val="solid"/>
              </a:ln>
            </spPr>
          </marker>
          <cat>
            <numRef>
              <f>'カーブ'!$A$134:$A$233</f>
            </numRef>
          </cat>
          <val>
            <numRef>
              <f>'カーブ'!$H$134:$H$233</f>
            </numRef>
          </val>
          <smooth val="0"/>
        </ser>
        <ser>
          <idx val="7"/>
          <order val="7"/>
          <tx>
            <strRef>
              <f>'カーブ'!I133</f>
            </strRef>
          </tx>
          <spPr>
            <a:ln>
              <a:prstDash val="solid"/>
            </a:ln>
          </spPr>
          <marker>
            <symbol val="none"/>
            <spPr>
              <a:ln>
                <a:prstDash val="solid"/>
              </a:ln>
            </spPr>
          </marker>
          <cat>
            <numRef>
              <f>'カーブ'!$A$134:$A$233</f>
            </numRef>
          </cat>
          <val>
            <numRef>
              <f>'カーブ'!$I$134:$I$233</f>
            </numRef>
          </val>
          <smooth val="0"/>
        </ser>
        <ser>
          <idx val="8"/>
          <order val="8"/>
          <tx>
            <strRef>
              <f>'カーブ'!J133</f>
            </strRef>
          </tx>
          <spPr>
            <a:ln>
              <a:prstDash val="solid"/>
            </a:ln>
          </spPr>
          <marker>
            <symbol val="none"/>
            <spPr>
              <a:ln>
                <a:prstDash val="solid"/>
              </a:ln>
            </spPr>
          </marker>
          <cat>
            <numRef>
              <f>'カーブ'!$A$134:$A$233</f>
            </numRef>
          </cat>
          <val>
            <numRef>
              <f>'カーブ'!$J$134:$J$233</f>
            </numRef>
          </val>
          <smooth val="0"/>
        </ser>
        <ser>
          <idx val="9"/>
          <order val="9"/>
          <tx>
            <strRef>
              <f>'カーブ'!K133</f>
            </strRef>
          </tx>
          <spPr>
            <a:ln>
              <a:prstDash val="solid"/>
            </a:ln>
          </spPr>
          <marker>
            <symbol val="none"/>
            <spPr>
              <a:ln>
                <a:prstDash val="solid"/>
              </a:ln>
            </spPr>
          </marker>
          <cat>
            <numRef>
              <f>'カーブ'!$A$134:$A$233</f>
            </numRef>
          </cat>
          <val>
            <numRef>
              <f>'カーブ'!$K$134:$K$233</f>
            </numRef>
          </val>
          <smooth val="0"/>
        </ser>
        <ser>
          <idx val="10"/>
          <order val="10"/>
          <tx>
            <strRef>
              <f>'カーブ'!L133</f>
            </strRef>
          </tx>
          <spPr>
            <a:ln>
              <a:prstDash val="solid"/>
            </a:ln>
          </spPr>
          <marker>
            <symbol val="none"/>
            <spPr>
              <a:ln>
                <a:prstDash val="solid"/>
              </a:ln>
            </spPr>
          </marker>
          <cat>
            <numRef>
              <f>'カーブ'!$A$134:$A$233</f>
            </numRef>
          </cat>
          <val>
            <numRef>
              <f>'カーブ'!$L$134:$L$233</f>
            </numRef>
          </val>
          <smooth val="0"/>
        </ser>
        <ser>
          <idx val="11"/>
          <order val="11"/>
          <tx>
            <strRef>
              <f>'カーブ'!M133</f>
            </strRef>
          </tx>
          <spPr>
            <a:ln>
              <a:prstDash val="solid"/>
            </a:ln>
          </spPr>
          <marker>
            <symbol val="none"/>
            <spPr>
              <a:ln>
                <a:prstDash val="solid"/>
              </a:ln>
            </spPr>
          </marker>
          <cat>
            <numRef>
              <f>'カーブ'!$A$134:$A$233</f>
            </numRef>
          </cat>
          <val>
            <numRef>
              <f>'カーブ'!$M$134:$M$233</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'カーブ'!B259</f>
            </strRef>
          </tx>
          <spPr>
            <a:ln>
              <a:prstDash val="solid"/>
            </a:ln>
          </spPr>
          <marker>
            <symbol val="none"/>
            <spPr>
              <a:ln>
                <a:prstDash val="solid"/>
              </a:ln>
            </spPr>
          </marker>
          <cat>
            <numRef>
              <f>'カーブ'!$A$260:$A$359</f>
            </numRef>
          </cat>
          <val>
            <numRef>
              <f>'カーブ'!$B$260:$B$359</f>
            </numRef>
          </val>
        </ser>
        <ser>
          <idx val="1"/>
          <order val="1"/>
          <tx>
            <strRef>
              <f>'カーブ'!C259</f>
            </strRef>
          </tx>
          <spPr>
            <a:ln>
              <a:prstDash val="solid"/>
            </a:ln>
          </spPr>
          <marker>
            <symbol val="none"/>
            <spPr>
              <a:ln>
                <a:prstDash val="solid"/>
              </a:ln>
            </spPr>
          </marker>
          <cat>
            <numRef>
              <f>'カーブ'!$A$260:$A$359</f>
            </numRef>
          </cat>
          <val>
            <numRef>
              <f>'カーブ'!$C$260:$C$359</f>
            </numRef>
          </val>
        </ser>
        <ser>
          <idx val="2"/>
          <order val="2"/>
          <tx>
            <strRef>
              <f>'カーブ'!D259</f>
            </strRef>
          </tx>
          <spPr>
            <a:ln>
              <a:prstDash val="solid"/>
            </a:ln>
          </spPr>
          <marker>
            <symbol val="none"/>
            <spPr>
              <a:ln>
                <a:prstDash val="solid"/>
              </a:ln>
            </spPr>
          </marker>
          <cat>
            <numRef>
              <f>'カーブ'!$A$260:$A$359</f>
            </numRef>
          </cat>
          <val>
            <numRef>
              <f>'カーブ'!$D$260:$D$359</f>
            </numRef>
          </val>
        </ser>
        <ser>
          <idx val="3"/>
          <order val="3"/>
          <tx>
            <strRef>
              <f>'カーブ'!E259</f>
            </strRef>
          </tx>
          <spPr>
            <a:ln>
              <a:prstDash val="solid"/>
            </a:ln>
          </spPr>
          <marker>
            <symbol val="none"/>
            <spPr>
              <a:ln>
                <a:prstDash val="solid"/>
              </a:ln>
            </spPr>
          </marker>
          <cat>
            <numRef>
              <f>'カーブ'!$A$260:$A$359</f>
            </numRef>
          </cat>
          <val>
            <numRef>
              <f>'カーブ'!$E$260:$E$359</f>
            </numRef>
          </val>
        </ser>
        <ser>
          <idx val="4"/>
          <order val="4"/>
          <tx>
            <strRef>
              <f>'カーブ'!F259</f>
            </strRef>
          </tx>
          <spPr>
            <a:ln>
              <a:prstDash val="solid"/>
            </a:ln>
          </spPr>
          <marker>
            <symbol val="none"/>
            <spPr>
              <a:ln>
                <a:prstDash val="solid"/>
              </a:ln>
            </spPr>
          </marker>
          <cat>
            <numRef>
              <f>'カーブ'!$A$260:$A$359</f>
            </numRef>
          </cat>
          <val>
            <numRef>
              <f>'カーブ'!$F$260:$F$359</f>
            </numRef>
          </val>
        </ser>
        <ser>
          <idx val="5"/>
          <order val="5"/>
          <tx>
            <strRef>
              <f>'カーブ'!G259</f>
            </strRef>
          </tx>
          <spPr>
            <a:ln>
              <a:prstDash val="solid"/>
            </a:ln>
          </spPr>
          <marker>
            <symbol val="none"/>
            <spPr>
              <a:ln>
                <a:prstDash val="solid"/>
              </a:ln>
            </spPr>
          </marker>
          <cat>
            <numRef>
              <f>'カーブ'!$A$260:$A$359</f>
            </numRef>
          </cat>
          <val>
            <numRef>
              <f>'カーブ'!$G$260:$G$359</f>
            </numRef>
          </val>
        </ser>
        <ser>
          <idx val="6"/>
          <order val="6"/>
          <tx>
            <strRef>
              <f>'カーブ'!H259</f>
            </strRef>
          </tx>
          <spPr>
            <a:ln>
              <a:prstDash val="solid"/>
            </a:ln>
          </spPr>
          <marker>
            <symbol val="none"/>
            <spPr>
              <a:ln>
                <a:prstDash val="solid"/>
              </a:ln>
            </spPr>
          </marker>
          <cat>
            <numRef>
              <f>'カーブ'!$A$260:$A$359</f>
            </numRef>
          </cat>
          <val>
            <numRef>
              <f>'カーブ'!$H$260:$H$359</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132</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258</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K85"/>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2026-09-03 10:29</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3045.7</v>
      </c>
      <c r="D12" s="12" t="n">
        <v>926.3</v>
      </c>
      <c r="E12" s="12" t="n">
        <v>418.2</v>
      </c>
      <c r="F12" s="12" t="n">
        <v>180.3</v>
      </c>
      <c r="G12" s="12" t="n">
        <v>0.6</v>
      </c>
      <c r="H12" s="12" t="n">
        <v>0</v>
      </c>
      <c r="I12" s="12" t="n">
        <v>337.5</v>
      </c>
      <c r="J12" s="12">
        <f>SUM(C12:I12)</f>
        <v/>
      </c>
      <c r="K12" s="13">
        <f>SUM($J$12:J12)/$J$38</f>
        <v/>
      </c>
    </row>
    <row r="13">
      <c r="A13" s="10" t="inlineStr">
        <is>
          <t>2026-08</t>
        </is>
      </c>
      <c r="B13" s="11" t="n">
        <v>2</v>
      </c>
      <c r="C13" s="12" t="n">
        <v>2781</v>
      </c>
      <c r="D13" s="12" t="n">
        <v>1416.4</v>
      </c>
      <c r="E13" s="12" t="n">
        <v>930.4</v>
      </c>
      <c r="F13" s="12" t="n">
        <v>566.1</v>
      </c>
      <c r="G13" s="12" t="n">
        <v>11.2</v>
      </c>
      <c r="H13" s="12" t="n">
        <v>0</v>
      </c>
      <c r="I13" s="12" t="n">
        <v>487.6</v>
      </c>
      <c r="J13" s="12">
        <f>SUM(C13:I13)</f>
        <v/>
      </c>
      <c r="K13" s="13">
        <f>SUM($J$12:J13)/$J$38</f>
        <v/>
      </c>
    </row>
    <row r="14">
      <c r="A14" s="10" t="inlineStr">
        <is>
          <t>2026-09</t>
        </is>
      </c>
      <c r="B14" s="11" t="n">
        <v>3</v>
      </c>
      <c r="C14" s="12" t="n">
        <v>2387.4</v>
      </c>
      <c r="D14" s="12" t="n">
        <v>1579.8</v>
      </c>
      <c r="E14" s="12" t="n">
        <v>1253.1</v>
      </c>
      <c r="F14" s="12" t="n">
        <v>901.8</v>
      </c>
      <c r="G14" s="12" t="n">
        <v>26.7</v>
      </c>
      <c r="H14" s="12" t="n">
        <v>1.9</v>
      </c>
      <c r="I14" s="12" t="n">
        <v>548.2</v>
      </c>
      <c r="J14" s="12">
        <f>SUM(C14:I14)</f>
        <v/>
      </c>
      <c r="K14" s="13">
        <f>SUM($J$12:J14)/$J$38</f>
        <v/>
      </c>
    </row>
    <row r="15">
      <c r="A15" s="10" t="inlineStr">
        <is>
          <t>2026-10</t>
        </is>
      </c>
      <c r="B15" s="11" t="n">
        <v>4</v>
      </c>
      <c r="C15" s="12" t="n">
        <v>2150.3</v>
      </c>
      <c r="D15" s="12" t="n">
        <v>1850.7</v>
      </c>
      <c r="E15" s="12" t="n">
        <v>1774.6</v>
      </c>
      <c r="F15" s="12" t="n">
        <v>1397.8</v>
      </c>
      <c r="G15" s="12" t="n">
        <v>55</v>
      </c>
      <c r="H15" s="12" t="n">
        <v>9.9</v>
      </c>
      <c r="I15" s="12" t="n">
        <v>630.4</v>
      </c>
      <c r="J15" s="12">
        <f>SUM(C15:I15)</f>
        <v/>
      </c>
      <c r="K15" s="13">
        <f>SUM($J$12:J15)/$J$38</f>
        <v/>
      </c>
    </row>
    <row r="16">
      <c r="A16" s="10" t="inlineStr">
        <is>
          <t>2026-11</t>
        </is>
      </c>
      <c r="B16" s="11" t="n">
        <v>5</v>
      </c>
      <c r="C16" s="12" t="n">
        <v>1716.4</v>
      </c>
      <c r="D16" s="12" t="n">
        <v>1751.5</v>
      </c>
      <c r="E16" s="12" t="n">
        <v>2084.9</v>
      </c>
      <c r="F16" s="12" t="n">
        <v>1665.7</v>
      </c>
      <c r="G16" s="12" t="n">
        <v>88.40000000000001</v>
      </c>
      <c r="H16" s="12" t="n">
        <v>21.5</v>
      </c>
      <c r="I16" s="12" t="n">
        <v>649.4</v>
      </c>
      <c r="J16" s="12">
        <f>SUM(C16:I16)</f>
        <v/>
      </c>
      <c r="K16" s="13">
        <f>SUM($J$12:J16)/$J$38</f>
        <v/>
      </c>
    </row>
    <row r="17">
      <c r="A17" s="10" t="inlineStr">
        <is>
          <t>2026-12</t>
        </is>
      </c>
      <c r="B17" s="11" t="n">
        <v>6</v>
      </c>
      <c r="C17" s="12" t="n">
        <v>1554.8</v>
      </c>
      <c r="D17" s="12" t="n">
        <v>1847.8</v>
      </c>
      <c r="E17" s="12" t="n">
        <v>2415.7</v>
      </c>
      <c r="F17" s="12" t="n">
        <v>2091.3</v>
      </c>
      <c r="G17" s="12" t="n">
        <v>126.6</v>
      </c>
      <c r="H17" s="12" t="n">
        <v>40.5</v>
      </c>
      <c r="I17" s="12" t="n">
        <v>670.9</v>
      </c>
      <c r="J17" s="12">
        <f>SUM(C17:I17)</f>
        <v/>
      </c>
      <c r="K17" s="13">
        <f>SUM($J$12:J17)/$J$38</f>
        <v/>
      </c>
    </row>
    <row r="18">
      <c r="A18" s="10" t="inlineStr">
        <is>
          <t>2027-01</t>
        </is>
      </c>
      <c r="B18" s="11" t="n">
        <v>7</v>
      </c>
      <c r="C18" s="12" t="n">
        <v>1318.3</v>
      </c>
      <c r="D18" s="12" t="n">
        <v>2032.9</v>
      </c>
      <c r="E18" s="12" t="n">
        <v>2890.8</v>
      </c>
      <c r="F18" s="12" t="n">
        <v>2622.6</v>
      </c>
      <c r="G18" s="12" t="n">
        <v>183</v>
      </c>
      <c r="H18" s="12" t="n">
        <v>75.59999999999999</v>
      </c>
      <c r="I18" s="12" t="n">
        <v>742.8</v>
      </c>
      <c r="J18" s="12">
        <f>SUM(C18:I18)</f>
        <v/>
      </c>
      <c r="K18" s="13">
        <f>SUM($J$12:J18)/$J$38</f>
        <v/>
      </c>
    </row>
    <row r="19">
      <c r="A19" s="10" t="inlineStr">
        <is>
          <t>2027-02</t>
        </is>
      </c>
      <c r="B19" s="11" t="n">
        <v>8</v>
      </c>
      <c r="C19" s="12" t="n">
        <v>1042.2</v>
      </c>
      <c r="D19" s="12" t="n">
        <v>1899.6</v>
      </c>
      <c r="E19" s="12" t="n">
        <v>3110.4</v>
      </c>
      <c r="F19" s="12" t="n">
        <v>2857</v>
      </c>
      <c r="G19" s="12" t="n">
        <v>221.3</v>
      </c>
      <c r="H19" s="12" t="n">
        <v>113.1</v>
      </c>
      <c r="I19" s="12" t="n">
        <v>704.5</v>
      </c>
      <c r="J19" s="12">
        <f>SUM(C19:I19)</f>
        <v/>
      </c>
      <c r="K19" s="13">
        <f>SUM($J$12:J19)/$J$38</f>
        <v/>
      </c>
    </row>
    <row r="20">
      <c r="A20" s="10" t="inlineStr">
        <is>
          <t>2027-03</t>
        </is>
      </c>
      <c r="B20" s="11" t="n">
        <v>9</v>
      </c>
      <c r="C20" s="12" t="n">
        <v>1044.7</v>
      </c>
      <c r="D20" s="12" t="n">
        <v>2306.6</v>
      </c>
      <c r="E20" s="12" t="n">
        <v>4294</v>
      </c>
      <c r="F20" s="12" t="n">
        <v>3728.5</v>
      </c>
      <c r="G20" s="12" t="n">
        <v>299.3</v>
      </c>
      <c r="H20" s="12" t="n">
        <v>176.9</v>
      </c>
      <c r="I20" s="12" t="n">
        <v>844.7</v>
      </c>
      <c r="J20" s="12">
        <f>SUM(C20:I20)</f>
        <v/>
      </c>
      <c r="K20" s="13">
        <f>SUM($J$12:J20)/$J$38</f>
        <v/>
      </c>
    </row>
    <row r="21">
      <c r="A21" s="10" t="inlineStr">
        <is>
          <t>2027-04</t>
        </is>
      </c>
      <c r="B21" s="11" t="n">
        <v>10</v>
      </c>
      <c r="C21" s="12" t="n">
        <v>795.1</v>
      </c>
      <c r="D21" s="12" t="n">
        <v>2348.4</v>
      </c>
      <c r="E21" s="12" t="n">
        <v>4670.6</v>
      </c>
      <c r="F21" s="12" t="n">
        <v>4087.7</v>
      </c>
      <c r="G21" s="12" t="n">
        <v>382.3</v>
      </c>
      <c r="H21" s="12" t="n">
        <v>237.4</v>
      </c>
      <c r="I21" s="12" t="n">
        <v>907</v>
      </c>
      <c r="J21" s="12">
        <f>SUM(C21:I21)</f>
        <v/>
      </c>
      <c r="K21" s="13">
        <f>SUM($J$12:J21)/$J$38</f>
        <v/>
      </c>
    </row>
    <row r="22">
      <c r="A22" s="10" t="inlineStr">
        <is>
          <t>2027-05</t>
        </is>
      </c>
      <c r="B22" s="11" t="n">
        <v>11</v>
      </c>
      <c r="C22" s="12" t="n">
        <v>634.6</v>
      </c>
      <c r="D22" s="12" t="n">
        <v>2434.4</v>
      </c>
      <c r="E22" s="12" t="n">
        <v>5503.5</v>
      </c>
      <c r="F22" s="12" t="n">
        <v>4743.3</v>
      </c>
      <c r="G22" s="12" t="n">
        <v>496.1</v>
      </c>
      <c r="H22" s="12" t="n">
        <v>360.9</v>
      </c>
      <c r="I22" s="12" t="n">
        <v>950</v>
      </c>
      <c r="J22" s="12">
        <f>SUM(C22:I22)</f>
        <v/>
      </c>
      <c r="K22" s="13">
        <f>SUM($J$12:J22)/$J$38</f>
        <v/>
      </c>
    </row>
    <row r="23">
      <c r="A23" s="10" t="inlineStr">
        <is>
          <t>2027-06</t>
        </is>
      </c>
      <c r="B23" s="11" t="n">
        <v>12</v>
      </c>
      <c r="C23" s="12" t="n">
        <v>441.4</v>
      </c>
      <c r="D23" s="12" t="n">
        <v>2470.5</v>
      </c>
      <c r="E23" s="12" t="n">
        <v>5845.1</v>
      </c>
      <c r="F23" s="12" t="n">
        <v>5054</v>
      </c>
      <c r="G23" s="12" t="n">
        <v>572</v>
      </c>
      <c r="H23" s="12" t="n">
        <v>508.1</v>
      </c>
      <c r="I23" s="12" t="n">
        <v>929.2</v>
      </c>
      <c r="J23" s="12">
        <f>SUM(C23:I23)</f>
        <v/>
      </c>
      <c r="K23" s="13">
        <f>SUM($J$12:J23)/$J$38</f>
        <v/>
      </c>
    </row>
    <row r="24">
      <c r="A24" s="10" t="inlineStr">
        <is>
          <t>2027-07</t>
        </is>
      </c>
      <c r="B24" s="11" t="n">
        <v>13</v>
      </c>
      <c r="C24" s="12" t="n">
        <v>323.3</v>
      </c>
      <c r="D24" s="12" t="n">
        <v>2433.7</v>
      </c>
      <c r="E24" s="12" t="n">
        <v>6602.7</v>
      </c>
      <c r="F24" s="12" t="n">
        <v>5578</v>
      </c>
      <c r="G24" s="12" t="n">
        <v>672</v>
      </c>
      <c r="H24" s="12" t="n">
        <v>677</v>
      </c>
      <c r="I24" s="12" t="n">
        <v>940.2</v>
      </c>
      <c r="J24" s="12">
        <f>SUM(C24:I24)</f>
        <v/>
      </c>
      <c r="K24" s="13">
        <f>SUM($J$12:J24)/$J$38</f>
        <v/>
      </c>
    </row>
    <row r="25">
      <c r="A25" s="10" t="inlineStr">
        <is>
          <t>2027-08</t>
        </is>
      </c>
      <c r="B25" s="11" t="n">
        <v>14</v>
      </c>
      <c r="C25" s="12" t="n">
        <v>212.7</v>
      </c>
      <c r="D25" s="12" t="n">
        <v>1980.9</v>
      </c>
      <c r="E25" s="12" t="n">
        <v>6145.6</v>
      </c>
      <c r="F25" s="12" t="n">
        <v>5464</v>
      </c>
      <c r="G25" s="12" t="n">
        <v>739.2</v>
      </c>
      <c r="H25" s="12" t="n">
        <v>882.4</v>
      </c>
      <c r="I25" s="12" t="n">
        <v>865.8</v>
      </c>
      <c r="J25" s="12">
        <f>SUM(C25:I25)</f>
        <v/>
      </c>
      <c r="K25" s="13">
        <f>SUM($J$12:J25)/$J$38</f>
        <v/>
      </c>
    </row>
    <row r="26">
      <c r="A26" s="10" t="inlineStr">
        <is>
          <t>2027-09</t>
        </is>
      </c>
      <c r="B26" s="11" t="n">
        <v>15</v>
      </c>
      <c r="C26" s="12" t="n">
        <v>162.8</v>
      </c>
      <c r="D26" s="12" t="n">
        <v>1615</v>
      </c>
      <c r="E26" s="12" t="n">
        <v>5407.8</v>
      </c>
      <c r="F26" s="12" t="n">
        <v>5378.5</v>
      </c>
      <c r="G26" s="12" t="n">
        <v>798.7</v>
      </c>
      <c r="H26" s="12" t="n">
        <v>1122</v>
      </c>
      <c r="I26" s="12" t="n">
        <v>849.3</v>
      </c>
      <c r="J26" s="12">
        <f>SUM(C26:I26)</f>
        <v/>
      </c>
      <c r="K26" s="13">
        <f>SUM($J$12:J26)/$J$38</f>
        <v/>
      </c>
    </row>
    <row r="27">
      <c r="A27" s="10" t="inlineStr">
        <is>
          <t>2027-10</t>
        </is>
      </c>
      <c r="B27" s="11" t="n">
        <v>16</v>
      </c>
      <c r="C27" s="12" t="n">
        <v>93.7</v>
      </c>
      <c r="D27" s="12" t="n">
        <v>1382.3</v>
      </c>
      <c r="E27" s="12" t="n">
        <v>5159.9</v>
      </c>
      <c r="F27" s="12" t="n">
        <v>5934.2</v>
      </c>
      <c r="G27" s="12" t="n">
        <v>923.8</v>
      </c>
      <c r="H27" s="12" t="n">
        <v>1613.4</v>
      </c>
      <c r="I27" s="12" t="n">
        <v>866.2</v>
      </c>
      <c r="J27" s="12">
        <f>SUM(C27:I27)</f>
        <v/>
      </c>
      <c r="K27" s="13">
        <f>SUM($J$12:J27)/$J$38</f>
        <v/>
      </c>
    </row>
    <row r="28">
      <c r="A28" s="10" t="inlineStr">
        <is>
          <t>2027-11</t>
        </is>
      </c>
      <c r="B28" s="11" t="n">
        <v>17</v>
      </c>
      <c r="C28" s="12" t="n">
        <v>64.59999999999999</v>
      </c>
      <c r="D28" s="12" t="n">
        <v>1111.7</v>
      </c>
      <c r="E28" s="12" t="n">
        <v>4700.5</v>
      </c>
      <c r="F28" s="12" t="n">
        <v>5756.5</v>
      </c>
      <c r="G28" s="12" t="n">
        <v>975.9</v>
      </c>
      <c r="H28" s="12" t="n">
        <v>1971.2</v>
      </c>
      <c r="I28" s="12" t="n">
        <v>829.9</v>
      </c>
      <c r="J28" s="12">
        <f>SUM(C28:I28)</f>
        <v/>
      </c>
      <c r="K28" s="13">
        <f>SUM($J$12:J28)/$J$38</f>
        <v/>
      </c>
    </row>
    <row r="29">
      <c r="A29" s="10" t="inlineStr">
        <is>
          <t>2027-12</t>
        </is>
      </c>
      <c r="B29" s="11" t="n">
        <v>18</v>
      </c>
      <c r="C29" s="12" t="n">
        <v>39.9</v>
      </c>
      <c r="D29" s="12" t="n">
        <v>893.5</v>
      </c>
      <c r="E29" s="12" t="n">
        <v>4634.1</v>
      </c>
      <c r="F29" s="12" t="n">
        <v>6167.2</v>
      </c>
      <c r="G29" s="12" t="n">
        <v>1064</v>
      </c>
      <c r="H29" s="12" t="n">
        <v>2942.2</v>
      </c>
      <c r="I29" s="12" t="n">
        <v>823.1</v>
      </c>
      <c r="J29" s="12">
        <f>SUM(C29:I29)</f>
        <v/>
      </c>
      <c r="K29" s="13">
        <f>SUM($J$12:J29)/$J$38</f>
        <v/>
      </c>
    </row>
    <row r="30">
      <c r="A30" s="10" t="inlineStr">
        <is>
          <t>2028-01</t>
        </is>
      </c>
      <c r="B30" s="11" t="n">
        <v>19</v>
      </c>
      <c r="C30" s="12" t="n">
        <v>15.3</v>
      </c>
      <c r="D30" s="12" t="n">
        <v>587.2</v>
      </c>
      <c r="E30" s="12" t="n">
        <v>4407.5</v>
      </c>
      <c r="F30" s="12" t="n">
        <v>6127.3</v>
      </c>
      <c r="G30" s="12" t="n">
        <v>1092.9</v>
      </c>
      <c r="H30" s="12" t="n">
        <v>3752.8</v>
      </c>
      <c r="I30" s="12" t="n">
        <v>734.3</v>
      </c>
      <c r="J30" s="12">
        <f>SUM(C30:I30)</f>
        <v/>
      </c>
      <c r="K30" s="13">
        <f>SUM($J$12:J30)/$J$38</f>
        <v/>
      </c>
    </row>
    <row r="31">
      <c r="A31" s="10" t="inlineStr">
        <is>
          <t>2028-02</t>
        </is>
      </c>
      <c r="B31" s="11" t="n">
        <v>20</v>
      </c>
      <c r="C31" s="12" t="n">
        <v>9.199999999999999</v>
      </c>
      <c r="D31" s="12" t="n">
        <v>434.2</v>
      </c>
      <c r="E31" s="12" t="n">
        <v>3816.2</v>
      </c>
      <c r="F31" s="12" t="n">
        <v>5365.3</v>
      </c>
      <c r="G31" s="12" t="n">
        <v>976.2</v>
      </c>
      <c r="H31" s="12" t="n">
        <v>3619.9</v>
      </c>
      <c r="I31" s="12" t="n">
        <v>668.4</v>
      </c>
      <c r="J31" s="12">
        <f>SUM(C31:I31)</f>
        <v/>
      </c>
      <c r="K31" s="13">
        <f>SUM($J$12:J31)/$J$38</f>
        <v/>
      </c>
    </row>
    <row r="32">
      <c r="A32" s="10" t="inlineStr">
        <is>
          <t>2028-03</t>
        </is>
      </c>
      <c r="B32" s="11" t="n">
        <v>21</v>
      </c>
      <c r="C32" s="12" t="n">
        <v>2.3</v>
      </c>
      <c r="D32" s="12" t="n">
        <v>318.2</v>
      </c>
      <c r="E32" s="12" t="n">
        <v>3532.6</v>
      </c>
      <c r="F32" s="12" t="n">
        <v>4897.3</v>
      </c>
      <c r="G32" s="12" t="n">
        <v>954.7</v>
      </c>
      <c r="H32" s="12" t="n">
        <v>3800.4</v>
      </c>
      <c r="I32" s="12" t="n">
        <v>614.2</v>
      </c>
      <c r="J32" s="12">
        <f>SUM(C32:I32)</f>
        <v/>
      </c>
      <c r="K32" s="13">
        <f>SUM($J$12:J32)/$J$38</f>
        <v/>
      </c>
    </row>
    <row r="33">
      <c r="A33" s="10" t="inlineStr">
        <is>
          <t>2028-04</t>
        </is>
      </c>
      <c r="B33" s="11" t="n">
        <v>22</v>
      </c>
      <c r="C33" s="12" t="n">
        <v>0</v>
      </c>
      <c r="D33" s="12" t="n">
        <v>213</v>
      </c>
      <c r="E33" s="12" t="n">
        <v>2776.5</v>
      </c>
      <c r="F33" s="12" t="n">
        <v>3965</v>
      </c>
      <c r="G33" s="12" t="n">
        <v>813.8</v>
      </c>
      <c r="H33" s="12" t="n">
        <v>3756.8</v>
      </c>
      <c r="I33" s="12" t="n">
        <v>542.6</v>
      </c>
      <c r="J33" s="12">
        <f>SUM(C33:I33)</f>
        <v/>
      </c>
      <c r="K33" s="13">
        <f>SUM($J$12:J33)/$J$38</f>
        <v/>
      </c>
    </row>
    <row r="34">
      <c r="A34" s="10" t="inlineStr">
        <is>
          <t>2028-05</t>
        </is>
      </c>
      <c r="B34" s="11" t="n">
        <v>23</v>
      </c>
      <c r="C34" s="12" t="n">
        <v>0</v>
      </c>
      <c r="D34" s="12" t="n">
        <v>139.9</v>
      </c>
      <c r="E34" s="12" t="n">
        <v>2173.1</v>
      </c>
      <c r="F34" s="12" t="n">
        <v>2971.1</v>
      </c>
      <c r="G34" s="12" t="n">
        <v>641.3</v>
      </c>
      <c r="H34" s="12" t="n">
        <v>3849.4</v>
      </c>
      <c r="I34" s="12" t="n">
        <v>535</v>
      </c>
      <c r="J34" s="12">
        <f>SUM(C34:I34)</f>
        <v/>
      </c>
      <c r="K34" s="13">
        <f>SUM($J$12:J34)/$J$38</f>
        <v/>
      </c>
    </row>
    <row r="35">
      <c r="A35" s="10" t="inlineStr">
        <is>
          <t>2028-06</t>
        </is>
      </c>
      <c r="B35" s="11" t="n">
        <v>24</v>
      </c>
      <c r="C35" s="12" t="n">
        <v>0</v>
      </c>
      <c r="D35" s="12" t="n">
        <v>86.59999999999999</v>
      </c>
      <c r="E35" s="12" t="n">
        <v>1569</v>
      </c>
      <c r="F35" s="12" t="n">
        <v>2134.3</v>
      </c>
      <c r="G35" s="12" t="n">
        <v>500.7</v>
      </c>
      <c r="H35" s="12" t="n">
        <v>4099</v>
      </c>
      <c r="I35" s="12" t="n">
        <v>454.4</v>
      </c>
      <c r="J35" s="12">
        <f>SUM(C35:I35)</f>
        <v/>
      </c>
      <c r="K35" s="13">
        <f>SUM($J$12:J35)/$J$38</f>
        <v/>
      </c>
    </row>
    <row r="36">
      <c r="A36" s="10" t="inlineStr">
        <is>
          <t>2028-07</t>
        </is>
      </c>
      <c r="B36" s="11" t="n">
        <v>25</v>
      </c>
      <c r="C36" s="12" t="n">
        <v>0</v>
      </c>
      <c r="D36" s="12" t="n">
        <v>40.5</v>
      </c>
      <c r="E36" s="12" t="n">
        <v>971.9</v>
      </c>
      <c r="F36" s="12" t="n">
        <v>1224.4</v>
      </c>
      <c r="G36" s="12" t="n">
        <v>317</v>
      </c>
      <c r="H36" s="12" t="n">
        <v>4084</v>
      </c>
      <c r="I36" s="12" t="n">
        <v>373.2</v>
      </c>
      <c r="J36" s="12">
        <f>SUM(C36:I36)</f>
        <v/>
      </c>
      <c r="K36" s="13">
        <f>SUM($J$12:J36)/$J$38</f>
        <v/>
      </c>
    </row>
    <row r="37">
      <c r="A37" s="10" t="inlineStr">
        <is>
          <t>2028-08</t>
        </is>
      </c>
      <c r="B37" s="11" t="n">
        <v>26</v>
      </c>
      <c r="C37" s="12" t="n">
        <v>0</v>
      </c>
      <c r="D37" s="12" t="n">
        <v>8.5</v>
      </c>
      <c r="E37" s="12" t="n">
        <v>435.3</v>
      </c>
      <c r="F37" s="12" t="n">
        <v>493</v>
      </c>
      <c r="G37" s="12" t="n">
        <v>135.1</v>
      </c>
      <c r="H37" s="12" t="n">
        <v>2630.3</v>
      </c>
      <c r="I37" s="12" t="n">
        <v>264.8</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実績(時間)と 予測との比較</t>
        </is>
      </c>
    </row>
    <row r="74">
      <c r="A74" s="5" t="inlineStr">
        <is>
          <t>この案件の実績はまだ1行もありません。着手後に実績が入ると、ここに 月 × 行程グループ の実績と予測との差分が並びます。</t>
        </is>
      </c>
    </row>
    <row r="76">
      <c r="A76" s="6" t="inlineStr">
        <is>
          <t>■ マイルストーン(予測)</t>
        </is>
      </c>
    </row>
    <row r="77">
      <c r="A77" s="8" t="inlineStr">
        <is>
          <t>マイルストーン名</t>
        </is>
      </c>
      <c r="B77" s="8" t="inlineStr">
        <is>
          <t>予測日付</t>
        </is>
      </c>
      <c r="C77" s="8" t="inlineStr">
        <is>
          <t>位置t</t>
        </is>
      </c>
      <c r="D77" s="8" t="inlineStr">
        <is>
          <t>根拠</t>
        </is>
      </c>
    </row>
    <row r="78">
      <c r="A78" s="10" t="inlineStr">
        <is>
          <t>プロトタイプ</t>
        </is>
      </c>
      <c r="B78" s="10" t="inlineStr">
        <is>
          <t>2026-12-18</t>
        </is>
      </c>
      <c r="C78" s="21" t="n">
        <v>0.215</v>
      </c>
      <c r="D78" s="10" t="inlineStr">
        <is>
          <t>学習(n=5)</t>
        </is>
      </c>
    </row>
    <row r="79">
      <c r="A79" s="10" t="inlineStr">
        <is>
          <t>α版</t>
        </is>
      </c>
      <c r="B79" s="10" t="inlineStr">
        <is>
          <t>2027-07-16</t>
        </is>
      </c>
      <c r="C79" s="21" t="n">
        <v>0.48</v>
      </c>
      <c r="D79" s="10" t="inlineStr">
        <is>
          <t>指定</t>
        </is>
      </c>
    </row>
    <row r="80">
      <c r="A80" s="10" t="inlineStr">
        <is>
          <t>β版</t>
        </is>
      </c>
      <c r="B80" s="10" t="inlineStr">
        <is>
          <t>2028-02-06</t>
        </is>
      </c>
      <c r="C80" s="21" t="n">
        <v>0.739</v>
      </c>
      <c r="D80" s="10" t="inlineStr">
        <is>
          <t>学習(n=10)</t>
        </is>
      </c>
    </row>
    <row r="81">
      <c r="A81" s="10" t="inlineStr">
        <is>
          <t>マスターアップ</t>
        </is>
      </c>
      <c r="B81" s="10" t="inlineStr">
        <is>
          <t>2028-06-29</t>
        </is>
      </c>
      <c r="C81" s="21" t="n">
        <v>0.921</v>
      </c>
      <c r="D81" s="10" t="inlineStr">
        <is>
          <t>学習(n=10)</t>
        </is>
      </c>
    </row>
    <row r="83">
      <c r="A83" s="5" t="inlineStr">
        <is>
          <t>・行程グループ間の総量は学習した工数比率で配分しています。</t>
        </is>
      </c>
    </row>
    <row r="84">
      <c r="A84" s="5" t="inlineStr">
        <is>
          <t>・指定されたマイルストーンで時間軸を固定: α版</t>
        </is>
      </c>
    </row>
    <row r="85">
      <c r="A85"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395"/>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α版=0.495, β版=0.739, マスターアップ=0.921</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1" t="n">
        <v>0.003856857832956352</v>
      </c>
      <c r="C7" s="21" t="n">
        <v>0.003834845109846539</v>
      </c>
      <c r="D7" s="21" t="n">
        <v>0.003090068262850812</v>
      </c>
      <c r="E7" s="21" t="n">
        <v>0.0005157680709847524</v>
      </c>
      <c r="F7" s="21" t="n">
        <v>0.01006548497600343</v>
      </c>
      <c r="G7" s="21" t="n">
        <v>0.006580379591866568</v>
      </c>
      <c r="H7" s="21" t="n">
        <v>0.00138089324428331</v>
      </c>
      <c r="I7" s="21" t="n">
        <v>0.002382240855486503</v>
      </c>
      <c r="J7" s="21" t="n">
        <v>0.009459409075211443</v>
      </c>
      <c r="K7" s="21" t="n">
        <v>0.002368670516255016</v>
      </c>
      <c r="L7" s="21" t="n">
        <v>0.001648996523499456</v>
      </c>
      <c r="M7" s="21" t="n">
        <v>0.000303200398786301</v>
      </c>
    </row>
    <row r="8">
      <c r="A8" s="10" t="n">
        <v>0.015</v>
      </c>
      <c r="B8" s="21" t="n">
        <v>0.007706934691349537</v>
      </c>
      <c r="C8" s="21" t="n">
        <v>0.007669690219693079</v>
      </c>
      <c r="D8" s="21" t="n">
        <v>0.006106563471824223</v>
      </c>
      <c r="E8" s="21" t="n">
        <v>0.001042509930713861</v>
      </c>
      <c r="F8" s="21" t="n">
        <v>0.02038260707640694</v>
      </c>
      <c r="G8" s="21" t="n">
        <v>0.01302075110731044</v>
      </c>
      <c r="H8" s="21" t="n">
        <v>0.002721171981381817</v>
      </c>
      <c r="I8" s="21" t="n">
        <v>0.004764481710973006</v>
      </c>
      <c r="J8" s="21" t="n">
        <v>0.01891881815042289</v>
      </c>
      <c r="K8" s="21" t="n">
        <v>0.004737341032510032</v>
      </c>
      <c r="L8" s="21" t="n">
        <v>0.003297993046998913</v>
      </c>
      <c r="M8" s="21" t="n">
        <v>0.0006064007975726019</v>
      </c>
    </row>
    <row r="9">
      <c r="A9" s="10" t="n">
        <v>0.025</v>
      </c>
      <c r="B9" s="21" t="n">
        <v>0.01165347540675625</v>
      </c>
      <c r="C9" s="21" t="n">
        <v>0.01157045267041883</v>
      </c>
      <c r="D9" s="21" t="n">
        <v>0.01003102287616153</v>
      </c>
      <c r="E9" s="21" t="n">
        <v>0.001558278001698613</v>
      </c>
      <c r="F9" s="21" t="n">
        <v>0.03044809205241036</v>
      </c>
      <c r="G9" s="21" t="n">
        <v>0.01960113069917701</v>
      </c>
      <c r="H9" s="21" t="n">
        <v>0.004102065225665127</v>
      </c>
      <c r="I9" s="21" t="n">
        <v>0.007211107454445631</v>
      </c>
      <c r="J9" s="21" t="n">
        <v>0.02837822722563433</v>
      </c>
      <c r="K9" s="21" t="n">
        <v>0.007173687849229476</v>
      </c>
      <c r="L9" s="21" t="n">
        <v>0.004946989570498369</v>
      </c>
      <c r="M9" s="21" t="n">
        <v>0.0009096011963589029</v>
      </c>
    </row>
    <row r="10">
      <c r="A10" s="10" t="n">
        <v>0.035</v>
      </c>
      <c r="B10" s="21" t="n">
        <v>0.01591882223581424</v>
      </c>
      <c r="C10" s="21" t="n">
        <v>0.01587835158814778</v>
      </c>
      <c r="D10" s="21" t="n">
        <v>0.01545738633517454</v>
      </c>
      <c r="E10" s="21" t="n">
        <v>0.002085019861427722</v>
      </c>
      <c r="F10" s="21" t="n">
        <v>0.04172739710067062</v>
      </c>
      <c r="G10" s="21" t="n">
        <v>0.02604150221462088</v>
      </c>
      <c r="H10" s="21" t="n">
        <v>0.006046640822577637</v>
      </c>
      <c r="I10" s="21" t="n">
        <v>0.009593348309932134</v>
      </c>
      <c r="J10" s="21" t="n">
        <v>0.03783763630084577</v>
      </c>
      <c r="K10" s="21" t="n">
        <v>0.009542358365484492</v>
      </c>
      <c r="L10" s="21" t="n">
        <v>0.006554761180910339</v>
      </c>
      <c r="M10" s="21" t="n">
        <v>0.001598630827425238</v>
      </c>
    </row>
    <row r="11">
      <c r="A11" s="10" t="n">
        <v>0.045</v>
      </c>
      <c r="B11" s="21" t="n">
        <v>0.02048028859687403</v>
      </c>
      <c r="C11" s="21" t="n">
        <v>0.020408295926247</v>
      </c>
      <c r="D11" s="21" t="n">
        <v>0.02075455066421104</v>
      </c>
      <c r="E11" s="21" t="n">
        <v>0.002600787932412475</v>
      </c>
      <c r="F11" s="21" t="n">
        <v>0.05403518411957532</v>
      </c>
      <c r="G11" s="21" t="n">
        <v>0.03262188180648745</v>
      </c>
      <c r="H11" s="21" t="n">
        <v>0.008298679520924255</v>
      </c>
      <c r="I11" s="21" t="n">
        <v>0.01197558916541864</v>
      </c>
      <c r="J11" s="21" t="n">
        <v>0.04826598976632207</v>
      </c>
      <c r="K11" s="21" t="n">
        <v>0.01191102888173951</v>
      </c>
      <c r="L11" s="21" t="n">
        <v>0.008203757704409795</v>
      </c>
      <c r="M11" s="21" t="n">
        <v>0.002466795459193018</v>
      </c>
    </row>
    <row r="12">
      <c r="A12" s="10" t="n">
        <v>0.055</v>
      </c>
      <c r="B12" s="21" t="n">
        <v>0.02523696097906458</v>
      </c>
      <c r="C12" s="21" t="n">
        <v>0.02540367154724484</v>
      </c>
      <c r="D12" s="21" t="n">
        <v>0.02721475494639713</v>
      </c>
      <c r="E12" s="21" t="n">
        <v>0.003127529792141584</v>
      </c>
      <c r="F12" s="21" t="n">
        <v>0.06604278121118967</v>
      </c>
      <c r="G12" s="21" t="n">
        <v>0.0396112127919185</v>
      </c>
      <c r="H12" s="21" t="n">
        <v>0.01048448178696656</v>
      </c>
      <c r="I12" s="21" t="n">
        <v>0.01458404007131857</v>
      </c>
      <c r="J12" s="21" t="n">
        <v>0.05855013425917689</v>
      </c>
      <c r="K12" s="21" t="n">
        <v>0.01463648967479872</v>
      </c>
      <c r="L12" s="21" t="n">
        <v>0.01037659657163305</v>
      </c>
      <c r="M12" s="21" t="n">
        <v>0.003334960090960797</v>
      </c>
    </row>
    <row r="13">
      <c r="A13" s="10" t="n">
        <v>0.065</v>
      </c>
      <c r="B13" s="21" t="n">
        <v>0.03068471645158157</v>
      </c>
      <c r="C13" s="21" t="n">
        <v>0.03077504878683044</v>
      </c>
      <c r="D13" s="21" t="n">
        <v>0.03424931524145715</v>
      </c>
      <c r="E13" s="21" t="n">
        <v>0.004562171506793639</v>
      </c>
      <c r="F13" s="21" t="n">
        <v>0.07761716015903257</v>
      </c>
      <c r="G13" s="21" t="n">
        <v>0.0479116653897449</v>
      </c>
      <c r="H13" s="21" t="n">
        <v>0.01310431993283659</v>
      </c>
      <c r="I13" s="21" t="n">
        <v>0.01905872389312928</v>
      </c>
      <c r="J13" s="21" t="n">
        <v>0.06883427875203171</v>
      </c>
      <c r="K13" s="21" t="n">
        <v>0.01878911157507471</v>
      </c>
      <c r="L13" s="21" t="n">
        <v>0.01363741569120575</v>
      </c>
      <c r="M13" s="21" t="n">
        <v>0.004511520105849631</v>
      </c>
    </row>
    <row r="14">
      <c r="A14" s="10" t="n">
        <v>0.075</v>
      </c>
      <c r="B14" s="21" t="n">
        <v>0.03610445084246944</v>
      </c>
      <c r="C14" s="21" t="n">
        <v>0.03616118973314496</v>
      </c>
      <c r="D14" s="21" t="n">
        <v>0.0411383397582783</v>
      </c>
      <c r="E14" s="21" t="n">
        <v>0.006157616109087474</v>
      </c>
      <c r="F14" s="21" t="n">
        <v>0.08814875278847432</v>
      </c>
      <c r="G14" s="21" t="n">
        <v>0.05603551261314945</v>
      </c>
      <c r="H14" s="21" t="n">
        <v>0.015981617691973</v>
      </c>
      <c r="I14" s="21" t="n">
        <v>0.02365434511552946</v>
      </c>
      <c r="J14" s="21" t="n">
        <v>0.07911842324488653</v>
      </c>
      <c r="K14" s="21" t="n">
        <v>0.02306037981535858</v>
      </c>
      <c r="L14" s="21" t="n">
        <v>0.01689823481077845</v>
      </c>
      <c r="M14" s="21" t="n">
        <v>0.005906526850449212</v>
      </c>
    </row>
    <row r="15">
      <c r="A15" s="10" t="n">
        <v>0.08500000000000001</v>
      </c>
      <c r="B15" s="21" t="n">
        <v>0.04161212601840977</v>
      </c>
      <c r="C15" s="21" t="n">
        <v>0.04169818273818272</v>
      </c>
      <c r="D15" s="21" t="n">
        <v>0.04909495766236584</v>
      </c>
      <c r="E15" s="21" t="n">
        <v>0.007787006341217347</v>
      </c>
      <c r="F15" s="21" t="n">
        <v>0.09842347730500287</v>
      </c>
      <c r="G15" s="21" t="n">
        <v>0.06433596521097584</v>
      </c>
      <c r="H15" s="21" t="n">
        <v>0.01885891545110942</v>
      </c>
      <c r="I15" s="21" t="n">
        <v>0.02812902893734017</v>
      </c>
      <c r="J15" s="21" t="n">
        <v>0.08934759189382552</v>
      </c>
      <c r="K15" s="21" t="n">
        <v>0.02721300171563457</v>
      </c>
      <c r="L15" s="21" t="n">
        <v>0.02015905393035115</v>
      </c>
      <c r="M15" s="21" t="n">
        <v>0.007301533595048794</v>
      </c>
    </row>
    <row r="16">
      <c r="A16" s="10" t="n">
        <v>0.095</v>
      </c>
      <c r="B16" s="21" t="n">
        <v>0.04712433367734221</v>
      </c>
      <c r="C16" s="21" t="n">
        <v>0.04733527691561376</v>
      </c>
      <c r="D16" s="21" t="n">
        <v>0.05705157556645338</v>
      </c>
      <c r="E16" s="21" t="n">
        <v>0.009382450943511181</v>
      </c>
      <c r="F16" s="21" t="n">
        <v>0.1086982018215314</v>
      </c>
      <c r="G16" s="21" t="n">
        <v>0.07245981243438039</v>
      </c>
      <c r="H16" s="21" t="n">
        <v>0.02178802223613967</v>
      </c>
      <c r="I16" s="21" t="n">
        <v>0.03260371275915088</v>
      </c>
      <c r="J16" s="21" t="n">
        <v>0.09942832576419171</v>
      </c>
      <c r="K16" s="21" t="n">
        <v>0.03136562361591055</v>
      </c>
      <c r="L16" s="21" t="n">
        <v>0.02341987304992384</v>
      </c>
      <c r="M16" s="21" t="n">
        <v>0.008853052721426218</v>
      </c>
    </row>
    <row r="17">
      <c r="A17" s="10" t="n">
        <v>0.105</v>
      </c>
      <c r="B17" s="21" t="n">
        <v>0.05266641490066522</v>
      </c>
      <c r="C17" s="21" t="n">
        <v>0.05305431148412552</v>
      </c>
      <c r="D17" s="21" t="n">
        <v>0.06509912221182215</v>
      </c>
      <c r="E17" s="21" t="n">
        <v>0.01101184117564106</v>
      </c>
      <c r="F17" s="21" t="n">
        <v>0.117715331909769</v>
      </c>
      <c r="G17" s="21" t="n">
        <v>0.08076026503220678</v>
      </c>
      <c r="H17" s="21" t="n">
        <v>0.02524517057521697</v>
      </c>
      <c r="I17" s="21" t="n">
        <v>0.03707839658096159</v>
      </c>
      <c r="J17" s="21" t="n">
        <v>0.1095090596345579</v>
      </c>
      <c r="K17" s="21" t="n">
        <v>0.03551824551618654</v>
      </c>
      <c r="L17" s="21" t="n">
        <v>0.02668069216949654</v>
      </c>
      <c r="M17" s="21" t="n">
        <v>0.01088976023131495</v>
      </c>
    </row>
    <row r="18">
      <c r="A18" s="10" t="n">
        <v>0.115</v>
      </c>
      <c r="B18" s="21" t="n">
        <v>0.05855311457796078</v>
      </c>
      <c r="C18" s="21" t="n">
        <v>0.05914459281906509</v>
      </c>
      <c r="D18" s="21" t="n">
        <v>0.07403704220240129</v>
      </c>
      <c r="E18" s="21" t="n">
        <v>0.01269186291475992</v>
      </c>
      <c r="F18" s="21" t="n">
        <v>0.1265125319958544</v>
      </c>
      <c r="G18" s="21" t="n">
        <v>0.0894067575172857</v>
      </c>
      <c r="H18" s="21" t="n">
        <v>0.02870231891429426</v>
      </c>
      <c r="I18" s="21" t="n">
        <v>0.0415530804027723</v>
      </c>
      <c r="J18" s="21" t="n">
        <v>0.1195897935049241</v>
      </c>
      <c r="K18" s="21" t="n">
        <v>0.04138357942196372</v>
      </c>
      <c r="L18" s="21" t="n">
        <v>0.03097578165147431</v>
      </c>
      <c r="M18" s="21" t="n">
        <v>0.01287679194827956</v>
      </c>
    </row>
    <row r="19">
      <c r="A19" s="10" t="n">
        <v>0.125</v>
      </c>
      <c r="B19" s="21" t="n">
        <v>0.06485133797742267</v>
      </c>
      <c r="C19" s="21" t="n">
        <v>0.06538266092943444</v>
      </c>
      <c r="D19" s="21" t="n">
        <v>0.08297496219298042</v>
      </c>
      <c r="E19" s="21" t="n">
        <v>0.0156744873360903</v>
      </c>
      <c r="F19" s="21" t="n">
        <v>0.1353097320819399</v>
      </c>
      <c r="G19" s="21" t="n">
        <v>0.09882377044687099</v>
      </c>
      <c r="H19" s="21" t="n">
        <v>0.03215946725337156</v>
      </c>
      <c r="I19" s="21" t="n">
        <v>0.0477543228806104</v>
      </c>
      <c r="J19" s="21" t="n">
        <v>0.1296705273752903</v>
      </c>
      <c r="K19" s="21" t="n">
        <v>0.04746830743277826</v>
      </c>
      <c r="L19" s="21" t="n">
        <v>0.03554929587739335</v>
      </c>
      <c r="M19" s="21" t="n">
        <v>0.01492657603261283</v>
      </c>
    </row>
    <row r="20">
      <c r="A20" s="10" t="n">
        <v>0.135</v>
      </c>
      <c r="B20" s="21" t="n">
        <v>0.07130047778348796</v>
      </c>
      <c r="C20" s="21" t="n">
        <v>0.0716965817234818</v>
      </c>
      <c r="D20" s="21" t="n">
        <v>0.09229200557077323</v>
      </c>
      <c r="E20" s="21" t="n">
        <v>0.01859497374864296</v>
      </c>
      <c r="F20" s="21" t="n">
        <v>0.1439076888967502</v>
      </c>
      <c r="G20" s="21" t="n">
        <v>0.108040421399231</v>
      </c>
      <c r="H20" s="21" t="n">
        <v>0.0357179775608225</v>
      </c>
      <c r="I20" s="21" t="n">
        <v>0.05379237476692644</v>
      </c>
      <c r="J20" s="21" t="n">
        <v>0.1407838455058324</v>
      </c>
      <c r="K20" s="21" t="n">
        <v>0.05338401522107018</v>
      </c>
      <c r="L20" s="21" t="n">
        <v>0.04012281010331239</v>
      </c>
      <c r="M20" s="21" t="n">
        <v>0.01749942309472762</v>
      </c>
    </row>
    <row r="21">
      <c r="A21" s="10" t="n">
        <v>0.145</v>
      </c>
      <c r="B21" s="21" t="n">
        <v>0.0777978069208808</v>
      </c>
      <c r="C21" s="21" t="n">
        <v>0.07829544262622475</v>
      </c>
      <c r="D21" s="21" t="n">
        <v>0.1022658048219171</v>
      </c>
      <c r="E21" s="21" t="n">
        <v>0.02151546016119562</v>
      </c>
      <c r="F21" s="21" t="n">
        <v>0.1520600070237168</v>
      </c>
      <c r="G21" s="21" t="n">
        <v>0.1174574343288163</v>
      </c>
      <c r="H21" s="21" t="n">
        <v>0.03938432151395377</v>
      </c>
      <c r="I21" s="21" t="n">
        <v>0.05983042665324248</v>
      </c>
      <c r="J21" s="21" t="n">
        <v>0.151743481993578</v>
      </c>
      <c r="K21" s="21" t="n">
        <v>0.05929972300936209</v>
      </c>
      <c r="L21" s="21" t="n">
        <v>0.04469632432923143</v>
      </c>
      <c r="M21" s="21" t="n">
        <v>0.02007227015684241</v>
      </c>
    </row>
    <row r="22">
      <c r="A22" s="10" t="n">
        <v>0.155</v>
      </c>
      <c r="B22" s="21" t="n">
        <v>0.08427820863419586</v>
      </c>
      <c r="C22" s="21" t="n">
        <v>0.08501284271405853</v>
      </c>
      <c r="D22" s="21" t="n">
        <v>0.1122396040730609</v>
      </c>
      <c r="E22" s="21" t="n">
        <v>0.024498084582526</v>
      </c>
      <c r="F22" s="21" t="n">
        <v>0.1602123251506834</v>
      </c>
      <c r="G22" s="21" t="n">
        <v>0.1266740852811764</v>
      </c>
      <c r="H22" s="21" t="n">
        <v>0.04305066546708504</v>
      </c>
      <c r="I22" s="21" t="n">
        <v>0.06586847853955852</v>
      </c>
      <c r="J22" s="21" t="n">
        <v>0.1627031184813236</v>
      </c>
      <c r="K22" s="21" t="n">
        <v>0.06521543079765402</v>
      </c>
      <c r="L22" s="21" t="n">
        <v>0.04926983855515047</v>
      </c>
      <c r="M22" s="21" t="n">
        <v>0.0226451172189572</v>
      </c>
    </row>
    <row r="23">
      <c r="A23" s="10" t="n">
        <v>0.165</v>
      </c>
      <c r="B23" s="21" t="n">
        <v>0.09064206577100735</v>
      </c>
      <c r="C23" s="21" t="n">
        <v>0.09174905832288205</v>
      </c>
      <c r="D23" s="21" t="n">
        <v>0.1194753745756067</v>
      </c>
      <c r="E23" s="21" t="n">
        <v>0.02741857099507866</v>
      </c>
      <c r="F23" s="21" t="n">
        <v>0.1684911388463634</v>
      </c>
      <c r="G23" s="21" t="n">
        <v>0.1360910982107617</v>
      </c>
      <c r="H23" s="21" t="n">
        <v>0.04698338187344937</v>
      </c>
      <c r="I23" s="21" t="n">
        <v>0.07190653042587455</v>
      </c>
      <c r="J23" s="21" t="n">
        <v>0.1736627549690692</v>
      </c>
      <c r="K23" s="21" t="n">
        <v>0.07134207303202625</v>
      </c>
      <c r="L23" s="21" t="n">
        <v>0.05413804914436737</v>
      </c>
      <c r="M23" s="21" t="n">
        <v>0.02549902036889002</v>
      </c>
    </row>
    <row r="24">
      <c r="A24" s="10" t="n">
        <v>0.175</v>
      </c>
      <c r="B24" s="21" t="n">
        <v>0.09729966304089255</v>
      </c>
      <c r="C24" s="21" t="n">
        <v>0.09851851808847618</v>
      </c>
      <c r="D24" s="21" t="n">
        <v>0.1268235886220011</v>
      </c>
      <c r="E24" s="21" t="n">
        <v>0.03040119541640904</v>
      </c>
      <c r="F24" s="21" t="n">
        <v>0.1764501760121781</v>
      </c>
      <c r="G24" s="21" t="n">
        <v>0.1461836246242903</v>
      </c>
      <c r="H24" s="21" t="n">
        <v>0.05125558332005946</v>
      </c>
      <c r="I24" s="21" t="n">
        <v>0.07827268967957615</v>
      </c>
      <c r="J24" s="21" t="n">
        <v>0.1845086528631482</v>
      </c>
      <c r="K24" s="21" t="n">
        <v>0.07869240771932272</v>
      </c>
      <c r="L24" s="21" t="n">
        <v>0.06018504518677572</v>
      </c>
      <c r="M24" s="21" t="n">
        <v>0.0284692225896441</v>
      </c>
    </row>
    <row r="25">
      <c r="A25" s="10" t="n">
        <v>0.185</v>
      </c>
      <c r="B25" s="21" t="n">
        <v>0.1041216929542651</v>
      </c>
      <c r="C25" s="21" t="n">
        <v>0.1052879778540703</v>
      </c>
      <c r="D25" s="21" t="n">
        <v>0.1342759875395466</v>
      </c>
      <c r="E25" s="21" t="n">
        <v>0.03429143764531192</v>
      </c>
      <c r="F25" s="21" t="n">
        <v>0.1844092131779929</v>
      </c>
      <c r="G25" s="21" t="n">
        <v>0.1567132361126572</v>
      </c>
      <c r="H25" s="21" t="n">
        <v>0.05552778476666955</v>
      </c>
      <c r="I25" s="21" t="n">
        <v>0.08553112570728212</v>
      </c>
      <c r="J25" s="21" t="n">
        <v>0.1950474565543275</v>
      </c>
      <c r="K25" s="21" t="n">
        <v>0.08583856644308317</v>
      </c>
      <c r="L25" s="21" t="n">
        <v>0.06608086632812385</v>
      </c>
      <c r="M25" s="21" t="n">
        <v>0.03143942481039818</v>
      </c>
    </row>
    <row r="26">
      <c r="A26" s="10" t="n">
        <v>0.195</v>
      </c>
      <c r="B26" s="21" t="n">
        <v>0.1110252716455312</v>
      </c>
      <c r="C26" s="21" t="n">
        <v>0.1121106288836893</v>
      </c>
      <c r="D26" s="21" t="n">
        <v>0.1418764020803653</v>
      </c>
      <c r="E26" s="21" t="n">
        <v>0.03835658018721928</v>
      </c>
      <c r="F26" s="21" t="n">
        <v>0.1925598438861779</v>
      </c>
      <c r="G26" s="21" t="n">
        <v>0.1670188133140376</v>
      </c>
      <c r="H26" s="21" t="n">
        <v>0.05986399220577358</v>
      </c>
      <c r="I26" s="21" t="n">
        <v>0.09278956173498809</v>
      </c>
      <c r="J26" s="21" t="n">
        <v>0.2055862602455068</v>
      </c>
      <c r="K26" s="21" t="n">
        <v>0.09298472516684363</v>
      </c>
      <c r="L26" s="21" t="n">
        <v>0.07212786237053219</v>
      </c>
      <c r="M26" s="21" t="n">
        <v>0.03472763186021291</v>
      </c>
    </row>
    <row r="27">
      <c r="A27" s="10" t="n">
        <v>0.205</v>
      </c>
      <c r="B27" s="21" t="n">
        <v>0.1179516076490507</v>
      </c>
      <c r="C27" s="21" t="n">
        <v>0.119178160001365</v>
      </c>
      <c r="D27" s="21" t="n">
        <v>0.1496621925855942</v>
      </c>
      <c r="E27" s="21" t="n">
        <v>0.04233703225950357</v>
      </c>
      <c r="F27" s="21" t="n">
        <v>0.2002235855809928</v>
      </c>
      <c r="G27" s="21" t="n">
        <v>0.1775484248024045</v>
      </c>
      <c r="H27" s="21" t="n">
        <v>0.06417301741883676</v>
      </c>
      <c r="I27" s="21" t="n">
        <v>0.1000479977626941</v>
      </c>
      <c r="J27" s="21" t="n">
        <v>0.216125063936686</v>
      </c>
      <c r="K27" s="21" t="n">
        <v>0.1001308838906041</v>
      </c>
      <c r="L27" s="21" t="n">
        <v>0.07817485841294053</v>
      </c>
      <c r="M27" s="21" t="n">
        <v>0.03834974398054132</v>
      </c>
    </row>
    <row r="28">
      <c r="A28" s="10" t="n">
        <v>0.215</v>
      </c>
      <c r="B28" s="21" t="n">
        <v>0.1248863547305926</v>
      </c>
      <c r="C28" s="21" t="n">
        <v>0.1263742286687309</v>
      </c>
      <c r="D28" s="21" t="n">
        <v>0.1574289308162845</v>
      </c>
      <c r="E28" s="21" t="n">
        <v>0.04631748433178786</v>
      </c>
      <c r="F28" s="21" t="n">
        <v>0.2078873272758077</v>
      </c>
      <c r="G28" s="21" t="n">
        <v>0.1878540020037849</v>
      </c>
      <c r="H28" s="21" t="n">
        <v>0.0686126191535079</v>
      </c>
      <c r="I28" s="21" t="n">
        <v>0.1075026077370948</v>
      </c>
      <c r="J28" s="21" t="n">
        <v>0.2266638676278653</v>
      </c>
      <c r="K28" s="21" t="n">
        <v>0.1072770426143645</v>
      </c>
      <c r="L28" s="21" t="n">
        <v>0.08422185445534887</v>
      </c>
      <c r="M28" s="21" t="n">
        <v>0.04197185610086973</v>
      </c>
    </row>
    <row r="29">
      <c r="A29" s="10" t="n">
        <v>0.225</v>
      </c>
      <c r="B29" s="21" t="n">
        <v>0.1321419058071403</v>
      </c>
      <c r="C29" s="21" t="n">
        <v>0.1338729957265137</v>
      </c>
      <c r="D29" s="21" t="n">
        <v>0.1649993013857153</v>
      </c>
      <c r="E29" s="21" t="n">
        <v>0.05038262687369522</v>
      </c>
      <c r="F29" s="21" t="n">
        <v>0.215742662512993</v>
      </c>
      <c r="G29" s="21" t="n">
        <v>0.1983836134921518</v>
      </c>
      <c r="H29" s="21" t="n">
        <v>0.07305305784657007</v>
      </c>
      <c r="I29" s="21" t="n">
        <v>0.1147610437648008</v>
      </c>
      <c r="J29" s="21" t="n">
        <v>0.2385517664014381</v>
      </c>
      <c r="K29" s="21" t="n">
        <v>0.1151978682888704</v>
      </c>
      <c r="L29" s="21" t="n">
        <v>0.0910113826781539</v>
      </c>
      <c r="M29" s="21" t="n">
        <v>0.04582414806978053</v>
      </c>
    </row>
    <row r="30">
      <c r="A30" s="10" t="n">
        <v>0.235</v>
      </c>
      <c r="B30" s="21" t="n">
        <v>0.139642612229859</v>
      </c>
      <c r="C30" s="21" t="n">
        <v>0.1415634659992561</v>
      </c>
      <c r="D30" s="21" t="n">
        <v>0.1727543151397663</v>
      </c>
      <c r="E30" s="21" t="n">
        <v>0.05436307894597951</v>
      </c>
      <c r="F30" s="21" t="n">
        <v>0.2232159124206775</v>
      </c>
      <c r="G30" s="21" t="n">
        <v>0.2099161798402429</v>
      </c>
      <c r="H30" s="21" t="n">
        <v>0.07752111616653556</v>
      </c>
      <c r="I30" s="21" t="n">
        <v>0.1220664015430078</v>
      </c>
      <c r="J30" s="21" t="n">
        <v>0.2503608189428555</v>
      </c>
      <c r="K30" s="21" t="n">
        <v>0.1232948453246466</v>
      </c>
      <c r="L30" s="21" t="n">
        <v>0.09847272573084163</v>
      </c>
      <c r="M30" s="21" t="n">
        <v>0.05079445644609148</v>
      </c>
    </row>
    <row r="31">
      <c r="A31" s="10" t="n">
        <v>0.245</v>
      </c>
      <c r="B31" s="21" t="n">
        <v>0.147531583408234</v>
      </c>
      <c r="C31" s="21" t="n">
        <v>0.149357459408069</v>
      </c>
      <c r="D31" s="21" t="n">
        <v>0.1810166473757449</v>
      </c>
      <c r="E31" s="21" t="n">
        <v>0.0598614457993035</v>
      </c>
      <c r="F31" s="21" t="n">
        <v>0.2305865898275994</v>
      </c>
      <c r="G31" s="21" t="n">
        <v>0.2217869190005959</v>
      </c>
      <c r="H31" s="21" t="n">
        <v>0.08185776100650208</v>
      </c>
      <c r="I31" s="21" t="n">
        <v>0.1310609423392545</v>
      </c>
      <c r="J31" s="21" t="n">
        <v>0.2621698714842729</v>
      </c>
      <c r="K31" s="21" t="n">
        <v>0.1313918223604227</v>
      </c>
      <c r="L31" s="21" t="n">
        <v>0.1059340687835294</v>
      </c>
      <c r="M31" s="21" t="n">
        <v>0.05576476482240243</v>
      </c>
    </row>
    <row r="32">
      <c r="A32" s="10" t="n">
        <v>0.255</v>
      </c>
      <c r="B32" s="21" t="n">
        <v>0.1553926682024005</v>
      </c>
      <c r="C32" s="21" t="n">
        <v>0.1577044005957339</v>
      </c>
      <c r="D32" s="21" t="n">
        <v>0.1891491816683926</v>
      </c>
      <c r="E32" s="21" t="n">
        <v>0.06537284202241921</v>
      </c>
      <c r="F32" s="21" t="n">
        <v>0.2381415341696944</v>
      </c>
      <c r="G32" s="21" t="n">
        <v>0.2334050892426435</v>
      </c>
      <c r="H32" s="21" t="n">
        <v>0.08632581932646757</v>
      </c>
      <c r="I32" s="21" t="n">
        <v>0.1400554831355011</v>
      </c>
      <c r="J32" s="21" t="n">
        <v>0.2739789240256903</v>
      </c>
      <c r="K32" s="21" t="n">
        <v>0.1394887993961989</v>
      </c>
      <c r="L32" s="21" t="n">
        <v>0.1132088782598999</v>
      </c>
      <c r="M32" s="21" t="n">
        <v>0.06073507319871337</v>
      </c>
    </row>
    <row r="33">
      <c r="A33" s="10" t="n">
        <v>0.265</v>
      </c>
      <c r="B33" s="21" t="n">
        <v>0.1634877435931028</v>
      </c>
      <c r="C33" s="21" t="n">
        <v>0.1661014444748964</v>
      </c>
      <c r="D33" s="21" t="n">
        <v>0.1975065706138678</v>
      </c>
      <c r="E33" s="21" t="n">
        <v>0.0710015019949629</v>
      </c>
      <c r="F33" s="21" t="n">
        <v>0.245633665944935</v>
      </c>
      <c r="G33" s="21" t="n">
        <v>0.2452758284029965</v>
      </c>
      <c r="H33" s="21" t="n">
        <v>0.09112154630588298</v>
      </c>
      <c r="I33" s="21" t="n">
        <v>0.1492931196289436</v>
      </c>
      <c r="J33" s="21" t="n">
        <v>0.2861056328208862</v>
      </c>
      <c r="K33" s="21" t="n">
        <v>0.1475857764319751</v>
      </c>
      <c r="L33" s="21" t="n">
        <v>0.1206702213125877</v>
      </c>
      <c r="M33" s="21" t="n">
        <v>0.06639994600683254</v>
      </c>
    </row>
    <row r="34">
      <c r="A34" s="10" t="n">
        <v>0.275</v>
      </c>
      <c r="B34" s="21" t="n">
        <v>0.1716978262483653</v>
      </c>
      <c r="C34" s="21" t="n">
        <v>0.1748438086156886</v>
      </c>
      <c r="D34" s="21" t="n">
        <v>0.2059964603487674</v>
      </c>
      <c r="E34" s="21" t="n">
        <v>0.07651289821807859</v>
      </c>
      <c r="F34" s="21" t="n">
        <v>0.2532067672990548</v>
      </c>
      <c r="G34" s="21" t="n">
        <v>0.2568939986450441</v>
      </c>
      <c r="H34" s="21" t="n">
        <v>0.09607398438329617</v>
      </c>
      <c r="I34" s="21" t="n">
        <v>0.1582876604251903</v>
      </c>
      <c r="J34" s="21" t="n">
        <v>0.2992206055167265</v>
      </c>
      <c r="K34" s="21" t="n">
        <v>0.1559140956687734</v>
      </c>
      <c r="L34" s="21" t="n">
        <v>0.1281637344279798</v>
      </c>
      <c r="M34" s="21" t="n">
        <v>0.07218388700326168</v>
      </c>
    </row>
    <row r="35">
      <c r="A35" s="10" t="n">
        <v>0.285</v>
      </c>
      <c r="B35" s="21" t="n">
        <v>0.1801453645426525</v>
      </c>
      <c r="C35" s="21" t="n">
        <v>0.1845865660698692</v>
      </c>
      <c r="D35" s="21" t="n">
        <v>0.2142842098518836</v>
      </c>
      <c r="E35" s="21" t="n">
        <v>0.08202429444119429</v>
      </c>
      <c r="F35" s="21" t="n">
        <v>0.2609691961870275</v>
      </c>
      <c r="G35" s="21" t="n">
        <v>0.2689765052843924</v>
      </c>
      <c r="H35" s="21" t="n">
        <v>0.100880762517256</v>
      </c>
      <c r="I35" s="21" t="n">
        <v>0.1672822012214369</v>
      </c>
      <c r="J35" s="21" t="n">
        <v>0.3123355782125667</v>
      </c>
      <c r="K35" s="21" t="n">
        <v>0.1652750929831286</v>
      </c>
      <c r="L35" s="21" t="n">
        <v>0.1369118799888419</v>
      </c>
      <c r="M35" s="21" t="n">
        <v>0.07796782799969083</v>
      </c>
    </row>
    <row r="36">
      <c r="A36" s="10" t="n">
        <v>0.295</v>
      </c>
      <c r="B36" s="21" t="n">
        <v>0.1889842279299783</v>
      </c>
      <c r="C36" s="21" t="n">
        <v>0.1947196073775931</v>
      </c>
      <c r="D36" s="21" t="n">
        <v>0.2231630524286055</v>
      </c>
      <c r="E36" s="21" t="n">
        <v>0.08765295441373798</v>
      </c>
      <c r="F36" s="21" t="n">
        <v>0.2684372147222766</v>
      </c>
      <c r="G36" s="21" t="n">
        <v>0.2830300015348857</v>
      </c>
      <c r="H36" s="21" t="n">
        <v>0.1066967281898731</v>
      </c>
      <c r="I36" s="21" t="n">
        <v>0.1762767420176836</v>
      </c>
      <c r="J36" s="21" t="n">
        <v>0.325450550908407</v>
      </c>
      <c r="K36" s="21" t="n">
        <v>0.1749520953671286</v>
      </c>
      <c r="L36" s="21" t="n">
        <v>0.1456600255497039</v>
      </c>
      <c r="M36" s="21" t="n">
        <v>0.08444480887426684</v>
      </c>
    </row>
    <row r="37">
      <c r="A37" s="10" t="n">
        <v>0.305</v>
      </c>
      <c r="B37" s="21" t="n">
        <v>0.1982155291022075</v>
      </c>
      <c r="C37" s="21" t="n">
        <v>0.205117234676625</v>
      </c>
      <c r="D37" s="21" t="n">
        <v>0.2322812506002949</v>
      </c>
      <c r="E37" s="21" t="n">
        <v>0.09413495547968288</v>
      </c>
      <c r="F37" s="21" t="n">
        <v>0.275589984800914</v>
      </c>
      <c r="G37" s="21" t="n">
        <v>0.2973890085734333</v>
      </c>
      <c r="H37" s="21" t="n">
        <v>0.1137463047127815</v>
      </c>
      <c r="I37" s="21" t="n">
        <v>0.1864620275226835</v>
      </c>
      <c r="J37" s="21" t="n">
        <v>0.3385655236042473</v>
      </c>
      <c r="K37" s="21" t="n">
        <v>0.1846290977511285</v>
      </c>
      <c r="L37" s="21" t="n">
        <v>0.154408171110566</v>
      </c>
      <c r="M37" s="21" t="n">
        <v>0.09132162044777371</v>
      </c>
    </row>
    <row r="38">
      <c r="A38" s="10" t="n">
        <v>0.315</v>
      </c>
      <c r="B38" s="21" t="n">
        <v>0.2077221376786949</v>
      </c>
      <c r="C38" s="21" t="n">
        <v>0.2155964660119721</v>
      </c>
      <c r="D38" s="21" t="n">
        <v>0.2411823488155155</v>
      </c>
      <c r="E38" s="21" t="n">
        <v>0.1010577552426655</v>
      </c>
      <c r="F38" s="21" t="n">
        <v>0.2829215741315173</v>
      </c>
      <c r="G38" s="21" t="n">
        <v>0.3114425048239267</v>
      </c>
      <c r="H38" s="21" t="n">
        <v>0.1207958812356898</v>
      </c>
      <c r="I38" s="21" t="n">
        <v>0.1970304963376739</v>
      </c>
      <c r="J38" s="21" t="n">
        <v>0.3538010064120831</v>
      </c>
      <c r="K38" s="21" t="n">
        <v>0.1943061001351285</v>
      </c>
      <c r="L38" s="21" t="n">
        <v>0.1631563166714281</v>
      </c>
      <c r="M38" s="21" t="n">
        <v>0.09819843202128059</v>
      </c>
    </row>
    <row r="39">
      <c r="A39" s="10" t="n">
        <v>0.325</v>
      </c>
      <c r="B39" s="21" t="n">
        <v>0.2173449380075226</v>
      </c>
      <c r="C39" s="21" t="n">
        <v>0.2260756973473193</v>
      </c>
      <c r="D39" s="21" t="n">
        <v>0.2502780737138386</v>
      </c>
      <c r="E39" s="21" t="n">
        <v>0.107836330010586</v>
      </c>
      <c r="F39" s="21" t="n">
        <v>0.2900743442101547</v>
      </c>
      <c r="G39" s="21" t="n">
        <v>0.3258015118624742</v>
      </c>
      <c r="H39" s="21" t="n">
        <v>0.1278628510328773</v>
      </c>
      <c r="I39" s="21" t="n">
        <v>0.2073208475522697</v>
      </c>
      <c r="J39" s="21" t="n">
        <v>0.3695297351658431</v>
      </c>
      <c r="K39" s="21" t="n">
        <v>0.2042595883015284</v>
      </c>
      <c r="L39" s="21" t="n">
        <v>0.1719044622322902</v>
      </c>
      <c r="M39" s="21" t="n">
        <v>0.1054691219983378</v>
      </c>
    </row>
    <row r="40">
      <c r="A40" s="10" t="n">
        <v>0.335</v>
      </c>
      <c r="B40" s="21" t="n">
        <v>0.2277720497901418</v>
      </c>
      <c r="C40" s="21" t="n">
        <v>0.2369970473195843</v>
      </c>
      <c r="D40" s="21" t="n">
        <v>0.2593714330044389</v>
      </c>
      <c r="E40" s="21" t="n">
        <v>0.1146149047785065</v>
      </c>
      <c r="F40" s="21" t="n">
        <v>0.297119126588854</v>
      </c>
      <c r="G40" s="21" t="n">
        <v>0.3398550081129675</v>
      </c>
      <c r="H40" s="21" t="n">
        <v>0.1425533754041831</v>
      </c>
      <c r="I40" s="21" t="n">
        <v>0.2176111987668655</v>
      </c>
      <c r="J40" s="21" t="n">
        <v>0.3852584639196031</v>
      </c>
      <c r="K40" s="21" t="n">
        <v>0.2141949003585362</v>
      </c>
      <c r="L40" s="21" t="n">
        <v>0.1810992345841581</v>
      </c>
      <c r="M40" s="21" t="n">
        <v>0.1133901400096815</v>
      </c>
    </row>
    <row r="41">
      <c r="A41" s="10" t="n">
        <v>0.345</v>
      </c>
      <c r="B41" s="21" t="n">
        <v>0.2385648419282915</v>
      </c>
      <c r="C41" s="21" t="n">
        <v>0.2483624364430214</v>
      </c>
      <c r="D41" s="21" t="n">
        <v>0.2683379616553984</v>
      </c>
      <c r="E41" s="21" t="n">
        <v>0.1215377045414891</v>
      </c>
      <c r="F41" s="21" t="n">
        <v>0.3043371903887531</v>
      </c>
      <c r="G41" s="21" t="n">
        <v>0.3548186460727561</v>
      </c>
      <c r="H41" s="21" t="n">
        <v>0.1572438997754889</v>
      </c>
      <c r="I41" s="21" t="n">
        <v>0.2279015499814614</v>
      </c>
      <c r="J41" s="21" t="n">
        <v>0.4009871926733631</v>
      </c>
      <c r="K41" s="21" t="n">
        <v>0.225378709168415</v>
      </c>
      <c r="L41" s="21" t="n">
        <v>0.1917483242308126</v>
      </c>
      <c r="M41" s="21" t="n">
        <v>0.1215091834713088</v>
      </c>
    </row>
    <row r="42">
      <c r="A42" s="10" t="n">
        <v>0.355</v>
      </c>
      <c r="B42" s="21" t="n">
        <v>0.2493599130438395</v>
      </c>
      <c r="C42" s="21" t="n">
        <v>0.2599744768464686</v>
      </c>
      <c r="D42" s="21" t="n">
        <v>0.2777737275301516</v>
      </c>
      <c r="E42" s="21" t="n">
        <v>0.1283162793094096</v>
      </c>
      <c r="F42" s="21" t="n">
        <v>0.3113792038520694</v>
      </c>
      <c r="G42" s="21" t="n">
        <v>0.370335985606254</v>
      </c>
      <c r="H42" s="21" t="n">
        <v>0.1715023499005799</v>
      </c>
      <c r="I42" s="21" t="n">
        <v>0.2382108422723063</v>
      </c>
      <c r="J42" s="21" t="n">
        <v>0.4166361497668437</v>
      </c>
      <c r="K42" s="21" t="n">
        <v>0.2365625179782938</v>
      </c>
      <c r="L42" s="21" t="n">
        <v>0.202397413877467</v>
      </c>
      <c r="M42" s="21" t="n">
        <v>0.1296656119508864</v>
      </c>
    </row>
    <row r="43">
      <c r="A43" s="10" t="n">
        <v>0.365</v>
      </c>
      <c r="B43" s="21" t="n">
        <v>0.2605783569595169</v>
      </c>
      <c r="C43" s="21" t="n">
        <v>0.2719029254971757</v>
      </c>
      <c r="D43" s="21" t="n">
        <v>0.2872094934049048</v>
      </c>
      <c r="E43" s="21" t="n">
        <v>0.1366068924679092</v>
      </c>
      <c r="F43" s="21" t="n">
        <v>0.3188220755459573</v>
      </c>
      <c r="G43" s="21" t="n">
        <v>0.3861906586078714</v>
      </c>
      <c r="H43" s="21" t="n">
        <v>0.1864796370156435</v>
      </c>
      <c r="I43" s="21" t="n">
        <v>0.2494990719847599</v>
      </c>
      <c r="J43" s="21" t="n">
        <v>0.431995934591811</v>
      </c>
      <c r="K43" s="21" t="n">
        <v>0.2477463267881727</v>
      </c>
      <c r="L43" s="21" t="n">
        <v>0.2130465035241215</v>
      </c>
      <c r="M43" s="21" t="n">
        <v>0.1382955839911686</v>
      </c>
    </row>
    <row r="44">
      <c r="A44" s="10" t="n">
        <v>0.375</v>
      </c>
      <c r="B44" s="21" t="n">
        <v>0.2718777324817329</v>
      </c>
      <c r="C44" s="21" t="n">
        <v>0.2839396231547079</v>
      </c>
      <c r="D44" s="21" t="n">
        <v>0.2970044301384558</v>
      </c>
      <c r="E44" s="21" t="n">
        <v>0.145077236435548</v>
      </c>
      <c r="F44" s="21" t="n">
        <v>0.326724938823083</v>
      </c>
      <c r="G44" s="21" t="n">
        <v>0.4017079981413694</v>
      </c>
      <c r="H44" s="21" t="n">
        <v>0.2015312700272369</v>
      </c>
      <c r="I44" s="21" t="n">
        <v>0.26049024302057</v>
      </c>
      <c r="J44" s="21" t="n">
        <v>0.4473557194167784</v>
      </c>
      <c r="K44" s="21" t="n">
        <v>0.2592496729926194</v>
      </c>
      <c r="L44" s="21" t="n">
        <v>0.223695593170776</v>
      </c>
      <c r="M44" s="21" t="n">
        <v>0.1469255560314507</v>
      </c>
    </row>
    <row r="45">
      <c r="A45" s="10" t="n">
        <v>0.385</v>
      </c>
      <c r="B45" s="21" t="n">
        <v>0.2832473879286362</v>
      </c>
      <c r="C45" s="21" t="n">
        <v>0.2961054491245899</v>
      </c>
      <c r="D45" s="21" t="n">
        <v>0.3075063239238293</v>
      </c>
      <c r="E45" s="21" t="n">
        <v>0.1537278004876047</v>
      </c>
      <c r="F45" s="21" t="n">
        <v>0.3344350493373521</v>
      </c>
      <c r="G45" s="21" t="n">
        <v>0.4175626711429868</v>
      </c>
      <c r="H45" s="21" t="n">
        <v>0.2165829030388304</v>
      </c>
      <c r="I45" s="21" t="n">
        <v>0.2714814140563801</v>
      </c>
      <c r="J45" s="21" t="n">
        <v>0.4627155042417457</v>
      </c>
      <c r="K45" s="21" t="n">
        <v>0.2704334818024982</v>
      </c>
      <c r="L45" s="21" t="n">
        <v>0.2343446828174305</v>
      </c>
      <c r="M45" s="21" t="n">
        <v>0.1555555280717329</v>
      </c>
    </row>
    <row r="46">
      <c r="A46" s="10" t="n">
        <v>0.395</v>
      </c>
      <c r="B46" s="21" t="n">
        <v>0.2949532382127512</v>
      </c>
      <c r="C46" s="21" t="n">
        <v>0.309240526245148</v>
      </c>
      <c r="D46" s="21" t="n">
        <v>0.3180082177092027</v>
      </c>
      <c r="E46" s="21" t="n">
        <v>0.1621981444552435</v>
      </c>
      <c r="F46" s="21" t="n">
        <v>0.3424933744223447</v>
      </c>
      <c r="G46" s="21" t="n">
        <v>0.4330800106764847</v>
      </c>
      <c r="H46" s="21" t="n">
        <v>0.2324305841393976</v>
      </c>
      <c r="I46" s="21" t="n">
        <v>0.2824725850921902</v>
      </c>
      <c r="J46" s="21" t="n">
        <v>0.4780752890667131</v>
      </c>
      <c r="K46" s="21" t="n">
        <v>0.2824665149133702</v>
      </c>
      <c r="L46" s="21" t="n">
        <v>0.2472235864706405</v>
      </c>
      <c r="M46" s="21" t="n">
        <v>0.1646885964451483</v>
      </c>
    </row>
    <row r="47">
      <c r="A47" s="10" t="n">
        <v>0.405</v>
      </c>
      <c r="B47" s="21" t="n">
        <v>0.3070822200053989</v>
      </c>
      <c r="C47" s="21" t="n">
        <v>0.3227385896120277</v>
      </c>
      <c r="D47" s="21" t="n">
        <v>0.3288074040569677</v>
      </c>
      <c r="E47" s="21" t="n">
        <v>0.1706684884228823</v>
      </c>
      <c r="F47" s="21" t="n">
        <v>0.3514160089423039</v>
      </c>
      <c r="G47" s="21" t="n">
        <v>0.4474926544752883</v>
      </c>
      <c r="H47" s="21" t="n">
        <v>0.2504905934393268</v>
      </c>
      <c r="I47" s="21" t="n">
        <v>0.2934637561280003</v>
      </c>
      <c r="J47" s="21" t="n">
        <v>0.4935762953977372</v>
      </c>
      <c r="K47" s="21" t="n">
        <v>0.2959366968413074</v>
      </c>
      <c r="L47" s="21" t="n">
        <v>0.2600220807165639</v>
      </c>
      <c r="M47" s="21" t="n">
        <v>0.1739839539582842</v>
      </c>
    </row>
    <row r="48">
      <c r="A48" s="10" t="n">
        <v>0.415</v>
      </c>
      <c r="B48" s="21" t="n">
        <v>0.3191068767057799</v>
      </c>
      <c r="C48" s="21" t="n">
        <v>0.3356294464377013</v>
      </c>
      <c r="D48" s="21" t="n">
        <v>0.3398987383912083</v>
      </c>
      <c r="E48" s="21" t="n">
        <v>0.179319052474939</v>
      </c>
      <c r="F48" s="21" t="n">
        <v>0.3601210182300689</v>
      </c>
      <c r="G48" s="21" t="n">
        <v>0.4604587115730386</v>
      </c>
      <c r="H48" s="21" t="n">
        <v>0.2685506027392561</v>
      </c>
      <c r="I48" s="21" t="n">
        <v>0.3047519858404539</v>
      </c>
      <c r="J48" s="21" t="n">
        <v>0.5085138056768352</v>
      </c>
      <c r="K48" s="21" t="n">
        <v>0.3094068787692447</v>
      </c>
      <c r="L48" s="21" t="n">
        <v>0.2731487414816135</v>
      </c>
      <c r="M48" s="21" t="n">
        <v>0.1832793114714201</v>
      </c>
    </row>
    <row r="49">
      <c r="A49" s="10" t="n">
        <v>0.425</v>
      </c>
      <c r="B49" s="21" t="n">
        <v>0.3316540701691671</v>
      </c>
      <c r="C49" s="21" t="n">
        <v>0.3476174367433889</v>
      </c>
      <c r="D49" s="21" t="n">
        <v>0.3511882921760055</v>
      </c>
      <c r="E49" s="21" t="n">
        <v>0.1890028427374878</v>
      </c>
      <c r="F49" s="21" t="n">
        <v>0.3688260275178339</v>
      </c>
      <c r="G49" s="21" t="n">
        <v>0.4737066394772617</v>
      </c>
      <c r="H49" s="21" t="n">
        <v>0.2867576663410665</v>
      </c>
      <c r="I49" s="21" t="n">
        <v>0.3185114582865448</v>
      </c>
      <c r="J49" s="21" t="n">
        <v>0.5234513159559332</v>
      </c>
      <c r="K49" s="21" t="n">
        <v>0.3232619230379801</v>
      </c>
      <c r="L49" s="21" t="n">
        <v>0.2862754022466631</v>
      </c>
      <c r="M49" s="21" t="n">
        <v>0.1931115045434499</v>
      </c>
    </row>
    <row r="50">
      <c r="A50" s="10" t="n">
        <v>0.435</v>
      </c>
      <c r="B50" s="21" t="n">
        <v>0.3444768243360097</v>
      </c>
      <c r="C50" s="21" t="n">
        <v>0.3597829379101894</v>
      </c>
      <c r="D50" s="21" t="n">
        <v>0.3629185468405379</v>
      </c>
      <c r="E50" s="21" t="n">
        <v>0.1995949208614003</v>
      </c>
      <c r="F50" s="21" t="n">
        <v>0.3776794680611288</v>
      </c>
      <c r="G50" s="21" t="n">
        <v>0.486672696575012</v>
      </c>
      <c r="H50" s="21" t="n">
        <v>0.3059040962175727</v>
      </c>
      <c r="I50" s="21" t="n">
        <v>0.3324291193846518</v>
      </c>
      <c r="J50" s="21" t="n">
        <v>0.5383888262350311</v>
      </c>
      <c r="K50" s="21" t="n">
        <v>0.3367321049659174</v>
      </c>
      <c r="L50" s="21" t="n">
        <v>0.2994020630117127</v>
      </c>
      <c r="M50" s="21" t="n">
        <v>0.2036296541629554</v>
      </c>
    </row>
    <row r="51">
      <c r="A51" s="10" t="n">
        <v>0.445</v>
      </c>
      <c r="B51" s="21" t="n">
        <v>0.3574019768785254</v>
      </c>
      <c r="C51" s="21" t="n">
        <v>0.371936624208319</v>
      </c>
      <c r="D51" s="21" t="n">
        <v>0.3749349052773759</v>
      </c>
      <c r="E51" s="21" t="n">
        <v>0.2099663306910647</v>
      </c>
      <c r="F51" s="21" t="n">
        <v>0.3863152833722295</v>
      </c>
      <c r="G51" s="21" t="n">
        <v>0.4999206244792351</v>
      </c>
      <c r="H51" s="21" t="n">
        <v>0.3256307209388215</v>
      </c>
      <c r="I51" s="21" t="n">
        <v>0.3463467804827587</v>
      </c>
      <c r="J51" s="21" t="n">
        <v>0.5527163580589972</v>
      </c>
      <c r="K51" s="21" t="n">
        <v>0.3502022868938546</v>
      </c>
      <c r="L51" s="21" t="n">
        <v>0.3135157835730954</v>
      </c>
      <c r="M51" s="21" t="n">
        <v>0.2141478037824609</v>
      </c>
    </row>
    <row r="52">
      <c r="A52" s="10" t="n">
        <v>0.455</v>
      </c>
      <c r="B52" s="21" t="n">
        <v>0.370559441570193</v>
      </c>
      <c r="C52" s="21" t="n">
        <v>0.3837807808859428</v>
      </c>
      <c r="D52" s="21" t="n">
        <v>0.3873122477080777</v>
      </c>
      <c r="E52" s="21" t="n">
        <v>0.2205584088149773</v>
      </c>
      <c r="F52" s="21" t="n">
        <v>0.3949510986833302</v>
      </c>
      <c r="G52" s="21" t="n">
        <v>0.5128866815769855</v>
      </c>
      <c r="H52" s="21" t="n">
        <v>0.3456347070970007</v>
      </c>
      <c r="I52" s="21" t="n">
        <v>0.3602644415808656</v>
      </c>
      <c r="J52" s="21" t="n">
        <v>0.5644296965038264</v>
      </c>
      <c r="K52" s="21" t="n">
        <v>0.3639957642647176</v>
      </c>
      <c r="L52" s="21" t="n">
        <v>0.3310293767662921</v>
      </c>
      <c r="M52" s="21" t="n">
        <v>0.2252895287553491</v>
      </c>
    </row>
    <row r="53">
      <c r="A53" s="10" t="n">
        <v>0.465</v>
      </c>
      <c r="B53" s="21" t="n">
        <v>0.3844280801410909</v>
      </c>
      <c r="C53" s="21" t="n">
        <v>0.395531813851931</v>
      </c>
      <c r="D53" s="21" t="n">
        <v>0.399747280646344</v>
      </c>
      <c r="E53" s="21" t="n">
        <v>0.2309298186446417</v>
      </c>
      <c r="F53" s="21" t="n">
        <v>0.4045324590066953</v>
      </c>
      <c r="G53" s="21" t="n">
        <v>0.5257999855105498</v>
      </c>
      <c r="H53" s="21" t="n">
        <v>0.3700764762460667</v>
      </c>
      <c r="I53" s="21" t="n">
        <v>0.3745582556816241</v>
      </c>
      <c r="J53" s="21" t="n">
        <v>0.5761430349486555</v>
      </c>
      <c r="K53" s="21" t="n">
        <v>0.378031713217775</v>
      </c>
      <c r="L53" s="21" t="n">
        <v>0.3485429699594889</v>
      </c>
      <c r="M53" s="21" t="n">
        <v>0.2372280444575597</v>
      </c>
    </row>
    <row r="54">
      <c r="A54" s="10" t="n">
        <v>0.475</v>
      </c>
      <c r="B54" s="21" t="n">
        <v>0.3982059805516463</v>
      </c>
      <c r="C54" s="21" t="n">
        <v>0.4071832440300173</v>
      </c>
      <c r="D54" s="21" t="n">
        <v>0.4124856070709094</v>
      </c>
      <c r="E54" s="21" t="n">
        <v>0.241301228474306</v>
      </c>
      <c r="F54" s="21" t="n">
        <v>0.4143357137249751</v>
      </c>
      <c r="G54" s="21" t="n">
        <v>0.5383906108363417</v>
      </c>
      <c r="H54" s="21" t="n">
        <v>0.3937993698319249</v>
      </c>
      <c r="I54" s="21" t="n">
        <v>0.3884244800280365</v>
      </c>
      <c r="J54" s="21" t="n">
        <v>0.5878563733934846</v>
      </c>
      <c r="K54" s="21" t="n">
        <v>0.3924686892837769</v>
      </c>
      <c r="L54" s="21" t="n">
        <v>0.3656187233228557</v>
      </c>
      <c r="M54" s="21" t="n">
        <v>0.2491665601597703</v>
      </c>
    </row>
    <row r="55">
      <c r="A55" s="10" t="n">
        <v>0.485</v>
      </c>
      <c r="B55" s="21" t="n">
        <v>0.4129039931130252</v>
      </c>
      <c r="C55" s="21" t="n">
        <v>0.4188299472534288</v>
      </c>
      <c r="D55" s="21" t="n">
        <v>0.4261565949015149</v>
      </c>
      <c r="E55" s="21" t="n">
        <v>0.2588968281565968</v>
      </c>
      <c r="F55" s="21" t="n">
        <v>0.4241389684432549</v>
      </c>
      <c r="G55" s="21" t="n">
        <v>0.5512549454083463</v>
      </c>
      <c r="H55" s="21" t="n">
        <v>0.4182411389809909</v>
      </c>
      <c r="I55" s="21" t="n">
        <v>0.4013905612197949</v>
      </c>
      <c r="J55" s="21" t="n">
        <v>0.5995697118383138</v>
      </c>
      <c r="K55" s="21" t="n">
        <v>0.4065046382368342</v>
      </c>
      <c r="L55" s="21" t="n">
        <v>0.3831323165160525</v>
      </c>
      <c r="M55" s="21" t="n">
        <v>0.2617191915128332</v>
      </c>
    </row>
    <row r="56">
      <c r="A56" s="10" t="n">
        <v>0.495</v>
      </c>
      <c r="B56" s="21" t="n">
        <v>0.4280846911603561</v>
      </c>
      <c r="C56" s="21" t="n">
        <v>0.4304799253850543</v>
      </c>
      <c r="D56" s="21" t="n">
        <v>0.4402821186085881</v>
      </c>
      <c r="E56" s="21" t="n">
        <v>0.2788402049374155</v>
      </c>
      <c r="F56" s="21" t="n">
        <v>0.4334735910503696</v>
      </c>
      <c r="G56" s="21" t="n">
        <v>0.5624770245030737</v>
      </c>
      <c r="H56" s="21" t="n">
        <v>0.4385172964872722</v>
      </c>
      <c r="I56" s="21" t="n">
        <v>0.4175105540527918</v>
      </c>
      <c r="J56" s="21" t="n">
        <v>0.6115074132248772</v>
      </c>
      <c r="K56" s="21" t="n">
        <v>0.4249518854322811</v>
      </c>
      <c r="L56" s="21" t="n">
        <v>0.3984567105600996</v>
      </c>
      <c r="M56" s="21" t="n">
        <v>0.2766234233521308</v>
      </c>
    </row>
    <row r="57">
      <c r="A57" s="10" t="n">
        <v>0.505</v>
      </c>
      <c r="B57" s="21" t="n">
        <v>0.4427333267812578</v>
      </c>
      <c r="C57" s="21" t="n">
        <v>0.4436884343177523</v>
      </c>
      <c r="D57" s="21" t="n">
        <v>0.4558810606890051</v>
      </c>
      <c r="E57" s="21" t="n">
        <v>0.2928544697023152</v>
      </c>
      <c r="F57" s="21" t="n">
        <v>0.4436307580454533</v>
      </c>
      <c r="G57" s="21" t="n">
        <v>0.5720568481205239</v>
      </c>
      <c r="H57" s="21" t="n">
        <v>0.4588655171924579</v>
      </c>
      <c r="I57" s="21" t="n">
        <v>0.4367844585270272</v>
      </c>
      <c r="J57" s="21" t="n">
        <v>0.6237554254701214</v>
      </c>
      <c r="K57" s="21" t="n">
        <v>0.4444465499416718</v>
      </c>
      <c r="L57" s="21" t="n">
        <v>0.4113779612338344</v>
      </c>
      <c r="M57" s="21" t="n">
        <v>0.2890436165515455</v>
      </c>
    </row>
    <row r="58">
      <c r="A58" s="10" t="n">
        <v>0.515</v>
      </c>
      <c r="B58" s="21" t="n">
        <v>0.457523432836591</v>
      </c>
      <c r="C58" s="21" t="n">
        <v>0.4570973560060503</v>
      </c>
      <c r="D58" s="21" t="n">
        <v>0.4740034743333703</v>
      </c>
      <c r="E58" s="21" t="n">
        <v>0.3068687344672148</v>
      </c>
      <c r="F58" s="21" t="n">
        <v>0.4537879250405369</v>
      </c>
      <c r="G58" s="21" t="n">
        <v>0.581910380984187</v>
      </c>
      <c r="H58" s="21" t="n">
        <v>0.4772259713617497</v>
      </c>
      <c r="I58" s="21" t="n">
        <v>0.456408797628067</v>
      </c>
      <c r="J58" s="21" t="n">
        <v>0.6360034377153656</v>
      </c>
      <c r="K58" s="21" t="n">
        <v>0.4605995272291759</v>
      </c>
      <c r="L58" s="21" t="n">
        <v>0.4279133818421846</v>
      </c>
      <c r="M58" s="21" t="n">
        <v>0.3014638097509602</v>
      </c>
    </row>
    <row r="59">
      <c r="A59" s="10" t="n">
        <v>0.525</v>
      </c>
      <c r="B59" s="21" t="n">
        <v>0.4720705226528401</v>
      </c>
      <c r="C59" s="21" t="n">
        <v>0.4704848163524579</v>
      </c>
      <c r="D59" s="21" t="n">
        <v>0.4921258879777354</v>
      </c>
      <c r="E59" s="21" t="n">
        <v>0.3208829992321144</v>
      </c>
      <c r="F59" s="21" t="n">
        <v>0.4639450920356206</v>
      </c>
      <c r="G59" s="21" t="n">
        <v>0.5921451221588491</v>
      </c>
      <c r="H59" s="21" t="n">
        <v>0.494051241083222</v>
      </c>
      <c r="I59" s="21" t="n">
        <v>0.474766808392398</v>
      </c>
      <c r="J59" s="21" t="n">
        <v>0.6482514499606098</v>
      </c>
      <c r="K59" s="21" t="n">
        <v>0.4770310041250853</v>
      </c>
      <c r="L59" s="21" t="n">
        <v>0.4438786155330056</v>
      </c>
      <c r="M59" s="21" t="n">
        <v>0.3142980093903553</v>
      </c>
    </row>
    <row r="60">
      <c r="A60" s="10" t="n">
        <v>0.535</v>
      </c>
      <c r="B60" s="21" t="n">
        <v>0.4868137596707878</v>
      </c>
      <c r="C60" s="21" t="n">
        <v>0.4843560761455709</v>
      </c>
      <c r="D60" s="21" t="n">
        <v>0.5084433761185531</v>
      </c>
      <c r="E60" s="21" t="n">
        <v>0.3348972639970141</v>
      </c>
      <c r="F60" s="21" t="n">
        <v>0.4741022590307043</v>
      </c>
      <c r="G60" s="21" t="n">
        <v>0.6049457840299651</v>
      </c>
      <c r="H60" s="21" t="n">
        <v>0.5104440040575409</v>
      </c>
      <c r="I60" s="21" t="n">
        <v>0.4912547905258745</v>
      </c>
      <c r="J60" s="21" t="n">
        <v>0.6600831029219256</v>
      </c>
      <c r="K60" s="21" t="n">
        <v>0.493404584890882</v>
      </c>
      <c r="L60" s="21" t="n">
        <v>0.4604140361413559</v>
      </c>
      <c r="M60" s="21" t="n">
        <v>0.3309542047205694</v>
      </c>
    </row>
    <row r="61">
      <c r="A61" s="10" t="n">
        <v>0.545</v>
      </c>
      <c r="B61" s="21" t="n">
        <v>0.5011758584842769</v>
      </c>
      <c r="C61" s="21" t="n">
        <v>0.4983207277651058</v>
      </c>
      <c r="D61" s="21" t="n">
        <v>0.5240166715635994</v>
      </c>
      <c r="E61" s="21" t="n">
        <v>0.3489115287619137</v>
      </c>
      <c r="F61" s="21" t="n">
        <v>0.484259426025788</v>
      </c>
      <c r="G61" s="21" t="n">
        <v>0.6173908719602168</v>
      </c>
      <c r="H61" s="21" t="n">
        <v>0.5252640152240288</v>
      </c>
      <c r="I61" s="21" t="n">
        <v>0.5080425541526868</v>
      </c>
      <c r="J61" s="21" t="n">
        <v>0.6718639803608112</v>
      </c>
      <c r="K61" s="21" t="n">
        <v>0.5089978995872962</v>
      </c>
      <c r="L61" s="21" t="n">
        <v>0.4763792698321769</v>
      </c>
      <c r="M61" s="21" t="n">
        <v>0.3476104000507834</v>
      </c>
    </row>
    <row r="62">
      <c r="A62" s="10" t="n">
        <v>0.555</v>
      </c>
      <c r="B62" s="21" t="n">
        <v>0.5154873738787846</v>
      </c>
      <c r="C62" s="21" t="n">
        <v>0.5120148911728102</v>
      </c>
      <c r="D62" s="21" t="n">
        <v>0.5394710278365278</v>
      </c>
      <c r="E62" s="21" t="n">
        <v>0.3629257935268134</v>
      </c>
      <c r="F62" s="21" t="n">
        <v>0.4937940199633866</v>
      </c>
      <c r="G62" s="21" t="n">
        <v>0.6298359598904685</v>
      </c>
      <c r="H62" s="21" t="n">
        <v>0.5398177404263985</v>
      </c>
      <c r="I62" s="21" t="n">
        <v>0.5245305362861632</v>
      </c>
      <c r="J62" s="21" t="n">
        <v>0.6836448577996967</v>
      </c>
      <c r="K62" s="21" t="n">
        <v>0.524860064537097</v>
      </c>
      <c r="L62" s="21" t="n">
        <v>0.4923445035229979</v>
      </c>
      <c r="M62" s="21" t="n">
        <v>0.3648218018920046</v>
      </c>
    </row>
    <row r="63">
      <c r="A63" s="10" t="n">
        <v>0.5649999999999999</v>
      </c>
      <c r="B63" s="21" t="n">
        <v>0.529637638195836</v>
      </c>
      <c r="C63" s="21" t="n">
        <v>0.5253371394055113</v>
      </c>
      <c r="D63" s="21" t="n">
        <v>0.5536249704208158</v>
      </c>
      <c r="E63" s="21" t="n">
        <v>0.376940058291713</v>
      </c>
      <c r="F63" s="21" t="n">
        <v>0.5029550700664942</v>
      </c>
      <c r="G63" s="21" t="n">
        <v>0.6426366217615845</v>
      </c>
      <c r="H63" s="21" t="n">
        <v>0.5550508939250404</v>
      </c>
      <c r="I63" s="21" t="n">
        <v>0.5402545744365246</v>
      </c>
      <c r="J63" s="21" t="n">
        <v>0.6953334546409777</v>
      </c>
      <c r="K63" s="21" t="n">
        <v>0.5407222294868977</v>
      </c>
      <c r="L63" s="21" t="n">
        <v>0.5088799241313482</v>
      </c>
      <c r="M63" s="21" t="n">
        <v>0.3814779972222186</v>
      </c>
    </row>
    <row r="64">
      <c r="A64" s="10" t="n">
        <v>0.575</v>
      </c>
      <c r="B64" s="21" t="n">
        <v>0.5435192487465348</v>
      </c>
      <c r="C64" s="21" t="n">
        <v>0.5395503139304589</v>
      </c>
      <c r="D64" s="21" t="n">
        <v>0.5677789130051039</v>
      </c>
      <c r="E64" s="21" t="n">
        <v>0.3909543230566127</v>
      </c>
      <c r="F64" s="21" t="n">
        <v>0.5121161201696018</v>
      </c>
      <c r="G64" s="21" t="n">
        <v>0.6550817096918362</v>
      </c>
      <c r="H64" s="21" t="n">
        <v>0.5702840474236822</v>
      </c>
      <c r="I64" s="21" t="n">
        <v>0.5540639067292742</v>
      </c>
      <c r="J64" s="21" t="n">
        <v>0.7069510664071783</v>
      </c>
      <c r="K64" s="21" t="n">
        <v>0.5549840840492016</v>
      </c>
      <c r="L64" s="21" t="n">
        <v>0.5248451578221691</v>
      </c>
      <c r="M64" s="21" t="n">
        <v>0.4000680436343124</v>
      </c>
    </row>
    <row r="65">
      <c r="A65" s="10" t="n">
        <v>0.585</v>
      </c>
      <c r="B65" s="21" t="n">
        <v>0.5576365594074812</v>
      </c>
      <c r="C65" s="21" t="n">
        <v>0.5545381739561188</v>
      </c>
      <c r="D65" s="21" t="n">
        <v>0.581747136405954</v>
      </c>
      <c r="E65" s="21" t="n">
        <v>0.4065927057729541</v>
      </c>
      <c r="F65" s="21" t="n">
        <v>0.5212771702727095</v>
      </c>
      <c r="G65" s="21" t="n">
        <v>0.6678823715629523</v>
      </c>
      <c r="H65" s="21" t="n">
        <v>0.584270308252069</v>
      </c>
      <c r="I65" s="21" t="n">
        <v>0.5676266438025104</v>
      </c>
      <c r="J65" s="21" t="n">
        <v>0.7185686781733789</v>
      </c>
      <c r="K65" s="21" t="n">
        <v>0.5690193618382463</v>
      </c>
      <c r="L65" s="21" t="n">
        <v>0.5403720846321317</v>
      </c>
      <c r="M65" s="21" t="n">
        <v>0.4212760710447515</v>
      </c>
    </row>
    <row r="66">
      <c r="A66" s="10" t="n">
        <v>0.595</v>
      </c>
      <c r="B66" s="21" t="n">
        <v>0.5717863011988791</v>
      </c>
      <c r="C66" s="21" t="n">
        <v>0.5694529009835546</v>
      </c>
      <c r="D66" s="21" t="n">
        <v>0.595655274188633</v>
      </c>
      <c r="E66" s="21" t="n">
        <v>0.4248296772116026</v>
      </c>
      <c r="F66" s="21" t="n">
        <v>0.5300565099548543</v>
      </c>
      <c r="G66" s="21" t="n">
        <v>0.6803274594932039</v>
      </c>
      <c r="H66" s="21" t="n">
        <v>0.5979893777939727</v>
      </c>
      <c r="I66" s="21" t="n">
        <v>0.58143597609526</v>
      </c>
      <c r="J66" s="21" t="n">
        <v>0.7301862899395795</v>
      </c>
      <c r="K66" s="21" t="n">
        <v>0.583054639627291</v>
      </c>
      <c r="L66" s="21" t="n">
        <v>0.5550537807613684</v>
      </c>
      <c r="M66" s="21" t="n">
        <v>0.4417999685387248</v>
      </c>
    </row>
    <row r="67">
      <c r="A67" s="10" t="n">
        <v>0.605</v>
      </c>
      <c r="B67" s="21" t="n">
        <v>0.5861860290094272</v>
      </c>
      <c r="C67" s="21" t="n">
        <v>0.5843050344297994</v>
      </c>
      <c r="D67" s="21" t="n">
        <v>0.6093569971656372</v>
      </c>
      <c r="E67" s="21" t="n">
        <v>0.443066648650251</v>
      </c>
      <c r="F67" s="21" t="n">
        <v>0.5391320200723587</v>
      </c>
      <c r="G67" s="21" t="n">
        <v>0.6942423640770417</v>
      </c>
      <c r="H67" s="21" t="n">
        <v>0.6112241023849517</v>
      </c>
      <c r="I67" s="21" t="n">
        <v>0.5951335353301112</v>
      </c>
      <c r="J67" s="21" t="n">
        <v>0.7436399096213292</v>
      </c>
      <c r="K67" s="21" t="n">
        <v>0.5966477297247855</v>
      </c>
      <c r="L67" s="21" t="n">
        <v>0.5702598231809349</v>
      </c>
      <c r="M67" s="21" t="n">
        <v>0.4623238660326981</v>
      </c>
    </row>
    <row r="68">
      <c r="A68" s="10" t="n">
        <v>0.615</v>
      </c>
      <c r="B68" s="21" t="n">
        <v>0.6006397525943825</v>
      </c>
      <c r="C68" s="21" t="n">
        <v>0.599604765581648</v>
      </c>
      <c r="D68" s="21" t="n">
        <v>0.6228429228457997</v>
      </c>
      <c r="E68" s="21" t="n">
        <v>0.4613036200888995</v>
      </c>
      <c r="F68" s="21" t="n">
        <v>0.5476087502906403</v>
      </c>
      <c r="G68" s="21" t="n">
        <v>0.7098279417128469</v>
      </c>
      <c r="H68" s="21" t="n">
        <v>0.6245770878283471</v>
      </c>
      <c r="I68" s="21" t="n">
        <v>0.6091415529136617</v>
      </c>
      <c r="J68" s="21" t="n">
        <v>0.7573689304904113</v>
      </c>
      <c r="K68" s="21" t="n">
        <v>0.6098794211130028</v>
      </c>
      <c r="L68" s="21" t="n">
        <v>0.5849415193101716</v>
      </c>
      <c r="M68" s="21" t="n">
        <v>0.4831501754720246</v>
      </c>
    </row>
    <row r="69">
      <c r="A69" s="10" t="n">
        <v>0.625</v>
      </c>
      <c r="B69" s="21" t="n">
        <v>0.6147911453833067</v>
      </c>
      <c r="C69" s="21" t="n">
        <v>0.6149938285142523</v>
      </c>
      <c r="D69" s="21" t="n">
        <v>0.6360291612886252</v>
      </c>
      <c r="E69" s="21" t="n">
        <v>0.4795405915275479</v>
      </c>
      <c r="F69" s="21" t="n">
        <v>0.5560854805089218</v>
      </c>
      <c r="G69" s="21" t="n">
        <v>0.7249805866365465</v>
      </c>
      <c r="H69" s="21" t="n">
        <v>0.6376675194244826</v>
      </c>
      <c r="I69" s="21" t="n">
        <v>0.6231495704972122</v>
      </c>
      <c r="J69" s="21" t="n">
        <v>0.7710979513594934</v>
      </c>
      <c r="K69" s="21" t="n">
        <v>0.62311111250122</v>
      </c>
      <c r="L69" s="21" t="n">
        <v>0.6001475617297382</v>
      </c>
      <c r="M69" s="21" t="n">
        <v>0.5013837651393223</v>
      </c>
    </row>
    <row r="70">
      <c r="A70" s="10" t="n">
        <v>0.635</v>
      </c>
      <c r="B70" s="21" t="n">
        <v>0.6289362010436633</v>
      </c>
      <c r="C70" s="21" t="n">
        <v>0.6299703526277863</v>
      </c>
      <c r="D70" s="21" t="n">
        <v>0.6498373922460017</v>
      </c>
      <c r="E70" s="21" t="n">
        <v>0.4977775629661964</v>
      </c>
      <c r="F70" s="21" t="n">
        <v>0.5645622107272034</v>
      </c>
      <c r="G70" s="21" t="n">
        <v>0.7405661642723518</v>
      </c>
      <c r="H70" s="21" t="n">
        <v>0.6504118573128665</v>
      </c>
      <c r="I70" s="21" t="n">
        <v>0.6369074449096279</v>
      </c>
      <c r="J70" s="21" t="n">
        <v>0.7848956255592876</v>
      </c>
      <c r="K70" s="21" t="n">
        <v>0.6361185379337048</v>
      </c>
      <c r="L70" s="21" t="n">
        <v>0.6148292578589748</v>
      </c>
      <c r="M70" s="21" t="n">
        <v>0.5196173548066199</v>
      </c>
    </row>
    <row r="71">
      <c r="A71" s="10" t="n">
        <v>0.645</v>
      </c>
      <c r="B71" s="21" t="n">
        <v>0.6432245890800423</v>
      </c>
      <c r="C71" s="21" t="n">
        <v>0.6447824413307827</v>
      </c>
      <c r="D71" s="21" t="n">
        <v>0.6636606141465045</v>
      </c>
      <c r="E71" s="21" t="n">
        <v>0.5160145344048448</v>
      </c>
      <c r="F71" s="21" t="n">
        <v>0.5730389409454849</v>
      </c>
      <c r="G71" s="21" t="n">
        <v>0.7557188091960514</v>
      </c>
      <c r="H71" s="21" t="n">
        <v>0.6634314313541997</v>
      </c>
      <c r="I71" s="21" t="n">
        <v>0.6507440440386033</v>
      </c>
      <c r="J71" s="21" t="n">
        <v>0.7988675735985817</v>
      </c>
      <c r="K71" s="21" t="n">
        <v>0.6503257975529303</v>
      </c>
      <c r="L71" s="21" t="n">
        <v>0.6295109539882114</v>
      </c>
      <c r="M71" s="21" t="n">
        <v>0.5378509444739175</v>
      </c>
    </row>
    <row r="72">
      <c r="A72" s="10" t="n">
        <v>0.655</v>
      </c>
      <c r="B72" s="21" t="n">
        <v>0.6577361934974365</v>
      </c>
      <c r="C72" s="21" t="n">
        <v>0.6600734511962524</v>
      </c>
      <c r="D72" s="21" t="n">
        <v>0.677913542560056</v>
      </c>
      <c r="E72" s="21" t="n">
        <v>0.5342515058434932</v>
      </c>
      <c r="F72" s="21" t="n">
        <v>0.5815156711637665</v>
      </c>
      <c r="G72" s="21" t="n">
        <v>0.770871454119751</v>
      </c>
      <c r="H72" s="21" t="n">
        <v>0.6771769536868766</v>
      </c>
      <c r="I72" s="21" t="n">
        <v>0.6642246238921475</v>
      </c>
      <c r="J72" s="21" t="n">
        <v>0.8128395216378759</v>
      </c>
      <c r="K72" s="21" t="n">
        <v>0.6648087612374408</v>
      </c>
      <c r="L72" s="21" t="n">
        <v>0.644716996407778</v>
      </c>
      <c r="M72" s="21" t="n">
        <v>0.5566923204634583</v>
      </c>
    </row>
    <row r="73">
      <c r="A73" s="10" t="n">
        <v>0.665</v>
      </c>
      <c r="B73" s="21" t="n">
        <v>0.6723613018387721</v>
      </c>
      <c r="C73" s="21" t="n">
        <v>0.6747419318169815</v>
      </c>
      <c r="D73" s="21" t="n">
        <v>0.6925774945947846</v>
      </c>
      <c r="E73" s="21" t="n">
        <v>0.5524884772821417</v>
      </c>
      <c r="F73" s="21" t="n">
        <v>0.5904219102727108</v>
      </c>
      <c r="G73" s="21" t="n">
        <v>0.7864570317555563</v>
      </c>
      <c r="H73" s="21" t="n">
        <v>0.6912299601325882</v>
      </c>
      <c r="I73" s="21" t="n">
        <v>0.6779503051975744</v>
      </c>
      <c r="J73" s="21" t="n">
        <v>0.82681146967717</v>
      </c>
      <c r="K73" s="21" t="n">
        <v>0.679046250961197</v>
      </c>
      <c r="L73" s="21" t="n">
        <v>0.6614429343100042</v>
      </c>
      <c r="M73" s="21" t="n">
        <v>0.5737945824863359</v>
      </c>
    </row>
    <row r="74">
      <c r="A74" s="10" t="n">
        <v>0.675</v>
      </c>
      <c r="B74" s="21" t="n">
        <v>0.6869378105532084</v>
      </c>
      <c r="C74" s="21" t="n">
        <v>0.6882647790907201</v>
      </c>
      <c r="D74" s="21" t="n">
        <v>0.7072414466295132</v>
      </c>
      <c r="E74" s="21" t="n">
        <v>0.5707254487207901</v>
      </c>
      <c r="F74" s="21" t="n">
        <v>0.5998357507978931</v>
      </c>
      <c r="G74" s="21" t="n">
        <v>0.7995799473078777</v>
      </c>
      <c r="H74" s="21" t="n">
        <v>0.7060810214046381</v>
      </c>
      <c r="I74" s="21" t="n">
        <v>0.6916759865030012</v>
      </c>
      <c r="J74" s="21" t="n">
        <v>0.8396479231273396</v>
      </c>
      <c r="K74" s="21" t="n">
        <v>0.6943819542479928</v>
      </c>
      <c r="L74" s="21" t="n">
        <v>0.6792264989650793</v>
      </c>
      <c r="M74" s="21" t="n">
        <v>0.5903311806870034</v>
      </c>
    </row>
    <row r="75">
      <c r="A75" s="10" t="n">
        <v>0.6850000000000001</v>
      </c>
      <c r="B75" s="21" t="n">
        <v>0.7017683165988894</v>
      </c>
      <c r="C75" s="21" t="n">
        <v>0.7018463602769971</v>
      </c>
      <c r="D75" s="21" t="n">
        <v>0.7231110882457741</v>
      </c>
      <c r="E75" s="21" t="n">
        <v>0.5889624201594386</v>
      </c>
      <c r="F75" s="21" t="n">
        <v>0.6092495913230753</v>
      </c>
      <c r="G75" s="21" t="n">
        <v>0.8116859888784634</v>
      </c>
      <c r="H75" s="21" t="n">
        <v>0.7209320826766881</v>
      </c>
      <c r="I75" s="21" t="n">
        <v>0.7076442835084921</v>
      </c>
      <c r="J75" s="21" t="n">
        <v>0.8516853248296068</v>
      </c>
      <c r="K75" s="21" t="n">
        <v>0.7104878739497559</v>
      </c>
      <c r="L75" s="21" t="n">
        <v>0.6963968372527379</v>
      </c>
      <c r="M75" s="21" t="n">
        <v>0.6074189988276932</v>
      </c>
    </row>
    <row r="76">
      <c r="A76" s="10" t="n">
        <v>0.695</v>
      </c>
      <c r="B76" s="21" t="n">
        <v>0.7167737101024114</v>
      </c>
      <c r="C76" s="21" t="n">
        <v>0.7155235926358534</v>
      </c>
      <c r="D76" s="21" t="n">
        <v>0.738980729862035</v>
      </c>
      <c r="E76" s="21" t="n">
        <v>0.6064058868386613</v>
      </c>
      <c r="F76" s="21" t="n">
        <v>0.6186634318482576</v>
      </c>
      <c r="G76" s="21" t="n">
        <v>0.8234557515165328</v>
      </c>
      <c r="H76" s="21" t="n">
        <v>0.7372685909162351</v>
      </c>
      <c r="I76" s="21" t="n">
        <v>0.7251351583411895</v>
      </c>
      <c r="J76" s="21" t="n">
        <v>0.863722726531874</v>
      </c>
      <c r="K76" s="21" t="n">
        <v>0.7263208119616587</v>
      </c>
      <c r="L76" s="21" t="n">
        <v>0.714180401907813</v>
      </c>
      <c r="M76" s="21" t="n">
        <v>0.6239555970283608</v>
      </c>
    </row>
    <row r="77">
      <c r="A77" s="10" t="n">
        <v>0.705</v>
      </c>
      <c r="B77" s="21" t="n">
        <v>0.7314643393124999</v>
      </c>
      <c r="C77" s="21" t="n">
        <v>0.7289358141441983</v>
      </c>
      <c r="D77" s="21" t="n">
        <v>0.7561246861088204</v>
      </c>
      <c r="E77" s="21" t="n">
        <v>0.6194850773410426</v>
      </c>
      <c r="F77" s="21" t="n">
        <v>0.6280772723734398</v>
      </c>
      <c r="G77" s="21" t="n">
        <v>0.8352255141546022</v>
      </c>
      <c r="H77" s="21" t="n">
        <v>0.7543296243008314</v>
      </c>
      <c r="I77" s="21" t="n">
        <v>0.742313696123303</v>
      </c>
      <c r="J77" s="21" t="n">
        <v>0.8757601282341412</v>
      </c>
      <c r="K77" s="21" t="n">
        <v>0.7426393535766256</v>
      </c>
      <c r="L77" s="21" t="n">
        <v>0.7313507401954716</v>
      </c>
      <c r="M77" s="21" t="n">
        <v>0.6400289463175395</v>
      </c>
    </row>
    <row r="78">
      <c r="A78" s="10" t="n">
        <v>0.715</v>
      </c>
      <c r="B78" s="21" t="n">
        <v>0.7463838317716763</v>
      </c>
      <c r="C78" s="21" t="n">
        <v>0.7420486355879252</v>
      </c>
      <c r="D78" s="21" t="n">
        <v>0.7738844627722209</v>
      </c>
      <c r="E78" s="21" t="n">
        <v>0.632564267843424</v>
      </c>
      <c r="F78" s="21" t="n">
        <v>0.637491112898622</v>
      </c>
      <c r="G78" s="21" t="n">
        <v>0.8473315557251879</v>
      </c>
      <c r="H78" s="21" t="n">
        <v>0.7721239248651478</v>
      </c>
      <c r="I78" s="21" t="n">
        <v>0.7598045709560004</v>
      </c>
      <c r="J78" s="21" t="n">
        <v>0.8852090743788065</v>
      </c>
      <c r="K78" s="21" t="n">
        <v>0.7629268375713971</v>
      </c>
      <c r="L78" s="21" t="n">
        <v>0.7491343048505467</v>
      </c>
      <c r="M78" s="21" t="n">
        <v>0.6542446212069981</v>
      </c>
    </row>
    <row r="79">
      <c r="A79" s="10" t="n">
        <v>0.725</v>
      </c>
      <c r="B79" s="21" t="n">
        <v>0.7614521496317543</v>
      </c>
      <c r="C79" s="21" t="n">
        <v>0.7547605169579427</v>
      </c>
      <c r="D79" s="21" t="n">
        <v>0.7921070191828112</v>
      </c>
      <c r="E79" s="21" t="n">
        <v>0.6456434583458054</v>
      </c>
      <c r="F79" s="21" t="n">
        <v>0.6438761931302334</v>
      </c>
      <c r="G79" s="21" t="n">
        <v>0.8591013183632573</v>
      </c>
      <c r="H79" s="21" t="n">
        <v>0.7904315124552683</v>
      </c>
      <c r="I79" s="21" t="n">
        <v>0.7824124710790782</v>
      </c>
      <c r="J79" s="21" t="n">
        <v>0.8946580205234718</v>
      </c>
      <c r="K79" s="21" t="n">
        <v>0.7828704659052402</v>
      </c>
      <c r="L79" s="21" t="n">
        <v>0.7663046431382053</v>
      </c>
      <c r="M79" s="21" t="n">
        <v>0.6680017259387322</v>
      </c>
    </row>
    <row r="80">
      <c r="A80" s="10" t="n">
        <v>0.735</v>
      </c>
      <c r="B80" s="21" t="n">
        <v>0.7771270087674105</v>
      </c>
      <c r="C80" s="21" t="n">
        <v>0.7674665896714051</v>
      </c>
      <c r="D80" s="21" t="n">
        <v>0.8120065483119726</v>
      </c>
      <c r="E80" s="21" t="n">
        <v>0.6592256946367399</v>
      </c>
      <c r="F80" s="21" t="n">
        <v>0.6503955708541749</v>
      </c>
      <c r="G80" s="21" t="n">
        <v>0.8708710810013267</v>
      </c>
      <c r="H80" s="21" t="n">
        <v>0.8092382263154284</v>
      </c>
      <c r="I80" s="21" t="n">
        <v>0.8074767115135071</v>
      </c>
      <c r="J80" s="21" t="n">
        <v>0.903901554795427</v>
      </c>
      <c r="K80" s="21" t="n">
        <v>0.8021263829172267</v>
      </c>
      <c r="L80" s="21" t="n">
        <v>0.7835124134101463</v>
      </c>
      <c r="M80" s="21" t="n">
        <v>0.6831345411436397</v>
      </c>
    </row>
    <row r="81">
      <c r="A81" s="10" t="n">
        <v>0.745</v>
      </c>
      <c r="B81" s="21" t="n">
        <v>0.791003900944202</v>
      </c>
      <c r="C81" s="21" t="n">
        <v>0.7801287139540439</v>
      </c>
      <c r="D81" s="21" t="n">
        <v>0.8254271609804767</v>
      </c>
      <c r="E81" s="21" t="n">
        <v>0.679347526178865</v>
      </c>
      <c r="F81" s="21" t="n">
        <v>0.6638999961394823</v>
      </c>
      <c r="G81" s="21" t="n">
        <v>0.8802868911117823</v>
      </c>
      <c r="H81" s="21" t="n">
        <v>0.8233799414904414</v>
      </c>
      <c r="I81" s="21" t="n">
        <v>0.8185628178595045</v>
      </c>
      <c r="J81" s="21" t="n">
        <v>0.9118887849304803</v>
      </c>
      <c r="K81" s="21" t="n">
        <v>0.8141684903248819</v>
      </c>
      <c r="L81" s="21" t="n">
        <v>0.7993337782823398</v>
      </c>
      <c r="M81" s="21" t="n">
        <v>0.7040684588929791</v>
      </c>
    </row>
    <row r="82">
      <c r="A82" s="10" t="n">
        <v>0.755</v>
      </c>
      <c r="B82" s="21" t="n">
        <v>0.8036788664113037</v>
      </c>
      <c r="C82" s="21" t="n">
        <v>0.7927436521099335</v>
      </c>
      <c r="D82" s="21" t="n">
        <v>0.8383849939017911</v>
      </c>
      <c r="E82" s="21" t="n">
        <v>0.6994693577209901</v>
      </c>
      <c r="F82" s="21" t="n">
        <v>0.6742027785451863</v>
      </c>
      <c r="G82" s="21" t="n">
        <v>0.8878089871215773</v>
      </c>
      <c r="H82" s="21" t="n">
        <v>0.8379257056704548</v>
      </c>
      <c r="I82" s="21" t="n">
        <v>0.8296489242055018</v>
      </c>
      <c r="J82" s="21" t="n">
        <v>0.9176633903117737</v>
      </c>
      <c r="K82" s="21" t="n">
        <v>0.8267776218600703</v>
      </c>
      <c r="L82" s="21" t="n">
        <v>0.8148869844278859</v>
      </c>
      <c r="M82" s="21" t="n">
        <v>0.7199451605935295</v>
      </c>
    </row>
    <row r="83">
      <c r="A83" s="10" t="n">
        <v>0.765</v>
      </c>
      <c r="B83" s="21" t="n">
        <v>0.8159699672802152</v>
      </c>
      <c r="C83" s="21" t="n">
        <v>0.8054539284284346</v>
      </c>
      <c r="D83" s="21" t="n">
        <v>0.8509750872653109</v>
      </c>
      <c r="E83" s="21" t="n">
        <v>0.7195911892631152</v>
      </c>
      <c r="F83" s="21" t="n">
        <v>0.6832920535296813</v>
      </c>
      <c r="G83" s="21" t="n">
        <v>0.8939107975558769</v>
      </c>
      <c r="H83" s="21" t="n">
        <v>0.8506873675630147</v>
      </c>
      <c r="I83" s="21" t="n">
        <v>0.8412170351752383</v>
      </c>
      <c r="J83" s="21" t="n">
        <v>0.9233037025446649</v>
      </c>
      <c r="K83" s="21" t="n">
        <v>0.8397576102051172</v>
      </c>
      <c r="L83" s="21" t="n">
        <v>0.830440190573432</v>
      </c>
      <c r="M83" s="21" t="n">
        <v>0.7361271834806291</v>
      </c>
    </row>
    <row r="84">
      <c r="A84" s="10" t="n">
        <v>0.775</v>
      </c>
      <c r="B84" s="21" t="n">
        <v>0.8282355559262757</v>
      </c>
      <c r="C84" s="21" t="n">
        <v>0.8183667942077442</v>
      </c>
      <c r="D84" s="21" t="n">
        <v>0.8629789317076653</v>
      </c>
      <c r="E84" s="21" t="n">
        <v>0.7397130208052403</v>
      </c>
      <c r="F84" s="21" t="n">
        <v>0.6929451788931695</v>
      </c>
      <c r="G84" s="21" t="n">
        <v>0.9000126079901765</v>
      </c>
      <c r="H84" s="21" t="n">
        <v>0.8627490358346125</v>
      </c>
      <c r="I84" s="21" t="n">
        <v>0.8523031415212357</v>
      </c>
      <c r="J84" s="21" t="n">
        <v>0.9289440147775561</v>
      </c>
      <c r="K84" s="21" t="n">
        <v>0.8523667417403056</v>
      </c>
      <c r="L84" s="21" t="n">
        <v>0.8453744184368929</v>
      </c>
      <c r="M84" s="21" t="n">
        <v>0.7542076653307799</v>
      </c>
    </row>
    <row r="85">
      <c r="A85" s="10" t="n">
        <v>0.785</v>
      </c>
      <c r="B85" s="21" t="n">
        <v>0.840278396911273</v>
      </c>
      <c r="C85" s="21" t="n">
        <v>0.8317611142162922</v>
      </c>
      <c r="D85" s="21" t="n">
        <v>0.8749827761500196</v>
      </c>
      <c r="E85" s="21" t="n">
        <v>0.7584806010154138</v>
      </c>
      <c r="F85" s="21" t="n">
        <v>0.7035692933769808</v>
      </c>
      <c r="G85" s="21" t="n">
        <v>0.906114418424476</v>
      </c>
      <c r="H85" s="21" t="n">
        <v>0.8744756577653325</v>
      </c>
      <c r="I85" s="21" t="n">
        <v>0.863389247867233</v>
      </c>
      <c r="J85" s="21" t="n">
        <v>0.9343956147078497</v>
      </c>
      <c r="K85" s="21" t="n">
        <v>0.864975873275494</v>
      </c>
      <c r="L85" s="21" t="n">
        <v>0.8583632859852287</v>
      </c>
      <c r="M85" s="21" t="n">
        <v>0.7729492812258106</v>
      </c>
    </row>
    <row r="86">
      <c r="A86" s="10" t="n">
        <v>0.795</v>
      </c>
      <c r="B86" s="21" t="n">
        <v>0.8521776101020919</v>
      </c>
      <c r="C86" s="21" t="n">
        <v>0.8448772563747143</v>
      </c>
      <c r="D86" s="21" t="n">
        <v>0.8865726949219479</v>
      </c>
      <c r="E86" s="21" t="n">
        <v>0.7765189689699211</v>
      </c>
      <c r="F86" s="21" t="n">
        <v>0.7144315714817023</v>
      </c>
      <c r="G86" s="21" t="n">
        <v>0.9122162288587756</v>
      </c>
      <c r="H86" s="21" t="n">
        <v>0.8857552291838757</v>
      </c>
      <c r="I86" s="21" t="n">
        <v>0.8744745155347394</v>
      </c>
      <c r="J86" s="21" t="n">
        <v>0.9391558914626815</v>
      </c>
      <c r="K86" s="21" t="n">
        <v>0.8779558616205408</v>
      </c>
      <c r="L86" s="21" t="n">
        <v>0.8713521535335645</v>
      </c>
      <c r="M86" s="21" t="n">
        <v>0.7919243955057864</v>
      </c>
    </row>
    <row r="87">
      <c r="A87" s="10" t="n">
        <v>0.805</v>
      </c>
      <c r="B87" s="21" t="n">
        <v>0.863439460434641</v>
      </c>
      <c r="C87" s="21" t="n">
        <v>0.8574194272301837</v>
      </c>
      <c r="D87" s="21" t="n">
        <v>0.8963694650448867</v>
      </c>
      <c r="E87" s="21" t="n">
        <v>0.7945573369244284</v>
      </c>
      <c r="F87" s="21" t="n">
        <v>0.7260394232682044</v>
      </c>
      <c r="G87" s="21" t="n">
        <v>0.9183180392930752</v>
      </c>
      <c r="H87" s="21" t="n">
        <v>0.8961606923548873</v>
      </c>
      <c r="I87" s="21" t="n">
        <v>0.8827842728929145</v>
      </c>
      <c r="J87" s="21" t="n">
        <v>0.9438054641069359</v>
      </c>
      <c r="K87" s="21" t="n">
        <v>0.8886624922284442</v>
      </c>
      <c r="L87" s="21" t="n">
        <v>0.8843410210819004</v>
      </c>
      <c r="M87" s="21" t="n">
        <v>0.8116778377355788</v>
      </c>
    </row>
    <row r="88">
      <c r="A88" s="10" t="n">
        <v>0.8149999999999999</v>
      </c>
      <c r="B88" s="21" t="n">
        <v>0.8742044223094549</v>
      </c>
      <c r="C88" s="21" t="n">
        <v>0.8694793538696681</v>
      </c>
      <c r="D88" s="21" t="n">
        <v>0.9054639842480114</v>
      </c>
      <c r="E88" s="21" t="n">
        <v>0.8125957048789357</v>
      </c>
      <c r="F88" s="21" t="n">
        <v>0.7378509215772766</v>
      </c>
      <c r="G88" s="21" t="n">
        <v>0.9244198497273748</v>
      </c>
      <c r="H88" s="21" t="n">
        <v>0.9062771148822596</v>
      </c>
      <c r="I88" s="21" t="n">
        <v>0.8910940302510896</v>
      </c>
      <c r="J88" s="21" t="n">
        <v>0.9484550367511903</v>
      </c>
      <c r="K88" s="21" t="n">
        <v>0.8972033117431593</v>
      </c>
      <c r="L88" s="21" t="n">
        <v>0.8952547634940876</v>
      </c>
      <c r="M88" s="21" t="n">
        <v>0.8314312799653711</v>
      </c>
    </row>
    <row r="89">
      <c r="A89" s="10" t="n">
        <v>0.825</v>
      </c>
      <c r="B89" s="21" t="n">
        <v>0.884674985106552</v>
      </c>
      <c r="C89" s="21" t="n">
        <v>0.8815392805091525</v>
      </c>
      <c r="D89" s="21" t="n">
        <v>0.9145585034511362</v>
      </c>
      <c r="E89" s="21" t="n">
        <v>0.830634072833443</v>
      </c>
      <c r="F89" s="21" t="n">
        <v>0.751335627958777</v>
      </c>
      <c r="G89" s="21" t="n">
        <v>0.9305216601616744</v>
      </c>
      <c r="H89" s="21" t="n">
        <v>0.9157948432688223</v>
      </c>
      <c r="I89" s="21" t="n">
        <v>0.8997650814074462</v>
      </c>
      <c r="J89" s="21" t="n">
        <v>0.9530147159794403</v>
      </c>
      <c r="K89" s="21" t="n">
        <v>0.9055001078431681</v>
      </c>
      <c r="L89" s="21" t="n">
        <v>0.9039451575461155</v>
      </c>
      <c r="M89" s="21" t="n">
        <v>0.8491822225386546</v>
      </c>
    </row>
    <row r="90">
      <c r="A90" s="10" t="n">
        <v>0.835</v>
      </c>
      <c r="B90" s="21" t="n">
        <v>0.8948512827068335</v>
      </c>
      <c r="C90" s="21" t="n">
        <v>0.8928156405659489</v>
      </c>
      <c r="D90" s="21" t="n">
        <v>0.9233394185438084</v>
      </c>
      <c r="E90" s="21" t="n">
        <v>0.8486724407879503</v>
      </c>
      <c r="F90" s="21" t="n">
        <v>0.7659383459219493</v>
      </c>
      <c r="G90" s="21" t="n">
        <v>0.936623470595974</v>
      </c>
      <c r="H90" s="21" t="n">
        <v>0.9230866551184028</v>
      </c>
      <c r="I90" s="21" t="n">
        <v>0.9080748387656212</v>
      </c>
      <c r="J90" s="21" t="n">
        <v>0.9573496616676795</v>
      </c>
      <c r="K90" s="21" t="n">
        <v>0.913796903943177</v>
      </c>
      <c r="L90" s="21" t="n">
        <v>0.9126355515981434</v>
      </c>
      <c r="M90" s="21" t="n">
        <v>0.8659988986013886</v>
      </c>
    </row>
    <row r="91">
      <c r="A91" s="10" t="n">
        <v>0.845</v>
      </c>
      <c r="B91" s="21" t="n">
        <v>0.9049043291582642</v>
      </c>
      <c r="C91" s="21" t="n">
        <v>0.9034157330988484</v>
      </c>
      <c r="D91" s="21" t="n">
        <v>0.9302942570073616</v>
      </c>
      <c r="E91" s="21" t="n">
        <v>0.8667108087424577</v>
      </c>
      <c r="F91" s="21" t="n">
        <v>0.7811659693847179</v>
      </c>
      <c r="G91" s="21" t="n">
        <v>0.94255536874663</v>
      </c>
      <c r="H91" s="21" t="n">
        <v>0.9305868044493999</v>
      </c>
      <c r="I91" s="21" t="n">
        <v>0.9163845961237963</v>
      </c>
      <c r="J91" s="21" t="n">
        <v>0.9617878203484959</v>
      </c>
      <c r="K91" s="21" t="n">
        <v>0.9223377234578921</v>
      </c>
      <c r="L91" s="21" t="n">
        <v>0.9213259456501712</v>
      </c>
      <c r="M91" s="21" t="n">
        <v>0.882416294393969</v>
      </c>
    </row>
    <row r="92">
      <c r="A92" s="10" t="n">
        <v>0.855</v>
      </c>
      <c r="B92" s="21" t="n">
        <v>0.9140737656443642</v>
      </c>
      <c r="C92" s="21" t="n">
        <v>0.9135158075474069</v>
      </c>
      <c r="D92" s="21" t="n">
        <v>0.9368033286501707</v>
      </c>
      <c r="E92" s="21" t="n">
        <v>0.8824334253620489</v>
      </c>
      <c r="F92" s="21" t="n">
        <v>0.7970010669100666</v>
      </c>
      <c r="G92" s="21" t="n">
        <v>0.9474677931954255</v>
      </c>
      <c r="H92" s="21" t="n">
        <v>0.937910304167712</v>
      </c>
      <c r="I92" s="21" t="n">
        <v>0.9250556472801529</v>
      </c>
      <c r="J92" s="21" t="n">
        <v>0.9661227660367351</v>
      </c>
      <c r="K92" s="21" t="n">
        <v>0.930634519557901</v>
      </c>
      <c r="L92" s="21" t="n">
        <v>0.929021314718008</v>
      </c>
      <c r="M92" s="21" t="n">
        <v>0.8946524809219127</v>
      </c>
    </row>
    <row r="93">
      <c r="A93" s="10" t="n">
        <v>0.865</v>
      </c>
      <c r="B93" s="21" t="n">
        <v>0.9224575983202157</v>
      </c>
      <c r="C93" s="21" t="n">
        <v>0.9226922111915412</v>
      </c>
      <c r="D93" s="21" t="n">
        <v>0.943087949546676</v>
      </c>
      <c r="E93" s="21" t="n">
        <v>0.8933464045937377</v>
      </c>
      <c r="F93" s="21" t="n">
        <v>0.8131346474083547</v>
      </c>
      <c r="G93" s="21" t="n">
        <v>0.952380217644221</v>
      </c>
      <c r="H93" s="21" t="n">
        <v>0.9444292739617957</v>
      </c>
      <c r="I93" s="21" t="n">
        <v>0.933365404638328</v>
      </c>
      <c r="J93" s="21" t="n">
        <v>0.9702639932015297</v>
      </c>
      <c r="K93" s="21" t="n">
        <v>0.9378972436904377</v>
      </c>
      <c r="L93" s="21" t="n">
        <v>0.9361348821482645</v>
      </c>
      <c r="M93" s="21" t="n">
        <v>0.9068886674498565</v>
      </c>
    </row>
    <row r="94">
      <c r="A94" s="10" t="n">
        <v>0.875</v>
      </c>
      <c r="B94" s="21" t="n">
        <v>0.9306941868798604</v>
      </c>
      <c r="C94" s="21" t="n">
        <v>0.9312311193152802</v>
      </c>
      <c r="D94" s="21" t="n">
        <v>0.9495970211894851</v>
      </c>
      <c r="E94" s="21" t="n">
        <v>0.9042593838254265</v>
      </c>
      <c r="F94" s="21" t="n">
        <v>0.8293625555777721</v>
      </c>
      <c r="G94" s="21" t="n">
        <v>0.9572926420930165</v>
      </c>
      <c r="H94" s="21" t="n">
        <v>0.9511345000357102</v>
      </c>
      <c r="I94" s="21" t="n">
        <v>0.941675161996503</v>
      </c>
      <c r="J94" s="21" t="n">
        <v>0.9738592863457074</v>
      </c>
      <c r="K94" s="21" t="n">
        <v>0.9448644754285647</v>
      </c>
      <c r="L94" s="21" t="n">
        <v>0.9431278806390251</v>
      </c>
      <c r="M94" s="21" t="n">
        <v>0.9180561311574714</v>
      </c>
    </row>
    <row r="95">
      <c r="A95" s="10" t="n">
        <v>0.885</v>
      </c>
      <c r="B95" s="21" t="n">
        <v>0.9388992485629558</v>
      </c>
      <c r="C95" s="21" t="n">
        <v>0.939722391225411</v>
      </c>
      <c r="D95" s="21" t="n">
        <v>0.9558621554538416</v>
      </c>
      <c r="E95" s="21" t="n">
        <v>0.9151723630571152</v>
      </c>
      <c r="F95" s="21" t="n">
        <v>0.8458751638905125</v>
      </c>
      <c r="G95" s="21" t="n">
        <v>0.9622050665418119</v>
      </c>
      <c r="H95" s="21" t="n">
        <v>0.9576243640478959</v>
      </c>
      <c r="I95" s="21" t="n">
        <v>0.9503462131528596</v>
      </c>
      <c r="J95" s="21" t="n">
        <v>0.9775401817076036</v>
      </c>
      <c r="K95" s="21" t="n">
        <v>0.9516326434027451</v>
      </c>
      <c r="L95" s="21" t="n">
        <v>0.9501208791297857</v>
      </c>
      <c r="M95" s="21" t="n">
        <v>0.9286578004307945</v>
      </c>
    </row>
    <row r="96">
      <c r="A96" s="10" t="n">
        <v>0.895</v>
      </c>
      <c r="B96" s="21" t="n">
        <v>0.9467909021138228</v>
      </c>
      <c r="C96" s="21" t="n">
        <v>0.9472511755028714</v>
      </c>
      <c r="D96" s="21" t="n">
        <v>0.9621272897181981</v>
      </c>
      <c r="E96" s="21" t="n">
        <v>0.926085342288804</v>
      </c>
      <c r="F96" s="21" t="n">
        <v>0.8621366003982481</v>
      </c>
      <c r="G96" s="21" t="n">
        <v>0.9671174909906074</v>
      </c>
      <c r="H96" s="21" t="n">
        <v>0.9632817819734839</v>
      </c>
      <c r="I96" s="21" t="n">
        <v>0.9564557849509886</v>
      </c>
      <c r="J96" s="21" t="n">
        <v>0.9811354748517813</v>
      </c>
      <c r="K96" s="21" t="n">
        <v>0.9584008113769256</v>
      </c>
      <c r="L96" s="21" t="n">
        <v>0.9575470486153076</v>
      </c>
      <c r="M96" s="21" t="n">
        <v>0.939375640113557</v>
      </c>
    </row>
    <row r="97">
      <c r="A97" s="10" t="n">
        <v>0.905</v>
      </c>
      <c r="B97" s="21" t="n">
        <v>0.9542743628461489</v>
      </c>
      <c r="C97" s="21" t="n">
        <v>0.9545671269564977</v>
      </c>
      <c r="D97" s="21" t="n">
        <v>0.9681763848699906</v>
      </c>
      <c r="E97" s="21" t="n">
        <v>0.9367254970397005</v>
      </c>
      <c r="F97" s="21" t="n">
        <v>0.8786990713679746</v>
      </c>
      <c r="G97" s="21" t="n">
        <v>0.9720299154394029</v>
      </c>
      <c r="H97" s="21" t="n">
        <v>0.968782049401139</v>
      </c>
      <c r="I97" s="21" t="n">
        <v>0.9601651543199765</v>
      </c>
      <c r="J97" s="21" t="n">
        <v>0.9845547151787194</v>
      </c>
      <c r="K97" s="21" t="n">
        <v>0.9653680431150525</v>
      </c>
      <c r="L97" s="21" t="n">
        <v>0.9651528255864622</v>
      </c>
      <c r="M97" s="21" t="n">
        <v>0.9484570400593887</v>
      </c>
    </row>
    <row r="98">
      <c r="A98" s="10" t="n">
        <v>0.915</v>
      </c>
      <c r="B98" s="21" t="n">
        <v>0.9618074252122691</v>
      </c>
      <c r="C98" s="21" t="n">
        <v>0.9617620488463907</v>
      </c>
      <c r="D98" s="21" t="n">
        <v>0.9742884172093996</v>
      </c>
      <c r="E98" s="21" t="n">
        <v>0.9476384762713893</v>
      </c>
      <c r="F98" s="21" t="n">
        <v>0.8957204848259134</v>
      </c>
      <c r="G98" s="21" t="n">
        <v>0.9769423398881983</v>
      </c>
      <c r="H98" s="21" t="n">
        <v>0.974439467326727</v>
      </c>
      <c r="I98" s="21" t="n">
        <v>0.9638745236889644</v>
      </c>
      <c r="J98" s="21" t="n">
        <v>0.987687869677643</v>
      </c>
      <c r="K98" s="21" t="n">
        <v>0.972136211089233</v>
      </c>
      <c r="L98" s="21" t="n">
        <v>0.9727586025576168</v>
      </c>
      <c r="M98" s="21" t="n">
        <v>0.9575384400052204</v>
      </c>
    </row>
    <row r="99">
      <c r="A99" s="10" t="n">
        <v>0.925</v>
      </c>
      <c r="B99" s="21" t="n">
        <v>0.9687447440939695</v>
      </c>
      <c r="C99" s="21" t="n">
        <v>0.9685398482589823</v>
      </c>
      <c r="D99" s="21" t="n">
        <v>0.9798679432130117</v>
      </c>
      <c r="E99" s="21" t="n">
        <v>0.9577329820607015</v>
      </c>
      <c r="F99" s="21" t="n">
        <v>0.9100405598810269</v>
      </c>
      <c r="G99" s="21" t="n">
        <v>0.9839600891007633</v>
      </c>
      <c r="H99" s="21" t="n">
        <v>0.9805943969639865</v>
      </c>
      <c r="I99" s="21" t="n">
        <v>0.9714545393560267</v>
      </c>
      <c r="J99" s="21" t="n">
        <v>0.9902988317600794</v>
      </c>
      <c r="K99" s="21" t="n">
        <v>0.9761776715413972</v>
      </c>
      <c r="L99" s="21" t="n">
        <v>0.977479429643161</v>
      </c>
      <c r="M99" s="21" t="n">
        <v>0.9645691676185987</v>
      </c>
    </row>
    <row r="100">
      <c r="A100" s="10" t="n">
        <v>0.9350000000000001</v>
      </c>
      <c r="B100" s="21" t="n">
        <v>0.9752283076684495</v>
      </c>
      <c r="C100" s="21" t="n">
        <v>0.9751579115259091</v>
      </c>
      <c r="D100" s="21" t="n">
        <v>0.9854474692166239</v>
      </c>
      <c r="E100" s="21" t="n">
        <v>0.9640779281026678</v>
      </c>
      <c r="F100" s="21" t="n">
        <v>0.9243606349361405</v>
      </c>
      <c r="G100" s="21" t="n">
        <v>0.9899422547600806</v>
      </c>
      <c r="H100" s="21" t="n">
        <v>0.986550998849314</v>
      </c>
      <c r="I100" s="21" t="n">
        <v>0.9791958319521754</v>
      </c>
      <c r="J100" s="21" t="n">
        <v>0.9929097938425158</v>
      </c>
      <c r="K100" s="21" t="n">
        <v>0.9796186745409732</v>
      </c>
      <c r="L100" s="21" t="n">
        <v>0.9816364218870005</v>
      </c>
      <c r="M100" s="21" t="n">
        <v>0.9725631774599379</v>
      </c>
    </row>
    <row r="101">
      <c r="A101" s="10" t="n">
        <v>0.945</v>
      </c>
      <c r="B101" s="21" t="n">
        <v>0.9809636131319361</v>
      </c>
      <c r="C101" s="21" t="n">
        <v>0.9809800730144025</v>
      </c>
      <c r="D101" s="21" t="n">
        <v>0.9905111044749598</v>
      </c>
      <c r="E101" s="21" t="n">
        <v>0.9700920306375154</v>
      </c>
      <c r="F101" s="21" t="n">
        <v>0.938992926226378</v>
      </c>
      <c r="G101" s="21" t="n">
        <v>0.9916185456334005</v>
      </c>
      <c r="H101" s="21" t="n">
        <v>0.9905206727952339</v>
      </c>
      <c r="I101" s="21" t="n">
        <v>0.9869371245483242</v>
      </c>
      <c r="J101" s="21" t="n">
        <v>0.9954461570083111</v>
      </c>
      <c r="K101" s="21" t="n">
        <v>0.9830596775405491</v>
      </c>
      <c r="L101" s="21" t="n">
        <v>0.984711662240852</v>
      </c>
      <c r="M101" s="21" t="n">
        <v>0.9803351314723511</v>
      </c>
    </row>
    <row r="102">
      <c r="A102" s="10" t="n">
        <v>0.955</v>
      </c>
      <c r="B102" s="21" t="n">
        <v>0.9861021161869986</v>
      </c>
      <c r="C102" s="21" t="n">
        <v>0.9858430993032103</v>
      </c>
      <c r="D102" s="21" t="n">
        <v>0.9934691148971061</v>
      </c>
      <c r="E102" s="21" t="n">
        <v>0.9761061331723629</v>
      </c>
      <c r="F102" s="21" t="n">
        <v>0.9538190069039338</v>
      </c>
      <c r="G102" s="21" t="n">
        <v>0.9932948365067203</v>
      </c>
      <c r="H102" s="21" t="n">
        <v>0.9943375061304303</v>
      </c>
      <c r="I102" s="21" t="n">
        <v>0.9921542260001351</v>
      </c>
      <c r="J102" s="21" t="n">
        <v>0.9966904658855675</v>
      </c>
      <c r="K102" s="21" t="n">
        <v>0.9863683342709106</v>
      </c>
      <c r="L102" s="21" t="n">
        <v>0.9877869025947036</v>
      </c>
      <c r="M102" s="21" t="n">
        <v>0.9883291413136903</v>
      </c>
    </row>
    <row r="103">
      <c r="A103" s="10" t="n">
        <v>0.965</v>
      </c>
      <c r="B103" s="21" t="n">
        <v>0.9903458342554674</v>
      </c>
      <c r="C103" s="21" t="n">
        <v>0.9902603496342652</v>
      </c>
      <c r="D103" s="21" t="n">
        <v>0.9965010755798061</v>
      </c>
      <c r="E103" s="21" t="n">
        <v>0.9821202357072105</v>
      </c>
      <c r="F103" s="21" t="n">
        <v>0.9683296390564353</v>
      </c>
      <c r="G103" s="21" t="n">
        <v>0.9949711273800402</v>
      </c>
      <c r="H103" s="21" t="n">
        <v>0.9966019986576344</v>
      </c>
      <c r="I103" s="21" t="n">
        <v>0.9940848614870129</v>
      </c>
      <c r="J103" s="21" t="n">
        <v>0.9975058583485437</v>
      </c>
      <c r="K103" s="21" t="n">
        <v>0.9898093372704866</v>
      </c>
      <c r="L103" s="21" t="n">
        <v>0.9907742789384451</v>
      </c>
      <c r="M103" s="21" t="n">
        <v>0.9932853682187941</v>
      </c>
    </row>
    <row r="104">
      <c r="A104" s="10" t="n">
        <v>0.975</v>
      </c>
      <c r="B104" s="21" t="n">
        <v>0.9937628856246723</v>
      </c>
      <c r="C104" s="21" t="n">
        <v>0.9935611138332704</v>
      </c>
      <c r="D104" s="21" t="n">
        <v>0.9980225164010691</v>
      </c>
      <c r="E104" s="21" t="n">
        <v>0.9879717949303055</v>
      </c>
      <c r="F104" s="21" t="n">
        <v>0.9795382266019544</v>
      </c>
      <c r="G104" s="21" t="n">
        <v>0.9966474182533601</v>
      </c>
      <c r="H104" s="21" t="n">
        <v>0.9986394610402277</v>
      </c>
      <c r="I104" s="21" t="n">
        <v>0.9960565743246753</v>
      </c>
      <c r="J104" s="21" t="n">
        <v>0.9983452329427839</v>
      </c>
      <c r="K104" s="21" t="n">
        <v>0.9932503402700625</v>
      </c>
      <c r="L104" s="21" t="n">
        <v>0.9938495192922966</v>
      </c>
      <c r="M104" s="21" t="n">
        <v>0.9955235788125294</v>
      </c>
    </row>
    <row r="105">
      <c r="A105" s="10" t="n">
        <v>0.985</v>
      </c>
      <c r="B105" s="21" t="n">
        <v>0.9968776397700611</v>
      </c>
      <c r="C105" s="21" t="n">
        <v>0.996780556916635</v>
      </c>
      <c r="D105" s="21" t="n">
        <v>0.9990234648894168</v>
      </c>
      <c r="E105" s="21" t="n">
        <v>0.9939858974651531</v>
      </c>
      <c r="F105" s="21" t="n">
        <v>0.9897691133009772</v>
      </c>
      <c r="G105" s="21" t="n">
        <v>0.99832370912668</v>
      </c>
      <c r="H105" s="21" t="n">
        <v>0.9993444067547085</v>
      </c>
      <c r="I105" s="21" t="n">
        <v>0.9980282871623377</v>
      </c>
      <c r="J105" s="21" t="n">
        <v>0.99916062540576</v>
      </c>
      <c r="K105" s="21" t="n">
        <v>0.9965589970004241</v>
      </c>
      <c r="L105" s="21" t="n">
        <v>0.9969247596461481</v>
      </c>
      <c r="M105" s="21" t="n">
        <v>0.9977617894062647</v>
      </c>
    </row>
    <row r="106">
      <c r="A106" s="10" t="n">
        <v>0.995</v>
      </c>
      <c r="B106" s="21" t="n">
        <v>0.9999999999999999</v>
      </c>
      <c r="C106" s="21" t="n">
        <v>0.9999999999999997</v>
      </c>
      <c r="D106" s="21" t="n">
        <v>1</v>
      </c>
      <c r="E106" s="21" t="n">
        <v>1.000000000000001</v>
      </c>
      <c r="F106" s="21" t="n">
        <v>0.9999999999999999</v>
      </c>
      <c r="G106" s="21" t="n">
        <v>0.9999999999999999</v>
      </c>
      <c r="H106" s="21" t="n">
        <v>0.9999999999999999</v>
      </c>
      <c r="I106" s="21" t="n">
        <v>1</v>
      </c>
      <c r="J106" s="21" t="n">
        <v>1</v>
      </c>
      <c r="K106" s="21" t="n">
        <v>1</v>
      </c>
      <c r="L106" s="21" t="n">
        <v>0.9999999999999997</v>
      </c>
      <c r="M106" s="21" t="n">
        <v>1</v>
      </c>
    </row>
    <row r="130">
      <c r="A130" s="6" t="inlineStr">
        <is>
          <t>■ 工数密度(非累積):平均カーブ vs 各案件</t>
        </is>
      </c>
    </row>
    <row r="131">
      <c r="A131" s="5" t="inlineStr">
        <is>
          <t>上の累積カーブと同じデータを、累積せずに density として並べたもの。面積が1になるよう正規化しているので、案件規模によらず形だけを比べられる。山の位置・鋭さ・数の違いはこちらでしか見えない。</t>
        </is>
      </c>
    </row>
    <row r="133">
      <c r="A133" s="7" t="inlineStr">
        <is>
          <t>t</t>
        </is>
      </c>
      <c r="B133" s="8" t="inlineStr">
        <is>
          <t>平均(位置合わせあり)</t>
        </is>
      </c>
      <c r="C133" s="8" t="inlineStr">
        <is>
          <t>平均(位置合わせなし)</t>
        </is>
      </c>
      <c r="D133" s="8" t="inlineStr">
        <is>
          <t>PJ-2019-A</t>
        </is>
      </c>
      <c r="E133" s="8" t="inlineStr">
        <is>
          <t>PJ-2020-B</t>
        </is>
      </c>
      <c r="F133" s="8" t="inlineStr">
        <is>
          <t>PJ-2020-C</t>
        </is>
      </c>
      <c r="G133" s="8" t="inlineStr">
        <is>
          <t>PJ-2021-D</t>
        </is>
      </c>
      <c r="H133" s="8" t="inlineStr">
        <is>
          <t>PJ-2021-E</t>
        </is>
      </c>
      <c r="I133" s="8" t="inlineStr">
        <is>
          <t>PJ-2022-F</t>
        </is>
      </c>
      <c r="J133" s="8" t="inlineStr">
        <is>
          <t>PJ-2022-G</t>
        </is>
      </c>
      <c r="K133" s="8" t="inlineStr">
        <is>
          <t>PJ-2023-H</t>
        </is>
      </c>
      <c r="L133" s="8" t="inlineStr">
        <is>
          <t>PJ-2023-I</t>
        </is>
      </c>
      <c r="M133" s="8" t="inlineStr">
        <is>
          <t>PJ-2024-J</t>
        </is>
      </c>
    </row>
    <row r="134">
      <c r="A134" s="10" t="n">
        <v>0.005</v>
      </c>
      <c r="B134" s="21" t="n">
        <v>0.3856857832956352</v>
      </c>
      <c r="C134" s="21" t="n">
        <v>0.3834845109846539</v>
      </c>
      <c r="D134" s="21" t="n">
        <v>0.3090068262850812</v>
      </c>
      <c r="E134" s="21" t="n">
        <v>0.05157680709847524</v>
      </c>
      <c r="F134" s="21" t="n">
        <v>1.006548497600342</v>
      </c>
      <c r="G134" s="21" t="n">
        <v>0.6580379591866568</v>
      </c>
      <c r="H134" s="21" t="n">
        <v>0.138089324428331</v>
      </c>
      <c r="I134" s="21" t="n">
        <v>0.2382240855486503</v>
      </c>
      <c r="J134" s="21" t="n">
        <v>0.9459409075211443</v>
      </c>
      <c r="K134" s="21" t="n">
        <v>0.2368670516255016</v>
      </c>
      <c r="L134" s="21" t="n">
        <v>0.1648996523499456</v>
      </c>
      <c r="M134" s="21" t="n">
        <v>0.0303200398786301</v>
      </c>
    </row>
    <row r="135">
      <c r="A135" s="10" t="n">
        <v>0.015</v>
      </c>
      <c r="B135" s="21" t="n">
        <v>0.3850076858393185</v>
      </c>
      <c r="C135" s="21" t="n">
        <v>0.3834845109846539</v>
      </c>
      <c r="D135" s="21" t="n">
        <v>0.3016495208973411</v>
      </c>
      <c r="E135" s="21" t="n">
        <v>0.05267418597291088</v>
      </c>
      <c r="F135" s="21" t="n">
        <v>1.031712210040351</v>
      </c>
      <c r="G135" s="21" t="n">
        <v>0.6440371515443876</v>
      </c>
      <c r="H135" s="21" t="n">
        <v>0.1340278737098507</v>
      </c>
      <c r="I135" s="21" t="n">
        <v>0.2382240855486503</v>
      </c>
      <c r="J135" s="21" t="n">
        <v>0.9459409075211443</v>
      </c>
      <c r="K135" s="21" t="n">
        <v>0.2368670516255016</v>
      </c>
      <c r="L135" s="21" t="n">
        <v>0.1648996523499456</v>
      </c>
      <c r="M135" s="21" t="n">
        <v>0.0303200398786301</v>
      </c>
    </row>
    <row r="136">
      <c r="A136" s="10" t="n">
        <v>0.025</v>
      </c>
      <c r="B136" s="21" t="n">
        <v>0.3946540715406709</v>
      </c>
      <c r="C136" s="21" t="n">
        <v>0.3900762450725753</v>
      </c>
      <c r="D136" s="21" t="n">
        <v>0.3924459404337309</v>
      </c>
      <c r="E136" s="21" t="n">
        <v>0.05157680709847524</v>
      </c>
      <c r="F136" s="21" t="n">
        <v>1.006548497600342</v>
      </c>
      <c r="G136" s="21" t="n">
        <v>0.6580379591866568</v>
      </c>
      <c r="H136" s="21" t="n">
        <v>0.138089324428331</v>
      </c>
      <c r="I136" s="21" t="n">
        <v>0.2446625743472625</v>
      </c>
      <c r="J136" s="21" t="n">
        <v>0.9459409075211443</v>
      </c>
      <c r="K136" s="21" t="n">
        <v>0.2436346816719445</v>
      </c>
      <c r="L136" s="21" t="n">
        <v>0.1648996523499456</v>
      </c>
      <c r="M136" s="21" t="n">
        <v>0.0303200398786301</v>
      </c>
    </row>
    <row r="137">
      <c r="A137" s="10" t="n">
        <v>0.035</v>
      </c>
      <c r="B137" s="21" t="n">
        <v>0.4265346829057992</v>
      </c>
      <c r="C137" s="21" t="n">
        <v>0.4307898917728948</v>
      </c>
      <c r="D137" s="21" t="n">
        <v>0.5426363459013003</v>
      </c>
      <c r="E137" s="21" t="n">
        <v>0.05267418597291088</v>
      </c>
      <c r="F137" s="21" t="n">
        <v>1.127930504826025</v>
      </c>
      <c r="G137" s="21" t="n">
        <v>0.6440371515443876</v>
      </c>
      <c r="H137" s="21" t="n">
        <v>0.1944575596912509</v>
      </c>
      <c r="I137" s="21" t="n">
        <v>0.2382240855486503</v>
      </c>
      <c r="J137" s="21" t="n">
        <v>0.9459409075211443</v>
      </c>
      <c r="K137" s="21" t="n">
        <v>0.2368670516255016</v>
      </c>
      <c r="L137" s="21" t="n">
        <v>0.160777161041197</v>
      </c>
      <c r="M137" s="21" t="n">
        <v>0.06890296310663353</v>
      </c>
    </row>
    <row r="138">
      <c r="A138" s="10" t="n">
        <v>0.045</v>
      </c>
      <c r="B138" s="21" t="n">
        <v>0.4561466361059787</v>
      </c>
      <c r="C138" s="21" t="n">
        <v>0.4529944338099215</v>
      </c>
      <c r="D138" s="21" t="n">
        <v>0.5297164329036503</v>
      </c>
      <c r="E138" s="21" t="n">
        <v>0.05157680709847524</v>
      </c>
      <c r="F138" s="21" t="n">
        <v>1.230778701890471</v>
      </c>
      <c r="G138" s="21" t="n">
        <v>0.6580379591866568</v>
      </c>
      <c r="H138" s="21" t="n">
        <v>0.2252038698346618</v>
      </c>
      <c r="I138" s="21" t="n">
        <v>0.2382240855486503</v>
      </c>
      <c r="J138" s="21" t="n">
        <v>1.04283534654763</v>
      </c>
      <c r="K138" s="21" t="n">
        <v>0.2368670516255016</v>
      </c>
      <c r="L138" s="21" t="n">
        <v>0.1648996523499456</v>
      </c>
      <c r="M138" s="21" t="n">
        <v>0.08681646317677795</v>
      </c>
    </row>
    <row r="139">
      <c r="A139" s="10" t="n">
        <v>0.055</v>
      </c>
      <c r="B139" s="21" t="n">
        <v>0.475667238219055</v>
      </c>
      <c r="C139" s="21" t="n">
        <v>0.4995375620997842</v>
      </c>
      <c r="D139" s="21" t="n">
        <v>0.6460204282186088</v>
      </c>
      <c r="E139" s="21" t="n">
        <v>0.05267418597291088</v>
      </c>
      <c r="F139" s="21" t="n">
        <v>1.200759709161435</v>
      </c>
      <c r="G139" s="21" t="n">
        <v>0.6989330985431049</v>
      </c>
      <c r="H139" s="21" t="n">
        <v>0.2185802266042306</v>
      </c>
      <c r="I139" s="21" t="n">
        <v>0.2608450905899931</v>
      </c>
      <c r="J139" s="21" t="n">
        <v>1.028414449285482</v>
      </c>
      <c r="K139" s="21" t="n">
        <v>0.2725460793059212</v>
      </c>
      <c r="L139" s="21" t="n">
        <v>0.2172838867223257</v>
      </c>
      <c r="M139" s="21" t="n">
        <v>0.08681646317677795</v>
      </c>
    </row>
    <row r="140">
      <c r="A140" s="10" t="n">
        <v>0.065</v>
      </c>
      <c r="B140" s="21" t="n">
        <v>0.5447755472516996</v>
      </c>
      <c r="C140" s="21" t="n">
        <v>0.5371377239585607</v>
      </c>
      <c r="D140" s="21" t="n">
        <v>0.7034560295060023</v>
      </c>
      <c r="E140" s="21" t="n">
        <v>0.1434641714652056</v>
      </c>
      <c r="F140" s="21" t="n">
        <v>1.15743789478429</v>
      </c>
      <c r="G140" s="21" t="n">
        <v>0.8300452597826391</v>
      </c>
      <c r="H140" s="21" t="n">
        <v>0.2619838145870027</v>
      </c>
      <c r="I140" s="21" t="n">
        <v>0.4474683821810708</v>
      </c>
      <c r="J140" s="21" t="n">
        <v>1.028414449285482</v>
      </c>
      <c r="K140" s="21" t="n">
        <v>0.4152621900275987</v>
      </c>
      <c r="L140" s="21" t="n">
        <v>0.3260819119572698</v>
      </c>
      <c r="M140" s="21" t="n">
        <v>0.1176560014888834</v>
      </c>
    </row>
    <row r="141">
      <c r="A141" s="10" t="n">
        <v>0.075</v>
      </c>
      <c r="B141" s="21" t="n">
        <v>0.5419734390887873</v>
      </c>
      <c r="C141" s="21" t="n">
        <v>0.538614094631451</v>
      </c>
      <c r="D141" s="21" t="n">
        <v>0.6889024516821154</v>
      </c>
      <c r="E141" s="21" t="n">
        <v>0.1595444602293835</v>
      </c>
      <c r="F141" s="21" t="n">
        <v>1.053159262944175</v>
      </c>
      <c r="G141" s="21" t="n">
        <v>0.8123847223404553</v>
      </c>
      <c r="H141" s="21" t="n">
        <v>0.2877297759136414</v>
      </c>
      <c r="I141" s="21" t="n">
        <v>0.4595621222400187</v>
      </c>
      <c r="J141" s="21" t="n">
        <v>1.028414449285482</v>
      </c>
      <c r="K141" s="21" t="n">
        <v>0.4271268240283873</v>
      </c>
      <c r="L141" s="21" t="n">
        <v>0.3260819119572698</v>
      </c>
      <c r="M141" s="21" t="n">
        <v>0.1395006744599581</v>
      </c>
    </row>
    <row r="142">
      <c r="A142" s="10" t="n">
        <v>0.08500000000000001</v>
      </c>
      <c r="B142" s="21" t="n">
        <v>0.550767517594033</v>
      </c>
      <c r="C142" s="21" t="n">
        <v>0.5536993005037764</v>
      </c>
      <c r="D142" s="21" t="n">
        <v>0.7956617904087536</v>
      </c>
      <c r="E142" s="21" t="n">
        <v>0.1629390232129874</v>
      </c>
      <c r="F142" s="21" t="n">
        <v>1.027472451652854</v>
      </c>
      <c r="G142" s="21" t="n">
        <v>0.8300452597826391</v>
      </c>
      <c r="H142" s="21" t="n">
        <v>0.2877297759136414</v>
      </c>
      <c r="I142" s="21" t="n">
        <v>0.4474683821810708</v>
      </c>
      <c r="J142" s="21" t="n">
        <v>1.022916864893898</v>
      </c>
      <c r="K142" s="21" t="n">
        <v>0.4152621900275987</v>
      </c>
      <c r="L142" s="21" t="n">
        <v>0.3260819119572698</v>
      </c>
      <c r="M142" s="21" t="n">
        <v>0.1395006744599581</v>
      </c>
    </row>
    <row r="143">
      <c r="A143" s="10" t="n">
        <v>0.095</v>
      </c>
      <c r="B143" s="21" t="n">
        <v>0.5512207658932439</v>
      </c>
      <c r="C143" s="21" t="n">
        <v>0.5637094177431041</v>
      </c>
      <c r="D143" s="21" t="n">
        <v>0.7956617904087536</v>
      </c>
      <c r="E143" s="21" t="n">
        <v>0.1595444602293835</v>
      </c>
      <c r="F143" s="21" t="n">
        <v>1.027472451652854</v>
      </c>
      <c r="G143" s="21" t="n">
        <v>0.8123847223404553</v>
      </c>
      <c r="H143" s="21" t="n">
        <v>0.2929106785030255</v>
      </c>
      <c r="I143" s="21" t="n">
        <v>0.4474683821810708</v>
      </c>
      <c r="J143" s="21" t="n">
        <v>1.008073387036619</v>
      </c>
      <c r="K143" s="21" t="n">
        <v>0.4152621900275987</v>
      </c>
      <c r="L143" s="21" t="n">
        <v>0.3260819119572698</v>
      </c>
      <c r="M143" s="21" t="n">
        <v>0.1551519126377423</v>
      </c>
    </row>
    <row r="144">
      <c r="A144" s="10" t="n">
        <v>0.105</v>
      </c>
      <c r="B144" s="21" t="n">
        <v>0.5542081223323013</v>
      </c>
      <c r="C144" s="21" t="n">
        <v>0.5719034568511761</v>
      </c>
      <c r="D144" s="21" t="n">
        <v>0.8047546645368768</v>
      </c>
      <c r="E144" s="21" t="n">
        <v>0.1629390232129874</v>
      </c>
      <c r="F144" s="21" t="n">
        <v>0.901713008823758</v>
      </c>
      <c r="G144" s="21" t="n">
        <v>0.8300452597826391</v>
      </c>
      <c r="H144" s="21" t="n">
        <v>0.3457148339077296</v>
      </c>
      <c r="I144" s="21" t="n">
        <v>0.4474683821810708</v>
      </c>
      <c r="J144" s="21" t="n">
        <v>1.008073387036619</v>
      </c>
      <c r="K144" s="21" t="n">
        <v>0.4152621900275987</v>
      </c>
      <c r="L144" s="21" t="n">
        <v>0.3260819119572698</v>
      </c>
      <c r="M144" s="21" t="n">
        <v>0.2036707509888731</v>
      </c>
    </row>
    <row r="145">
      <c r="A145" s="10" t="n">
        <v>0.115</v>
      </c>
      <c r="B145" s="21" t="n">
        <v>0.5886699677295556</v>
      </c>
      <c r="C145" s="21" t="n">
        <v>0.6090281334939568</v>
      </c>
      <c r="D145" s="21" t="n">
        <v>0.8937919990579142</v>
      </c>
      <c r="E145" s="21" t="n">
        <v>0.1680021739118866</v>
      </c>
      <c r="F145" s="21" t="n">
        <v>0.8797200086085444</v>
      </c>
      <c r="G145" s="21" t="n">
        <v>0.8646492485078925</v>
      </c>
      <c r="H145" s="21" t="n">
        <v>0.3457148339077296</v>
      </c>
      <c r="I145" s="21" t="n">
        <v>0.4474683821810708</v>
      </c>
      <c r="J145" s="21" t="n">
        <v>1.008073387036619</v>
      </c>
      <c r="K145" s="21" t="n">
        <v>0.5865333905777178</v>
      </c>
      <c r="L145" s="21" t="n">
        <v>0.429508948197777</v>
      </c>
      <c r="M145" s="21" t="n">
        <v>0.1987031716964615</v>
      </c>
    </row>
    <row r="146">
      <c r="A146" s="10" t="n">
        <v>0.125</v>
      </c>
      <c r="B146" s="21" t="n">
        <v>0.629822339946189</v>
      </c>
      <c r="C146" s="21" t="n">
        <v>0.6238068110369358</v>
      </c>
      <c r="D146" s="21" t="n">
        <v>0.8937919990579142</v>
      </c>
      <c r="E146" s="21" t="n">
        <v>0.2982624421330377</v>
      </c>
      <c r="F146" s="21" t="n">
        <v>0.8797200086085444</v>
      </c>
      <c r="G146" s="21" t="n">
        <v>0.9417012929585282</v>
      </c>
      <c r="H146" s="21" t="n">
        <v>0.3457148339077296</v>
      </c>
      <c r="I146" s="21" t="n">
        <v>0.6201242477838096</v>
      </c>
      <c r="J146" s="21" t="n">
        <v>1.008073387036619</v>
      </c>
      <c r="K146" s="21" t="n">
        <v>0.6084728010814545</v>
      </c>
      <c r="L146" s="21" t="n">
        <v>0.4573514225919039</v>
      </c>
      <c r="M146" s="21" t="n">
        <v>0.2049784084333269</v>
      </c>
    </row>
    <row r="147">
      <c r="A147" s="10" t="n">
        <v>0.135</v>
      </c>
      <c r="B147" s="21" t="n">
        <v>0.6449139806065293</v>
      </c>
      <c r="C147" s="21" t="n">
        <v>0.6313920794047359</v>
      </c>
      <c r="D147" s="21" t="n">
        <v>0.9317043377792803</v>
      </c>
      <c r="E147" s="21" t="n">
        <v>0.2920486412552661</v>
      </c>
      <c r="F147" s="21" t="n">
        <v>0.859795681481032</v>
      </c>
      <c r="G147" s="21" t="n">
        <v>0.9216650952360064</v>
      </c>
      <c r="H147" s="21" t="n">
        <v>0.3558510307450941</v>
      </c>
      <c r="I147" s="21" t="n">
        <v>0.603805188631604</v>
      </c>
      <c r="J147" s="21" t="n">
        <v>1.111331813054208</v>
      </c>
      <c r="K147" s="21" t="n">
        <v>0.5915707788291918</v>
      </c>
      <c r="L147" s="21" t="n">
        <v>0.4573514225919039</v>
      </c>
      <c r="M147" s="21" t="n">
        <v>0.2572847062114788</v>
      </c>
    </row>
    <row r="148">
      <c r="A148" s="10" t="n">
        <v>0.145</v>
      </c>
      <c r="B148" s="21" t="n">
        <v>0.6497329137392838</v>
      </c>
      <c r="C148" s="21" t="n">
        <v>0.6598860902742947</v>
      </c>
      <c r="D148" s="21" t="n">
        <v>0.9973799251143847</v>
      </c>
      <c r="E148" s="21" t="n">
        <v>0.2920486412552661</v>
      </c>
      <c r="F148" s="21" t="n">
        <v>0.8152318126966586</v>
      </c>
      <c r="G148" s="21" t="n">
        <v>0.9417012929585282</v>
      </c>
      <c r="H148" s="21" t="n">
        <v>0.3666343953131272</v>
      </c>
      <c r="I148" s="21" t="n">
        <v>0.603805188631604</v>
      </c>
      <c r="J148" s="21" t="n">
        <v>1.095963648774562</v>
      </c>
      <c r="K148" s="21" t="n">
        <v>0.5915707788291918</v>
      </c>
      <c r="L148" s="21" t="n">
        <v>0.4573514225919039</v>
      </c>
      <c r="M148" s="21" t="n">
        <v>0.2572847062114788</v>
      </c>
    </row>
    <row r="149">
      <c r="A149" s="10" t="n">
        <v>0.155</v>
      </c>
      <c r="B149" s="21" t="n">
        <v>0.6480401713315049</v>
      </c>
      <c r="C149" s="21" t="n">
        <v>0.6717400087833783</v>
      </c>
      <c r="D149" s="21" t="n">
        <v>0.9973799251143847</v>
      </c>
      <c r="E149" s="21" t="n">
        <v>0.2982624421330377</v>
      </c>
      <c r="F149" s="21" t="n">
        <v>0.8152318126966586</v>
      </c>
      <c r="G149" s="21" t="n">
        <v>0.9216650952360064</v>
      </c>
      <c r="H149" s="21" t="n">
        <v>0.3666343953131272</v>
      </c>
      <c r="I149" s="21" t="n">
        <v>0.603805188631604</v>
      </c>
      <c r="J149" s="21" t="n">
        <v>1.095963648774562</v>
      </c>
      <c r="K149" s="21" t="n">
        <v>0.5915707788291918</v>
      </c>
      <c r="L149" s="21" t="n">
        <v>0.4573514225919039</v>
      </c>
      <c r="M149" s="21" t="n">
        <v>0.2572847062114788</v>
      </c>
    </row>
    <row r="150">
      <c r="A150" s="10" t="n">
        <v>0.165</v>
      </c>
      <c r="B150" s="21" t="n">
        <v>0.6363857136811497</v>
      </c>
      <c r="C150" s="21" t="n">
        <v>0.6736215608823527</v>
      </c>
      <c r="D150" s="21" t="n">
        <v>0.7235770502545724</v>
      </c>
      <c r="E150" s="21" t="n">
        <v>0.2920486412552661</v>
      </c>
      <c r="F150" s="21" t="n">
        <v>0.8278813695680001</v>
      </c>
      <c r="G150" s="21" t="n">
        <v>0.9417012929585282</v>
      </c>
      <c r="H150" s="21" t="n">
        <v>0.3932716406364329</v>
      </c>
      <c r="I150" s="21" t="n">
        <v>0.603805188631604</v>
      </c>
      <c r="J150" s="21" t="n">
        <v>1.095963648774562</v>
      </c>
      <c r="K150" s="21" t="n">
        <v>0.6126642234372238</v>
      </c>
      <c r="L150" s="21" t="n">
        <v>0.4868210589216899</v>
      </c>
      <c r="M150" s="21" t="n">
        <v>0.2853903149932823</v>
      </c>
    </row>
    <row r="151">
      <c r="A151" s="10" t="n">
        <v>0.175</v>
      </c>
      <c r="B151" s="21" t="n">
        <v>0.6657597269885203</v>
      </c>
      <c r="C151" s="21" t="n">
        <v>0.6769459765594132</v>
      </c>
      <c r="D151" s="21" t="n">
        <v>0.7348214046394413</v>
      </c>
      <c r="E151" s="21" t="n">
        <v>0.2982624421330377</v>
      </c>
      <c r="F151" s="21" t="n">
        <v>0.7959037165814716</v>
      </c>
      <c r="G151" s="21" t="n">
        <v>1.009252641352859</v>
      </c>
      <c r="H151" s="21" t="n">
        <v>0.4272201446610092</v>
      </c>
      <c r="I151" s="21" t="n">
        <v>0.63661592537016</v>
      </c>
      <c r="J151" s="21" t="n">
        <v>1.084589789407903</v>
      </c>
      <c r="K151" s="21" t="n">
        <v>0.7350334687296465</v>
      </c>
      <c r="L151" s="21" t="n">
        <v>0.6046996042408345</v>
      </c>
      <c r="M151" s="21" t="n">
        <v>0.2970202220754078</v>
      </c>
    </row>
    <row r="152">
      <c r="A152" s="10" t="n">
        <v>0.185</v>
      </c>
      <c r="B152" s="21" t="n">
        <v>0.6822029913372569</v>
      </c>
      <c r="C152" s="21" t="n">
        <v>0.6769459765594132</v>
      </c>
      <c r="D152" s="21" t="n">
        <v>0.7452398917545494</v>
      </c>
      <c r="E152" s="21" t="n">
        <v>0.3890242228902877</v>
      </c>
      <c r="F152" s="21" t="n">
        <v>0.7959037165814716</v>
      </c>
      <c r="G152" s="21" t="n">
        <v>1.052961148836692</v>
      </c>
      <c r="H152" s="21" t="n">
        <v>0.4272201446610092</v>
      </c>
      <c r="I152" s="21" t="n">
        <v>0.7258436027705966</v>
      </c>
      <c r="J152" s="21" t="n">
        <v>1.053880369117927</v>
      </c>
      <c r="K152" s="21" t="n">
        <v>0.7146158723760452</v>
      </c>
      <c r="L152" s="21" t="n">
        <v>0.5895821141348137</v>
      </c>
      <c r="M152" s="21" t="n">
        <v>0.2970202220754078</v>
      </c>
    </row>
    <row r="153">
      <c r="A153" s="10" t="n">
        <v>0.195</v>
      </c>
      <c r="B153" s="21" t="n">
        <v>0.6903578691266098</v>
      </c>
      <c r="C153" s="21" t="n">
        <v>0.6822651029618994</v>
      </c>
      <c r="D153" s="21" t="n">
        <v>0.7600414540818721</v>
      </c>
      <c r="E153" s="21" t="n">
        <v>0.4065142541907363</v>
      </c>
      <c r="F153" s="21" t="n">
        <v>0.8150630708185088</v>
      </c>
      <c r="G153" s="21" t="n">
        <v>1.030557720138039</v>
      </c>
      <c r="H153" s="21" t="n">
        <v>0.4336207439104027</v>
      </c>
      <c r="I153" s="21" t="n">
        <v>0.7258436027705966</v>
      </c>
      <c r="J153" s="21" t="n">
        <v>1.053880369117927</v>
      </c>
      <c r="K153" s="21" t="n">
        <v>0.7146158723760452</v>
      </c>
      <c r="L153" s="21" t="n">
        <v>0.6046996042408345</v>
      </c>
      <c r="M153" s="21" t="n">
        <v>0.3288207049814728</v>
      </c>
    </row>
    <row r="154">
      <c r="A154" s="10" t="n">
        <v>0.205</v>
      </c>
      <c r="B154" s="21" t="n">
        <v>0.6926336003519471</v>
      </c>
      <c r="C154" s="21" t="n">
        <v>0.7067531117675715</v>
      </c>
      <c r="D154" s="21" t="n">
        <v>0.7785790505228934</v>
      </c>
      <c r="E154" s="21" t="n">
        <v>0.3980452072284293</v>
      </c>
      <c r="F154" s="21" t="n">
        <v>0.7663741694814881</v>
      </c>
      <c r="G154" s="21" t="n">
        <v>1.052961148836692</v>
      </c>
      <c r="H154" s="21" t="n">
        <v>0.4309025213063176</v>
      </c>
      <c r="I154" s="21" t="n">
        <v>0.7258436027705966</v>
      </c>
      <c r="J154" s="21" t="n">
        <v>1.053880369117927</v>
      </c>
      <c r="K154" s="21" t="n">
        <v>0.7146158723760452</v>
      </c>
      <c r="L154" s="21" t="n">
        <v>0.6046996042408345</v>
      </c>
      <c r="M154" s="21" t="n">
        <v>0.3622112120328413</v>
      </c>
    </row>
    <row r="155">
      <c r="A155" s="10" t="n">
        <v>0.215</v>
      </c>
      <c r="B155" s="21" t="n">
        <v>0.693474708154197</v>
      </c>
      <c r="C155" s="21" t="n">
        <v>0.719606866736588</v>
      </c>
      <c r="D155" s="21" t="n">
        <v>0.7766738230690252</v>
      </c>
      <c r="E155" s="21" t="n">
        <v>0.3980452072284293</v>
      </c>
      <c r="F155" s="21" t="n">
        <v>0.7663741694814881</v>
      </c>
      <c r="G155" s="21" t="n">
        <v>1.030557720138039</v>
      </c>
      <c r="H155" s="21" t="n">
        <v>0.4439601734671151</v>
      </c>
      <c r="I155" s="21" t="n">
        <v>0.7454609974400722</v>
      </c>
      <c r="J155" s="21" t="n">
        <v>1.053880369117927</v>
      </c>
      <c r="K155" s="21" t="n">
        <v>0.7146158723760452</v>
      </c>
      <c r="L155" s="21" t="n">
        <v>0.6046996042408345</v>
      </c>
      <c r="M155" s="21" t="n">
        <v>0.3622112120328413</v>
      </c>
    </row>
    <row r="156">
      <c r="A156" s="10" t="n">
        <v>0.225</v>
      </c>
      <c r="B156" s="21" t="n">
        <v>0.7255551076547686</v>
      </c>
      <c r="C156" s="21" t="n">
        <v>0.7498767057782773</v>
      </c>
      <c r="D156" s="21" t="n">
        <v>0.7570370569430802</v>
      </c>
      <c r="E156" s="21" t="n">
        <v>0.4065142541907363</v>
      </c>
      <c r="F156" s="21" t="n">
        <v>0.7855335237185253</v>
      </c>
      <c r="G156" s="21" t="n">
        <v>1.052961148836692</v>
      </c>
      <c r="H156" s="21" t="n">
        <v>0.4440438693062161</v>
      </c>
      <c r="I156" s="21" t="n">
        <v>0.7258436027705966</v>
      </c>
      <c r="J156" s="21" t="n">
        <v>1.18878987735728</v>
      </c>
      <c r="K156" s="21" t="n">
        <v>0.7920825674505891</v>
      </c>
      <c r="L156" s="21" t="n">
        <v>0.6789528222805028</v>
      </c>
      <c r="M156" s="21" t="n">
        <v>0.3852291968910798</v>
      </c>
    </row>
    <row r="157">
      <c r="A157" s="10" t="n">
        <v>0.235</v>
      </c>
      <c r="B157" s="21" t="n">
        <v>0.7500706422718695</v>
      </c>
      <c r="C157" s="21" t="n">
        <v>0.7690470272742462</v>
      </c>
      <c r="D157" s="21" t="n">
        <v>0.7755013754051067</v>
      </c>
      <c r="E157" s="21" t="n">
        <v>0.3980452072284293</v>
      </c>
      <c r="F157" s="21" t="n">
        <v>0.7473249907684488</v>
      </c>
      <c r="G157" s="21" t="n">
        <v>1.153256634809105</v>
      </c>
      <c r="H157" s="21" t="n">
        <v>0.4468058319965494</v>
      </c>
      <c r="I157" s="21" t="n">
        <v>0.7305357778207064</v>
      </c>
      <c r="J157" s="21" t="n">
        <v>1.180905254141737</v>
      </c>
      <c r="K157" s="21" t="n">
        <v>0.8096977035776158</v>
      </c>
      <c r="L157" s="21" t="n">
        <v>0.7461343052687743</v>
      </c>
      <c r="M157" s="21" t="n">
        <v>0.4970308376310947</v>
      </c>
    </row>
    <row r="158">
      <c r="A158" s="10" t="n">
        <v>0.245</v>
      </c>
      <c r="B158" s="21" t="n">
        <v>0.7888971178374992</v>
      </c>
      <c r="C158" s="21" t="n">
        <v>0.7793993408812909</v>
      </c>
      <c r="D158" s="21" t="n">
        <v>0.826233223597852</v>
      </c>
      <c r="E158" s="21" t="n">
        <v>0.5498366853323995</v>
      </c>
      <c r="F158" s="21" t="n">
        <v>0.737067740692197</v>
      </c>
      <c r="G158" s="21" t="n">
        <v>1.187073916035299</v>
      </c>
      <c r="H158" s="21" t="n">
        <v>0.4336644839966509</v>
      </c>
      <c r="I158" s="21" t="n">
        <v>0.8994540796246653</v>
      </c>
      <c r="J158" s="21" t="n">
        <v>1.180905254141737</v>
      </c>
      <c r="K158" s="21" t="n">
        <v>0.8096977035776158</v>
      </c>
      <c r="L158" s="21" t="n">
        <v>0.7461343052687743</v>
      </c>
      <c r="M158" s="21" t="n">
        <v>0.4970308376310947</v>
      </c>
    </row>
    <row r="159">
      <c r="A159" s="10" t="n">
        <v>0.255</v>
      </c>
      <c r="B159" s="21" t="n">
        <v>0.7861084794166483</v>
      </c>
      <c r="C159" s="21" t="n">
        <v>0.8346941187664815</v>
      </c>
      <c r="D159" s="21" t="n">
        <v>0.8132534292647712</v>
      </c>
      <c r="E159" s="21" t="n">
        <v>0.5511396223115695</v>
      </c>
      <c r="F159" s="21" t="n">
        <v>0.755494434209502</v>
      </c>
      <c r="G159" s="21" t="n">
        <v>1.161817024204761</v>
      </c>
      <c r="H159" s="21" t="n">
        <v>0.4468058319965494</v>
      </c>
      <c r="I159" s="21" t="n">
        <v>0.8994540796246653</v>
      </c>
      <c r="J159" s="21" t="n">
        <v>1.180905254141737</v>
      </c>
      <c r="K159" s="21" t="n">
        <v>0.8096977035776158</v>
      </c>
      <c r="L159" s="21" t="n">
        <v>0.727480947637055</v>
      </c>
      <c r="M159" s="21" t="n">
        <v>0.4970308376310947</v>
      </c>
    </row>
    <row r="160">
      <c r="A160" s="10" t="n">
        <v>0.265</v>
      </c>
      <c r="B160" s="21" t="n">
        <v>0.8095075390702269</v>
      </c>
      <c r="C160" s="21" t="n">
        <v>0.8397043879162517</v>
      </c>
      <c r="D160" s="21" t="n">
        <v>0.8357388945475216</v>
      </c>
      <c r="E160" s="21" t="n">
        <v>0.5628659972543688</v>
      </c>
      <c r="F160" s="21" t="n">
        <v>0.7492131775240617</v>
      </c>
      <c r="G160" s="21" t="n">
        <v>1.187073916035299</v>
      </c>
      <c r="H160" s="21" t="n">
        <v>0.4795726979415404</v>
      </c>
      <c r="I160" s="21" t="n">
        <v>0.9237636493442508</v>
      </c>
      <c r="J160" s="21" t="n">
        <v>1.212670879519591</v>
      </c>
      <c r="K160" s="21" t="n">
        <v>0.8096977035776158</v>
      </c>
      <c r="L160" s="21" t="n">
        <v>0.7461343052687743</v>
      </c>
      <c r="M160" s="21" t="n">
        <v>0.5664872808119165</v>
      </c>
    </row>
    <row r="161">
      <c r="A161" s="10" t="n">
        <v>0.275</v>
      </c>
      <c r="B161" s="21" t="n">
        <v>0.8210082655262581</v>
      </c>
      <c r="C161" s="21" t="n">
        <v>0.8742364140792216</v>
      </c>
      <c r="D161" s="21" t="n">
        <v>0.8489889734899583</v>
      </c>
      <c r="E161" s="21" t="n">
        <v>0.5511396223115695</v>
      </c>
      <c r="F161" s="21" t="n">
        <v>0.7573101354119715</v>
      </c>
      <c r="G161" s="21" t="n">
        <v>1.161817024204761</v>
      </c>
      <c r="H161" s="21" t="n">
        <v>0.4952438077413189</v>
      </c>
      <c r="I161" s="21" t="n">
        <v>0.8994540796246653</v>
      </c>
      <c r="J161" s="21" t="n">
        <v>1.311497269584027</v>
      </c>
      <c r="K161" s="21" t="n">
        <v>0.8328319236798335</v>
      </c>
      <c r="L161" s="21" t="n">
        <v>0.7493513115392102</v>
      </c>
      <c r="M161" s="21" t="n">
        <v>0.5783940996429143</v>
      </c>
    </row>
    <row r="162">
      <c r="A162" s="10" t="n">
        <v>0.285</v>
      </c>
      <c r="B162" s="21" t="n">
        <v>0.8447538294287125</v>
      </c>
      <c r="C162" s="21" t="n">
        <v>0.9742757454180631</v>
      </c>
      <c r="D162" s="21" t="n">
        <v>0.828774950311626</v>
      </c>
      <c r="E162" s="21" t="n">
        <v>0.5511396223115695</v>
      </c>
      <c r="F162" s="21" t="n">
        <v>0.7762428887972708</v>
      </c>
      <c r="G162" s="21" t="n">
        <v>1.208250663934827</v>
      </c>
      <c r="H162" s="21" t="n">
        <v>0.4806778133959859</v>
      </c>
      <c r="I162" s="21" t="n">
        <v>0.8994540796246653</v>
      </c>
      <c r="J162" s="21" t="n">
        <v>1.311497269584027</v>
      </c>
      <c r="K162" s="21" t="n">
        <v>0.9360997314355196</v>
      </c>
      <c r="L162" s="21" t="n">
        <v>0.8748145560862082</v>
      </c>
      <c r="M162" s="21" t="n">
        <v>0.5783940996429143</v>
      </c>
    </row>
    <row r="163">
      <c r="A163" s="10" t="n">
        <v>0.295</v>
      </c>
      <c r="B163" s="21" t="n">
        <v>0.883886338732589</v>
      </c>
      <c r="C163" s="21" t="n">
        <v>1.013304130772383</v>
      </c>
      <c r="D163" s="21" t="n">
        <v>0.887884257672185</v>
      </c>
      <c r="E163" s="21" t="n">
        <v>0.5628659972543688</v>
      </c>
      <c r="F163" s="21" t="n">
        <v>0.7468018535249132</v>
      </c>
      <c r="G163" s="21" t="n">
        <v>1.405349625049336</v>
      </c>
      <c r="H163" s="21" t="n">
        <v>0.5815965672617085</v>
      </c>
      <c r="I163" s="21" t="n">
        <v>0.8994540796246653</v>
      </c>
      <c r="J163" s="21" t="n">
        <v>1.311497269584027</v>
      </c>
      <c r="K163" s="21" t="n">
        <v>0.9677002383999955</v>
      </c>
      <c r="L163" s="21" t="n">
        <v>0.8748145560862082</v>
      </c>
      <c r="M163" s="21" t="n">
        <v>0.6476980874575996</v>
      </c>
    </row>
    <row r="164">
      <c r="A164" s="10" t="n">
        <v>0.305</v>
      </c>
      <c r="B164" s="21" t="n">
        <v>0.9231301172229158</v>
      </c>
      <c r="C164" s="21" t="n">
        <v>1.03976272990319</v>
      </c>
      <c r="D164" s="21" t="n">
        <v>0.9118198171689398</v>
      </c>
      <c r="E164" s="21" t="n">
        <v>0.6482001065944902</v>
      </c>
      <c r="F164" s="21" t="n">
        <v>0.7152770078637383</v>
      </c>
      <c r="G164" s="21" t="n">
        <v>1.435900703854756</v>
      </c>
      <c r="H164" s="21" t="n">
        <v>0.7049576522908364</v>
      </c>
      <c r="I164" s="21" t="n">
        <v>1.018528550499996</v>
      </c>
      <c r="J164" s="21" t="n">
        <v>1.311497269584027</v>
      </c>
      <c r="K164" s="21" t="n">
        <v>0.9677002383999955</v>
      </c>
      <c r="L164" s="21" t="n">
        <v>0.8748145560862082</v>
      </c>
      <c r="M164" s="21" t="n">
        <v>0.6876811573506874</v>
      </c>
    </row>
    <row r="165">
      <c r="A165" s="10" t="n">
        <v>0.315</v>
      </c>
      <c r="B165" s="21" t="n">
        <v>0.9506608576487321</v>
      </c>
      <c r="C165" s="21" t="n">
        <v>1.047923133534718</v>
      </c>
      <c r="D165" s="21" t="n">
        <v>0.8901098215220602</v>
      </c>
      <c r="E165" s="21" t="n">
        <v>0.6922799762982634</v>
      </c>
      <c r="F165" s="21" t="n">
        <v>0.7331589330603316</v>
      </c>
      <c r="G165" s="21" t="n">
        <v>1.405349625049336</v>
      </c>
      <c r="H165" s="21" t="n">
        <v>0.7049576522908364</v>
      </c>
      <c r="I165" s="21" t="n">
        <v>1.056846881499033</v>
      </c>
      <c r="J165" s="21" t="n">
        <v>1.523548280783577</v>
      </c>
      <c r="K165" s="21" t="n">
        <v>0.9677002383999955</v>
      </c>
      <c r="L165" s="21" t="n">
        <v>0.8748145560862082</v>
      </c>
      <c r="M165" s="21" t="n">
        <v>0.6876811573506874</v>
      </c>
    </row>
    <row r="166">
      <c r="A166" s="10" t="n">
        <v>0.325</v>
      </c>
      <c r="B166" s="21" t="n">
        <v>0.9622800328827708</v>
      </c>
      <c r="C166" s="21" t="n">
        <v>1.047923133534718</v>
      </c>
      <c r="D166" s="21" t="n">
        <v>0.9095724898323125</v>
      </c>
      <c r="E166" s="21" t="n">
        <v>0.6778574767920496</v>
      </c>
      <c r="F166" s="21" t="n">
        <v>0.7152770078637383</v>
      </c>
      <c r="G166" s="21" t="n">
        <v>1.435900703854756</v>
      </c>
      <c r="H166" s="21" t="n">
        <v>0.7066969797187456</v>
      </c>
      <c r="I166" s="21" t="n">
        <v>1.029035121459584</v>
      </c>
      <c r="J166" s="21" t="n">
        <v>1.572872875376</v>
      </c>
      <c r="K166" s="21" t="n">
        <v>0.9953488166399954</v>
      </c>
      <c r="L166" s="21" t="n">
        <v>0.8748145560862082</v>
      </c>
      <c r="M166" s="21" t="n">
        <v>0.727068997705725</v>
      </c>
    </row>
    <row r="167">
      <c r="A167" s="10" t="n">
        <v>0.335</v>
      </c>
      <c r="B167" s="21" t="n">
        <v>1.042711178261927</v>
      </c>
      <c r="C167" s="21" t="n">
        <v>1.092134997226499</v>
      </c>
      <c r="D167" s="21" t="n">
        <v>0.9093359290600362</v>
      </c>
      <c r="E167" s="21" t="n">
        <v>0.6778574767920496</v>
      </c>
      <c r="F167" s="21" t="n">
        <v>0.7044782378699277</v>
      </c>
      <c r="G167" s="21" t="n">
        <v>1.405349625049336</v>
      </c>
      <c r="H167" s="21" t="n">
        <v>1.469052437130584</v>
      </c>
      <c r="I167" s="21" t="n">
        <v>1.029035121459584</v>
      </c>
      <c r="J167" s="21" t="n">
        <v>1.572872875376</v>
      </c>
      <c r="K167" s="21" t="n">
        <v>0.9935312057007759</v>
      </c>
      <c r="L167" s="21" t="n">
        <v>0.9194772351867864</v>
      </c>
      <c r="M167" s="21" t="n">
        <v>0.7921018011343683</v>
      </c>
    </row>
    <row r="168">
      <c r="A168" s="10" t="n">
        <v>0.345</v>
      </c>
      <c r="B168" s="21" t="n">
        <v>1.079279213814964</v>
      </c>
      <c r="C168" s="21" t="n">
        <v>1.136538912343711</v>
      </c>
      <c r="D168" s="21" t="n">
        <v>0.896652865095944</v>
      </c>
      <c r="E168" s="21" t="n">
        <v>0.6922799762982634</v>
      </c>
      <c r="F168" s="21" t="n">
        <v>0.7218063799899156</v>
      </c>
      <c r="G168" s="21" t="n">
        <v>1.496363795978857</v>
      </c>
      <c r="H168" s="21" t="n">
        <v>1.469052437130584</v>
      </c>
      <c r="I168" s="21" t="n">
        <v>1.029035121459584</v>
      </c>
      <c r="J168" s="21" t="n">
        <v>1.572872875376</v>
      </c>
      <c r="K168" s="21" t="n">
        <v>1.118380880987882</v>
      </c>
      <c r="L168" s="21" t="n">
        <v>1.064908964665448</v>
      </c>
      <c r="M168" s="21" t="n">
        <v>0.8119043461627276</v>
      </c>
    </row>
    <row r="169">
      <c r="A169" s="10" t="n">
        <v>0.355</v>
      </c>
      <c r="B169" s="21" t="n">
        <v>1.079507111554801</v>
      </c>
      <c r="C169" s="21" t="n">
        <v>1.161204040344713</v>
      </c>
      <c r="D169" s="21" t="n">
        <v>0.9435765874753224</v>
      </c>
      <c r="E169" s="21" t="n">
        <v>0.6778574767920496</v>
      </c>
      <c r="F169" s="21" t="n">
        <v>0.7042013463316249</v>
      </c>
      <c r="G169" s="21" t="n">
        <v>1.551733953349792</v>
      </c>
      <c r="H169" s="21" t="n">
        <v>1.425845012509096</v>
      </c>
      <c r="I169" s="21" t="n">
        <v>1.030929229084488</v>
      </c>
      <c r="J169" s="21" t="n">
        <v>1.564895709348051</v>
      </c>
      <c r="K169" s="21" t="n">
        <v>1.118380880987882</v>
      </c>
      <c r="L169" s="21" t="n">
        <v>1.064908964665448</v>
      </c>
      <c r="M169" s="21" t="n">
        <v>0.8156428479577631</v>
      </c>
    </row>
    <row r="170">
      <c r="A170" s="10" t="n">
        <v>0.365</v>
      </c>
      <c r="B170" s="21" t="n">
        <v>1.121844391567747</v>
      </c>
      <c r="C170" s="21" t="n">
        <v>1.192844865070716</v>
      </c>
      <c r="D170" s="21" t="n">
        <v>0.9435765874753224</v>
      </c>
      <c r="E170" s="21" t="n">
        <v>0.8290613158499575</v>
      </c>
      <c r="F170" s="21" t="n">
        <v>0.744287169388793</v>
      </c>
      <c r="G170" s="21" t="n">
        <v>1.585467300161743</v>
      </c>
      <c r="H170" s="21" t="n">
        <v>1.497728711506364</v>
      </c>
      <c r="I170" s="21" t="n">
        <v>1.128822971245363</v>
      </c>
      <c r="J170" s="21" t="n">
        <v>1.535978482496735</v>
      </c>
      <c r="K170" s="21" t="n">
        <v>1.118380880987882</v>
      </c>
      <c r="L170" s="21" t="n">
        <v>1.064908964665448</v>
      </c>
      <c r="M170" s="21" t="n">
        <v>0.8629972040282152</v>
      </c>
    </row>
    <row r="171">
      <c r="A171" s="10" t="n">
        <v>0.375</v>
      </c>
      <c r="B171" s="21" t="n">
        <v>1.129937552221592</v>
      </c>
      <c r="C171" s="21" t="n">
        <v>1.203669765753216</v>
      </c>
      <c r="D171" s="21" t="n">
        <v>0.9794936733551098</v>
      </c>
      <c r="E171" s="21" t="n">
        <v>0.8470343967638819</v>
      </c>
      <c r="F171" s="21" t="n">
        <v>0.7902863277125775</v>
      </c>
      <c r="G171" s="21" t="n">
        <v>1.551733953349792</v>
      </c>
      <c r="H171" s="21" t="n">
        <v>1.505163301159343</v>
      </c>
      <c r="I171" s="21" t="n">
        <v>1.099117103581011</v>
      </c>
      <c r="J171" s="21" t="n">
        <v>1.535978482496735</v>
      </c>
      <c r="K171" s="21" t="n">
        <v>1.150334620444678</v>
      </c>
      <c r="L171" s="21" t="n">
        <v>1.064908964665448</v>
      </c>
      <c r="M171" s="21" t="n">
        <v>0.8629972040282152</v>
      </c>
    </row>
    <row r="172">
      <c r="A172" s="10" t="n">
        <v>0.385</v>
      </c>
      <c r="B172" s="21" t="n">
        <v>1.136965544690334</v>
      </c>
      <c r="C172" s="21" t="n">
        <v>1.216582596988205</v>
      </c>
      <c r="D172" s="21" t="n">
        <v>1.05018937853734</v>
      </c>
      <c r="E172" s="21" t="n">
        <v>0.8650564052056667</v>
      </c>
      <c r="F172" s="21" t="n">
        <v>0.7710110514269048</v>
      </c>
      <c r="G172" s="21" t="n">
        <v>1.585467300161743</v>
      </c>
      <c r="H172" s="21" t="n">
        <v>1.505163301159343</v>
      </c>
      <c r="I172" s="21" t="n">
        <v>1.099117103581011</v>
      </c>
      <c r="J172" s="21" t="n">
        <v>1.535978482496735</v>
      </c>
      <c r="K172" s="21" t="n">
        <v>1.118380880987882</v>
      </c>
      <c r="L172" s="21" t="n">
        <v>1.064908964665448</v>
      </c>
      <c r="M172" s="21" t="n">
        <v>0.8629972040282152</v>
      </c>
    </row>
    <row r="173">
      <c r="A173" s="10" t="n">
        <v>0.395</v>
      </c>
      <c r="B173" s="21" t="n">
        <v>1.170585028411506</v>
      </c>
      <c r="C173" s="21" t="n">
        <v>1.313507712055811</v>
      </c>
      <c r="D173" s="21" t="n">
        <v>1.05018937853734</v>
      </c>
      <c r="E173" s="21" t="n">
        <v>0.8470343967638819</v>
      </c>
      <c r="F173" s="21" t="n">
        <v>0.8058325084992641</v>
      </c>
      <c r="G173" s="21" t="n">
        <v>1.551733953349792</v>
      </c>
      <c r="H173" s="21" t="n">
        <v>1.58476811005672</v>
      </c>
      <c r="I173" s="21" t="n">
        <v>1.099117103581011</v>
      </c>
      <c r="J173" s="21" t="n">
        <v>1.535978482496735</v>
      </c>
      <c r="K173" s="21" t="n">
        <v>1.203303311087194</v>
      </c>
      <c r="L173" s="21" t="n">
        <v>1.287890365321008</v>
      </c>
      <c r="M173" s="21" t="n">
        <v>0.9133068373415457</v>
      </c>
    </row>
    <row r="174">
      <c r="A174" s="10" t="n">
        <v>0.405</v>
      </c>
      <c r="B174" s="21" t="n">
        <v>1.212898179264764</v>
      </c>
      <c r="C174" s="21" t="n">
        <v>1.349806336687969</v>
      </c>
      <c r="D174" s="21" t="n">
        <v>1.079918634776502</v>
      </c>
      <c r="E174" s="21" t="n">
        <v>0.8470343967638819</v>
      </c>
      <c r="F174" s="21" t="n">
        <v>0.8922634519959153</v>
      </c>
      <c r="G174" s="21" t="n">
        <v>1.441264379880355</v>
      </c>
      <c r="H174" s="21" t="n">
        <v>1.806000929992924</v>
      </c>
      <c r="I174" s="21" t="n">
        <v>1.099117103581011</v>
      </c>
      <c r="J174" s="21" t="n">
        <v>1.550100633102416</v>
      </c>
      <c r="K174" s="21" t="n">
        <v>1.347018192793723</v>
      </c>
      <c r="L174" s="21" t="n">
        <v>1.279849424592335</v>
      </c>
      <c r="M174" s="21" t="n">
        <v>0.9295357513135881</v>
      </c>
    </row>
    <row r="175">
      <c r="A175" s="10" t="n">
        <v>0.415</v>
      </c>
      <c r="B175" s="21" t="n">
        <v>1.202465670038101</v>
      </c>
      <c r="C175" s="21" t="n">
        <v>1.289085682567353</v>
      </c>
      <c r="D175" s="21" t="n">
        <v>1.109133433424061</v>
      </c>
      <c r="E175" s="21" t="n">
        <v>0.8650564052056667</v>
      </c>
      <c r="F175" s="21" t="n">
        <v>0.8705009287765026</v>
      </c>
      <c r="G175" s="21" t="n">
        <v>1.296605709775029</v>
      </c>
      <c r="H175" s="21" t="n">
        <v>1.806000929992924</v>
      </c>
      <c r="I175" s="21" t="n">
        <v>1.128822971245363</v>
      </c>
      <c r="J175" s="21" t="n">
        <v>1.493751027909797</v>
      </c>
      <c r="K175" s="21" t="n">
        <v>1.347018192793723</v>
      </c>
      <c r="L175" s="21" t="n">
        <v>1.312666076504959</v>
      </c>
      <c r="M175" s="21" t="n">
        <v>0.9295357513135881</v>
      </c>
    </row>
    <row r="176">
      <c r="A176" s="10" t="n">
        <v>0.425</v>
      </c>
      <c r="B176" s="21" t="n">
        <v>1.254719346338728</v>
      </c>
      <c r="C176" s="21" t="n">
        <v>1.198799030568763</v>
      </c>
      <c r="D176" s="21" t="n">
        <v>1.12895537847972</v>
      </c>
      <c r="E176" s="21" t="n">
        <v>0.9683790262548756</v>
      </c>
      <c r="F176" s="21" t="n">
        <v>0.8705009287765026</v>
      </c>
      <c r="G176" s="21" t="n">
        <v>1.324792790422312</v>
      </c>
      <c r="H176" s="21" t="n">
        <v>1.820706360181038</v>
      </c>
      <c r="I176" s="21" t="n">
        <v>1.375947244609089</v>
      </c>
      <c r="J176" s="21" t="n">
        <v>1.493751027909797</v>
      </c>
      <c r="K176" s="21" t="n">
        <v>1.385504426873544</v>
      </c>
      <c r="L176" s="21" t="n">
        <v>1.312666076504959</v>
      </c>
      <c r="M176" s="21" t="n">
        <v>0.983219307202985</v>
      </c>
    </row>
    <row r="177">
      <c r="A177" s="10" t="n">
        <v>0.435</v>
      </c>
      <c r="B177" s="21" t="n">
        <v>1.282275416684257</v>
      </c>
      <c r="C177" s="21" t="n">
        <v>1.21655011668005</v>
      </c>
      <c r="D177" s="21" t="n">
        <v>1.173025466453239</v>
      </c>
      <c r="E177" s="21" t="n">
        <v>1.059207812391256</v>
      </c>
      <c r="F177" s="21" t="n">
        <v>0.8853440543294822</v>
      </c>
      <c r="G177" s="21" t="n">
        <v>1.296605709775029</v>
      </c>
      <c r="H177" s="21" t="n">
        <v>1.91464298765062</v>
      </c>
      <c r="I177" s="21" t="n">
        <v>1.391766109810693</v>
      </c>
      <c r="J177" s="21" t="n">
        <v>1.493751027909797</v>
      </c>
      <c r="K177" s="21" t="n">
        <v>1.347018192793723</v>
      </c>
      <c r="L177" s="21" t="n">
        <v>1.312666076504959</v>
      </c>
      <c r="M177" s="21" t="n">
        <v>1.051814961950547</v>
      </c>
    </row>
    <row r="178">
      <c r="A178" s="10" t="n">
        <v>0.445</v>
      </c>
      <c r="B178" s="21" t="n">
        <v>1.292515254251563</v>
      </c>
      <c r="C178" s="21" t="n">
        <v>1.215368629812958</v>
      </c>
      <c r="D178" s="21" t="n">
        <v>1.201635843683806</v>
      </c>
      <c r="E178" s="21" t="n">
        <v>1.037140982966438</v>
      </c>
      <c r="F178" s="21" t="n">
        <v>0.8635815311100695</v>
      </c>
      <c r="G178" s="21" t="n">
        <v>1.324792790422312</v>
      </c>
      <c r="H178" s="21" t="n">
        <v>1.972662472124882</v>
      </c>
      <c r="I178" s="21" t="n">
        <v>1.391766109810693</v>
      </c>
      <c r="J178" s="21" t="n">
        <v>1.432753182396603</v>
      </c>
      <c r="K178" s="21" t="n">
        <v>1.347018192793723</v>
      </c>
      <c r="L178" s="21" t="n">
        <v>1.411372056138271</v>
      </c>
      <c r="M178" s="21" t="n">
        <v>1.051814961950547</v>
      </c>
    </row>
    <row r="179">
      <c r="A179" s="10" t="n">
        <v>0.455</v>
      </c>
      <c r="B179" s="21" t="n">
        <v>1.315746469166763</v>
      </c>
      <c r="C179" s="21" t="n">
        <v>1.184415667762377</v>
      </c>
      <c r="D179" s="21" t="n">
        <v>1.237734243070175</v>
      </c>
      <c r="E179" s="21" t="n">
        <v>1.059207812391256</v>
      </c>
      <c r="F179" s="21" t="n">
        <v>0.8635815311100695</v>
      </c>
      <c r="G179" s="21" t="n">
        <v>1.296605709775029</v>
      </c>
      <c r="H179" s="21" t="n">
        <v>2.000398615817924</v>
      </c>
      <c r="I179" s="21" t="n">
        <v>1.391766109810693</v>
      </c>
      <c r="J179" s="21" t="n">
        <v>1.171333844482914</v>
      </c>
      <c r="K179" s="21" t="n">
        <v>1.379347737086302</v>
      </c>
      <c r="L179" s="21" t="n">
        <v>1.751359319319675</v>
      </c>
      <c r="M179" s="21" t="n">
        <v>1.11417249728882</v>
      </c>
    </row>
    <row r="180">
      <c r="A180" s="10" t="n">
        <v>0.465</v>
      </c>
      <c r="B180" s="21" t="n">
        <v>1.386863857089787</v>
      </c>
      <c r="C180" s="21" t="n">
        <v>1.175103296598825</v>
      </c>
      <c r="D180" s="21" t="n">
        <v>1.243503293826626</v>
      </c>
      <c r="E180" s="21" t="n">
        <v>1.037140982966438</v>
      </c>
      <c r="F180" s="21" t="n">
        <v>0.9581360323365176</v>
      </c>
      <c r="G180" s="21" t="n">
        <v>1.291330393356442</v>
      </c>
      <c r="H180" s="21" t="n">
        <v>2.4441769149066</v>
      </c>
      <c r="I180" s="21" t="n">
        <v>1.429381410075848</v>
      </c>
      <c r="J180" s="21" t="n">
        <v>1.171333844482914</v>
      </c>
      <c r="K180" s="21" t="n">
        <v>1.403594895305737</v>
      </c>
      <c r="L180" s="21" t="n">
        <v>1.751359319319675</v>
      </c>
      <c r="M180" s="21" t="n">
        <v>1.193851570221059</v>
      </c>
    </row>
    <row r="181">
      <c r="A181" s="10" t="n">
        <v>0.475</v>
      </c>
      <c r="B181" s="21" t="n">
        <v>1.377790041055543</v>
      </c>
      <c r="C181" s="21" t="n">
        <v>1.165143017808628</v>
      </c>
      <c r="D181" s="21" t="n">
        <v>1.273832642456543</v>
      </c>
      <c r="E181" s="21" t="n">
        <v>1.037140982966438</v>
      </c>
      <c r="F181" s="21" t="n">
        <v>0.9803254718279832</v>
      </c>
      <c r="G181" s="21" t="n">
        <v>1.259062532579175</v>
      </c>
      <c r="H181" s="21" t="n">
        <v>2.372289358585817</v>
      </c>
      <c r="I181" s="21" t="n">
        <v>1.386622434641242</v>
      </c>
      <c r="J181" s="21" t="n">
        <v>1.171333844482914</v>
      </c>
      <c r="K181" s="21" t="n">
        <v>1.443697606600186</v>
      </c>
      <c r="L181" s="21" t="n">
        <v>1.707575336336684</v>
      </c>
      <c r="M181" s="21" t="n">
        <v>1.193851570221059</v>
      </c>
    </row>
    <row r="182">
      <c r="A182" s="10" t="n">
        <v>0.485</v>
      </c>
      <c r="B182" s="21" t="n">
        <v>1.469801256137886</v>
      </c>
      <c r="C182" s="21" t="n">
        <v>1.164670322341156</v>
      </c>
      <c r="D182" s="21" t="n">
        <v>1.367098783060545</v>
      </c>
      <c r="E182" s="21" t="n">
        <v>1.759559968229077</v>
      </c>
      <c r="F182" s="21" t="n">
        <v>0.9803254718279832</v>
      </c>
      <c r="G182" s="21" t="n">
        <v>1.286433457200461</v>
      </c>
      <c r="H182" s="21" t="n">
        <v>2.4441769149066</v>
      </c>
      <c r="I182" s="21" t="n">
        <v>1.296608119175838</v>
      </c>
      <c r="J182" s="21" t="n">
        <v>1.171333844482914</v>
      </c>
      <c r="K182" s="21" t="n">
        <v>1.403594895305737</v>
      </c>
      <c r="L182" s="21" t="n">
        <v>1.751359319319675</v>
      </c>
      <c r="M182" s="21" t="n">
        <v>1.255263135306296</v>
      </c>
    </row>
    <row r="183">
      <c r="A183" s="10" t="n">
        <v>0.495</v>
      </c>
      <c r="B183" s="21" t="n">
        <v>1.518069804733092</v>
      </c>
      <c r="C183" s="21" t="n">
        <v>1.164997813162551</v>
      </c>
      <c r="D183" s="21" t="n">
        <v>1.412552370707328</v>
      </c>
      <c r="E183" s="21" t="n">
        <v>1.994337678081868</v>
      </c>
      <c r="F183" s="21" t="n">
        <v>0.9334622607114625</v>
      </c>
      <c r="G183" s="21" t="n">
        <v>1.122207909472743</v>
      </c>
      <c r="H183" s="21" t="n">
        <v>2.02761575062813</v>
      </c>
      <c r="I183" s="21" t="n">
        <v>1.61199928329969</v>
      </c>
      <c r="J183" s="21" t="n">
        <v>1.193770138656348</v>
      </c>
      <c r="K183" s="21" t="n">
        <v>1.844724719544681</v>
      </c>
      <c r="L183" s="21" t="n">
        <v>1.532439404404716</v>
      </c>
      <c r="M183" s="21" t="n">
        <v>1.490423183929758</v>
      </c>
    </row>
    <row r="184">
      <c r="A184" s="10" t="n">
        <v>0.505</v>
      </c>
      <c r="B184" s="21" t="n">
        <v>1.464863562090171</v>
      </c>
      <c r="C184" s="21" t="n">
        <v>1.320850893269806</v>
      </c>
      <c r="D184" s="21" t="n">
        <v>1.559894208041698</v>
      </c>
      <c r="E184" s="21" t="n">
        <v>1.401426476489962</v>
      </c>
      <c r="F184" s="21" t="n">
        <v>1.015716699508367</v>
      </c>
      <c r="G184" s="21" t="n">
        <v>0.9579823617450243</v>
      </c>
      <c r="H184" s="21" t="n">
        <v>2.034822070518572</v>
      </c>
      <c r="I184" s="21" t="n">
        <v>1.927390447423542</v>
      </c>
      <c r="J184" s="21" t="n">
        <v>1.224801224524419</v>
      </c>
      <c r="K184" s="21" t="n">
        <v>1.949466450939069</v>
      </c>
      <c r="L184" s="21" t="n">
        <v>1.292125067373473</v>
      </c>
      <c r="M184" s="21" t="n">
        <v>1.242019319941465</v>
      </c>
    </row>
    <row r="185">
      <c r="A185" s="10" t="n">
        <v>0.515</v>
      </c>
      <c r="B185" s="21" t="n">
        <v>1.479010605533329</v>
      </c>
      <c r="C185" s="21" t="n">
        <v>1.3408921688298</v>
      </c>
      <c r="D185" s="21" t="n">
        <v>1.812241364436518</v>
      </c>
      <c r="E185" s="21" t="n">
        <v>1.401426476489962</v>
      </c>
      <c r="F185" s="21" t="n">
        <v>1.015716699508367</v>
      </c>
      <c r="G185" s="21" t="n">
        <v>0.9853532863663106</v>
      </c>
      <c r="H185" s="21" t="n">
        <v>1.836045416929175</v>
      </c>
      <c r="I185" s="21" t="n">
        <v>1.96243391010397</v>
      </c>
      <c r="J185" s="21" t="n">
        <v>1.224801224524419</v>
      </c>
      <c r="K185" s="21" t="n">
        <v>1.615297728750414</v>
      </c>
      <c r="L185" s="21" t="n">
        <v>1.65354206083503</v>
      </c>
      <c r="M185" s="21" t="n">
        <v>1.242019319941465</v>
      </c>
    </row>
    <row r="186">
      <c r="A186" s="10" t="n">
        <v>0.525</v>
      </c>
      <c r="B186" s="21" t="n">
        <v>1.454708981624907</v>
      </c>
      <c r="C186" s="21" t="n">
        <v>1.33874603464075</v>
      </c>
      <c r="D186" s="21" t="n">
        <v>1.812241364436518</v>
      </c>
      <c r="E186" s="21" t="n">
        <v>1.401426476489962</v>
      </c>
      <c r="F186" s="21" t="n">
        <v>1.015716699508367</v>
      </c>
      <c r="G186" s="21" t="n">
        <v>1.023474117466201</v>
      </c>
      <c r="H186" s="21" t="n">
        <v>1.682526972147236</v>
      </c>
      <c r="I186" s="21" t="n">
        <v>1.835801076433107</v>
      </c>
      <c r="J186" s="21" t="n">
        <v>1.224801224524419</v>
      </c>
      <c r="K186" s="21" t="n">
        <v>1.643147689590938</v>
      </c>
      <c r="L186" s="21" t="n">
        <v>1.596523369082098</v>
      </c>
      <c r="M186" s="21" t="n">
        <v>1.283419963939514</v>
      </c>
    </row>
    <row r="187">
      <c r="A187" s="10" t="n">
        <v>0.535</v>
      </c>
      <c r="B187" s="21" t="n">
        <v>1.474323701794768</v>
      </c>
      <c r="C187" s="21" t="n">
        <v>1.387125979311298</v>
      </c>
      <c r="D187" s="21" t="n">
        <v>1.631748814081758</v>
      </c>
      <c r="E187" s="21" t="n">
        <v>1.401426476489962</v>
      </c>
      <c r="F187" s="21" t="n">
        <v>1.015716699508367</v>
      </c>
      <c r="G187" s="21" t="n">
        <v>1.280066187111604</v>
      </c>
      <c r="H187" s="21" t="n">
        <v>1.639276297431885</v>
      </c>
      <c r="I187" s="21" t="n">
        <v>1.64879821334764</v>
      </c>
      <c r="J187" s="21" t="n">
        <v>1.183165296131584</v>
      </c>
      <c r="K187" s="21" t="n">
        <v>1.637358076579664</v>
      </c>
      <c r="L187" s="21" t="n">
        <v>1.65354206083503</v>
      </c>
      <c r="M187" s="21" t="n">
        <v>1.665619533021405</v>
      </c>
    </row>
    <row r="188">
      <c r="A188" s="10" t="n">
        <v>0.545</v>
      </c>
      <c r="B188" s="21" t="n">
        <v>1.436209881348914</v>
      </c>
      <c r="C188" s="21" t="n">
        <v>1.396465161953493</v>
      </c>
      <c r="D188" s="21" t="n">
        <v>1.557329544504641</v>
      </c>
      <c r="E188" s="21" t="n">
        <v>1.401426476489962</v>
      </c>
      <c r="F188" s="21" t="n">
        <v>1.015716699508367</v>
      </c>
      <c r="G188" s="21" t="n">
        <v>1.24450879302517</v>
      </c>
      <c r="H188" s="21" t="n">
        <v>1.48200111664879</v>
      </c>
      <c r="I188" s="21" t="n">
        <v>1.678776362681234</v>
      </c>
      <c r="J188" s="21" t="n">
        <v>1.178087743888555</v>
      </c>
      <c r="K188" s="21" t="n">
        <v>1.55933146964143</v>
      </c>
      <c r="L188" s="21" t="n">
        <v>1.596523369082098</v>
      </c>
      <c r="M188" s="21" t="n">
        <v>1.665619533021405</v>
      </c>
    </row>
    <row r="189">
      <c r="A189" s="10" t="n">
        <v>0.555</v>
      </c>
      <c r="B189" s="21" t="n">
        <v>1.43115153945077</v>
      </c>
      <c r="C189" s="21" t="n">
        <v>1.369416340770435</v>
      </c>
      <c r="D189" s="21" t="n">
        <v>1.54543562729283</v>
      </c>
      <c r="E189" s="21" t="n">
        <v>1.401426476489962</v>
      </c>
      <c r="F189" s="21" t="n">
        <v>0.9534593937598635</v>
      </c>
      <c r="G189" s="21" t="n">
        <v>1.24450879302517</v>
      </c>
      <c r="H189" s="21" t="n">
        <v>1.455372520236974</v>
      </c>
      <c r="I189" s="21" t="n">
        <v>1.64879821334764</v>
      </c>
      <c r="J189" s="21" t="n">
        <v>1.178087743888555</v>
      </c>
      <c r="K189" s="21" t="n">
        <v>1.586216494980075</v>
      </c>
      <c r="L189" s="21" t="n">
        <v>1.596523369082098</v>
      </c>
      <c r="M189" s="21" t="n">
        <v>1.721140184122118</v>
      </c>
    </row>
    <row r="190">
      <c r="A190" s="10" t="n">
        <v>0.5649999999999999</v>
      </c>
      <c r="B190" s="21" t="n">
        <v>1.415026431705136</v>
      </c>
      <c r="C190" s="21" t="n">
        <v>1.332224823270117</v>
      </c>
      <c r="D190" s="21" t="n">
        <v>1.415394258428807</v>
      </c>
      <c r="E190" s="21" t="n">
        <v>1.401426476489962</v>
      </c>
      <c r="F190" s="21" t="n">
        <v>0.9161050103107612</v>
      </c>
      <c r="G190" s="21" t="n">
        <v>1.280066187111604</v>
      </c>
      <c r="H190" s="21" t="n">
        <v>1.523315349864186</v>
      </c>
      <c r="I190" s="21" t="n">
        <v>1.572403815036136</v>
      </c>
      <c r="J190" s="21" t="n">
        <v>1.168859684128103</v>
      </c>
      <c r="K190" s="21" t="n">
        <v>1.586216494980075</v>
      </c>
      <c r="L190" s="21" t="n">
        <v>1.65354206083503</v>
      </c>
      <c r="M190" s="21" t="n">
        <v>1.665619533021405</v>
      </c>
    </row>
    <row r="191">
      <c r="A191" s="10" t="n">
        <v>0.575</v>
      </c>
      <c r="B191" s="21" t="n">
        <v>1.388161055069876</v>
      </c>
      <c r="C191" s="21" t="n">
        <v>1.421317452494768</v>
      </c>
      <c r="D191" s="21" t="n">
        <v>1.415394258428807</v>
      </c>
      <c r="E191" s="21" t="n">
        <v>1.401426476489962</v>
      </c>
      <c r="F191" s="21" t="n">
        <v>0.9161050103107612</v>
      </c>
      <c r="G191" s="21" t="n">
        <v>1.24450879302517</v>
      </c>
      <c r="H191" s="21" t="n">
        <v>1.523315349864186</v>
      </c>
      <c r="I191" s="21" t="n">
        <v>1.380933229274959</v>
      </c>
      <c r="J191" s="21" t="n">
        <v>1.161761176620063</v>
      </c>
      <c r="K191" s="21" t="n">
        <v>1.426185456230394</v>
      </c>
      <c r="L191" s="21" t="n">
        <v>1.596523369082098</v>
      </c>
      <c r="M191" s="21" t="n">
        <v>1.859004641209369</v>
      </c>
    </row>
    <row r="192">
      <c r="A192" s="10" t="n">
        <v>0.585</v>
      </c>
      <c r="B192" s="21" t="n">
        <v>1.411731066094642</v>
      </c>
      <c r="C192" s="21" t="n">
        <v>1.498786002565983</v>
      </c>
      <c r="D192" s="21" t="n">
        <v>1.396822340085012</v>
      </c>
      <c r="E192" s="21" t="n">
        <v>1.563838271634148</v>
      </c>
      <c r="F192" s="21" t="n">
        <v>0.9161050103107612</v>
      </c>
      <c r="G192" s="21" t="n">
        <v>1.280066187111604</v>
      </c>
      <c r="H192" s="21" t="n">
        <v>1.398626082838684</v>
      </c>
      <c r="I192" s="21" t="n">
        <v>1.356273707323621</v>
      </c>
      <c r="J192" s="21" t="n">
        <v>1.161761176620063</v>
      </c>
      <c r="K192" s="21" t="n">
        <v>1.403527778904468</v>
      </c>
      <c r="L192" s="21" t="n">
        <v>1.552692680996263</v>
      </c>
      <c r="M192" s="21" t="n">
        <v>2.120802741043911</v>
      </c>
    </row>
    <row r="193">
      <c r="A193" s="10" t="n">
        <v>0.595</v>
      </c>
      <c r="B193" s="21" t="n">
        <v>1.414974179139781</v>
      </c>
      <c r="C193" s="21" t="n">
        <v>1.491472702743583</v>
      </c>
      <c r="D193" s="21" t="n">
        <v>1.390813778267901</v>
      </c>
      <c r="E193" s="21" t="n">
        <v>1.823697143864843</v>
      </c>
      <c r="F193" s="21" t="n">
        <v>0.8779339682144794</v>
      </c>
      <c r="G193" s="21" t="n">
        <v>1.24450879302517</v>
      </c>
      <c r="H193" s="21" t="n">
        <v>1.371906954190361</v>
      </c>
      <c r="I193" s="21" t="n">
        <v>1.380933229274959</v>
      </c>
      <c r="J193" s="21" t="n">
        <v>1.161761176620063</v>
      </c>
      <c r="K193" s="21" t="n">
        <v>1.403527778904468</v>
      </c>
      <c r="L193" s="21" t="n">
        <v>1.468169612923667</v>
      </c>
      <c r="M193" s="21" t="n">
        <v>2.052389749397333</v>
      </c>
    </row>
    <row r="194">
      <c r="A194" s="10" t="n">
        <v>0.605</v>
      </c>
      <c r="B194" s="21" t="n">
        <v>1.439972781054811</v>
      </c>
      <c r="C194" s="21" t="n">
        <v>1.48521334462448</v>
      </c>
      <c r="D194" s="21" t="n">
        <v>1.370172297700424</v>
      </c>
      <c r="E194" s="21" t="n">
        <v>1.823697143864843</v>
      </c>
      <c r="F194" s="21" t="n">
        <v>0.9075510117504357</v>
      </c>
      <c r="G194" s="21" t="n">
        <v>1.39149045838377</v>
      </c>
      <c r="H194" s="21" t="n">
        <v>1.32347245909791</v>
      </c>
      <c r="I194" s="21" t="n">
        <v>1.369755923485114</v>
      </c>
      <c r="J194" s="21" t="n">
        <v>1.345361968174975</v>
      </c>
      <c r="K194" s="21" t="n">
        <v>1.359309009749457</v>
      </c>
      <c r="L194" s="21" t="n">
        <v>1.520604241956655</v>
      </c>
      <c r="M194" s="21" t="n">
        <v>2.052389749397333</v>
      </c>
    </row>
    <row r="195">
      <c r="A195" s="10" t="n">
        <v>0.615</v>
      </c>
      <c r="B195" s="21" t="n">
        <v>1.445372358495531</v>
      </c>
      <c r="C195" s="21" t="n">
        <v>1.52997311518486</v>
      </c>
      <c r="D195" s="21" t="n">
        <v>1.348592568016245</v>
      </c>
      <c r="E195" s="21" t="n">
        <v>1.823697143864843</v>
      </c>
      <c r="F195" s="21" t="n">
        <v>0.8476730218281556</v>
      </c>
      <c r="G195" s="21" t="n">
        <v>1.558557763580531</v>
      </c>
      <c r="H195" s="21" t="n">
        <v>1.335298544339541</v>
      </c>
      <c r="I195" s="21" t="n">
        <v>1.400801758355053</v>
      </c>
      <c r="J195" s="21" t="n">
        <v>1.372902086908212</v>
      </c>
      <c r="K195" s="21" t="n">
        <v>1.323169138821725</v>
      </c>
      <c r="L195" s="21" t="n">
        <v>1.468169612923667</v>
      </c>
      <c r="M195" s="21" t="n">
        <v>2.082630943932649</v>
      </c>
    </row>
    <row r="196">
      <c r="A196" s="10" t="n">
        <v>0.625</v>
      </c>
      <c r="B196" s="21" t="n">
        <v>1.415139278892424</v>
      </c>
      <c r="C196" s="21" t="n">
        <v>1.538906293260437</v>
      </c>
      <c r="D196" s="21" t="n">
        <v>1.318623844282551</v>
      </c>
      <c r="E196" s="21" t="n">
        <v>1.823697143864843</v>
      </c>
      <c r="F196" s="21" t="n">
        <v>0.8476730218281556</v>
      </c>
      <c r="G196" s="21" t="n">
        <v>1.51526449236996</v>
      </c>
      <c r="H196" s="21" t="n">
        <v>1.309043159613556</v>
      </c>
      <c r="I196" s="21" t="n">
        <v>1.400801758355053</v>
      </c>
      <c r="J196" s="21" t="n">
        <v>1.372902086908212</v>
      </c>
      <c r="K196" s="21" t="n">
        <v>1.323169138821725</v>
      </c>
      <c r="L196" s="21" t="n">
        <v>1.520604241956655</v>
      </c>
      <c r="M196" s="21" t="n">
        <v>1.823358966729762</v>
      </c>
    </row>
    <row r="197">
      <c r="A197" s="10" t="n">
        <v>0.635</v>
      </c>
      <c r="B197" s="21" t="n">
        <v>1.414505566035659</v>
      </c>
      <c r="C197" s="21" t="n">
        <v>1.497652411353406</v>
      </c>
      <c r="D197" s="21" t="n">
        <v>1.380823095737654</v>
      </c>
      <c r="E197" s="21" t="n">
        <v>1.823697143864843</v>
      </c>
      <c r="F197" s="21" t="n">
        <v>0.8476730218281556</v>
      </c>
      <c r="G197" s="21" t="n">
        <v>1.558557763580531</v>
      </c>
      <c r="H197" s="21" t="n">
        <v>1.274433788838395</v>
      </c>
      <c r="I197" s="21" t="n">
        <v>1.37578744124157</v>
      </c>
      <c r="J197" s="21" t="n">
        <v>1.379767419979419</v>
      </c>
      <c r="K197" s="21" t="n">
        <v>1.300742543248476</v>
      </c>
      <c r="L197" s="21" t="n">
        <v>1.468169612923667</v>
      </c>
      <c r="M197" s="21" t="n">
        <v>1.823358966729762</v>
      </c>
    </row>
    <row r="198">
      <c r="A198" s="10" t="n">
        <v>0.645</v>
      </c>
      <c r="B198" s="21" t="n">
        <v>1.428838803637905</v>
      </c>
      <c r="C198" s="21" t="n">
        <v>1.481208870299635</v>
      </c>
      <c r="D198" s="21" t="n">
        <v>1.382322190050277</v>
      </c>
      <c r="E198" s="21" t="n">
        <v>1.823697143864843</v>
      </c>
      <c r="F198" s="21" t="n">
        <v>0.8476730218281556</v>
      </c>
      <c r="G198" s="21" t="n">
        <v>1.51526449236996</v>
      </c>
      <c r="H198" s="21" t="n">
        <v>1.301957404133318</v>
      </c>
      <c r="I198" s="21" t="n">
        <v>1.383659912897544</v>
      </c>
      <c r="J198" s="21" t="n">
        <v>1.39719480392941</v>
      </c>
      <c r="K198" s="21" t="n">
        <v>1.420725961922556</v>
      </c>
      <c r="L198" s="21" t="n">
        <v>1.468169612923667</v>
      </c>
      <c r="M198" s="21" t="n">
        <v>1.823358966729762</v>
      </c>
    </row>
    <row r="199">
      <c r="A199" s="10" t="n">
        <v>0.655</v>
      </c>
      <c r="B199" s="21" t="n">
        <v>1.451160441739421</v>
      </c>
      <c r="C199" s="21" t="n">
        <v>1.529100986546969</v>
      </c>
      <c r="D199" s="21" t="n">
        <v>1.42529284135515</v>
      </c>
      <c r="E199" s="21" t="n">
        <v>1.823697143864843</v>
      </c>
      <c r="F199" s="21" t="n">
        <v>0.8476730218281556</v>
      </c>
      <c r="G199" s="21" t="n">
        <v>1.51526449236996</v>
      </c>
      <c r="H199" s="21" t="n">
        <v>1.374552233267687</v>
      </c>
      <c r="I199" s="21" t="n">
        <v>1.348057985354424</v>
      </c>
      <c r="J199" s="21" t="n">
        <v>1.39719480392941</v>
      </c>
      <c r="K199" s="21" t="n">
        <v>1.448296368451052</v>
      </c>
      <c r="L199" s="21" t="n">
        <v>1.520604241956655</v>
      </c>
      <c r="M199" s="21" t="n">
        <v>1.884137598954088</v>
      </c>
    </row>
    <row r="200">
      <c r="A200" s="10" t="n">
        <v>0.665</v>
      </c>
      <c r="B200" s="21" t="n">
        <v>1.462510834133555</v>
      </c>
      <c r="C200" s="21" t="n">
        <v>1.466848062072911</v>
      </c>
      <c r="D200" s="21" t="n">
        <v>1.466395203472856</v>
      </c>
      <c r="E200" s="21" t="n">
        <v>1.823697143864843</v>
      </c>
      <c r="F200" s="21" t="n">
        <v>0.8906239108944388</v>
      </c>
      <c r="G200" s="21" t="n">
        <v>1.558557763580531</v>
      </c>
      <c r="H200" s="21" t="n">
        <v>1.405300644571157</v>
      </c>
      <c r="I200" s="21" t="n">
        <v>1.372568130542686</v>
      </c>
      <c r="J200" s="21" t="n">
        <v>1.39719480392941</v>
      </c>
      <c r="K200" s="21" t="n">
        <v>1.423748972375611</v>
      </c>
      <c r="L200" s="21" t="n">
        <v>1.672593790222618</v>
      </c>
      <c r="M200" s="21" t="n">
        <v>1.710226202287758</v>
      </c>
    </row>
    <row r="201">
      <c r="A201" s="10" t="n">
        <v>0.675</v>
      </c>
      <c r="B201" s="21" t="n">
        <v>1.45765087144363</v>
      </c>
      <c r="C201" s="21" t="n">
        <v>1.352284727373861</v>
      </c>
      <c r="D201" s="21" t="n">
        <v>1.466395203472856</v>
      </c>
      <c r="E201" s="21" t="n">
        <v>1.823697143864843</v>
      </c>
      <c r="F201" s="21" t="n">
        <v>0.9413840525182281</v>
      </c>
      <c r="G201" s="21" t="n">
        <v>1.31229155523215</v>
      </c>
      <c r="H201" s="21" t="n">
        <v>1.485106127204989</v>
      </c>
      <c r="I201" s="21" t="n">
        <v>1.372568130542686</v>
      </c>
      <c r="J201" s="21" t="n">
        <v>1.283645345016964</v>
      </c>
      <c r="K201" s="21" t="n">
        <v>1.53357032867958</v>
      </c>
      <c r="L201" s="21" t="n">
        <v>1.778356465507506</v>
      </c>
      <c r="M201" s="21" t="n">
        <v>1.653659820066756</v>
      </c>
    </row>
    <row r="202">
      <c r="A202" s="10" t="n">
        <v>0.6850000000000001</v>
      </c>
      <c r="B202" s="21" t="n">
        <v>1.483050604568102</v>
      </c>
      <c r="C202" s="21" t="n">
        <v>1.358158118627696</v>
      </c>
      <c r="D202" s="21" t="n">
        <v>1.586964161626093</v>
      </c>
      <c r="E202" s="21" t="n">
        <v>1.823697143864843</v>
      </c>
      <c r="F202" s="21" t="n">
        <v>0.9413840525182281</v>
      </c>
      <c r="G202" s="21" t="n">
        <v>1.21060415705857</v>
      </c>
      <c r="H202" s="21" t="n">
        <v>1.485106127204989</v>
      </c>
      <c r="I202" s="21" t="n">
        <v>1.596829700549086</v>
      </c>
      <c r="J202" s="21" t="n">
        <v>1.203740170226723</v>
      </c>
      <c r="K202" s="21" t="n">
        <v>1.610591970176313</v>
      </c>
      <c r="L202" s="21" t="n">
        <v>1.717033828765868</v>
      </c>
      <c r="M202" s="21" t="n">
        <v>1.708781814068981</v>
      </c>
    </row>
    <row r="203">
      <c r="A203" s="10" t="n">
        <v>0.695</v>
      </c>
      <c r="B203" s="21" t="n">
        <v>1.5005393503522</v>
      </c>
      <c r="C203" s="21" t="n">
        <v>1.367723235885636</v>
      </c>
      <c r="D203" s="21" t="n">
        <v>1.586964161626093</v>
      </c>
      <c r="E203" s="21" t="n">
        <v>1.744346667922273</v>
      </c>
      <c r="F203" s="21" t="n">
        <v>0.9413840525182281</v>
      </c>
      <c r="G203" s="21" t="n">
        <v>1.176976263806943</v>
      </c>
      <c r="H203" s="21" t="n">
        <v>1.633650823954699</v>
      </c>
      <c r="I203" s="21" t="n">
        <v>1.749087483269743</v>
      </c>
      <c r="J203" s="21" t="n">
        <v>1.203740170226723</v>
      </c>
      <c r="K203" s="21" t="n">
        <v>1.583293801190273</v>
      </c>
      <c r="L203" s="21" t="n">
        <v>1.778356465507506</v>
      </c>
      <c r="M203" s="21" t="n">
        <v>1.653659820066756</v>
      </c>
    </row>
    <row r="204">
      <c r="A204" s="10" t="n">
        <v>0.705</v>
      </c>
      <c r="B204" s="21" t="n">
        <v>1.46906292100884</v>
      </c>
      <c r="C204" s="21" t="n">
        <v>1.341222150834488</v>
      </c>
      <c r="D204" s="21" t="n">
        <v>1.714395624678544</v>
      </c>
      <c r="E204" s="21" t="n">
        <v>1.307919050238133</v>
      </c>
      <c r="F204" s="21" t="n">
        <v>0.9413840525182281</v>
      </c>
      <c r="G204" s="21" t="n">
        <v>1.176976263806943</v>
      </c>
      <c r="H204" s="21" t="n">
        <v>1.706103338459628</v>
      </c>
      <c r="I204" s="21" t="n">
        <v>1.717853778211355</v>
      </c>
      <c r="J204" s="21" t="n">
        <v>1.203740170226723</v>
      </c>
      <c r="K204" s="21" t="n">
        <v>1.631854161496694</v>
      </c>
      <c r="L204" s="21" t="n">
        <v>1.717033828765868</v>
      </c>
      <c r="M204" s="21" t="n">
        <v>1.607334928917865</v>
      </c>
    </row>
    <row r="205">
      <c r="A205" s="10" t="n">
        <v>0.715</v>
      </c>
      <c r="B205" s="21" t="n">
        <v>1.491949245917646</v>
      </c>
      <c r="C205" s="21" t="n">
        <v>1.311282144372698</v>
      </c>
      <c r="D205" s="21" t="n">
        <v>1.77597766634005</v>
      </c>
      <c r="E205" s="21" t="n">
        <v>1.307919050238133</v>
      </c>
      <c r="F205" s="21" t="n">
        <v>0.9413840525182281</v>
      </c>
      <c r="G205" s="21" t="n">
        <v>1.21060415705857</v>
      </c>
      <c r="H205" s="21" t="n">
        <v>1.779430056431644</v>
      </c>
      <c r="I205" s="21" t="n">
        <v>1.749087483269743</v>
      </c>
      <c r="J205" s="21" t="n">
        <v>0.9448946144665331</v>
      </c>
      <c r="K205" s="21" t="n">
        <v>2.028748399477148</v>
      </c>
      <c r="L205" s="21" t="n">
        <v>1.778356465507506</v>
      </c>
      <c r="M205" s="21" t="n">
        <v>1.421567488945859</v>
      </c>
    </row>
    <row r="206">
      <c r="A206" s="10" t="n">
        <v>0.725</v>
      </c>
      <c r="B206" s="21" t="n">
        <v>1.506831786007798</v>
      </c>
      <c r="C206" s="21" t="n">
        <v>1.271188137001747</v>
      </c>
      <c r="D206" s="21" t="n">
        <v>1.82225564105903</v>
      </c>
      <c r="E206" s="21" t="n">
        <v>1.307919050238133</v>
      </c>
      <c r="F206" s="21" t="n">
        <v>0.6385080231611362</v>
      </c>
      <c r="G206" s="21" t="n">
        <v>1.176976263806943</v>
      </c>
      <c r="H206" s="21" t="n">
        <v>1.830758759012053</v>
      </c>
      <c r="I206" s="21" t="n">
        <v>2.260790012307784</v>
      </c>
      <c r="J206" s="21" t="n">
        <v>0.9448946144665331</v>
      </c>
      <c r="K206" s="21" t="n">
        <v>1.994362833384316</v>
      </c>
      <c r="L206" s="21" t="n">
        <v>1.717033828765868</v>
      </c>
      <c r="M206" s="21" t="n">
        <v>1.375710473173413</v>
      </c>
    </row>
    <row r="207">
      <c r="A207" s="10" t="n">
        <v>0.735</v>
      </c>
      <c r="B207" s="21" t="n">
        <v>1.567485913565612</v>
      </c>
      <c r="C207" s="21" t="n">
        <v>1.270607271346244</v>
      </c>
      <c r="D207" s="21" t="n">
        <v>1.989952912916137</v>
      </c>
      <c r="E207" s="21" t="n">
        <v>1.358223629093446</v>
      </c>
      <c r="F207" s="21" t="n">
        <v>0.6519377723941485</v>
      </c>
      <c r="G207" s="21" t="n">
        <v>1.176976263806943</v>
      </c>
      <c r="H207" s="21" t="n">
        <v>1.880671386016007</v>
      </c>
      <c r="I207" s="21" t="n">
        <v>2.506424043442886</v>
      </c>
      <c r="J207" s="21" t="n">
        <v>0.9243534271955215</v>
      </c>
      <c r="K207" s="21" t="n">
        <v>1.925591701198649</v>
      </c>
      <c r="L207" s="21" t="n">
        <v>1.720777027194097</v>
      </c>
      <c r="M207" s="21" t="n">
        <v>1.513281520490753</v>
      </c>
    </row>
    <row r="208">
      <c r="A208" s="10" t="n">
        <v>0.745</v>
      </c>
      <c r="B208" s="21" t="n">
        <v>1.387689217679153</v>
      </c>
      <c r="C208" s="21" t="n">
        <v>1.266212428263882</v>
      </c>
      <c r="D208" s="21" t="n">
        <v>1.342061266850418</v>
      </c>
      <c r="E208" s="21" t="n">
        <v>2.012183154212512</v>
      </c>
      <c r="F208" s="21" t="n">
        <v>1.350442528530738</v>
      </c>
      <c r="G208" s="21" t="n">
        <v>0.9415810110455548</v>
      </c>
      <c r="H208" s="21" t="n">
        <v>1.4141715175013</v>
      </c>
      <c r="I208" s="21" t="n">
        <v>1.108610634599739</v>
      </c>
      <c r="J208" s="21" t="n">
        <v>0.7987230135053359</v>
      </c>
      <c r="K208" s="21" t="n">
        <v>1.204210740765521</v>
      </c>
      <c r="L208" s="21" t="n">
        <v>1.582136487219349</v>
      </c>
      <c r="M208" s="21" t="n">
        <v>2.093391774933943</v>
      </c>
    </row>
    <row r="209">
      <c r="A209" s="10" t="n">
        <v>0.755</v>
      </c>
      <c r="B209" s="21" t="n">
        <v>1.267496546710172</v>
      </c>
      <c r="C209" s="21" t="n">
        <v>1.261493815588951</v>
      </c>
      <c r="D209" s="21" t="n">
        <v>1.295783292131438</v>
      </c>
      <c r="E209" s="21" t="n">
        <v>2.012183154212512</v>
      </c>
      <c r="F209" s="21" t="n">
        <v>1.030278240570407</v>
      </c>
      <c r="G209" s="21" t="n">
        <v>0.7522096009794995</v>
      </c>
      <c r="H209" s="21" t="n">
        <v>1.454576418001337</v>
      </c>
      <c r="I209" s="21" t="n">
        <v>1.108610634599739</v>
      </c>
      <c r="J209" s="21" t="n">
        <v>0.5774605381293324</v>
      </c>
      <c r="K209" s="21" t="n">
        <v>1.260913153518843</v>
      </c>
      <c r="L209" s="21" t="n">
        <v>1.555320614554614</v>
      </c>
      <c r="M209" s="21" t="n">
        <v>1.587670170055048</v>
      </c>
    </row>
    <row r="210">
      <c r="A210" s="10" t="n">
        <v>0.765</v>
      </c>
      <c r="B210" s="21" t="n">
        <v>1.229110086891152</v>
      </c>
      <c r="C210" s="21" t="n">
        <v>1.271027631850106</v>
      </c>
      <c r="D210" s="21" t="n">
        <v>1.259009336351977</v>
      </c>
      <c r="E210" s="21" t="n">
        <v>2.012183154212512</v>
      </c>
      <c r="F210" s="21" t="n">
        <v>0.9089274984494951</v>
      </c>
      <c r="G210" s="21" t="n">
        <v>0.6101810434299579</v>
      </c>
      <c r="H210" s="21" t="n">
        <v>1.27616618925599</v>
      </c>
      <c r="I210" s="21" t="n">
        <v>1.15681109697364</v>
      </c>
      <c r="J210" s="21" t="n">
        <v>0.5640312232891154</v>
      </c>
      <c r="K210" s="21" t="n">
        <v>1.297998834504692</v>
      </c>
      <c r="L210" s="21" t="n">
        <v>1.555320614554614</v>
      </c>
      <c r="M210" s="21" t="n">
        <v>1.618202288709953</v>
      </c>
    </row>
    <row r="211">
      <c r="A211" s="10" t="n">
        <v>0.775</v>
      </c>
      <c r="B211" s="21" t="n">
        <v>1.226558864606054</v>
      </c>
      <c r="C211" s="21" t="n">
        <v>1.291286577930963</v>
      </c>
      <c r="D211" s="21" t="n">
        <v>1.200384444235431</v>
      </c>
      <c r="E211" s="21" t="n">
        <v>2.012183154212512</v>
      </c>
      <c r="F211" s="21" t="n">
        <v>0.9653125363488297</v>
      </c>
      <c r="G211" s="21" t="n">
        <v>0.6101810434299579</v>
      </c>
      <c r="H211" s="21" t="n">
        <v>1.206166827159779</v>
      </c>
      <c r="I211" s="21" t="n">
        <v>1.108610634599739</v>
      </c>
      <c r="J211" s="21" t="n">
        <v>0.5640312232891154</v>
      </c>
      <c r="K211" s="21" t="n">
        <v>1.260913153518843</v>
      </c>
      <c r="L211" s="21" t="n">
        <v>1.493422786346089</v>
      </c>
      <c r="M211" s="21" t="n">
        <v>1.808048185015073</v>
      </c>
    </row>
    <row r="212">
      <c r="A212" s="10" t="n">
        <v>0.785</v>
      </c>
      <c r="B212" s="21" t="n">
        <v>1.204284098499735</v>
      </c>
      <c r="C212" s="21" t="n">
        <v>1.339432000854804</v>
      </c>
      <c r="D212" s="21" t="n">
        <v>1.200384444235431</v>
      </c>
      <c r="E212" s="21" t="n">
        <v>1.876758021017352</v>
      </c>
      <c r="F212" s="21" t="n">
        <v>1.062411448381129</v>
      </c>
      <c r="G212" s="21" t="n">
        <v>0.6101810434299579</v>
      </c>
      <c r="H212" s="21" t="n">
        <v>1.172662193072008</v>
      </c>
      <c r="I212" s="21" t="n">
        <v>1.108610634599739</v>
      </c>
      <c r="J212" s="21" t="n">
        <v>0.545159993029367</v>
      </c>
      <c r="K212" s="21" t="n">
        <v>1.260913153518843</v>
      </c>
      <c r="L212" s="21" t="n">
        <v>1.298886754833587</v>
      </c>
      <c r="M212" s="21" t="n">
        <v>1.874161589503081</v>
      </c>
    </row>
    <row r="213">
      <c r="A213" s="10" t="n">
        <v>0.795</v>
      </c>
      <c r="B213" s="21" t="n">
        <v>1.189921319081883</v>
      </c>
      <c r="C213" s="21" t="n">
        <v>1.311614215842219</v>
      </c>
      <c r="D213" s="21" t="n">
        <v>1.15899187719283</v>
      </c>
      <c r="E213" s="21" t="n">
        <v>1.803836795450726</v>
      </c>
      <c r="F213" s="21" t="n">
        <v>1.086227810472153</v>
      </c>
      <c r="G213" s="21" t="n">
        <v>0.6101810434299579</v>
      </c>
      <c r="H213" s="21" t="n">
        <v>1.127957141854319</v>
      </c>
      <c r="I213" s="21" t="n">
        <v>1.108526766750643</v>
      </c>
      <c r="J213" s="21" t="n">
        <v>0.4760276754831853</v>
      </c>
      <c r="K213" s="21" t="n">
        <v>1.297998834504692</v>
      </c>
      <c r="L213" s="21" t="n">
        <v>1.298886754833587</v>
      </c>
      <c r="M213" s="21" t="n">
        <v>1.897511427997577</v>
      </c>
    </row>
    <row r="214">
      <c r="A214" s="10" t="n">
        <v>0.805</v>
      </c>
      <c r="B214" s="21" t="n">
        <v>1.126185033254916</v>
      </c>
      <c r="C214" s="21" t="n">
        <v>1.254217085546941</v>
      </c>
      <c r="D214" s="21" t="n">
        <v>0.9796770122938777</v>
      </c>
      <c r="E214" s="21" t="n">
        <v>1.803836795450726</v>
      </c>
      <c r="F214" s="21" t="n">
        <v>1.160785178650199</v>
      </c>
      <c r="G214" s="21" t="n">
        <v>0.6101810434299579</v>
      </c>
      <c r="H214" s="21" t="n">
        <v>1.040546317101157</v>
      </c>
      <c r="I214" s="21" t="n">
        <v>0.8309757358175043</v>
      </c>
      <c r="J214" s="21" t="n">
        <v>0.4649572644254368</v>
      </c>
      <c r="K214" s="21" t="n">
        <v>1.070663060790334</v>
      </c>
      <c r="L214" s="21" t="n">
        <v>1.298886754833587</v>
      </c>
      <c r="M214" s="21" t="n">
        <v>1.975344222979233</v>
      </c>
    </row>
    <row r="215">
      <c r="A215" s="10" t="n">
        <v>0.8149999999999999</v>
      </c>
      <c r="B215" s="21" t="n">
        <v>1.07649618748139</v>
      </c>
      <c r="C215" s="21" t="n">
        <v>1.205992663948437</v>
      </c>
      <c r="D215" s="21" t="n">
        <v>0.9094519203124743</v>
      </c>
      <c r="E215" s="21" t="n">
        <v>1.803836795450726</v>
      </c>
      <c r="F215" s="21" t="n">
        <v>1.18114983090722</v>
      </c>
      <c r="G215" s="21" t="n">
        <v>0.6101810434299579</v>
      </c>
      <c r="H215" s="21" t="n">
        <v>1.011642252737236</v>
      </c>
      <c r="I215" s="21" t="n">
        <v>0.8309757358175043</v>
      </c>
      <c r="J215" s="21" t="n">
        <v>0.4649572644254368</v>
      </c>
      <c r="K215" s="21" t="n">
        <v>0.8540819514715053</v>
      </c>
      <c r="L215" s="21" t="n">
        <v>1.09137424121872</v>
      </c>
      <c r="M215" s="21" t="n">
        <v>1.975344222979233</v>
      </c>
    </row>
    <row r="216">
      <c r="A216" s="10" t="n">
        <v>0.825</v>
      </c>
      <c r="B216" s="21" t="n">
        <v>1.0470562797097</v>
      </c>
      <c r="C216" s="21" t="n">
        <v>1.205992663948437</v>
      </c>
      <c r="D216" s="21" t="n">
        <v>0.9094519203124743</v>
      </c>
      <c r="E216" s="21" t="n">
        <v>1.803836795450726</v>
      </c>
      <c r="F216" s="21" t="n">
        <v>1.348470638150034</v>
      </c>
      <c r="G216" s="21" t="n">
        <v>0.6101810434299579</v>
      </c>
      <c r="H216" s="21" t="n">
        <v>0.9517728386562708</v>
      </c>
      <c r="I216" s="21" t="n">
        <v>0.8671051156356567</v>
      </c>
      <c r="J216" s="21" t="n">
        <v>0.4559679228250045</v>
      </c>
      <c r="K216" s="21" t="n">
        <v>0.8296796100008907</v>
      </c>
      <c r="L216" s="21" t="n">
        <v>0.8690394052027921</v>
      </c>
      <c r="M216" s="21" t="n">
        <v>1.775094257328346</v>
      </c>
    </row>
    <row r="217">
      <c r="A217" s="10" t="n">
        <v>0.835</v>
      </c>
      <c r="B217" s="21" t="n">
        <v>1.017629760028149</v>
      </c>
      <c r="C217" s="21" t="n">
        <v>1.12763600567963</v>
      </c>
      <c r="D217" s="21" t="n">
        <v>0.8780915092672166</v>
      </c>
      <c r="E217" s="21" t="n">
        <v>1.803836795450726</v>
      </c>
      <c r="F217" s="21" t="n">
        <v>1.460271796317231</v>
      </c>
      <c r="G217" s="21" t="n">
        <v>0.6101810434299579</v>
      </c>
      <c r="H217" s="21" t="n">
        <v>0.7291811849580541</v>
      </c>
      <c r="I217" s="21" t="n">
        <v>0.8309757358175043</v>
      </c>
      <c r="J217" s="21" t="n">
        <v>0.4334945688239238</v>
      </c>
      <c r="K217" s="21" t="n">
        <v>0.8296796100008907</v>
      </c>
      <c r="L217" s="21" t="n">
        <v>0.8690394052027921</v>
      </c>
      <c r="M217" s="21" t="n">
        <v>1.681667606273397</v>
      </c>
    </row>
    <row r="218">
      <c r="A218" s="10" t="n">
        <v>0.845</v>
      </c>
      <c r="B218" s="21" t="n">
        <v>1.005304645143081</v>
      </c>
      <c r="C218" s="21" t="n">
        <v>1.060009253289953</v>
      </c>
      <c r="D218" s="21" t="n">
        <v>0.6954838463553156</v>
      </c>
      <c r="E218" s="21" t="n">
        <v>1.803836795450726</v>
      </c>
      <c r="F218" s="21" t="n">
        <v>1.522762346276868</v>
      </c>
      <c r="G218" s="21" t="n">
        <v>0.5931898150656131</v>
      </c>
      <c r="H218" s="21" t="n">
        <v>0.7500149330997128</v>
      </c>
      <c r="I218" s="21" t="n">
        <v>0.8309757358175043</v>
      </c>
      <c r="J218" s="21" t="n">
        <v>0.4438158680816363</v>
      </c>
      <c r="K218" s="21" t="n">
        <v>0.8540819514715053</v>
      </c>
      <c r="L218" s="21" t="n">
        <v>0.8690394052027921</v>
      </c>
      <c r="M218" s="21" t="n">
        <v>1.641739579258037</v>
      </c>
    </row>
    <row r="219">
      <c r="A219" s="10" t="n">
        <v>0.855</v>
      </c>
      <c r="B219" s="21" t="n">
        <v>0.9169436486099882</v>
      </c>
      <c r="C219" s="21" t="n">
        <v>1.010007444855856</v>
      </c>
      <c r="D219" s="21" t="n">
        <v>0.6509071642809074</v>
      </c>
      <c r="E219" s="21" t="n">
        <v>1.572261661959124</v>
      </c>
      <c r="F219" s="21" t="n">
        <v>1.583509752534865</v>
      </c>
      <c r="G219" s="21" t="n">
        <v>0.491242444879544</v>
      </c>
      <c r="H219" s="21" t="n">
        <v>0.732349971831211</v>
      </c>
      <c r="I219" s="21" t="n">
        <v>0.8671051156356567</v>
      </c>
      <c r="J219" s="21" t="n">
        <v>0.4334945688239238</v>
      </c>
      <c r="K219" s="21" t="n">
        <v>0.8296796100008907</v>
      </c>
      <c r="L219" s="21" t="n">
        <v>0.7695369067836724</v>
      </c>
      <c r="M219" s="21" t="n">
        <v>1.223618652794383</v>
      </c>
    </row>
    <row r="220">
      <c r="A220" s="10" t="n">
        <v>0.865</v>
      </c>
      <c r="B220" s="21" t="n">
        <v>0.8383832675851575</v>
      </c>
      <c r="C220" s="21" t="n">
        <v>0.9176403644134282</v>
      </c>
      <c r="D220" s="21" t="n">
        <v>0.6284620896505314</v>
      </c>
      <c r="E220" s="21" t="n">
        <v>1.09129792316888</v>
      </c>
      <c r="F220" s="21" t="n">
        <v>1.613358049828821</v>
      </c>
      <c r="G220" s="21" t="n">
        <v>0.491242444879544</v>
      </c>
      <c r="H220" s="21" t="n">
        <v>0.6518969794083569</v>
      </c>
      <c r="I220" s="21" t="n">
        <v>0.8309757358175043</v>
      </c>
      <c r="J220" s="21" t="n">
        <v>0.4141227164794543</v>
      </c>
      <c r="K220" s="21" t="n">
        <v>0.7262724132536716</v>
      </c>
      <c r="L220" s="21" t="n">
        <v>0.7113567430256448</v>
      </c>
      <c r="M220" s="21" t="n">
        <v>1.223618652794383</v>
      </c>
    </row>
    <row r="221">
      <c r="A221" s="10" t="n">
        <v>0.875</v>
      </c>
      <c r="B221" s="21" t="n">
        <v>0.8236588559644761</v>
      </c>
      <c r="C221" s="21" t="n">
        <v>0.8538908123739044</v>
      </c>
      <c r="D221" s="21" t="n">
        <v>0.6509071642809074</v>
      </c>
      <c r="E221" s="21" t="n">
        <v>1.09129792316888</v>
      </c>
      <c r="F221" s="21" t="n">
        <v>1.622790816941738</v>
      </c>
      <c r="G221" s="21" t="n">
        <v>0.491242444879544</v>
      </c>
      <c r="H221" s="21" t="n">
        <v>0.6705226073914529</v>
      </c>
      <c r="I221" s="21" t="n">
        <v>0.8309757358175043</v>
      </c>
      <c r="J221" s="21" t="n">
        <v>0.3595293144177673</v>
      </c>
      <c r="K221" s="21" t="n">
        <v>0.6967231738126932</v>
      </c>
      <c r="L221" s="21" t="n">
        <v>0.6992998490760576</v>
      </c>
      <c r="M221" s="21" t="n">
        <v>1.116746370761488</v>
      </c>
    </row>
    <row r="222">
      <c r="A222" s="10" t="n">
        <v>0.885</v>
      </c>
      <c r="B222" s="21" t="n">
        <v>0.8205061683095414</v>
      </c>
      <c r="C222" s="21" t="n">
        <v>0.8491271910130784</v>
      </c>
      <c r="D222" s="21" t="n">
        <v>0.6265134264356523</v>
      </c>
      <c r="E222" s="21" t="n">
        <v>1.09129792316888</v>
      </c>
      <c r="F222" s="21" t="n">
        <v>1.651260831274049</v>
      </c>
      <c r="G222" s="21" t="n">
        <v>0.491242444879544</v>
      </c>
      <c r="H222" s="21" t="n">
        <v>0.6489864012185613</v>
      </c>
      <c r="I222" s="21" t="n">
        <v>0.8671051156356567</v>
      </c>
      <c r="J222" s="21" t="n">
        <v>0.3680895361896189</v>
      </c>
      <c r="K222" s="21" t="n">
        <v>0.6768167974180448</v>
      </c>
      <c r="L222" s="21" t="n">
        <v>0.6992998490760576</v>
      </c>
      <c r="M222" s="21" t="n">
        <v>1.060166927332308</v>
      </c>
    </row>
    <row r="223">
      <c r="A223" s="10" t="n">
        <v>0.895</v>
      </c>
      <c r="B223" s="21" t="n">
        <v>0.7891653550867017</v>
      </c>
      <c r="C223" s="21" t="n">
        <v>0.7528784277460427</v>
      </c>
      <c r="D223" s="21" t="n">
        <v>0.6265134264356523</v>
      </c>
      <c r="E223" s="21" t="n">
        <v>1.09129792316888</v>
      </c>
      <c r="F223" s="21" t="n">
        <v>1.626143650773556</v>
      </c>
      <c r="G223" s="21" t="n">
        <v>0.491242444879544</v>
      </c>
      <c r="H223" s="21" t="n">
        <v>0.5657417925588101</v>
      </c>
      <c r="I223" s="21" t="n">
        <v>0.6109571798129028</v>
      </c>
      <c r="J223" s="21" t="n">
        <v>0.3595293144177673</v>
      </c>
      <c r="K223" s="21" t="n">
        <v>0.6768167974180448</v>
      </c>
      <c r="L223" s="21" t="n">
        <v>0.7426169485521852</v>
      </c>
      <c r="M223" s="21" t="n">
        <v>1.071783968276248</v>
      </c>
    </row>
    <row r="224">
      <c r="A224" s="10" t="n">
        <v>0.905</v>
      </c>
      <c r="B224" s="21" t="n">
        <v>0.7483460732326087</v>
      </c>
      <c r="C224" s="21" t="n">
        <v>0.7315951453626327</v>
      </c>
      <c r="D224" s="21" t="n">
        <v>0.6049095151792505</v>
      </c>
      <c r="E224" s="21" t="n">
        <v>1.064015475089658</v>
      </c>
      <c r="F224" s="21" t="n">
        <v>1.65624709697265</v>
      </c>
      <c r="G224" s="21" t="n">
        <v>0.491242444879544</v>
      </c>
      <c r="H224" s="21" t="n">
        <v>0.5500267427655098</v>
      </c>
      <c r="I224" s="21" t="n">
        <v>0.3709369368987921</v>
      </c>
      <c r="J224" s="21" t="n">
        <v>0.3419240326938047</v>
      </c>
      <c r="K224" s="21" t="n">
        <v>0.6967231738126932</v>
      </c>
      <c r="L224" s="21" t="n">
        <v>0.7605776971154576</v>
      </c>
      <c r="M224" s="21" t="n">
        <v>0.9081399945831669</v>
      </c>
    </row>
    <row r="225">
      <c r="A225" s="10" t="n">
        <v>0.915</v>
      </c>
      <c r="B225" s="21" t="n">
        <v>0.7533062366120258</v>
      </c>
      <c r="C225" s="21" t="n">
        <v>0.7194921889892981</v>
      </c>
      <c r="D225" s="21" t="n">
        <v>0.6112032339409093</v>
      </c>
      <c r="E225" s="21" t="n">
        <v>1.09129792316888</v>
      </c>
      <c r="F225" s="21" t="n">
        <v>1.702141345793873</v>
      </c>
      <c r="G225" s="21" t="n">
        <v>0.491242444879544</v>
      </c>
      <c r="H225" s="21" t="n">
        <v>0.5657417925588101</v>
      </c>
      <c r="I225" s="21" t="n">
        <v>0.3709369368987921</v>
      </c>
      <c r="J225" s="21" t="n">
        <v>0.3133154498923647</v>
      </c>
      <c r="K225" s="21" t="n">
        <v>0.6768167974180448</v>
      </c>
      <c r="L225" s="21" t="n">
        <v>0.7605776971154576</v>
      </c>
      <c r="M225" s="21" t="n">
        <v>0.9081399945831669</v>
      </c>
    </row>
    <row r="226">
      <c r="A226" s="10" t="n">
        <v>0.925</v>
      </c>
      <c r="B226" s="21" t="n">
        <v>0.6937318881700397</v>
      </c>
      <c r="C226" s="21" t="n">
        <v>0.6777799412591654</v>
      </c>
      <c r="D226" s="21" t="n">
        <v>0.5579526003612139</v>
      </c>
      <c r="E226" s="21" t="n">
        <v>1.009450578931214</v>
      </c>
      <c r="F226" s="21" t="n">
        <v>1.432007505511351</v>
      </c>
      <c r="G226" s="21" t="n">
        <v>0.7017749212564915</v>
      </c>
      <c r="H226" s="21" t="n">
        <v>0.6154929637259514</v>
      </c>
      <c r="I226" s="21" t="n">
        <v>0.7580015667062273</v>
      </c>
      <c r="J226" s="21" t="n">
        <v>0.2610962082436371</v>
      </c>
      <c r="K226" s="21" t="n">
        <v>0.4041460452164193</v>
      </c>
      <c r="L226" s="21" t="n">
        <v>0.472082708554422</v>
      </c>
      <c r="M226" s="21" t="n">
        <v>0.7030727613378307</v>
      </c>
    </row>
    <row r="227">
      <c r="A227" s="10" t="n">
        <v>0.9350000000000001</v>
      </c>
      <c r="B227" s="21" t="n">
        <v>0.6483563574479991</v>
      </c>
      <c r="C227" s="21" t="n">
        <v>0.6618063266926834</v>
      </c>
      <c r="D227" s="21" t="n">
        <v>0.5579526003612139</v>
      </c>
      <c r="E227" s="21" t="n">
        <v>0.6344946041966343</v>
      </c>
      <c r="F227" s="21" t="n">
        <v>1.432007505511351</v>
      </c>
      <c r="G227" s="21" t="n">
        <v>0.5982165659317275</v>
      </c>
      <c r="H227" s="21" t="n">
        <v>0.5956601885327427</v>
      </c>
      <c r="I227" s="21" t="n">
        <v>0.7741292596148703</v>
      </c>
      <c r="J227" s="21" t="n">
        <v>0.2610962082436371</v>
      </c>
      <c r="K227" s="21" t="n">
        <v>0.3441002999575991</v>
      </c>
      <c r="L227" s="21" t="n">
        <v>0.4156992243839476</v>
      </c>
      <c r="M227" s="21" t="n">
        <v>0.7994009841339232</v>
      </c>
    </row>
    <row r="228">
      <c r="A228" s="10" t="n">
        <v>0.945</v>
      </c>
      <c r="B228" s="21" t="n">
        <v>0.5735305463486621</v>
      </c>
      <c r="C228" s="21" t="n">
        <v>0.5822161488493349</v>
      </c>
      <c r="D228" s="21" t="n">
        <v>0.5063635258335971</v>
      </c>
      <c r="E228" s="21" t="n">
        <v>0.6014102534847597</v>
      </c>
      <c r="F228" s="21" t="n">
        <v>1.463229129023749</v>
      </c>
      <c r="G228" s="21" t="n">
        <v>0.1676290873319901</v>
      </c>
      <c r="H228" s="21" t="n">
        <v>0.3969673945919979</v>
      </c>
      <c r="I228" s="21" t="n">
        <v>0.7741292596148703</v>
      </c>
      <c r="J228" s="21" t="n">
        <v>0.2536363165795332</v>
      </c>
      <c r="K228" s="21" t="n">
        <v>0.3441002999575991</v>
      </c>
      <c r="L228" s="21" t="n">
        <v>0.3075240353851519</v>
      </c>
      <c r="M228" s="21" t="n">
        <v>0.7771954012413143</v>
      </c>
    </row>
    <row r="229">
      <c r="A229" s="10" t="n">
        <v>0.955</v>
      </c>
      <c r="B229" s="21" t="n">
        <v>0.5138503055062519</v>
      </c>
      <c r="C229" s="21" t="n">
        <v>0.4863026288807808</v>
      </c>
      <c r="D229" s="21" t="n">
        <v>0.2958010422146266</v>
      </c>
      <c r="E229" s="21" t="n">
        <v>0.6014102534847597</v>
      </c>
      <c r="F229" s="21" t="n">
        <v>1.482608067755581</v>
      </c>
      <c r="G229" s="21" t="n">
        <v>0.1676290873319901</v>
      </c>
      <c r="H229" s="21" t="n">
        <v>0.3816833335196329</v>
      </c>
      <c r="I229" s="21" t="n">
        <v>0.5217101451810973</v>
      </c>
      <c r="J229" s="21" t="n">
        <v>0.1244308877256439</v>
      </c>
      <c r="K229" s="21" t="n">
        <v>0.3308656730361529</v>
      </c>
      <c r="L229" s="21" t="n">
        <v>0.3075240353851519</v>
      </c>
      <c r="M229" s="21" t="n">
        <v>0.7994009841339232</v>
      </c>
    </row>
    <row r="230">
      <c r="A230" s="10" t="n">
        <v>0.965</v>
      </c>
      <c r="B230" s="21" t="n">
        <v>0.4243718068468834</v>
      </c>
      <c r="C230" s="21" t="n">
        <v>0.4417250331054907</v>
      </c>
      <c r="D230" s="21" t="n">
        <v>0.3031960682699922</v>
      </c>
      <c r="E230" s="21" t="n">
        <v>0.6014102534847597</v>
      </c>
      <c r="F230" s="21" t="n">
        <v>1.451063215250143</v>
      </c>
      <c r="G230" s="21" t="n">
        <v>0.1676290873319901</v>
      </c>
      <c r="H230" s="21" t="n">
        <v>0.2264492527204181</v>
      </c>
      <c r="I230" s="21" t="n">
        <v>0.1930635486877811</v>
      </c>
      <c r="J230" s="21" t="n">
        <v>0.08153924629761586</v>
      </c>
      <c r="K230" s="21" t="n">
        <v>0.3441002999575991</v>
      </c>
      <c r="L230" s="21" t="n">
        <v>0.2987376343741476</v>
      </c>
      <c r="M230" s="21" t="n">
        <v>0.4956226905103825</v>
      </c>
    </row>
    <row r="231">
      <c r="A231" s="10" t="n">
        <v>0.975</v>
      </c>
      <c r="B231" s="21" t="n">
        <v>0.3417051369204932</v>
      </c>
      <c r="C231" s="21" t="n">
        <v>0.3300764199005129</v>
      </c>
      <c r="D231" s="21" t="n">
        <v>0.1521440821263016</v>
      </c>
      <c r="E231" s="21" t="n">
        <v>0.585155922309496</v>
      </c>
      <c r="F231" s="21" t="n">
        <v>1.120858754551915</v>
      </c>
      <c r="G231" s="21" t="n">
        <v>0.1676290873319901</v>
      </c>
      <c r="H231" s="21" t="n">
        <v>0.2037462382593258</v>
      </c>
      <c r="I231" s="21" t="n">
        <v>0.1971712837662445</v>
      </c>
      <c r="J231" s="21" t="n">
        <v>0.08393745942401631</v>
      </c>
      <c r="K231" s="21" t="n">
        <v>0.3441002999575991</v>
      </c>
      <c r="L231" s="21" t="n">
        <v>0.3075240353851519</v>
      </c>
      <c r="M231" s="21" t="n">
        <v>0.2238210593735313</v>
      </c>
    </row>
    <row r="232">
      <c r="A232" s="10" t="n">
        <v>0.985</v>
      </c>
      <c r="B232" s="21" t="n">
        <v>0.3114754145388732</v>
      </c>
      <c r="C232" s="21" t="n">
        <v>0.3219443083364679</v>
      </c>
      <c r="D232" s="21" t="n">
        <v>0.1000948488347743</v>
      </c>
      <c r="E232" s="21" t="n">
        <v>0.6014102534847597</v>
      </c>
      <c r="F232" s="21" t="n">
        <v>1.023088669902276</v>
      </c>
      <c r="G232" s="21" t="n">
        <v>0.1676290873319901</v>
      </c>
      <c r="H232" s="21" t="n">
        <v>0.07049457144807496</v>
      </c>
      <c r="I232" s="21" t="n">
        <v>0.1971712837662445</v>
      </c>
      <c r="J232" s="21" t="n">
        <v>0.08153924629761586</v>
      </c>
      <c r="K232" s="21" t="n">
        <v>0.3308656730361529</v>
      </c>
      <c r="L232" s="21" t="n">
        <v>0.3075240353851519</v>
      </c>
      <c r="M232" s="21" t="n">
        <v>0.2238210593735313</v>
      </c>
    </row>
    <row r="233">
      <c r="A233" s="10" t="n">
        <v>0.995</v>
      </c>
      <c r="B233" s="21" t="n">
        <v>0.31223602299388</v>
      </c>
      <c r="C233" s="21" t="n">
        <v>0.3219443083364679</v>
      </c>
      <c r="D233" s="21" t="n">
        <v>0.09765351105831636</v>
      </c>
      <c r="E233" s="21" t="n">
        <v>0.6014102534847597</v>
      </c>
      <c r="F233" s="21" t="n">
        <v>1.023088669902276</v>
      </c>
      <c r="G233" s="21" t="n">
        <v>0.1676290873319901</v>
      </c>
      <c r="H233" s="21" t="n">
        <v>0.06555932452913975</v>
      </c>
      <c r="I233" s="21" t="n">
        <v>0.1971712837662445</v>
      </c>
      <c r="J233" s="21" t="n">
        <v>0.08393745942401631</v>
      </c>
      <c r="K233" s="21" t="n">
        <v>0.3441002999575991</v>
      </c>
      <c r="L233" s="21" t="n">
        <v>0.3075240353851519</v>
      </c>
      <c r="M233" s="21" t="n">
        <v>0.2238210593735313</v>
      </c>
    </row>
    <row r="257">
      <c r="A257" s="6" t="inlineStr">
        <is>
          <t>■ 行程グループ別 平均カーブ(密度・面積1)</t>
        </is>
      </c>
    </row>
    <row r="258">
      <c r="A258" s="5" t="inlineStr">
        <is>
          <t>各行程グループが正準時間軸のどこで消化されるか。山が立つ位置がマイルストーン直前に来ていれば位置合わせが効いている。</t>
        </is>
      </c>
    </row>
    <row r="259">
      <c r="A259" s="7" t="inlineStr">
        <is>
          <t>t</t>
        </is>
      </c>
      <c r="B259" s="8" t="inlineStr">
        <is>
          <t>企画・プリプロ</t>
        </is>
      </c>
      <c r="C259" s="8" t="inlineStr">
        <is>
          <t>ゲームデザイン・シナリオ</t>
        </is>
      </c>
      <c r="D259" s="8" t="inlineStr">
        <is>
          <t>プログラム</t>
        </is>
      </c>
      <c r="E259" s="8" t="inlineStr">
        <is>
          <t>アート</t>
        </is>
      </c>
      <c r="F259" s="8" t="inlineStr">
        <is>
          <t>サウンド</t>
        </is>
      </c>
      <c r="G259" s="8" t="inlineStr">
        <is>
          <t>QA・デバッグ</t>
        </is>
      </c>
      <c r="H259" s="8" t="inlineStr">
        <is>
          <t>PM・運営</t>
        </is>
      </c>
    </row>
    <row r="260">
      <c r="A260" s="10" t="n">
        <v>0.005</v>
      </c>
      <c r="B260" s="21" t="n">
        <v>3.767767579002353</v>
      </c>
      <c r="C260" s="21" t="n">
        <v>0.626338470158691</v>
      </c>
      <c r="D260" s="21" t="n">
        <v>0.1070127157114685</v>
      </c>
      <c r="E260" s="21" t="n">
        <v>0.04217744625140141</v>
      </c>
      <c r="F260" s="21" t="n">
        <v>0</v>
      </c>
      <c r="G260" s="21" t="n">
        <v>0</v>
      </c>
      <c r="H260" s="21" t="n">
        <v>0.4463428219452366</v>
      </c>
    </row>
    <row r="261">
      <c r="A261" s="10" t="n">
        <v>0.015</v>
      </c>
      <c r="B261" s="21" t="n">
        <v>3.761994760495467</v>
      </c>
      <c r="C261" s="21" t="n">
        <v>0.6252820740584167</v>
      </c>
      <c r="D261" s="21" t="n">
        <v>0.106697942570694</v>
      </c>
      <c r="E261" s="21" t="n">
        <v>0.04204533637961148</v>
      </c>
      <c r="F261" s="21" t="n">
        <v>0</v>
      </c>
      <c r="G261" s="21" t="n">
        <v>0</v>
      </c>
      <c r="H261" s="21" t="n">
        <v>0.4454431520741512</v>
      </c>
    </row>
    <row r="262">
      <c r="A262" s="10" t="n">
        <v>0.025</v>
      </c>
      <c r="B262" s="21" t="n">
        <v>3.828382213494263</v>
      </c>
      <c r="C262" s="21" t="n">
        <v>0.6511294928993913</v>
      </c>
      <c r="D262" s="21" t="n">
        <v>0.1105820547727495</v>
      </c>
      <c r="E262" s="21" t="n">
        <v>0.04372563640616224</v>
      </c>
      <c r="F262" s="21" t="n">
        <v>0</v>
      </c>
      <c r="G262" s="21" t="n">
        <v>0</v>
      </c>
      <c r="H262" s="21" t="n">
        <v>0.4589849435303291</v>
      </c>
    </row>
    <row r="263">
      <c r="A263" s="10" t="n">
        <v>0.035</v>
      </c>
      <c r="B263" s="21" t="n">
        <v>3.81440287520376</v>
      </c>
      <c r="C263" s="21" t="n">
        <v>0.7685973283488613</v>
      </c>
      <c r="D263" s="21" t="n">
        <v>0.1440041823750332</v>
      </c>
      <c r="E263" s="21" t="n">
        <v>0.06445599932650727</v>
      </c>
      <c r="F263" s="21" t="n">
        <v>0.00410285154494453</v>
      </c>
      <c r="G263" s="21" t="n">
        <v>0</v>
      </c>
      <c r="H263" s="21" t="n">
        <v>0.5203196893954216</v>
      </c>
    </row>
    <row r="264">
      <c r="A264" s="10" t="n">
        <v>0.045</v>
      </c>
      <c r="B264" s="21" t="n">
        <v>3.63899255036343</v>
      </c>
      <c r="C264" s="21" t="n">
        <v>0.8854140897339349</v>
      </c>
      <c r="D264" s="21" t="n">
        <v>0.1903886080112208</v>
      </c>
      <c r="E264" s="21" t="n">
        <v>0.0999395407174974</v>
      </c>
      <c r="F264" s="21" t="n">
        <v>0.01252260234930052</v>
      </c>
      <c r="G264" s="21" t="n">
        <v>0</v>
      </c>
      <c r="H264" s="21" t="n">
        <v>0.5814271448877271</v>
      </c>
    </row>
    <row r="265">
      <c r="A265" s="10" t="n">
        <v>0.055</v>
      </c>
      <c r="B265" s="21" t="n">
        <v>3.49751616546778</v>
      </c>
      <c r="C265" s="21" t="n">
        <v>0.9509881511853484</v>
      </c>
      <c r="D265" s="21" t="n">
        <v>0.2263469288775057</v>
      </c>
      <c r="E265" s="21" t="n">
        <v>0.1277730057394547</v>
      </c>
      <c r="F265" s="21" t="n">
        <v>0.01660529064417287</v>
      </c>
      <c r="G265" s="21" t="n">
        <v>0</v>
      </c>
      <c r="H265" s="21" t="n">
        <v>0.6242435890902666</v>
      </c>
    </row>
    <row r="266">
      <c r="A266" s="10" t="n">
        <v>0.065</v>
      </c>
      <c r="B266" s="21" t="n">
        <v>3.475393036576936</v>
      </c>
      <c r="C266" s="21" t="n">
        <v>1.145212862075005</v>
      </c>
      <c r="D266" s="21" t="n">
        <v>0.3083168751833992</v>
      </c>
      <c r="E266" s="21" t="n">
        <v>0.1852367315131431</v>
      </c>
      <c r="F266" s="21" t="n">
        <v>0.02506337903714153</v>
      </c>
      <c r="G266" s="21" t="n">
        <v>0</v>
      </c>
      <c r="H266" s="21" t="n">
        <v>0.7530686666215425</v>
      </c>
    </row>
    <row r="267">
      <c r="A267" s="10" t="n">
        <v>0.075</v>
      </c>
      <c r="B267" s="21" t="n">
        <v>3.34554726490076</v>
      </c>
      <c r="C267" s="21" t="n">
        <v>1.128368816233817</v>
      </c>
      <c r="D267" s="21" t="n">
        <v>0.3221987512710867</v>
      </c>
      <c r="E267" s="21" t="n">
        <v>0.1958905119727916</v>
      </c>
      <c r="F267" s="21" t="n">
        <v>0.02920139345803727</v>
      </c>
      <c r="G267" s="21" t="n">
        <v>0</v>
      </c>
      <c r="H267" s="21" t="n">
        <v>0.7562192113979199</v>
      </c>
    </row>
    <row r="268">
      <c r="A268" s="10" t="n">
        <v>0.08500000000000001</v>
      </c>
      <c r="B268" s="21" t="n">
        <v>3.265315636133847</v>
      </c>
      <c r="C268" s="21" t="n">
        <v>1.155186299216103</v>
      </c>
      <c r="D268" s="21" t="n">
        <v>0.3370714868158174</v>
      </c>
      <c r="E268" s="21" t="n">
        <v>0.2117075158676606</v>
      </c>
      <c r="F268" s="21" t="n">
        <v>0.0356202361498642</v>
      </c>
      <c r="G268" s="21" t="n">
        <v>0.0001777066950997378</v>
      </c>
      <c r="H268" s="21" t="n">
        <v>0.7850650916749879</v>
      </c>
    </row>
    <row r="269">
      <c r="A269" s="10" t="n">
        <v>0.095</v>
      </c>
      <c r="B269" s="21" t="n">
        <v>3.135891653015871</v>
      </c>
      <c r="C269" s="21" t="n">
        <v>1.161065771058215</v>
      </c>
      <c r="D269" s="21" t="n">
        <v>0.3454053559799296</v>
      </c>
      <c r="E269" s="21" t="n">
        <v>0.2315012134730063</v>
      </c>
      <c r="F269" s="21" t="n">
        <v>0.04462026070640521</v>
      </c>
      <c r="G269" s="21" t="n">
        <v>0.0006575147718690306</v>
      </c>
      <c r="H269" s="21" t="n">
        <v>0.7754874990617606</v>
      </c>
    </row>
    <row r="270">
      <c r="A270" s="10" t="n">
        <v>0.105</v>
      </c>
      <c r="B270" s="21" t="n">
        <v>3.029758858198319</v>
      </c>
      <c r="C270" s="21" t="n">
        <v>1.147487787886426</v>
      </c>
      <c r="D270" s="21" t="n">
        <v>0.3612289255332921</v>
      </c>
      <c r="E270" s="21" t="n">
        <v>0.2541248149837321</v>
      </c>
      <c r="F270" s="21" t="n">
        <v>0.05511350696669277</v>
      </c>
      <c r="G270" s="21" t="n">
        <v>0.001402055972889687</v>
      </c>
      <c r="H270" s="21" t="n">
        <v>0.7674763633675646</v>
      </c>
    </row>
    <row r="271">
      <c r="A271" s="10" t="n">
        <v>0.115</v>
      </c>
      <c r="B271" s="21" t="n">
        <v>2.84965847975086</v>
      </c>
      <c r="C271" s="21" t="n">
        <v>1.254298372488921</v>
      </c>
      <c r="D271" s="21" t="n">
        <v>0.4133121367782889</v>
      </c>
      <c r="E271" s="21" t="n">
        <v>0.3057486383234477</v>
      </c>
      <c r="F271" s="21" t="n">
        <v>0.07129986596322083</v>
      </c>
      <c r="G271" s="21" t="n">
        <v>0.002495476752296184</v>
      </c>
      <c r="H271" s="21" t="n">
        <v>0.8167546652413045</v>
      </c>
    </row>
    <row r="272">
      <c r="A272" s="10" t="n">
        <v>0.125</v>
      </c>
      <c r="B272" s="21" t="n">
        <v>2.84467670677649</v>
      </c>
      <c r="C272" s="21" t="n">
        <v>1.34123452166143</v>
      </c>
      <c r="D272" s="21" t="n">
        <v>0.466748410923803</v>
      </c>
      <c r="E272" s="21" t="n">
        <v>0.3469925597448822</v>
      </c>
      <c r="F272" s="21" t="n">
        <v>0.08767752127254218</v>
      </c>
      <c r="G272" s="21" t="n">
        <v>0.00375863620785846</v>
      </c>
      <c r="H272" s="21" t="n">
        <v>0.8693374302388408</v>
      </c>
    </row>
    <row r="273">
      <c r="A273" s="10" t="n">
        <v>0.135</v>
      </c>
      <c r="B273" s="21" t="n">
        <v>2.677004827030811</v>
      </c>
      <c r="C273" s="21" t="n">
        <v>1.349817000878275</v>
      </c>
      <c r="D273" s="21" t="n">
        <v>0.5084245169060414</v>
      </c>
      <c r="E273" s="21" t="n">
        <v>0.3839057691818309</v>
      </c>
      <c r="F273" s="21" t="n">
        <v>0.1062045254158467</v>
      </c>
      <c r="G273" s="21" t="n">
        <v>0.006330186280222064</v>
      </c>
      <c r="H273" s="21" t="n">
        <v>0.8837128391745376</v>
      </c>
    </row>
    <row r="274">
      <c r="A274" s="10" t="n">
        <v>0.145</v>
      </c>
      <c r="B274" s="21" t="n">
        <v>2.628692688500531</v>
      </c>
      <c r="C274" s="21" t="n">
        <v>1.352713767255181</v>
      </c>
      <c r="D274" s="21" t="n">
        <v>0.5205802891067962</v>
      </c>
      <c r="E274" s="21" t="n">
        <v>0.3956095406797948</v>
      </c>
      <c r="F274" s="21" t="n">
        <v>0.1125124275713975</v>
      </c>
      <c r="G274" s="21" t="n">
        <v>0.007166192445699134</v>
      </c>
      <c r="H274" s="21" t="n">
        <v>0.8879461987245421</v>
      </c>
    </row>
    <row r="275">
      <c r="A275" s="10" t="n">
        <v>0.155</v>
      </c>
      <c r="B275" s="21" t="n">
        <v>2.629130613345288</v>
      </c>
      <c r="C275" s="21" t="n">
        <v>1.349197675518961</v>
      </c>
      <c r="D275" s="21" t="n">
        <v>0.5185344632539289</v>
      </c>
      <c r="E275" s="21" t="n">
        <v>0.3937165035243871</v>
      </c>
      <c r="F275" s="21" t="n">
        <v>0.1118154376229038</v>
      </c>
      <c r="G275" s="21" t="n">
        <v>0.007115666067476642</v>
      </c>
      <c r="H275" s="21" t="n">
        <v>0.8856827606214033</v>
      </c>
    </row>
    <row r="276">
      <c r="A276" s="10" t="n">
        <v>0.165</v>
      </c>
      <c r="B276" s="21" t="n">
        <v>2.434097630944895</v>
      </c>
      <c r="C276" s="21" t="n">
        <v>1.313175986709637</v>
      </c>
      <c r="D276" s="21" t="n">
        <v>0.5319553939298088</v>
      </c>
      <c r="E276" s="21" t="n">
        <v>0.395636763503649</v>
      </c>
      <c r="F276" s="21" t="n">
        <v>0.1213360646063645</v>
      </c>
      <c r="G276" s="21" t="n">
        <v>0.007963837817449256</v>
      </c>
      <c r="H276" s="21" t="n">
        <v>0.8882522572197472</v>
      </c>
    </row>
    <row r="277">
      <c r="A277" s="10" t="n">
        <v>0.175</v>
      </c>
      <c r="B277" s="21" t="n">
        <v>2.23241678360352</v>
      </c>
      <c r="C277" s="21" t="n">
        <v>1.300193729678587</v>
      </c>
      <c r="D277" s="21" t="n">
        <v>0.6021625863194897</v>
      </c>
      <c r="E277" s="21" t="n">
        <v>0.454980507435267</v>
      </c>
      <c r="F277" s="21" t="n">
        <v>0.1686202725833544</v>
      </c>
      <c r="G277" s="21" t="n">
        <v>0.0130592965328955</v>
      </c>
      <c r="H277" s="21" t="n">
        <v>0.9436185300842405</v>
      </c>
    </row>
    <row r="278">
      <c r="A278" s="10" t="n">
        <v>0.185</v>
      </c>
      <c r="B278" s="21" t="n">
        <v>2.071423427068404</v>
      </c>
      <c r="C278" s="21" t="n">
        <v>1.300763600023963</v>
      </c>
      <c r="D278" s="21" t="n">
        <v>0.6428224646921055</v>
      </c>
      <c r="E278" s="21" t="n">
        <v>0.4976125174586265</v>
      </c>
      <c r="F278" s="21" t="n">
        <v>0.1978887367512754</v>
      </c>
      <c r="G278" s="21" t="n">
        <v>0.01653557405652725</v>
      </c>
      <c r="H278" s="21" t="n">
        <v>0.9546941726534786</v>
      </c>
    </row>
    <row r="279">
      <c r="A279" s="10" t="n">
        <v>0.195</v>
      </c>
      <c r="B279" s="21" t="n">
        <v>2.080179799420476</v>
      </c>
      <c r="C279" s="21" t="n">
        <v>1.319650996172059</v>
      </c>
      <c r="D279" s="21" t="n">
        <v>0.6509395896852121</v>
      </c>
      <c r="E279" s="21" t="n">
        <v>0.5105932098049326</v>
      </c>
      <c r="F279" s="21" t="n">
        <v>0.2019714887093043</v>
      </c>
      <c r="G279" s="21" t="n">
        <v>0.01667242398385751</v>
      </c>
      <c r="H279" s="21" t="n">
        <v>0.9381440732996312</v>
      </c>
    </row>
    <row r="280">
      <c r="A280" s="10" t="n">
        <v>0.205</v>
      </c>
      <c r="B280" s="21" t="n">
        <v>2.049446536101025</v>
      </c>
      <c r="C280" s="21" t="n">
        <v>1.319432236665905</v>
      </c>
      <c r="D280" s="21" t="n">
        <v>0.6504814275529609</v>
      </c>
      <c r="E280" s="21" t="n">
        <v>0.5267506756786678</v>
      </c>
      <c r="F280" s="21" t="n">
        <v>0.2095813441748497</v>
      </c>
      <c r="G280" s="21" t="n">
        <v>0.01786001552355369</v>
      </c>
      <c r="H280" s="21" t="n">
        <v>0.922698057271271</v>
      </c>
    </row>
    <row r="281">
      <c r="A281" s="10" t="n">
        <v>0.215</v>
      </c>
      <c r="B281" s="21" t="n">
        <v>2.04165777228915</v>
      </c>
      <c r="C281" s="21" t="n">
        <v>1.312034091560756</v>
      </c>
      <c r="D281" s="21" t="n">
        <v>0.6522025884750621</v>
      </c>
      <c r="E281" s="21" t="n">
        <v>0.5302596732250686</v>
      </c>
      <c r="F281" s="21" t="n">
        <v>0.2111925894019949</v>
      </c>
      <c r="G281" s="21" t="n">
        <v>0.01830357107185251</v>
      </c>
      <c r="H281" s="21" t="n">
        <v>0.9312770942476213</v>
      </c>
    </row>
    <row r="282">
      <c r="A282" s="10" t="n">
        <v>0.225</v>
      </c>
      <c r="B282" s="21" t="n">
        <v>1.936927265664708</v>
      </c>
      <c r="C282" s="21" t="n">
        <v>1.353027665785926</v>
      </c>
      <c r="D282" s="21" t="n">
        <v>0.6990089765204108</v>
      </c>
      <c r="E282" s="21" t="n">
        <v>0.5862979084057983</v>
      </c>
      <c r="F282" s="21" t="n">
        <v>0.2521752095743544</v>
      </c>
      <c r="G282" s="21" t="n">
        <v>0.02635489538483161</v>
      </c>
      <c r="H282" s="21" t="n">
        <v>0.9512756070027624</v>
      </c>
    </row>
    <row r="283">
      <c r="A283" s="10" t="n">
        <v>0.235</v>
      </c>
      <c r="B283" s="21" t="n">
        <v>1.750134055934659</v>
      </c>
      <c r="C283" s="21" t="n">
        <v>1.401658430699801</v>
      </c>
      <c r="D283" s="21" t="n">
        <v>0.7444099077762127</v>
      </c>
      <c r="E283" s="21" t="n">
        <v>0.6363676545431772</v>
      </c>
      <c r="F283" s="21" t="n">
        <v>0.2932709479513396</v>
      </c>
      <c r="G283" s="21" t="n">
        <v>0.03797544489983432</v>
      </c>
      <c r="H283" s="21" t="n">
        <v>0.9482103596179358</v>
      </c>
    </row>
    <row r="284">
      <c r="A284" s="10" t="n">
        <v>0.245</v>
      </c>
      <c r="B284" s="21" t="n">
        <v>1.655045291420609</v>
      </c>
      <c r="C284" s="21" t="n">
        <v>1.459026320083199</v>
      </c>
      <c r="D284" s="21" t="n">
        <v>0.8071695774656985</v>
      </c>
      <c r="E284" s="21" t="n">
        <v>0.6834680614466805</v>
      </c>
      <c r="F284" s="21" t="n">
        <v>0.3247853129036492</v>
      </c>
      <c r="G284" s="21" t="n">
        <v>0.04280265846670078</v>
      </c>
      <c r="H284" s="21" t="n">
        <v>1.023097722975661</v>
      </c>
    </row>
    <row r="285">
      <c r="A285" s="10" t="n">
        <v>0.255</v>
      </c>
      <c r="B285" s="21" t="n">
        <v>1.644124046394779</v>
      </c>
      <c r="C285" s="21" t="n">
        <v>1.454678076755415</v>
      </c>
      <c r="D285" s="21" t="n">
        <v>0.8046653485943369</v>
      </c>
      <c r="E285" s="21" t="n">
        <v>0.6808807483756797</v>
      </c>
      <c r="F285" s="21" t="n">
        <v>0.3236207773600529</v>
      </c>
      <c r="G285" s="21" t="n">
        <v>0.04269202583514349</v>
      </c>
      <c r="H285" s="21" t="n">
        <v>1.022671112926231</v>
      </c>
    </row>
    <row r="286">
      <c r="A286" s="10" t="n">
        <v>0.265</v>
      </c>
      <c r="B286" s="21" t="n">
        <v>1.653710330038951</v>
      </c>
      <c r="C286" s="21" t="n">
        <v>1.48860281705318</v>
      </c>
      <c r="D286" s="21" t="n">
        <v>0.8224383396005613</v>
      </c>
      <c r="E286" s="21" t="n">
        <v>0.7178545165022998</v>
      </c>
      <c r="F286" s="21" t="n">
        <v>0.3462972523430587</v>
      </c>
      <c r="G286" s="21" t="n">
        <v>0.04605565265403757</v>
      </c>
      <c r="H286" s="21" t="n">
        <v>1.045231190217083</v>
      </c>
    </row>
    <row r="287">
      <c r="A287" s="10" t="n">
        <v>0.275</v>
      </c>
      <c r="B287" s="21" t="n">
        <v>1.611766588505161</v>
      </c>
      <c r="C287" s="21" t="n">
        <v>1.485455614683562</v>
      </c>
      <c r="D287" s="21" t="n">
        <v>0.828150307193967</v>
      </c>
      <c r="E287" s="21" t="n">
        <v>0.7527245463193921</v>
      </c>
      <c r="F287" s="21" t="n">
        <v>0.3876235903988968</v>
      </c>
      <c r="G287" s="21" t="n">
        <v>0.05343805793936178</v>
      </c>
      <c r="H287" s="21" t="n">
        <v>1.040292801843481</v>
      </c>
    </row>
    <row r="288">
      <c r="A288" s="10" t="n">
        <v>0.285</v>
      </c>
      <c r="B288" s="21" t="n">
        <v>1.512204871740371</v>
      </c>
      <c r="C288" s="21" t="n">
        <v>1.477754883847776</v>
      </c>
      <c r="D288" s="21" t="n">
        <v>0.8728232506337613</v>
      </c>
      <c r="E288" s="21" t="n">
        <v>0.7995177396976744</v>
      </c>
      <c r="F288" s="21" t="n">
        <v>0.4208541900928954</v>
      </c>
      <c r="G288" s="21" t="n">
        <v>0.06187596032772372</v>
      </c>
      <c r="H288" s="21" t="n">
        <v>1.068264767883656</v>
      </c>
    </row>
    <row r="289">
      <c r="A289" s="10" t="n">
        <v>0.295</v>
      </c>
      <c r="B289" s="21" t="n">
        <v>1.4771506186782</v>
      </c>
      <c r="C289" s="21" t="n">
        <v>1.511887657694827</v>
      </c>
      <c r="D289" s="21" t="n">
        <v>0.9528914632412202</v>
      </c>
      <c r="E289" s="21" t="n">
        <v>0.8368077078781045</v>
      </c>
      <c r="F289" s="21" t="n">
        <v>0.4532120001880418</v>
      </c>
      <c r="G289" s="21" t="n">
        <v>0.07537219718722728</v>
      </c>
      <c r="H289" s="21" t="n">
        <v>1.070827889435947</v>
      </c>
    </row>
    <row r="290">
      <c r="A290" s="10" t="n">
        <v>0.305</v>
      </c>
      <c r="B290" s="21" t="n">
        <v>1.384889201257644</v>
      </c>
      <c r="C290" s="21" t="n">
        <v>1.551464012440128</v>
      </c>
      <c r="D290" s="21" t="n">
        <v>1.015919185979853</v>
      </c>
      <c r="E290" s="21" t="n">
        <v>0.8975433726614062</v>
      </c>
      <c r="F290" s="21" t="n">
        <v>0.4915614783269594</v>
      </c>
      <c r="G290" s="21" t="n">
        <v>0.08282261906731699</v>
      </c>
      <c r="H290" s="21" t="n">
        <v>1.101434999326872</v>
      </c>
    </row>
    <row r="291">
      <c r="A291" s="10" t="n">
        <v>0.315</v>
      </c>
      <c r="B291" s="21" t="n">
        <v>1.359486099195345</v>
      </c>
      <c r="C291" s="21" t="n">
        <v>1.577460164118228</v>
      </c>
      <c r="D291" s="21" t="n">
        <v>1.087301106177969</v>
      </c>
      <c r="E291" s="21" t="n">
        <v>0.9089402282496353</v>
      </c>
      <c r="F291" s="21" t="n">
        <v>0.5009704089463448</v>
      </c>
      <c r="G291" s="21" t="n">
        <v>0.09145890665227946</v>
      </c>
      <c r="H291" s="21" t="n">
        <v>1.114175543965295</v>
      </c>
    </row>
    <row r="292">
      <c r="A292" s="10" t="n">
        <v>0.325</v>
      </c>
      <c r="B292" s="21" t="n">
        <v>1.319003033206428</v>
      </c>
      <c r="C292" s="21" t="n">
        <v>1.589297658068999</v>
      </c>
      <c r="D292" s="21" t="n">
        <v>1.120620559643122</v>
      </c>
      <c r="E292" s="21" t="n">
        <v>0.9155430322998916</v>
      </c>
      <c r="F292" s="21" t="n">
        <v>0.5075216230038136</v>
      </c>
      <c r="G292" s="21" t="n">
        <v>0.09637803209713222</v>
      </c>
      <c r="H292" s="21" t="n">
        <v>1.121377665099582</v>
      </c>
    </row>
    <row r="293">
      <c r="A293" s="10" t="n">
        <v>0.335</v>
      </c>
      <c r="B293" s="21" t="n">
        <v>1.331771915234954</v>
      </c>
      <c r="C293" s="21" t="n">
        <v>1.710292823490802</v>
      </c>
      <c r="D293" s="21" t="n">
        <v>1.225670023200564</v>
      </c>
      <c r="E293" s="21" t="n">
        <v>1.012809975419565</v>
      </c>
      <c r="F293" s="21" t="n">
        <v>0.5512115126275583</v>
      </c>
      <c r="G293" s="21" t="n">
        <v>0.1040760875204846</v>
      </c>
      <c r="H293" s="21" t="n">
        <v>1.183819373541064</v>
      </c>
    </row>
    <row r="294">
      <c r="A294" s="10" t="n">
        <v>0.345</v>
      </c>
      <c r="B294" s="21" t="n">
        <v>1.277058158717245</v>
      </c>
      <c r="C294" s="21" t="n">
        <v>1.714698693946772</v>
      </c>
      <c r="D294" s="21" t="n">
        <v>1.273682468078202</v>
      </c>
      <c r="E294" s="21" t="n">
        <v>1.079625474540814</v>
      </c>
      <c r="F294" s="21" t="n">
        <v>0.6096430672797774</v>
      </c>
      <c r="G294" s="21" t="n">
        <v>0.1172937511526989</v>
      </c>
      <c r="H294" s="21" t="n">
        <v>1.209086661436964</v>
      </c>
    </row>
    <row r="295">
      <c r="A295" s="10" t="n">
        <v>0.355</v>
      </c>
      <c r="B295" s="21" t="n">
        <v>1.23712534756455</v>
      </c>
      <c r="C295" s="21" t="n">
        <v>1.703902297522899</v>
      </c>
      <c r="D295" s="21" t="n">
        <v>1.286479711920193</v>
      </c>
      <c r="E295" s="21" t="n">
        <v>1.073213089473632</v>
      </c>
      <c r="F295" s="21" t="n">
        <v>0.6338932323110875</v>
      </c>
      <c r="G295" s="21" t="n">
        <v>0.1253252721839695</v>
      </c>
      <c r="H295" s="21" t="n">
        <v>1.212150123810534</v>
      </c>
    </row>
    <row r="296">
      <c r="A296" s="10" t="n">
        <v>0.365</v>
      </c>
      <c r="B296" s="21" t="n">
        <v>1.053193803025613</v>
      </c>
      <c r="C296" s="21" t="n">
        <v>1.761304782799816</v>
      </c>
      <c r="D296" s="21" t="n">
        <v>1.345680193900195</v>
      </c>
      <c r="E296" s="21" t="n">
        <v>1.134159691549925</v>
      </c>
      <c r="F296" s="21" t="n">
        <v>0.7285916098313495</v>
      </c>
      <c r="G296" s="21" t="n">
        <v>0.1465607241790732</v>
      </c>
      <c r="H296" s="21" t="n">
        <v>1.308841376396863</v>
      </c>
    </row>
    <row r="297">
      <c r="A297" s="10" t="n">
        <v>0.375</v>
      </c>
      <c r="B297" s="21" t="n">
        <v>1.017077288200095</v>
      </c>
      <c r="C297" s="21" t="n">
        <v>1.768239039153844</v>
      </c>
      <c r="D297" s="21" t="n">
        <v>1.355702364689551</v>
      </c>
      <c r="E297" s="21" t="n">
        <v>1.149627719903717</v>
      </c>
      <c r="F297" s="21" t="n">
        <v>0.7490792142053918</v>
      </c>
      <c r="G297" s="21" t="n">
        <v>0.1499390077442338</v>
      </c>
      <c r="H297" s="21" t="n">
        <v>1.322686536227154</v>
      </c>
    </row>
    <row r="298">
      <c r="A298" s="10" t="n">
        <v>0.385</v>
      </c>
      <c r="B298" s="21" t="n">
        <v>1.01590133929091</v>
      </c>
      <c r="C298" s="21" t="n">
        <v>1.778689767165705</v>
      </c>
      <c r="D298" s="21" t="n">
        <v>1.365272567775957</v>
      </c>
      <c r="E298" s="21" t="n">
        <v>1.157492082279026</v>
      </c>
      <c r="F298" s="21" t="n">
        <v>0.7596227055337893</v>
      </c>
      <c r="G298" s="21" t="n">
        <v>0.1521528739795946</v>
      </c>
      <c r="H298" s="21" t="n">
        <v>1.323824127706144</v>
      </c>
    </row>
    <row r="299">
      <c r="A299" s="10" t="n">
        <v>0.395</v>
      </c>
      <c r="B299" s="21" t="n">
        <v>0.9309896241532615</v>
      </c>
      <c r="C299" s="21" t="n">
        <v>1.772568827379781</v>
      </c>
      <c r="D299" s="21" t="n">
        <v>1.465419640138685</v>
      </c>
      <c r="E299" s="21" t="n">
        <v>1.181192244175596</v>
      </c>
      <c r="F299" s="21" t="n">
        <v>0.821759198629131</v>
      </c>
      <c r="G299" s="21" t="n">
        <v>0.1685038897501371</v>
      </c>
      <c r="H299" s="21" t="n">
        <v>1.307573737496844</v>
      </c>
    </row>
    <row r="300">
      <c r="A300" s="10" t="n">
        <v>0.405</v>
      </c>
      <c r="B300" s="21" t="n">
        <v>0.8409269686894607</v>
      </c>
      <c r="C300" s="21" t="n">
        <v>1.749372358399774</v>
      </c>
      <c r="D300" s="21" t="n">
        <v>1.541570049693198</v>
      </c>
      <c r="E300" s="21" t="n">
        <v>1.247453972259276</v>
      </c>
      <c r="F300" s="21" t="n">
        <v>0.9041354702371444</v>
      </c>
      <c r="G300" s="21" t="n">
        <v>0.2054078287242844</v>
      </c>
      <c r="H300" s="21" t="n">
        <v>1.316429522307889</v>
      </c>
    </row>
    <row r="301">
      <c r="A301" s="10" t="n">
        <v>0.415</v>
      </c>
      <c r="B301" s="21" t="n">
        <v>0.8336723156654415</v>
      </c>
      <c r="C301" s="21" t="n">
        <v>1.706659259966717</v>
      </c>
      <c r="D301" s="21" t="n">
        <v>1.501986531447183</v>
      </c>
      <c r="E301" s="21" t="n">
        <v>1.262015189594767</v>
      </c>
      <c r="F301" s="21" t="n">
        <v>0.9121649559292418</v>
      </c>
      <c r="G301" s="21" t="n">
        <v>0.2183389219049952</v>
      </c>
      <c r="H301" s="21" t="n">
        <v>1.312885281857304</v>
      </c>
    </row>
    <row r="302">
      <c r="A302" s="10" t="n">
        <v>0.425</v>
      </c>
      <c r="B302" s="21" t="n">
        <v>0.7476182723534991</v>
      </c>
      <c r="C302" s="21" t="n">
        <v>1.763856606633141</v>
      </c>
      <c r="D302" s="21" t="n">
        <v>1.594326493273305</v>
      </c>
      <c r="E302" s="21" t="n">
        <v>1.325133599418898</v>
      </c>
      <c r="F302" s="21" t="n">
        <v>0.9720162710223791</v>
      </c>
      <c r="G302" s="21" t="n">
        <v>0.2338336135211042</v>
      </c>
      <c r="H302" s="21" t="n">
        <v>1.334602684817294</v>
      </c>
    </row>
    <row r="303">
      <c r="A303" s="10" t="n">
        <v>0.435</v>
      </c>
      <c r="B303" s="21" t="n">
        <v>0.6336735104429132</v>
      </c>
      <c r="C303" s="21" t="n">
        <v>1.855286953911498</v>
      </c>
      <c r="D303" s="21" t="n">
        <v>1.630408376420414</v>
      </c>
      <c r="E303" s="21" t="n">
        <v>1.355188057119107</v>
      </c>
      <c r="F303" s="21" t="n">
        <v>1.037016746832173</v>
      </c>
      <c r="G303" s="21" t="n">
        <v>0.2572729145464616</v>
      </c>
      <c r="H303" s="21" t="n">
        <v>1.324460409880321</v>
      </c>
    </row>
    <row r="304">
      <c r="A304" s="10" t="n">
        <v>0.445</v>
      </c>
      <c r="B304" s="21" t="n">
        <v>0.6285853498472974</v>
      </c>
      <c r="C304" s="21" t="n">
        <v>1.865875392964114</v>
      </c>
      <c r="D304" s="21" t="n">
        <v>1.638552598401043</v>
      </c>
      <c r="E304" s="21" t="n">
        <v>1.3682372943787</v>
      </c>
      <c r="F304" s="21" t="n">
        <v>1.052378197772353</v>
      </c>
      <c r="G304" s="21" t="n">
        <v>0.269390655994144</v>
      </c>
      <c r="H304" s="21" t="n">
        <v>1.338991535769289</v>
      </c>
    </row>
    <row r="305">
      <c r="A305" s="10" t="n">
        <v>0.455</v>
      </c>
      <c r="B305" s="21" t="n">
        <v>0.5858344712826956</v>
      </c>
      <c r="C305" s="21" t="n">
        <v>1.856270423168423</v>
      </c>
      <c r="D305" s="21" t="n">
        <v>1.675434411784736</v>
      </c>
      <c r="E305" s="21" t="n">
        <v>1.394501375534828</v>
      </c>
      <c r="F305" s="21" t="n">
        <v>1.103602577372385</v>
      </c>
      <c r="G305" s="21" t="n">
        <v>0.3163066818001504</v>
      </c>
      <c r="H305" s="21" t="n">
        <v>1.341710059707812</v>
      </c>
    </row>
    <row r="306">
      <c r="A306" s="10" t="n">
        <v>0.465</v>
      </c>
      <c r="B306" s="21" t="n">
        <v>0.5135278285331698</v>
      </c>
      <c r="C306" s="21" t="n">
        <v>1.862048219253404</v>
      </c>
      <c r="D306" s="21" t="n">
        <v>1.804179855100433</v>
      </c>
      <c r="E306" s="21" t="n">
        <v>1.480372609644213</v>
      </c>
      <c r="F306" s="21" t="n">
        <v>1.20052220251899</v>
      </c>
      <c r="G306" s="21" t="n">
        <v>0.373591204565408</v>
      </c>
      <c r="H306" s="21" t="n">
        <v>1.351067994989449</v>
      </c>
    </row>
    <row r="307">
      <c r="A307" s="10" t="n">
        <v>0.475</v>
      </c>
      <c r="B307" s="21" t="n">
        <v>0.5070392029427701</v>
      </c>
      <c r="C307" s="21" t="n">
        <v>1.835892115994761</v>
      </c>
      <c r="D307" s="21" t="n">
        <v>1.791747101317773</v>
      </c>
      <c r="E307" s="21" t="n">
        <v>1.476267753276517</v>
      </c>
      <c r="F307" s="21" t="n">
        <v>1.189394427216779</v>
      </c>
      <c r="G307" s="21" t="n">
        <v>0.3764683791149131</v>
      </c>
      <c r="H307" s="21" t="n">
        <v>1.337272348204959</v>
      </c>
    </row>
    <row r="308">
      <c r="A308" s="10" t="n">
        <v>0.485</v>
      </c>
      <c r="B308" s="21" t="n">
        <v>0.4877158054138793</v>
      </c>
      <c r="C308" s="21" t="n">
        <v>1.919433885889201</v>
      </c>
      <c r="D308" s="21" t="n">
        <v>1.930651109039887</v>
      </c>
      <c r="E308" s="21" t="n">
        <v>1.577271759989688</v>
      </c>
      <c r="F308" s="21" t="n">
        <v>1.284922725662017</v>
      </c>
      <c r="G308" s="21" t="n">
        <v>0.4204683044667323</v>
      </c>
      <c r="H308" s="21" t="n">
        <v>1.399033199672945</v>
      </c>
    </row>
    <row r="309">
      <c r="A309" s="10" t="n">
        <v>0.495</v>
      </c>
      <c r="B309" s="21" t="n">
        <v>0.4267050886775714</v>
      </c>
      <c r="C309" s="21" t="n">
        <v>1.912802338225873</v>
      </c>
      <c r="D309" s="21" t="n">
        <v>2.031183656297872</v>
      </c>
      <c r="E309" s="21" t="n">
        <v>1.633111409729338</v>
      </c>
      <c r="F309" s="21" t="n">
        <v>1.370607990434747</v>
      </c>
      <c r="G309" s="21" t="n">
        <v>0.4430966482315101</v>
      </c>
      <c r="H309" s="21" t="n">
        <v>1.40901050814062</v>
      </c>
    </row>
    <row r="310">
      <c r="A310" s="10" t="n">
        <v>0.505</v>
      </c>
      <c r="B310" s="21" t="n">
        <v>0.360336687069042</v>
      </c>
      <c r="C310" s="21" t="n">
        <v>1.786245728811305</v>
      </c>
      <c r="D310" s="21" t="n">
        <v>1.98232162863189</v>
      </c>
      <c r="E310" s="21" t="n">
        <v>1.57331323559935</v>
      </c>
      <c r="F310" s="21" t="n">
        <v>1.372537203029902</v>
      </c>
      <c r="G310" s="21" t="n">
        <v>0.4485968327469269</v>
      </c>
      <c r="H310" s="21" t="n">
        <v>1.349946259262264</v>
      </c>
    </row>
    <row r="311">
      <c r="A311" s="10" t="n">
        <v>0.515</v>
      </c>
      <c r="B311" s="21" t="n">
        <v>0.3289948339681332</v>
      </c>
      <c r="C311" s="21" t="n">
        <v>1.73189476212343</v>
      </c>
      <c r="D311" s="21" t="n">
        <v>1.973246570426251</v>
      </c>
      <c r="E311" s="21" t="n">
        <v>1.635128867612976</v>
      </c>
      <c r="F311" s="21" t="n">
        <v>1.432899869604342</v>
      </c>
      <c r="G311" s="21" t="n">
        <v>0.48426691826316</v>
      </c>
      <c r="H311" s="21" t="n">
        <v>1.332812742208981</v>
      </c>
    </row>
    <row r="312">
      <c r="A312" s="10" t="n">
        <v>0.525</v>
      </c>
      <c r="B312" s="21" t="n">
        <v>0.3192634440905372</v>
      </c>
      <c r="C312" s="21" t="n">
        <v>1.66833226958949</v>
      </c>
      <c r="D312" s="21" t="n">
        <v>1.914180180697367</v>
      </c>
      <c r="E312" s="21" t="n">
        <v>1.627324087283331</v>
      </c>
      <c r="F312" s="21" t="n">
        <v>1.431114183239035</v>
      </c>
      <c r="G312" s="21" t="n">
        <v>0.5160580670937199</v>
      </c>
      <c r="H312" s="21" t="n">
        <v>1.310118211379389</v>
      </c>
    </row>
    <row r="313">
      <c r="A313" s="10" t="n">
        <v>0.535</v>
      </c>
      <c r="B313" s="21" t="n">
        <v>0.2766876918956579</v>
      </c>
      <c r="C313" s="21" t="n">
        <v>1.557384248527788</v>
      </c>
      <c r="D313" s="21" t="n">
        <v>1.933973818046832</v>
      </c>
      <c r="E313" s="21" t="n">
        <v>1.635822006894047</v>
      </c>
      <c r="F313" s="21" t="n">
        <v>1.597505308627926</v>
      </c>
      <c r="G313" s="21" t="n">
        <v>0.6529321125223817</v>
      </c>
      <c r="H313" s="21" t="n">
        <v>1.331869612873533</v>
      </c>
    </row>
    <row r="314">
      <c r="A314" s="10" t="n">
        <v>0.545</v>
      </c>
      <c r="B314" s="21" t="n">
        <v>0.2612649020119588</v>
      </c>
      <c r="C314" s="21" t="n">
        <v>1.443652151701915</v>
      </c>
      <c r="D314" s="21" t="n">
        <v>1.856332945066459</v>
      </c>
      <c r="E314" s="21" t="n">
        <v>1.615083813793649</v>
      </c>
      <c r="F314" s="21" t="n">
        <v>1.638620621565892</v>
      </c>
      <c r="G314" s="21" t="n">
        <v>0.6713857635462511</v>
      </c>
      <c r="H314" s="21" t="n">
        <v>1.332255870864645</v>
      </c>
    </row>
    <row r="315">
      <c r="A315" s="10" t="n">
        <v>0.555</v>
      </c>
      <c r="B315" s="21" t="n">
        <v>0.2614101213017995</v>
      </c>
      <c r="C315" s="21" t="n">
        <v>1.422994805064685</v>
      </c>
      <c r="D315" s="21" t="n">
        <v>1.824669142142834</v>
      </c>
      <c r="E315" s="21" t="n">
        <v>1.628589557987071</v>
      </c>
      <c r="F315" s="21" t="n">
        <v>1.654122160387689</v>
      </c>
      <c r="G315" s="21" t="n">
        <v>0.6834139415586846</v>
      </c>
      <c r="H315" s="21" t="n">
        <v>1.333028341599065</v>
      </c>
    </row>
    <row r="316">
      <c r="A316" s="10" t="n">
        <v>0.5649999999999999</v>
      </c>
      <c r="B316" s="21" t="n">
        <v>0.2454475404105964</v>
      </c>
      <c r="C316" s="21" t="n">
        <v>1.350289273930015</v>
      </c>
      <c r="D316" s="21" t="n">
        <v>1.746440081213472</v>
      </c>
      <c r="E316" s="21" t="n">
        <v>1.644544585215201</v>
      </c>
      <c r="F316" s="21" t="n">
        <v>1.704003540447595</v>
      </c>
      <c r="G316" s="21" t="n">
        <v>0.7456786174243401</v>
      </c>
      <c r="H316" s="21" t="n">
        <v>1.339784882363197</v>
      </c>
    </row>
    <row r="317">
      <c r="A317" s="10" t="n">
        <v>0.575</v>
      </c>
      <c r="B317" s="21" t="n">
        <v>0.2211685387986921</v>
      </c>
      <c r="C317" s="21" t="n">
        <v>1.289461734459705</v>
      </c>
      <c r="D317" s="21" t="n">
        <v>1.672410473508385</v>
      </c>
      <c r="E317" s="21" t="n">
        <v>1.62858070612981</v>
      </c>
      <c r="F317" s="21" t="n">
        <v>1.709383945724905</v>
      </c>
      <c r="G317" s="21" t="n">
        <v>0.804381599555128</v>
      </c>
      <c r="H317" s="21" t="n">
        <v>1.333497208655508</v>
      </c>
    </row>
    <row r="318">
      <c r="A318" s="10" t="n">
        <v>0.585</v>
      </c>
      <c r="B318" s="21" t="n">
        <v>0.176072712707496</v>
      </c>
      <c r="C318" s="21" t="n">
        <v>1.206369190239969</v>
      </c>
      <c r="D318" s="21" t="n">
        <v>1.655578207699422</v>
      </c>
      <c r="E318" s="21" t="n">
        <v>1.702008249460297</v>
      </c>
      <c r="F318" s="21" t="n">
        <v>1.792668646285923</v>
      </c>
      <c r="G318" s="21" t="n">
        <v>0.9123705095590389</v>
      </c>
      <c r="H318" s="21" t="n">
        <v>1.345558290347903</v>
      </c>
    </row>
    <row r="319">
      <c r="A319" s="10" t="n">
        <v>0.595</v>
      </c>
      <c r="B319" s="21" t="n">
        <v>0.139927911844995</v>
      </c>
      <c r="C319" s="21" t="n">
        <v>1.162590556976391</v>
      </c>
      <c r="D319" s="21" t="n">
        <v>1.639213796672865</v>
      </c>
      <c r="E319" s="21" t="n">
        <v>1.726911226153126</v>
      </c>
      <c r="F319" s="21" t="n">
        <v>1.847274430909992</v>
      </c>
      <c r="G319" s="21" t="n">
        <v>0.9555552929610124</v>
      </c>
      <c r="H319" s="21" t="n">
        <v>1.339792491173958</v>
      </c>
    </row>
    <row r="320">
      <c r="A320" s="10" t="n">
        <v>0.605</v>
      </c>
      <c r="B320" s="21" t="n">
        <v>0.1281649670382148</v>
      </c>
      <c r="C320" s="21" t="n">
        <v>1.112557752074268</v>
      </c>
      <c r="D320" s="21" t="n">
        <v>1.618318403247283</v>
      </c>
      <c r="E320" s="21" t="n">
        <v>1.781558756484259</v>
      </c>
      <c r="F320" s="21" t="n">
        <v>1.910928100954209</v>
      </c>
      <c r="G320" s="21" t="n">
        <v>1.100992891167263</v>
      </c>
      <c r="H320" s="21" t="n">
        <v>1.321581719247251</v>
      </c>
    </row>
    <row r="321">
      <c r="A321" s="10" t="n">
        <v>0.615</v>
      </c>
      <c r="B321" s="21" t="n">
        <v>0.1119108895155579</v>
      </c>
      <c r="C321" s="21" t="n">
        <v>1.046908698381392</v>
      </c>
      <c r="D321" s="21" t="n">
        <v>1.572108038610704</v>
      </c>
      <c r="E321" s="21" t="n">
        <v>1.808304645497501</v>
      </c>
      <c r="F321" s="21" t="n">
        <v>2.013808773586688</v>
      </c>
      <c r="G321" s="21" t="n">
        <v>1.212821121176578</v>
      </c>
      <c r="H321" s="21" t="n">
        <v>1.318661851311235</v>
      </c>
    </row>
    <row r="322">
      <c r="A322" s="10" t="n">
        <v>0.625</v>
      </c>
      <c r="B322" s="21" t="n">
        <v>0.100114034462416</v>
      </c>
      <c r="C322" s="21" t="n">
        <v>0.9669205561094731</v>
      </c>
      <c r="D322" s="21" t="n">
        <v>1.507686774014452</v>
      </c>
      <c r="E322" s="21" t="n">
        <v>1.788538860997527</v>
      </c>
      <c r="F322" s="21" t="n">
        <v>2.042670703053029</v>
      </c>
      <c r="G322" s="21" t="n">
        <v>1.236902019959812</v>
      </c>
      <c r="H322" s="21" t="n">
        <v>1.311168246855394</v>
      </c>
    </row>
    <row r="323">
      <c r="A323" s="10" t="n">
        <v>0.635</v>
      </c>
      <c r="B323" s="21" t="n">
        <v>0.09662999663516025</v>
      </c>
      <c r="C323" s="21" t="n">
        <v>0.9415102916697415</v>
      </c>
      <c r="D323" s="21" t="n">
        <v>1.515631940868794</v>
      </c>
      <c r="E323" s="21" t="n">
        <v>1.761673416039341</v>
      </c>
      <c r="F323" s="21" t="n">
        <v>2.059829061624228</v>
      </c>
      <c r="G323" s="21" t="n">
        <v>1.297053378773948</v>
      </c>
      <c r="H323" s="21" t="n">
        <v>1.302775045192936</v>
      </c>
    </row>
    <row r="324">
      <c r="A324" s="10" t="n">
        <v>0.645</v>
      </c>
      <c r="B324" s="21" t="n">
        <v>0.08926449591032022</v>
      </c>
      <c r="C324" s="21" t="n">
        <v>0.9009212617855916</v>
      </c>
      <c r="D324" s="21" t="n">
        <v>1.511029490412473</v>
      </c>
      <c r="E324" s="21" t="n">
        <v>1.763877993269502</v>
      </c>
      <c r="F324" s="21" t="n">
        <v>2.112085946677959</v>
      </c>
      <c r="G324" s="21" t="n">
        <v>1.423644344848509</v>
      </c>
      <c r="H324" s="21" t="n">
        <v>1.319604589355647</v>
      </c>
    </row>
    <row r="325">
      <c r="A325" s="10" t="n">
        <v>0.655</v>
      </c>
      <c r="B325" s="21" t="n">
        <v>0.08323698091817749</v>
      </c>
      <c r="C325" s="21" t="n">
        <v>0.8757376578835873</v>
      </c>
      <c r="D325" s="21" t="n">
        <v>1.515420216487834</v>
      </c>
      <c r="E325" s="21" t="n">
        <v>1.79262570910243</v>
      </c>
      <c r="F325" s="21" t="n">
        <v>2.187458984441501</v>
      </c>
      <c r="G325" s="21" t="n">
        <v>1.512292293223636</v>
      </c>
      <c r="H325" s="21" t="n">
        <v>1.330430655775519</v>
      </c>
    </row>
    <row r="326">
      <c r="A326" s="10" t="n">
        <v>0.665</v>
      </c>
      <c r="B326" s="21" t="n">
        <v>0.06421751024086882</v>
      </c>
      <c r="C326" s="21" t="n">
        <v>0.7742556872997918</v>
      </c>
      <c r="D326" s="21" t="n">
        <v>1.461061958117574</v>
      </c>
      <c r="E326" s="21" t="n">
        <v>1.815018623784621</v>
      </c>
      <c r="F326" s="21" t="n">
        <v>2.219742569299249</v>
      </c>
      <c r="G326" s="21" t="n">
        <v>1.759792562015134</v>
      </c>
      <c r="H326" s="21" t="n">
        <v>1.307559714508289</v>
      </c>
    </row>
    <row r="327">
      <c r="A327" s="10" t="n">
        <v>0.675</v>
      </c>
      <c r="B327" s="21" t="n">
        <v>0.05389948272548453</v>
      </c>
      <c r="C327" s="21" t="n">
        <v>0.7002274986740222</v>
      </c>
      <c r="D327" s="21" t="n">
        <v>1.401741504511183</v>
      </c>
      <c r="E327" s="21" t="n">
        <v>1.819202523308047</v>
      </c>
      <c r="F327" s="21" t="n">
        <v>2.195777438219997</v>
      </c>
      <c r="G327" s="21" t="n">
        <v>1.936384592904281</v>
      </c>
      <c r="H327" s="21" t="n">
        <v>1.265361900847661</v>
      </c>
    </row>
    <row r="328">
      <c r="A328" s="10" t="n">
        <v>0.6850000000000001</v>
      </c>
      <c r="B328" s="21" t="n">
        <v>0.048995839829928</v>
      </c>
      <c r="C328" s="21" t="n">
        <v>0.6742211015917361</v>
      </c>
      <c r="D328" s="21" t="n">
        <v>1.423933140967968</v>
      </c>
      <c r="E328" s="21" t="n">
        <v>1.830007009232477</v>
      </c>
      <c r="F328" s="21" t="n">
        <v>2.177099102283826</v>
      </c>
      <c r="G328" s="21" t="n">
        <v>2.10956694889639</v>
      </c>
      <c r="H328" s="21" t="n">
        <v>1.210942648393845</v>
      </c>
    </row>
    <row r="329">
      <c r="A329" s="10" t="n">
        <v>0.695</v>
      </c>
      <c r="B329" s="21" t="n">
        <v>0.0430231517998475</v>
      </c>
      <c r="C329" s="21" t="n">
        <v>0.6383928050335751</v>
      </c>
      <c r="D329" s="21" t="n">
        <v>1.427270754771322</v>
      </c>
      <c r="E329" s="21" t="n">
        <v>1.845811882617327</v>
      </c>
      <c r="F329" s="21" t="n">
        <v>2.217900793416789</v>
      </c>
      <c r="G329" s="21" t="n">
        <v>2.225524692116482</v>
      </c>
      <c r="H329" s="21" t="n">
        <v>1.194591963076537</v>
      </c>
    </row>
    <row r="330">
      <c r="A330" s="10" t="n">
        <v>0.705</v>
      </c>
      <c r="B330" s="21" t="n">
        <v>0.02444613926499348</v>
      </c>
      <c r="C330" s="21" t="n">
        <v>0.4994156355128506</v>
      </c>
      <c r="D330" s="21" t="n">
        <v>1.346684764981144</v>
      </c>
      <c r="E330" s="21" t="n">
        <v>1.811163781345571</v>
      </c>
      <c r="F330" s="21" t="n">
        <v>2.237479491343827</v>
      </c>
      <c r="G330" s="21" t="n">
        <v>2.383588702435519</v>
      </c>
      <c r="H330" s="21" t="n">
        <v>1.145357169170246</v>
      </c>
    </row>
    <row r="331">
      <c r="A331" s="10" t="n">
        <v>0.715</v>
      </c>
      <c r="B331" s="21" t="n">
        <v>0.01776574343718037</v>
      </c>
      <c r="C331" s="21" t="n">
        <v>0.4451481876107407</v>
      </c>
      <c r="D331" s="21" t="n">
        <v>1.345361803566783</v>
      </c>
      <c r="E331" s="21" t="n">
        <v>1.820976530002199</v>
      </c>
      <c r="F331" s="21" t="n">
        <v>2.294283521576438</v>
      </c>
      <c r="G331" s="21" t="n">
        <v>2.58524541808328</v>
      </c>
      <c r="H331" s="21" t="n">
        <v>1.104934854320814</v>
      </c>
    </row>
    <row r="332">
      <c r="A332" s="10" t="n">
        <v>0.725</v>
      </c>
      <c r="B332" s="21" t="n">
        <v>0.01429138803916626</v>
      </c>
      <c r="C332" s="21" t="n">
        <v>0.410197612759523</v>
      </c>
      <c r="D332" s="21" t="n">
        <v>1.382930401702537</v>
      </c>
      <c r="E332" s="21" t="n">
        <v>1.820202124735688</v>
      </c>
      <c r="F332" s="21" t="n">
        <v>2.294739170053584</v>
      </c>
      <c r="G332" s="21" t="n">
        <v>2.654919760886207</v>
      </c>
      <c r="H332" s="21" t="n">
        <v>1.090910566208334</v>
      </c>
    </row>
    <row r="333">
      <c r="A333" s="10" t="n">
        <v>0.735</v>
      </c>
      <c r="B333" s="21" t="n">
        <v>0.01300110669031938</v>
      </c>
      <c r="C333" s="21" t="n">
        <v>0.4050334807040982</v>
      </c>
      <c r="D333" s="21" t="n">
        <v>1.417735279519955</v>
      </c>
      <c r="E333" s="21" t="n">
        <v>1.878895831203873</v>
      </c>
      <c r="F333" s="21" t="n">
        <v>2.361532580418399</v>
      </c>
      <c r="G333" s="21" t="n">
        <v>2.86371778917655</v>
      </c>
      <c r="H333" s="21" t="n">
        <v>1.14356995546339</v>
      </c>
    </row>
    <row r="334">
      <c r="A334" s="10" t="n">
        <v>0.745</v>
      </c>
      <c r="B334" s="21" t="n">
        <v>0.01818937649133246</v>
      </c>
      <c r="C334" s="21" t="n">
        <v>0.3943056143809238</v>
      </c>
      <c r="D334" s="21" t="n">
        <v>1.244257104502605</v>
      </c>
      <c r="E334" s="21" t="n">
        <v>1.681098540933679</v>
      </c>
      <c r="F334" s="21" t="n">
        <v>2.142841459105001</v>
      </c>
      <c r="G334" s="21" t="n">
        <v>2.439904120887638</v>
      </c>
      <c r="H334" s="21" t="n">
        <v>1.076847749714527</v>
      </c>
    </row>
    <row r="335">
      <c r="A335" s="10" t="n">
        <v>0.755</v>
      </c>
      <c r="B335" s="21" t="n">
        <v>0.01030085798979447</v>
      </c>
      <c r="C335" s="21" t="n">
        <v>0.315360895941271</v>
      </c>
      <c r="D335" s="21" t="n">
        <v>1.113064033802174</v>
      </c>
      <c r="E335" s="21" t="n">
        <v>1.513785470171745</v>
      </c>
      <c r="F335" s="21" t="n">
        <v>1.919016679773995</v>
      </c>
      <c r="G335" s="21" t="n">
        <v>2.380378872301192</v>
      </c>
      <c r="H335" s="21" t="n">
        <v>0.9870123867554556</v>
      </c>
    </row>
    <row r="336">
      <c r="A336" s="10" t="n">
        <v>0.765</v>
      </c>
      <c r="B336" s="21" t="n">
        <v>0.009171608847333305</v>
      </c>
      <c r="C336" s="21" t="n">
        <v>0.2995053842950039</v>
      </c>
      <c r="D336" s="21" t="n">
        <v>1.083338924842258</v>
      </c>
      <c r="E336" s="21" t="n">
        <v>1.462308508069642</v>
      </c>
      <c r="F336" s="21" t="n">
        <v>1.884765584081017</v>
      </c>
      <c r="G336" s="21" t="n">
        <v>2.306174191834837</v>
      </c>
      <c r="H336" s="21" t="n">
        <v>0.9667141848276236</v>
      </c>
    </row>
    <row r="337">
      <c r="A337" s="10" t="n">
        <v>0.775</v>
      </c>
      <c r="B337" s="21" t="n">
        <v>0.007478466384116591</v>
      </c>
      <c r="C337" s="21" t="n">
        <v>0.2869612069739794</v>
      </c>
      <c r="D337" s="21" t="n">
        <v>1.093807791651719</v>
      </c>
      <c r="E337" s="21" t="n">
        <v>1.453748299059372</v>
      </c>
      <c r="F337" s="21" t="n">
        <v>1.901481646085135</v>
      </c>
      <c r="G337" s="21" t="n">
        <v>2.296336976927536</v>
      </c>
      <c r="H337" s="21" t="n">
        <v>0.9515183095041277</v>
      </c>
    </row>
    <row r="338">
      <c r="A338" s="10" t="n">
        <v>0.785</v>
      </c>
      <c r="B338" s="21" t="n">
        <v>0.002539093123422458</v>
      </c>
      <c r="C338" s="21" t="n">
        <v>0.2450339603609892</v>
      </c>
      <c r="D338" s="21" t="n">
        <v>1.070426293437966</v>
      </c>
      <c r="E338" s="21" t="n">
        <v>1.392821860451532</v>
      </c>
      <c r="F338" s="21" t="n">
        <v>1.894585887125242</v>
      </c>
      <c r="G338" s="21" t="n">
        <v>2.385092274290344</v>
      </c>
      <c r="H338" s="21" t="n">
        <v>0.8883520839829508</v>
      </c>
    </row>
    <row r="339">
      <c r="A339" s="10" t="n">
        <v>0.795</v>
      </c>
      <c r="B339" s="21" t="n">
        <v>0.0005789368010415937</v>
      </c>
      <c r="C339" s="21" t="n">
        <v>0.2195354623430529</v>
      </c>
      <c r="D339" s="21" t="n">
        <v>1.032066429788765</v>
      </c>
      <c r="E339" s="21" t="n">
        <v>1.353835746568694</v>
      </c>
      <c r="F339" s="21" t="n">
        <v>1.889667565844003</v>
      </c>
      <c r="G339" s="21" t="n">
        <v>2.483123748653364</v>
      </c>
      <c r="H339" s="21" t="n">
        <v>0.8641609842584426</v>
      </c>
    </row>
    <row r="340">
      <c r="A340" s="10" t="n">
        <v>0.805</v>
      </c>
      <c r="B340" s="21" t="n">
        <v>0</v>
      </c>
      <c r="C340" s="21" t="n">
        <v>0.1892675976506305</v>
      </c>
      <c r="D340" s="21" t="n">
        <v>0.9144298125549544</v>
      </c>
      <c r="E340" s="21" t="n">
        <v>1.2677973254924</v>
      </c>
      <c r="F340" s="21" t="n">
        <v>1.78915311749474</v>
      </c>
      <c r="G340" s="21" t="n">
        <v>2.530244566372226</v>
      </c>
      <c r="H340" s="21" t="n">
        <v>0.8211673187999171</v>
      </c>
    </row>
    <row r="341">
      <c r="A341" s="10" t="n">
        <v>0.8149999999999999</v>
      </c>
      <c r="B341" s="21" t="n">
        <v>0</v>
      </c>
      <c r="C341" s="21" t="n">
        <v>0.1795189111265913</v>
      </c>
      <c r="D341" s="21" t="n">
        <v>0.8622993529036629</v>
      </c>
      <c r="E341" s="21" t="n">
        <v>1.204959150213291</v>
      </c>
      <c r="F341" s="21" t="n">
        <v>1.707291580414033</v>
      </c>
      <c r="G341" s="21" t="n">
        <v>2.450080956085302</v>
      </c>
      <c r="H341" s="21" t="n">
        <v>0.8118372231505817</v>
      </c>
    </row>
    <row r="342">
      <c r="A342" s="10" t="n">
        <v>0.825</v>
      </c>
      <c r="B342" s="21" t="n">
        <v>0</v>
      </c>
      <c r="C342" s="21" t="n">
        <v>0.1642768886700498</v>
      </c>
      <c r="D342" s="21" t="n">
        <v>0.8353567888488175</v>
      </c>
      <c r="E342" s="21" t="n">
        <v>1.145791521463308</v>
      </c>
      <c r="F342" s="21" t="n">
        <v>1.645236179904062</v>
      </c>
      <c r="G342" s="21" t="n">
        <v>2.454845930440531</v>
      </c>
      <c r="H342" s="21" t="n">
        <v>0.8091383499557233</v>
      </c>
    </row>
    <row r="343">
      <c r="A343" s="10" t="n">
        <v>0.835</v>
      </c>
      <c r="B343" s="21" t="n">
        <v>0</v>
      </c>
      <c r="C343" s="21" t="n">
        <v>0.154196641109611</v>
      </c>
      <c r="D343" s="21" t="n">
        <v>0.8117448505030161</v>
      </c>
      <c r="E343" s="21" t="n">
        <v>1.09397064853255</v>
      </c>
      <c r="F343" s="21" t="n">
        <v>1.586616269502745</v>
      </c>
      <c r="G343" s="21" t="n">
        <v>2.437371778182144</v>
      </c>
      <c r="H343" s="21" t="n">
        <v>0.7905489612582102</v>
      </c>
    </row>
    <row r="344">
      <c r="A344" s="10" t="n">
        <v>0.845</v>
      </c>
      <c r="B344" s="21" t="n">
        <v>0</v>
      </c>
      <c r="C344" s="21" t="n">
        <v>0.1475815483165814</v>
      </c>
      <c r="D344" s="21" t="n">
        <v>0.7998692653536696</v>
      </c>
      <c r="E344" s="21" t="n">
        <v>1.070051352693007</v>
      </c>
      <c r="F344" s="21" t="n">
        <v>1.550711705047312</v>
      </c>
      <c r="G344" s="21" t="n">
        <v>2.438402819381223</v>
      </c>
      <c r="H344" s="21" t="n">
        <v>0.7979165760602795</v>
      </c>
    </row>
    <row r="345">
      <c r="A345" s="10" t="n">
        <v>0.855</v>
      </c>
      <c r="B345" s="21" t="n">
        <v>0</v>
      </c>
      <c r="C345" s="21" t="n">
        <v>0.1210340323618349</v>
      </c>
      <c r="D345" s="21" t="n">
        <v>0.7065188828373581</v>
      </c>
      <c r="E345" s="21" t="n">
        <v>0.9250922571925456</v>
      </c>
      <c r="F345" s="21" t="n">
        <v>1.364383445145424</v>
      </c>
      <c r="G345" s="21" t="n">
        <v>2.388772357365498</v>
      </c>
      <c r="H345" s="21" t="n">
        <v>0.7919397094390882</v>
      </c>
    </row>
    <row r="346">
      <c r="A346" s="10" t="n">
        <v>0.865</v>
      </c>
      <c r="B346" s="21" t="n">
        <v>0</v>
      </c>
      <c r="C346" s="21" t="n">
        <v>0.09695572493762926</v>
      </c>
      <c r="D346" s="21" t="n">
        <v>0.607582671953298</v>
      </c>
      <c r="E346" s="21" t="n">
        <v>0.787806635946199</v>
      </c>
      <c r="F346" s="21" t="n">
        <v>1.198145129676456</v>
      </c>
      <c r="G346" s="21" t="n">
        <v>2.405778473361916</v>
      </c>
      <c r="H346" s="21" t="n">
        <v>0.7708751175326152</v>
      </c>
    </row>
    <row r="347">
      <c r="A347" s="10" t="n">
        <v>0.875</v>
      </c>
      <c r="B347" s="21" t="n">
        <v>0</v>
      </c>
      <c r="C347" s="21" t="n">
        <v>0.09033511897593798</v>
      </c>
      <c r="D347" s="21" t="n">
        <v>0.5731324565374085</v>
      </c>
      <c r="E347" s="21" t="n">
        <v>0.7491913846678461</v>
      </c>
      <c r="F347" s="21" t="n">
        <v>1.158577166244136</v>
      </c>
      <c r="G347" s="21" t="n">
        <v>2.480376236229899</v>
      </c>
      <c r="H347" s="21" t="n">
        <v>0.7596005708994247</v>
      </c>
    </row>
    <row r="348">
      <c r="A348" s="10" t="n">
        <v>0.885</v>
      </c>
      <c r="B348" s="21" t="n">
        <v>0</v>
      </c>
      <c r="C348" s="21" t="n">
        <v>0.08551104597842454</v>
      </c>
      <c r="D348" s="21" t="n">
        <v>0.5513313063263919</v>
      </c>
      <c r="E348" s="21" t="n">
        <v>0.724424372023594</v>
      </c>
      <c r="F348" s="21" t="n">
        <v>1.132287822470451</v>
      </c>
      <c r="G348" s="21" t="n">
        <v>2.580956514318983</v>
      </c>
      <c r="H348" s="21" t="n">
        <v>0.7405873125538013</v>
      </c>
    </row>
    <row r="349">
      <c r="A349" s="10" t="n">
        <v>0.895</v>
      </c>
      <c r="B349" s="21" t="n">
        <v>0</v>
      </c>
      <c r="C349" s="21" t="n">
        <v>0.07245377903743803</v>
      </c>
      <c r="D349" s="21" t="n">
        <v>0.4999437210496426</v>
      </c>
      <c r="E349" s="21" t="n">
        <v>0.6587448993704179</v>
      </c>
      <c r="F349" s="21" t="n">
        <v>1.061635736708036</v>
      </c>
      <c r="G349" s="21" t="n">
        <v>2.656605800011884</v>
      </c>
      <c r="H349" s="21" t="n">
        <v>0.7004191499589456</v>
      </c>
    </row>
    <row r="350">
      <c r="A350" s="10" t="n">
        <v>0.905</v>
      </c>
      <c r="B350" s="21" t="n">
        <v>0</v>
      </c>
      <c r="C350" s="21" t="n">
        <v>0.06078249129132956</v>
      </c>
      <c r="D350" s="21" t="n">
        <v>0.4540170521842647</v>
      </c>
      <c r="E350" s="21" t="n">
        <v>0.5862150144171356</v>
      </c>
      <c r="F350" s="21" t="n">
        <v>0.9687870395744518</v>
      </c>
      <c r="G350" s="21" t="n">
        <v>2.67679392210063</v>
      </c>
      <c r="H350" s="21" t="n">
        <v>0.6459987339479512</v>
      </c>
    </row>
    <row r="351">
      <c r="A351" s="10" t="n">
        <v>0.915</v>
      </c>
      <c r="B351" s="21" t="n">
        <v>0</v>
      </c>
      <c r="C351" s="21" t="n">
        <v>0.06293468413433886</v>
      </c>
      <c r="D351" s="21" t="n">
        <v>0.4498449979395857</v>
      </c>
      <c r="E351" s="21" t="n">
        <v>0.585222418057318</v>
      </c>
      <c r="F351" s="21" t="n">
        <v>0.9839635223505224</v>
      </c>
      <c r="G351" s="21" t="n">
        <v>2.71386172176107</v>
      </c>
      <c r="H351" s="21" t="n">
        <v>0.6570568699902014</v>
      </c>
    </row>
    <row r="352">
      <c r="A352" s="10" t="n">
        <v>0.925</v>
      </c>
      <c r="B352" s="21" t="n">
        <v>0</v>
      </c>
      <c r="C352" s="21" t="n">
        <v>0.05018189299070522</v>
      </c>
      <c r="D352" s="21" t="n">
        <v>0.3770910967303899</v>
      </c>
      <c r="E352" s="21" t="n">
        <v>0.4799712461941283</v>
      </c>
      <c r="F352" s="21" t="n">
        <v>0.8364573506627168</v>
      </c>
      <c r="G352" s="21" t="n">
        <v>2.738855947417034</v>
      </c>
      <c r="H352" s="21" t="n">
        <v>0.6134944904480373</v>
      </c>
    </row>
    <row r="353">
      <c r="A353" s="10" t="n">
        <v>0.9350000000000001</v>
      </c>
      <c r="B353" s="21" t="n">
        <v>0</v>
      </c>
      <c r="C353" s="21" t="n">
        <v>0.0356697041463221</v>
      </c>
      <c r="D353" s="21" t="n">
        <v>0.3178449920833601</v>
      </c>
      <c r="E353" s="21" t="n">
        <v>0.3878798757993763</v>
      </c>
      <c r="F353" s="21" t="n">
        <v>0.6969963900061967</v>
      </c>
      <c r="G353" s="21" t="n">
        <v>2.812563733188327</v>
      </c>
      <c r="H353" s="21" t="n">
        <v>0.5655108023237513</v>
      </c>
    </row>
    <row r="354">
      <c r="A354" s="10" t="n">
        <v>0.945</v>
      </c>
      <c r="B354" s="21" t="n">
        <v>0</v>
      </c>
      <c r="C354" s="21" t="n">
        <v>0.02602035485724445</v>
      </c>
      <c r="D354" s="21" t="n">
        <v>0.2630468570943506</v>
      </c>
      <c r="E354" s="21" t="n">
        <v>0.3093439977746297</v>
      </c>
      <c r="F354" s="21" t="n">
        <v>0.5698551050355966</v>
      </c>
      <c r="G354" s="21" t="n">
        <v>2.615413628351244</v>
      </c>
      <c r="H354" s="21" t="n">
        <v>0.5186983110260376</v>
      </c>
    </row>
    <row r="355">
      <c r="A355" s="10" t="n">
        <v>0.955</v>
      </c>
      <c r="B355" s="21" t="n">
        <v>0</v>
      </c>
      <c r="C355" s="21" t="n">
        <v>0.01886385972198863</v>
      </c>
      <c r="D355" s="21" t="n">
        <v>0.2277839850018687</v>
      </c>
      <c r="E355" s="21" t="n">
        <v>0.2634364014744366</v>
      </c>
      <c r="F355" s="21" t="n">
        <v>0.4920616869443536</v>
      </c>
      <c r="G355" s="21" t="n">
        <v>2.387129081999594</v>
      </c>
      <c r="H355" s="21" t="n">
        <v>0.4966587407077496</v>
      </c>
    </row>
    <row r="356">
      <c r="A356" s="10" t="n">
        <v>0.965</v>
      </c>
      <c r="B356" s="21" t="n">
        <v>0</v>
      </c>
      <c r="C356" s="21" t="n">
        <v>0.01473584757374526</v>
      </c>
      <c r="D356" s="21" t="n">
        <v>0.1889068330886457</v>
      </c>
      <c r="E356" s="21" t="n">
        <v>0.2185343073190695</v>
      </c>
      <c r="F356" s="21" t="n">
        <v>0.4052563747659504</v>
      </c>
      <c r="G356" s="21" t="n">
        <v>1.949383913075404</v>
      </c>
      <c r="H356" s="21" t="n">
        <v>0.4538624796461187</v>
      </c>
    </row>
    <row r="357">
      <c r="A357" s="10" t="n">
        <v>0.975</v>
      </c>
      <c r="B357" s="21" t="n">
        <v>0</v>
      </c>
      <c r="C357" s="21" t="n">
        <v>0.005726634927360963</v>
      </c>
      <c r="D357" s="21" t="n">
        <v>0.1278670108081621</v>
      </c>
      <c r="E357" s="21" t="n">
        <v>0.137726055343484</v>
      </c>
      <c r="F357" s="21" t="n">
        <v>0.2662481530975017</v>
      </c>
      <c r="G357" s="21" t="n">
        <v>1.719950590063982</v>
      </c>
      <c r="H357" s="21" t="n">
        <v>0.3961298290087071</v>
      </c>
    </row>
    <row r="358">
      <c r="A358" s="10" t="n">
        <v>0.985</v>
      </c>
      <c r="B358" s="21" t="n">
        <v>0</v>
      </c>
      <c r="C358" s="21" t="n">
        <v>0.003744184544121625</v>
      </c>
      <c r="D358" s="21" t="n">
        <v>0.1090302304365585</v>
      </c>
      <c r="E358" s="21" t="n">
        <v>0.1133514836403119</v>
      </c>
      <c r="F358" s="21" t="n">
        <v>0.2212899572243325</v>
      </c>
      <c r="G358" s="21" t="n">
        <v>1.61803695437577</v>
      </c>
      <c r="H358" s="21" t="n">
        <v>0.3653078660686528</v>
      </c>
    </row>
    <row r="359">
      <c r="A359" s="10" t="n">
        <v>0.995</v>
      </c>
      <c r="B359" s="21" t="n">
        <v>0</v>
      </c>
      <c r="C359" s="21" t="n">
        <v>0.003753376272358743</v>
      </c>
      <c r="D359" s="21" t="n">
        <v>0.1093530718213389</v>
      </c>
      <c r="E359" s="21" t="n">
        <v>0.1137242775221933</v>
      </c>
      <c r="F359" s="21" t="n">
        <v>0.2218166075083421</v>
      </c>
      <c r="G359" s="21" t="n">
        <v>1.621727356057167</v>
      </c>
      <c r="H359" s="21" t="n">
        <v>0.3660297036440577</v>
      </c>
    </row>
    <row r="383">
      <c r="A383" s="6" t="inlineStr">
        <is>
          <t>■ 案件ごとのワープ(実位置 → 正準位置)</t>
        </is>
      </c>
    </row>
    <row r="384">
      <c r="A384" s="8" t="inlineStr">
        <is>
          <t>案件ID</t>
        </is>
      </c>
      <c r="B384" s="8" t="inlineStr">
        <is>
          <t>名称</t>
        </is>
      </c>
      <c r="C384" s="8" t="inlineStr">
        <is>
          <t>種別</t>
        </is>
      </c>
      <c r="D384" s="8" t="inlineStr">
        <is>
          <t>期間(月)</t>
        </is>
      </c>
      <c r="E384" s="8" t="inlineStr">
        <is>
          <t>プロトタイプ</t>
        </is>
      </c>
      <c r="F384" s="8" t="inlineStr">
        <is>
          <t>α版</t>
        </is>
      </c>
      <c r="G384" s="8" t="inlineStr">
        <is>
          <t>β版</t>
        </is>
      </c>
      <c r="H384" s="8" t="inlineStr">
        <is>
          <t>マスターアップ</t>
        </is>
      </c>
    </row>
    <row r="385">
      <c r="A385" s="10" t="inlineStr">
        <is>
          <t>PJ-2019-A</t>
        </is>
      </c>
      <c r="B385" s="10" t="inlineStr">
        <is>
          <t>蒼穹のレガリア</t>
        </is>
      </c>
      <c r="C385" s="10" t="inlineStr">
        <is>
          <t>新規タイトル開発</t>
        </is>
      </c>
      <c r="D385" s="10" t="n">
        <v>36</v>
      </c>
      <c r="E385" s="21" t="n">
        <v>0.171</v>
      </c>
      <c r="F385" s="21" t="n">
        <v>0.516</v>
      </c>
      <c r="G385" s="21" t="n">
        <v>0.789</v>
      </c>
      <c r="H385" s="21" t="n">
        <v>0.92</v>
      </c>
    </row>
    <row r="386">
      <c r="A386" s="10" t="inlineStr">
        <is>
          <t>PJ-2020-B</t>
        </is>
      </c>
      <c r="B386" s="10" t="inlineStr">
        <is>
          <t>ブレイブフロンティア外伝(後半集中)</t>
        </is>
      </c>
      <c r="C386" s="10" t="inlineStr">
        <is>
          <t>大型アップデート</t>
        </is>
      </c>
      <c r="D386" s="10" t="n">
        <v>14</v>
      </c>
      <c r="E386" s="21" t="n">
        <v/>
      </c>
      <c r="F386" s="21" t="n">
        <v>0.587</v>
      </c>
      <c r="G386" s="21" t="n">
        <v>0.745</v>
      </c>
      <c r="H386" s="21" t="n">
        <v>0.927</v>
      </c>
    </row>
    <row r="387">
      <c r="A387" s="10" t="inlineStr">
        <is>
          <t>PJ-2020-C</t>
        </is>
      </c>
      <c r="B387" s="10" t="inlineStr">
        <is>
          <t>クロノスギア(二山)</t>
        </is>
      </c>
      <c r="C387" s="10" t="inlineStr">
        <is>
          <t>新規タイトル開発</t>
        </is>
      </c>
      <c r="D387" s="10" t="n">
        <v>30</v>
      </c>
      <c r="E387" s="21" t="n">
        <v>0.217</v>
      </c>
      <c r="F387" s="21" t="n">
        <v>0.499</v>
      </c>
      <c r="G387" s="21" t="n">
        <v>0.645</v>
      </c>
      <c r="H387" s="21" t="n">
        <v>0.907</v>
      </c>
    </row>
    <row r="388">
      <c r="A388" s="10" t="inlineStr">
        <is>
          <t>PJ-2021-D</t>
        </is>
      </c>
      <c r="B388" s="10" t="inlineStr">
        <is>
          <t>蒼穹のレガリア HD Edition(前倒し)</t>
        </is>
      </c>
      <c r="C388" s="10" t="inlineStr">
        <is>
          <t>移植・リマスター</t>
        </is>
      </c>
      <c r="D388" s="10" t="n">
        <v>15</v>
      </c>
      <c r="E388" s="21" t="n">
        <v/>
      </c>
      <c r="F388" s="21" t="n">
        <v>0.576</v>
      </c>
      <c r="G388" s="21" t="n">
        <v>0.791</v>
      </c>
      <c r="H388" s="21" t="n">
        <v>0.919</v>
      </c>
    </row>
    <row r="389">
      <c r="A389" s="10" t="inlineStr">
        <is>
          <t>PJ-2021-E</t>
        </is>
      </c>
      <c r="B389" s="10" t="inlineStr">
        <is>
          <t>シャドウヴェイル</t>
        </is>
      </c>
      <c r="C389" s="10" t="inlineStr">
        <is>
          <t>新規タイトル開発</t>
        </is>
      </c>
      <c r="D389" s="10" t="n">
        <v>36</v>
      </c>
      <c r="E389" s="21" t="n">
        <v>0.271</v>
      </c>
      <c r="F389" s="21" t="n">
        <v>0.418</v>
      </c>
      <c r="G389" s="21" t="n">
        <v>0.727</v>
      </c>
      <c r="H389" s="21" t="n">
        <v>0.888</v>
      </c>
    </row>
    <row r="390">
      <c r="A390" s="10" t="inlineStr">
        <is>
          <t>PJ-2022-F</t>
        </is>
      </c>
      <c r="B390" s="10" t="inlineStr">
        <is>
          <t>ネオンハーツ Season2</t>
        </is>
      </c>
      <c r="C390" s="10" t="inlineStr">
        <is>
          <t>大型アップデート</t>
        </is>
      </c>
      <c r="D390" s="10" t="n">
        <v>18</v>
      </c>
      <c r="E390" s="21" t="n">
        <v/>
      </c>
      <c r="F390" s="21" t="n">
        <v>0.461</v>
      </c>
      <c r="G390" s="21" t="n">
        <v>0.799</v>
      </c>
      <c r="H390" s="21" t="n">
        <v>0.905</v>
      </c>
    </row>
    <row r="391">
      <c r="A391" s="10" t="inlineStr">
        <is>
          <t>PJ-2022-G</t>
        </is>
      </c>
      <c r="B391" s="10" t="inlineStr">
        <is>
          <t>ギルドマスターズ(前倒し)</t>
        </is>
      </c>
      <c r="C391" s="10" t="inlineStr">
        <is>
          <t>新規タイトル開発</t>
        </is>
      </c>
      <c r="D391" s="10" t="n">
        <v>24</v>
      </c>
      <c r="E391" s="21" t="n">
        <v>0.217</v>
      </c>
      <c r="F391" s="21" t="n">
        <v>0.46</v>
      </c>
      <c r="G391" s="21" t="n">
        <v>0.739</v>
      </c>
      <c r="H391" s="21" t="n">
        <v>0.931</v>
      </c>
    </row>
    <row r="392">
      <c r="A392" s="10" t="inlineStr">
        <is>
          <t>PJ-2023-H</t>
        </is>
      </c>
      <c r="B392" s="10" t="inlineStr">
        <is>
          <t>クロノスギア:蒼き遺産</t>
        </is>
      </c>
      <c r="C392" s="10" t="inlineStr">
        <is>
          <t>大型アップデート</t>
        </is>
      </c>
      <c r="D392" s="10" t="n">
        <v>20</v>
      </c>
      <c r="E392" s="21" t="n">
        <v/>
      </c>
      <c r="F392" s="21" t="n">
        <v>0.436</v>
      </c>
      <c r="G392" s="21" t="n">
        <v>0.793</v>
      </c>
      <c r="H392" s="21" t="n">
        <v>0.949</v>
      </c>
    </row>
    <row r="393">
      <c r="A393" s="10" t="inlineStr">
        <is>
          <t>PJ-2023-I</t>
        </is>
      </c>
      <c r="B393" s="10" t="inlineStr">
        <is>
          <t>ブレイブフロンティア Remaster</t>
        </is>
      </c>
      <c r="C393" s="10" t="inlineStr">
        <is>
          <t>移植・リマスター</t>
        </is>
      </c>
      <c r="D393" s="10" t="n">
        <v>18</v>
      </c>
      <c r="E393" s="21" t="n">
        <v/>
      </c>
      <c r="F393" s="21" t="n">
        <v>0.494</v>
      </c>
      <c r="G393" s="21" t="n">
        <v>0.667</v>
      </c>
      <c r="H393" s="21" t="n">
        <v>0.931</v>
      </c>
    </row>
    <row r="394">
      <c r="A394" s="10" t="inlineStr">
        <is>
          <t>PJ-2024-J</t>
        </is>
      </c>
      <c r="B394" s="10" t="inlineStr">
        <is>
          <t>オーヴァーロード・サーガ(後半集中)</t>
        </is>
      </c>
      <c r="C394" s="10" t="inlineStr">
        <is>
          <t>新規タイトル開発</t>
        </is>
      </c>
      <c r="D394" s="10" t="n">
        <v>30</v>
      </c>
      <c r="E394" s="21" t="n">
        <v>0.235</v>
      </c>
      <c r="F394" s="21" t="n">
        <v>0.507</v>
      </c>
      <c r="G394" s="21" t="n">
        <v>0.6919999999999999</v>
      </c>
      <c r="H394" s="21" t="n">
        <v>0.929</v>
      </c>
    </row>
    <row r="395">
      <c r="A395" s="10" t="inlineStr">
        <is>
          <t>(正準位置)</t>
        </is>
      </c>
      <c r="B395" s="10" t="inlineStr"/>
      <c r="C395" s="10" t="inlineStr"/>
      <c r="D395" s="10" t="n"/>
      <c r="E395" s="21" t="n"/>
      <c r="F395" s="21" t="n">
        <v>0.495</v>
      </c>
      <c r="G395" s="21" t="n">
        <v>0.739</v>
      </c>
      <c r="H395" s="21" t="n">
        <v>0.921</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K80"/>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5" customWidth="1" min="6" max="6"/>
    <col width="15" customWidth="1" min="7" max="7"/>
    <col width="15" customWidth="1" min="8" max="8"/>
    <col width="15" customWidth="1" min="9" max="9"/>
    <col width="15" customWidth="1" min="10" max="10"/>
    <col width="11" customWidth="1" min="11" max="11"/>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2026-09-03 10:29:48</t>
        </is>
      </c>
    </row>
    <row r="7">
      <c r="A7" s="10" t="inlineStr">
        <is>
          <t>予測対象</t>
        </is>
      </c>
      <c r="B7" s="10" t="inlineStr">
        <is>
          <t>PJ-2026-K  蒼穹のレガリア II</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位置合わせ強度</t>
        </is>
      </c>
      <c r="B14" s="10" t="n">
        <v>1</v>
      </c>
    </row>
    <row r="15">
      <c r="A15" s="10" t="inlineStr">
        <is>
          <t>伸縮率上限</t>
        </is>
      </c>
      <c r="B15" s="10" t="inlineStr">
        <is>
          <t>無制限</t>
        </is>
      </c>
    </row>
    <row r="16">
      <c r="A16" s="10" t="inlineStr">
        <is>
          <t>カーブ復元</t>
        </is>
      </c>
      <c r="B16" s="10" t="inlineStr">
        <is>
          <t>月内均等</t>
        </is>
      </c>
    </row>
    <row r="17">
      <c r="A17" s="10" t="inlineStr">
        <is>
          <t>カーブ解像度</t>
        </is>
      </c>
      <c r="B17" s="10" t="n">
        <v>100</v>
      </c>
    </row>
    <row r="18">
      <c r="A18" s="10" t="inlineStr">
        <is>
          <t>人月換算係数</t>
        </is>
      </c>
      <c r="B18" s="10" t="n">
        <v>160</v>
      </c>
    </row>
    <row r="19">
      <c r="A19" s="10" t="inlineStr">
        <is>
          <t>学習案件数</t>
        </is>
      </c>
      <c r="B19" s="10" t="n">
        <v>10</v>
      </c>
    </row>
    <row r="20">
      <c r="A20" s="10" t="inlineStr">
        <is>
          <t>総量の根拠</t>
        </is>
      </c>
      <c r="B20" s="10" t="inlineStr">
        <is>
          <t>契約人月 + 学習比率</t>
        </is>
      </c>
    </row>
    <row r="21">
      <c r="A21" s="10" t="inlineStr">
        <is>
          <t>予測した行程グループ</t>
        </is>
      </c>
      <c r="B21" s="10" t="inlineStr">
        <is>
          <t>企画・プリプロ, ゲームデザイン・シナリオ, プログラム, アート, サウンド, QA・デバッグ, PM・運営</t>
        </is>
      </c>
    </row>
    <row r="22">
      <c r="A22" s="10" t="inlineStr">
        <is>
          <t>除外した行程グループ</t>
        </is>
      </c>
      <c r="B22" s="10" t="inlineStr">
        <is>
          <t>(なし)</t>
        </is>
      </c>
    </row>
    <row r="23">
      <c r="A23" s="10" t="inlineStr">
        <is>
          <t>実装範囲</t>
        </is>
      </c>
      <c r="B23" s="10" t="inlineStr">
        <is>
          <t>実装順序 1〜2(素朴版 + マイルストーン位置合わせ) + 見積もりによる総量指定</t>
        </is>
      </c>
    </row>
    <row r="24">
      <c r="A24" s="10" t="inlineStr">
        <is>
          <t>未使用パラメータ</t>
        </is>
      </c>
      <c r="B24" s="10" t="inlineStr">
        <is>
          <t>k=3.0, タグ重み係数=0.5 (実装順序 3・4 で使用予定)</t>
        </is>
      </c>
    </row>
    <row r="26">
      <c r="A26" s="6" t="inlineStr">
        <is>
          <t>■ 人月換算</t>
        </is>
      </c>
    </row>
    <row r="27">
      <c r="A27" s="2" t="inlineStr">
        <is>
          <t>換算係数</t>
        </is>
      </c>
      <c r="B27" s="4" t="n">
        <v>160</v>
      </c>
      <c r="C27" s="2" t="inlineStr">
        <is>
          <t>時間 / 人月</t>
        </is>
      </c>
    </row>
    <row r="28">
      <c r="A28" s="5" t="inlineStr">
        <is>
          <t>人月の定義は組織によって揺れる。この係数を明記しないまま数字が独り歩きすると議論が噛み合わなくなる(設計書 4-3)。</t>
        </is>
      </c>
    </row>
    <row r="30">
      <c r="A30" s="6" t="inlineStr">
        <is>
          <t>■ 学習に使用した案件と重み</t>
        </is>
      </c>
    </row>
    <row r="31">
      <c r="A31" s="5" t="inlineStr">
        <is>
          <t>第1版(素朴版+位置合わせ)では全案件の重みを 1.0 で固定している。種別・タグによる重み付けは実装順序 3・4 で導入する。</t>
        </is>
      </c>
    </row>
    <row r="32">
      <c r="A32" s="8" t="inlineStr">
        <is>
          <t>案件ID</t>
        </is>
      </c>
      <c r="B32" s="8" t="inlineStr">
        <is>
          <t>名称</t>
        </is>
      </c>
      <c r="C32" s="8" t="inlineStr">
        <is>
          <t>種別</t>
        </is>
      </c>
      <c r="D32" s="8" t="inlineStr">
        <is>
          <t>重み</t>
        </is>
      </c>
      <c r="E32" s="8" t="inlineStr">
        <is>
          <t>契約人月</t>
        </is>
      </c>
      <c r="F32" s="8" t="inlineStr">
        <is>
          <t>実績人月</t>
        </is>
      </c>
      <c r="G32" s="8" t="inlineStr">
        <is>
          <t>乖離率(%)</t>
        </is>
      </c>
      <c r="H32" s="8" t="inlineStr">
        <is>
          <t>期間(月)</t>
        </is>
      </c>
      <c r="I32" s="8" t="inlineStr">
        <is>
          <t>マイルストーン数</t>
        </is>
      </c>
    </row>
    <row r="33">
      <c r="A33" s="10" t="inlineStr">
        <is>
          <t>PJ-2019-A</t>
        </is>
      </c>
      <c r="B33" s="10" t="inlineStr">
        <is>
          <t>蒼穹のレガリア</t>
        </is>
      </c>
      <c r="C33" s="10" t="inlineStr">
        <is>
          <t>新規タイトル開発</t>
        </is>
      </c>
      <c r="D33" s="22" t="n">
        <v>1</v>
      </c>
      <c r="E33" s="12" t="n">
        <v>2400</v>
      </c>
      <c r="F33" s="12" t="n">
        <v>2372.3</v>
      </c>
      <c r="G33" s="10" t="n">
        <v>-1.2</v>
      </c>
      <c r="H33" s="10" t="n">
        <v>36</v>
      </c>
      <c r="I33" s="10" t="n">
        <v>4</v>
      </c>
    </row>
    <row r="34">
      <c r="A34" s="10" t="inlineStr">
        <is>
          <t>PJ-2020-B</t>
        </is>
      </c>
      <c r="B34" s="10" t="inlineStr">
        <is>
          <t>ブレイブフロンティア外伝(後半集中)</t>
        </is>
      </c>
      <c r="C34" s="10" t="inlineStr">
        <is>
          <t>大型アップデート</t>
        </is>
      </c>
      <c r="D34" s="22" t="n">
        <v>1</v>
      </c>
      <c r="E34" s="12" t="n">
        <v>620</v>
      </c>
      <c r="F34" s="12" t="n">
        <v>625.1</v>
      </c>
      <c r="G34" s="10" t="n">
        <v>0.8</v>
      </c>
      <c r="H34" s="10" t="n">
        <v>14</v>
      </c>
      <c r="I34" s="10" t="n">
        <v>3</v>
      </c>
    </row>
    <row r="35">
      <c r="A35" s="10" t="inlineStr">
        <is>
          <t>PJ-2020-C</t>
        </is>
      </c>
      <c r="B35" s="10" t="inlineStr">
        <is>
          <t>クロノスギア(二山)</t>
        </is>
      </c>
      <c r="C35" s="10" t="inlineStr">
        <is>
          <t>新規タイトル開発</t>
        </is>
      </c>
      <c r="D35" s="22" t="n">
        <v>1</v>
      </c>
      <c r="E35" s="12" t="n">
        <v>1800</v>
      </c>
      <c r="F35" s="12" t="n">
        <v>1806.5</v>
      </c>
      <c r="G35" s="10" t="n">
        <v>0.4</v>
      </c>
      <c r="H35" s="10" t="n">
        <v>30</v>
      </c>
      <c r="I35" s="10" t="n">
        <v>4</v>
      </c>
    </row>
    <row r="36">
      <c r="A36" s="10" t="inlineStr">
        <is>
          <t>PJ-2021-D</t>
        </is>
      </c>
      <c r="B36" s="10" t="inlineStr">
        <is>
          <t>蒼穹のレガリア HD Edition(前倒し)</t>
        </is>
      </c>
      <c r="C36" s="10" t="inlineStr">
        <is>
          <t>移植・リマスター</t>
        </is>
      </c>
      <c r="D36" s="22" t="n">
        <v>1</v>
      </c>
      <c r="E36" s="12" t="n">
        <v>520</v>
      </c>
      <c r="F36" s="12" t="n">
        <v>518.2</v>
      </c>
      <c r="G36" s="10" t="n">
        <v>-0.3</v>
      </c>
      <c r="H36" s="10" t="n">
        <v>15</v>
      </c>
      <c r="I36" s="10" t="n">
        <v>3</v>
      </c>
    </row>
    <row r="37">
      <c r="A37" s="10" t="inlineStr">
        <is>
          <t>PJ-2021-E</t>
        </is>
      </c>
      <c r="B37" s="10" t="inlineStr">
        <is>
          <t>シャドウヴェイル</t>
        </is>
      </c>
      <c r="C37" s="10" t="inlineStr">
        <is>
          <t>新規タイトル開発</t>
        </is>
      </c>
      <c r="D37" s="22" t="n">
        <v>1</v>
      </c>
      <c r="E37" s="12" t="n">
        <v>2950</v>
      </c>
      <c r="F37" s="12" t="n">
        <v>3013.4</v>
      </c>
      <c r="G37" s="10" t="n">
        <v>2.2</v>
      </c>
      <c r="H37" s="10" t="n">
        <v>36</v>
      </c>
      <c r="I37" s="10" t="n">
        <v>4</v>
      </c>
    </row>
    <row r="38">
      <c r="A38" s="10" t="inlineStr">
        <is>
          <t>PJ-2022-F</t>
        </is>
      </c>
      <c r="B38" s="10" t="inlineStr">
        <is>
          <t>ネオンハーツ Season2</t>
        </is>
      </c>
      <c r="C38" s="10" t="inlineStr">
        <is>
          <t>大型アップデート</t>
        </is>
      </c>
      <c r="D38" s="22" t="n">
        <v>1</v>
      </c>
      <c r="E38" s="12" t="n">
        <v>880</v>
      </c>
      <c r="F38" s="12" t="n">
        <v>881.8</v>
      </c>
      <c r="G38" s="10" t="n">
        <v>0.2</v>
      </c>
      <c r="H38" s="10" t="n">
        <v>18</v>
      </c>
      <c r="I38" s="10" t="n">
        <v>3</v>
      </c>
    </row>
    <row r="39">
      <c r="A39" s="10" t="inlineStr">
        <is>
          <t>PJ-2022-G</t>
        </is>
      </c>
      <c r="B39" s="10" t="inlineStr">
        <is>
          <t>ギルドマスターズ(前倒し)</t>
        </is>
      </c>
      <c r="C39" s="10" t="inlineStr">
        <is>
          <t>新規タイトル開発</t>
        </is>
      </c>
      <c r="D39" s="22" t="n">
        <v>1</v>
      </c>
      <c r="E39" s="12" t="n">
        <v>1450</v>
      </c>
      <c r="F39" s="12" t="n">
        <v>1461</v>
      </c>
      <c r="G39" s="10" t="n">
        <v>0.8</v>
      </c>
      <c r="H39" s="10" t="n">
        <v>24</v>
      </c>
      <c r="I39" s="10" t="n">
        <v>4</v>
      </c>
    </row>
    <row r="40">
      <c r="A40" s="10" t="inlineStr">
        <is>
          <t>PJ-2023-H</t>
        </is>
      </c>
      <c r="B40" s="10" t="inlineStr">
        <is>
          <t>クロノスギア:蒼き遺産</t>
        </is>
      </c>
      <c r="C40" s="10" t="inlineStr">
        <is>
          <t>大型アップデート</t>
        </is>
      </c>
      <c r="D40" s="22" t="n">
        <v>1</v>
      </c>
      <c r="E40" s="12" t="n">
        <v>1100</v>
      </c>
      <c r="F40" s="12" t="n">
        <v>1104.9</v>
      </c>
      <c r="G40" s="10" t="n">
        <v>0.4</v>
      </c>
      <c r="H40" s="10" t="n">
        <v>20</v>
      </c>
      <c r="I40" s="10" t="n">
        <v>3</v>
      </c>
    </row>
    <row r="41">
      <c r="A41" s="10" t="inlineStr">
        <is>
          <t>PJ-2023-I</t>
        </is>
      </c>
      <c r="B41" s="10" t="inlineStr">
        <is>
          <t>ブレイブフロンティア Remaster</t>
        </is>
      </c>
      <c r="C41" s="10" t="inlineStr">
        <is>
          <t>移植・リマスター</t>
        </is>
      </c>
      <c r="D41" s="22" t="n">
        <v>1</v>
      </c>
      <c r="E41" s="12" t="n">
        <v>700</v>
      </c>
      <c r="F41" s="12" t="n">
        <v>709.7</v>
      </c>
      <c r="G41" s="10" t="n">
        <v>1.4</v>
      </c>
      <c r="H41" s="10" t="n">
        <v>18</v>
      </c>
      <c r="I41" s="10" t="n">
        <v>3</v>
      </c>
    </row>
    <row r="42">
      <c r="A42" s="10" t="inlineStr">
        <is>
          <t>PJ-2024-J</t>
        </is>
      </c>
      <c r="B42" s="10" t="inlineStr">
        <is>
          <t>オーヴァーロード・サーガ(後半集中)</t>
        </is>
      </c>
      <c r="C42" s="10" t="inlineStr">
        <is>
          <t>新規タイトル開発</t>
        </is>
      </c>
      <c r="D42" s="22" t="n">
        <v>1</v>
      </c>
      <c r="E42" s="12" t="n">
        <v>2200</v>
      </c>
      <c r="F42" s="12" t="n">
        <v>2162.6</v>
      </c>
      <c r="G42" s="10" t="n">
        <v>-1.7</v>
      </c>
      <c r="H42" s="10" t="n">
        <v>30</v>
      </c>
      <c r="I42" s="10" t="n">
        <v>4</v>
      </c>
    </row>
    <row r="44">
      <c r="A44" s="6" t="inlineStr">
        <is>
          <t>■ 案件別 × 行程グループ 実績工数(人月)</t>
        </is>
      </c>
    </row>
    <row r="45">
      <c r="A45" s="5" t="inlineStr">
        <is>
          <t>予測と同じ集計(phase_map に載る行程・契約期間内)での実績合計。0 はその案件がその業務を行っていないことを示す。最下行は全案件の合計で、その構成比が学習値そのものではない点に注意(学習は案件ごとの構成比を平均するため、規模の大きい案件に引っ張られない)。</t>
        </is>
      </c>
    </row>
    <row r="47">
      <c r="A47" s="8" t="inlineStr">
        <is>
          <t>案件ID</t>
        </is>
      </c>
      <c r="B47" s="8" t="inlineStr">
        <is>
          <t>名称</t>
        </is>
      </c>
      <c r="C47" s="8" t="inlineStr">
        <is>
          <t>期間(月)</t>
        </is>
      </c>
      <c r="D47" s="8" t="inlineStr">
        <is>
          <t>企画・プリプロ</t>
        </is>
      </c>
      <c r="E47" s="8" t="inlineStr">
        <is>
          <t>ゲームデザイン・シナリオ</t>
        </is>
      </c>
      <c r="F47" s="8" t="inlineStr">
        <is>
          <t>プログラム</t>
        </is>
      </c>
      <c r="G47" s="8" t="inlineStr">
        <is>
          <t>アート</t>
        </is>
      </c>
      <c r="H47" s="8" t="inlineStr">
        <is>
          <t>サウンド</t>
        </is>
      </c>
      <c r="I47" s="8" t="inlineStr">
        <is>
          <t>QA・デバッグ</t>
        </is>
      </c>
      <c r="J47" s="8" t="inlineStr">
        <is>
          <t>PM・運営</t>
        </is>
      </c>
      <c r="K47" s="8" t="inlineStr">
        <is>
          <t>合計</t>
        </is>
      </c>
    </row>
    <row r="48">
      <c r="A48" s="10" t="inlineStr">
        <is>
          <t>PJ-2019-A</t>
        </is>
      </c>
      <c r="B48" s="10" t="inlineStr">
        <is>
          <t>蒼穹のレガリア</t>
        </is>
      </c>
      <c r="C48" s="10" t="n">
        <v>36</v>
      </c>
      <c r="D48" s="19" t="n">
        <v>185</v>
      </c>
      <c r="E48" s="19" t="n">
        <v>297.4</v>
      </c>
      <c r="F48" s="19" t="n">
        <v>589.6</v>
      </c>
      <c r="G48" s="19" t="n">
        <v>772.4</v>
      </c>
      <c r="H48" s="19" t="n">
        <v>119.1</v>
      </c>
      <c r="I48" s="19" t="n">
        <v>272.4</v>
      </c>
      <c r="J48" s="19" t="n">
        <v>136.4</v>
      </c>
      <c r="K48" s="19" t="n">
        <v>2372.3</v>
      </c>
    </row>
    <row r="49">
      <c r="A49" s="10" t="inlineStr">
        <is>
          <t>PJ-2020-B</t>
        </is>
      </c>
      <c r="B49" s="10" t="inlineStr">
        <is>
          <t>ブレイブフロンティア外伝(後半集中)</t>
        </is>
      </c>
      <c r="C49" s="10" t="n">
        <v>14</v>
      </c>
      <c r="D49" s="19" t="n">
        <v>40.2</v>
      </c>
      <c r="E49" s="19" t="n">
        <v>85.5</v>
      </c>
      <c r="F49" s="19" t="n">
        <v>145.7</v>
      </c>
      <c r="G49" s="19" t="n">
        <v>202.1</v>
      </c>
      <c r="H49" s="19" t="n">
        <v>25.6</v>
      </c>
      <c r="I49" s="19" t="n">
        <v>87.59999999999999</v>
      </c>
      <c r="J49" s="19" t="n">
        <v>38.5</v>
      </c>
      <c r="K49" s="19" t="n">
        <v>625.1</v>
      </c>
    </row>
    <row r="50">
      <c r="A50" s="10" t="inlineStr">
        <is>
          <t>PJ-2020-C</t>
        </is>
      </c>
      <c r="B50" s="10" t="inlineStr">
        <is>
          <t>クロノスギア(二山)</t>
        </is>
      </c>
      <c r="C50" s="10" t="n">
        <v>30</v>
      </c>
      <c r="D50" s="19" t="n">
        <v>141.4</v>
      </c>
      <c r="E50" s="19" t="n">
        <v>217.4</v>
      </c>
      <c r="F50" s="19" t="n">
        <v>502.4</v>
      </c>
      <c r="G50" s="19" t="n">
        <v>524.6</v>
      </c>
      <c r="H50" s="19" t="n">
        <v>87.40000000000001</v>
      </c>
      <c r="I50" s="19" t="n">
        <v>225.2</v>
      </c>
      <c r="J50" s="19" t="n">
        <v>108.2</v>
      </c>
      <c r="K50" s="19" t="n">
        <v>1806.5</v>
      </c>
    </row>
    <row r="51">
      <c r="A51" s="10" t="inlineStr">
        <is>
          <t>PJ-2021-D</t>
        </is>
      </c>
      <c r="B51" s="10" t="inlineStr">
        <is>
          <t>蒼穹のレガリア HD Edition(前倒し)</t>
        </is>
      </c>
      <c r="C51" s="10" t="n">
        <v>15</v>
      </c>
      <c r="D51" s="19" t="n">
        <v>19.6</v>
      </c>
      <c r="E51" s="19" t="n">
        <v>24.2</v>
      </c>
      <c r="F51" s="19" t="n">
        <v>211.1</v>
      </c>
      <c r="G51" s="19" t="n">
        <v>127.2</v>
      </c>
      <c r="H51" s="19" t="n">
        <v>14</v>
      </c>
      <c r="I51" s="19" t="n">
        <v>93.2</v>
      </c>
      <c r="J51" s="19" t="n">
        <v>28.8</v>
      </c>
      <c r="K51" s="19" t="n">
        <v>518.2</v>
      </c>
    </row>
    <row r="52">
      <c r="A52" s="10" t="inlineStr">
        <is>
          <t>PJ-2021-E</t>
        </is>
      </c>
      <c r="B52" s="10" t="inlineStr">
        <is>
          <t>シャドウヴェイル</t>
        </is>
      </c>
      <c r="C52" s="10" t="n">
        <v>36</v>
      </c>
      <c r="D52" s="19" t="n">
        <v>251</v>
      </c>
      <c r="E52" s="19" t="n">
        <v>373</v>
      </c>
      <c r="F52" s="19" t="n">
        <v>795.5</v>
      </c>
      <c r="G52" s="19" t="n">
        <v>930.9</v>
      </c>
      <c r="H52" s="19" t="n">
        <v>147.4</v>
      </c>
      <c r="I52" s="19" t="n">
        <v>346.7</v>
      </c>
      <c r="J52" s="19" t="n">
        <v>168.9</v>
      </c>
      <c r="K52" s="19" t="n">
        <v>3013.4</v>
      </c>
    </row>
    <row r="53">
      <c r="A53" s="10" t="inlineStr">
        <is>
          <t>PJ-2022-F</t>
        </is>
      </c>
      <c r="B53" s="10" t="inlineStr">
        <is>
          <t>ネオンハーツ Season2</t>
        </is>
      </c>
      <c r="C53" s="10" t="n">
        <v>18</v>
      </c>
      <c r="D53" s="19" t="n">
        <v>51.8</v>
      </c>
      <c r="E53" s="19" t="n">
        <v>129.1</v>
      </c>
      <c r="F53" s="19" t="n">
        <v>204.3</v>
      </c>
      <c r="G53" s="19" t="n">
        <v>286.5</v>
      </c>
      <c r="H53" s="19" t="n">
        <v>37.3</v>
      </c>
      <c r="I53" s="19" t="n">
        <v>124.6</v>
      </c>
      <c r="J53" s="19" t="n">
        <v>48.2</v>
      </c>
      <c r="K53" s="19" t="n">
        <v>881.8</v>
      </c>
    </row>
    <row r="54">
      <c r="A54" s="10" t="inlineStr">
        <is>
          <t>PJ-2022-G</t>
        </is>
      </c>
      <c r="B54" s="10" t="inlineStr">
        <is>
          <t>ギルドマスターズ(前倒し)</t>
        </is>
      </c>
      <c r="C54" s="10" t="n">
        <v>24</v>
      </c>
      <c r="D54" s="19" t="n">
        <v>123.2</v>
      </c>
      <c r="E54" s="19" t="n">
        <v>170</v>
      </c>
      <c r="F54" s="19" t="n">
        <v>392.3</v>
      </c>
      <c r="G54" s="19" t="n">
        <v>446</v>
      </c>
      <c r="H54" s="19" t="n">
        <v>71.7</v>
      </c>
      <c r="I54" s="19" t="n">
        <v>171.6</v>
      </c>
      <c r="J54" s="19" t="n">
        <v>86.40000000000001</v>
      </c>
      <c r="K54" s="19" t="n">
        <v>1461</v>
      </c>
    </row>
    <row r="55">
      <c r="A55" s="10" t="inlineStr">
        <is>
          <t>PJ-2023-H</t>
        </is>
      </c>
      <c r="B55" s="10" t="inlineStr">
        <is>
          <t>クロノスギア:蒼き遺産</t>
        </is>
      </c>
      <c r="C55" s="10" t="n">
        <v>20</v>
      </c>
      <c r="D55" s="19" t="n">
        <v>61.4</v>
      </c>
      <c r="E55" s="19" t="n">
        <v>155.3</v>
      </c>
      <c r="F55" s="19" t="n">
        <v>260.3</v>
      </c>
      <c r="G55" s="19" t="n">
        <v>371</v>
      </c>
      <c r="H55" s="19" t="n">
        <v>40.6</v>
      </c>
      <c r="I55" s="19" t="n">
        <v>150.1</v>
      </c>
      <c r="J55" s="19" t="n">
        <v>66.3</v>
      </c>
      <c r="K55" s="19" t="n">
        <v>1104.9</v>
      </c>
    </row>
    <row r="56">
      <c r="A56" s="10" t="inlineStr">
        <is>
          <t>PJ-2023-I</t>
        </is>
      </c>
      <c r="B56" s="10" t="inlineStr">
        <is>
          <t>ブレイブフロンティア Remaster</t>
        </is>
      </c>
      <c r="C56" s="10" t="n">
        <v>18</v>
      </c>
      <c r="D56" s="19" t="n">
        <v>29.2</v>
      </c>
      <c r="E56" s="19" t="n">
        <v>34.4</v>
      </c>
      <c r="F56" s="19" t="n">
        <v>308.5</v>
      </c>
      <c r="G56" s="19" t="n">
        <v>171.1</v>
      </c>
      <c r="H56" s="19" t="n">
        <v>20.9</v>
      </c>
      <c r="I56" s="19" t="n">
        <v>106.1</v>
      </c>
      <c r="J56" s="19" t="n">
        <v>39.5</v>
      </c>
      <c r="K56" s="19" t="n">
        <v>709.7</v>
      </c>
    </row>
    <row r="57">
      <c r="A57" s="10" t="inlineStr">
        <is>
          <t>PJ-2024-J</t>
        </is>
      </c>
      <c r="B57" s="10" t="inlineStr">
        <is>
          <t>オーヴァーロード・サーガ(後半集中)</t>
        </is>
      </c>
      <c r="C57" s="10" t="n">
        <v>30</v>
      </c>
      <c r="D57" s="19" t="n">
        <v>153.8</v>
      </c>
      <c r="E57" s="19" t="n">
        <v>254</v>
      </c>
      <c r="F57" s="19" t="n">
        <v>600.1</v>
      </c>
      <c r="G57" s="19" t="n">
        <v>658.4</v>
      </c>
      <c r="H57" s="19" t="n">
        <v>122.6</v>
      </c>
      <c r="I57" s="19" t="n">
        <v>234.8</v>
      </c>
      <c r="J57" s="19" t="n">
        <v>138.9</v>
      </c>
      <c r="K57" s="19" t="n">
        <v>2162.6</v>
      </c>
    </row>
    <row r="58">
      <c r="A58" s="10" t="inlineStr">
        <is>
          <t>合計</t>
        </is>
      </c>
      <c r="B58" s="10" t="inlineStr"/>
      <c r="C58" s="10" t="n"/>
      <c r="D58" s="19" t="n">
        <v>1056.6</v>
      </c>
      <c r="E58" s="19" t="n">
        <v>1740.3</v>
      </c>
      <c r="F58" s="19" t="n">
        <v>4009.8</v>
      </c>
      <c r="G58" s="19" t="n">
        <v>4490.2</v>
      </c>
      <c r="H58" s="19" t="n">
        <v>686.6</v>
      </c>
      <c r="I58" s="19" t="n">
        <v>1812.3</v>
      </c>
      <c r="J58" s="19" t="n">
        <v>860.1</v>
      </c>
      <c r="K58" s="19" t="n">
        <v>14655.5</v>
      </c>
    </row>
    <row r="59">
      <c r="A59" s="10" t="inlineStr">
        <is>
          <t>構成比</t>
        </is>
      </c>
      <c r="B59" s="10" t="inlineStr">
        <is>
          <t>(全案件の単純合計)</t>
        </is>
      </c>
      <c r="C59" s="10" t="n"/>
      <c r="D59" s="17" t="n">
        <v>0.0721</v>
      </c>
      <c r="E59" s="17" t="n">
        <v>0.1187</v>
      </c>
      <c r="F59" s="17" t="n">
        <v>0.2736</v>
      </c>
      <c r="G59" s="17" t="n">
        <v>0.3064</v>
      </c>
      <c r="H59" s="17" t="n">
        <v>0.0468</v>
      </c>
      <c r="I59" s="17" t="n">
        <v>0.1237</v>
      </c>
      <c r="J59" s="17" t="n">
        <v>0.0587</v>
      </c>
      <c r="K59" s="17" t="n">
        <v>1</v>
      </c>
    </row>
    <row r="61">
      <c r="A61" s="6" t="inlineStr">
        <is>
          <t>■ マイルストーン位置分布(学習値)</t>
        </is>
      </c>
    </row>
    <row r="62">
      <c r="A62" s="8" t="inlineStr">
        <is>
          <t>マイルストーン名</t>
        </is>
      </c>
      <c r="B62" s="8" t="inlineStr">
        <is>
          <t>平均位置</t>
        </is>
      </c>
      <c r="C62" s="8" t="inlineStr">
        <is>
          <t>標準偏差</t>
        </is>
      </c>
      <c r="D62" s="8" t="inlineStr">
        <is>
          <t>件数</t>
        </is>
      </c>
      <c r="E62" s="8" t="inlineStr">
        <is>
          <t>背骨</t>
        </is>
      </c>
    </row>
    <row r="63">
      <c r="A63" s="10" t="inlineStr">
        <is>
          <t>プロトタイプ</t>
        </is>
      </c>
      <c r="B63" s="21" t="n">
        <v>0.2221532959371338</v>
      </c>
      <c r="C63" s="21" t="n">
        <v>0.03637563642833318</v>
      </c>
      <c r="D63" s="10" t="n">
        <v>5</v>
      </c>
      <c r="E63" s="10" t="inlineStr"/>
    </row>
    <row r="64">
      <c r="A64" s="10" t="inlineStr">
        <is>
          <t>α版</t>
        </is>
      </c>
      <c r="B64" s="21" t="n">
        <v>0.4953098864353987</v>
      </c>
      <c r="C64" s="21" t="n">
        <v>0.05533379643187637</v>
      </c>
      <c r="D64" s="10" t="n">
        <v>10</v>
      </c>
      <c r="E64" s="10" t="inlineStr">
        <is>
          <t>○</t>
        </is>
      </c>
    </row>
    <row r="65">
      <c r="A65" s="10" t="inlineStr">
        <is>
          <t>β版</t>
        </is>
      </c>
      <c r="B65" s="21" t="n">
        <v>0.7386599587169929</v>
      </c>
      <c r="C65" s="21" t="n">
        <v>0.05597108196235069</v>
      </c>
      <c r="D65" s="10" t="n">
        <v>10</v>
      </c>
      <c r="E65" s="10" t="inlineStr">
        <is>
          <t>○</t>
        </is>
      </c>
    </row>
    <row r="66">
      <c r="A66" s="10" t="inlineStr">
        <is>
          <t>マスターアップ</t>
        </is>
      </c>
      <c r="B66" s="21" t="n">
        <v>0.9205380919958953</v>
      </c>
      <c r="C66" s="21" t="n">
        <v>0.01700127379121672</v>
      </c>
      <c r="D66" s="10" t="n">
        <v>10</v>
      </c>
      <c r="E66" s="10" t="inlineStr">
        <is>
          <t>○</t>
        </is>
      </c>
    </row>
    <row r="68">
      <c r="A68" s="6" t="inlineStr">
        <is>
          <t>■ 行程グループ別 工数比率(学習値)</t>
        </is>
      </c>
    </row>
    <row r="69">
      <c r="A69"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70">
      <c r="A70" s="8" t="inlineStr">
        <is>
          <t>行程グループ</t>
        </is>
      </c>
      <c r="B70" s="8" t="inlineStr">
        <is>
          <t>比率</t>
        </is>
      </c>
      <c r="C70" s="8" t="inlineStr">
        <is>
          <t>件数</t>
        </is>
      </c>
    </row>
    <row r="71">
      <c r="A71" s="10" t="inlineStr">
        <is>
          <t>企画・プリプロ</t>
        </is>
      </c>
      <c r="B71" s="13" t="n">
        <v>0.06524885174932314</v>
      </c>
      <c r="C71" s="11" t="n">
        <v>10</v>
      </c>
    </row>
    <row r="72">
      <c r="A72" s="10" t="inlineStr">
        <is>
          <t>ゲームデザイン・シナリオ</t>
        </is>
      </c>
      <c r="B72" s="13" t="n">
        <v>0.1122043113713705</v>
      </c>
      <c r="C72" s="11" t="n">
        <v>10</v>
      </c>
    </row>
    <row r="73">
      <c r="A73" s="10" t="inlineStr">
        <is>
          <t>プログラム</t>
        </is>
      </c>
      <c r="B73" s="13" t="n">
        <v>0.2879091969215787</v>
      </c>
      <c r="C73" s="11" t="n">
        <v>10</v>
      </c>
    </row>
    <row r="74">
      <c r="A74" s="10" t="inlineStr">
        <is>
          <t>アート</t>
        </is>
      </c>
      <c r="B74" s="13" t="n">
        <v>0.3005002389104883</v>
      </c>
      <c r="C74" s="11" t="n">
        <v>10</v>
      </c>
    </row>
    <row r="75">
      <c r="A75" s="10" t="inlineStr">
        <is>
          <t>サウンド</t>
        </is>
      </c>
      <c r="B75" s="13" t="n">
        <v>0.04298558319794448</v>
      </c>
      <c r="C75" s="11" t="n">
        <v>10</v>
      </c>
    </row>
    <row r="76">
      <c r="A76" s="10" t="inlineStr">
        <is>
          <t>QA・デバッグ</t>
        </is>
      </c>
      <c r="B76" s="13" t="n">
        <v>0.1327188838365589</v>
      </c>
      <c r="C76" s="11" t="n">
        <v>10</v>
      </c>
    </row>
    <row r="77">
      <c r="A77" s="10" t="inlineStr">
        <is>
          <t>PM・運営</t>
        </is>
      </c>
      <c r="B77" s="13" t="n">
        <v>0.05843293401273604</v>
      </c>
      <c r="C77" s="11" t="n">
        <v>10</v>
      </c>
    </row>
    <row r="79">
      <c r="A79" s="6" t="inlineStr">
        <is>
          <t>■ 警告</t>
        </is>
      </c>
    </row>
    <row r="80">
      <c r="A80" s="23" t="inlineStr">
        <is>
          <t>⚠ マイルストーン「プロトタイプ」はカバー率 5/10 が閾値 60% 未満のため位置合わせには使っていない。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2026-09-03T10:29:48Z</dcterms:created>
  <dcterms:modified xsi:type="dcterms:W3CDTF">2026-09-03T10:29:48Z</dcterms:modified>
</cp:coreProperties>
</file>