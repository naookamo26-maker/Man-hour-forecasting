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21:06</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0.3578</v>
      </c>
      <c r="D8" s="21" t="n">
        <v>0.6329</v>
      </c>
      <c r="E8" s="21" t="n">
        <v>0.447</v>
      </c>
      <c r="F8" s="21" t="n">
        <v>0.1362</v>
      </c>
      <c r="G8" s="22" t="n">
        <v>3.7</v>
      </c>
      <c r="H8" s="13" t="n">
        <v>-0.0179</v>
      </c>
    </row>
    <row r="9">
      <c r="A9" s="10" t="inlineStr">
        <is>
          <t>位置合わせ(MS指定)／月内均等</t>
        </is>
      </c>
      <c r="B9" s="10" t="n">
        <v>10</v>
      </c>
      <c r="C9" s="21" t="n">
        <v>0.2866</v>
      </c>
      <c r="D9" s="21" t="n">
        <v>0.4797</v>
      </c>
      <c r="E9" s="21" t="n">
        <v>0.387</v>
      </c>
      <c r="F9" s="21" t="n">
        <v>0.1151</v>
      </c>
      <c r="G9" s="22" t="n">
        <v>1.4</v>
      </c>
      <c r="H9" s="13" t="n">
        <v>0.1846</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0.358</v>
      </c>
      <c r="D11" s="21" t="n">
        <v>0.6324</v>
      </c>
      <c r="E11" s="21" t="n">
        <v>0.4474</v>
      </c>
      <c r="F11" s="21" t="n">
        <v>0.1366</v>
      </c>
      <c r="G11" s="22" t="n">
        <v>4.2</v>
      </c>
      <c r="H11" s="13" t="n">
        <v>-0.0185</v>
      </c>
    </row>
    <row r="12">
      <c r="A12" s="10" t="inlineStr">
        <is>
          <t>位置合わせ(MS指定)／単調補間</t>
        </is>
      </c>
      <c r="B12" s="10" t="n">
        <v>10</v>
      </c>
      <c r="C12" s="21" t="n">
        <v>0.2866</v>
      </c>
      <c r="D12" s="21" t="n">
        <v>0.4815</v>
      </c>
      <c r="E12" s="21" t="n">
        <v>0.3866</v>
      </c>
      <c r="F12" s="21" t="n">
        <v>0.1151</v>
      </c>
      <c r="G12" s="22"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0.2018</v>
      </c>
      <c r="D19" s="21" t="n">
        <v>0.171</v>
      </c>
      <c r="E19" s="21" t="n">
        <v>0.1903</v>
      </c>
      <c r="F19" s="21" t="n">
        <v>0.2</v>
      </c>
      <c r="G19" s="21" t="n">
        <v>0.1695</v>
      </c>
    </row>
    <row r="20">
      <c r="A20" s="10" t="inlineStr">
        <is>
          <t>PJ-2020-B</t>
        </is>
      </c>
      <c r="B20" s="21" t="n">
        <v>0.6358</v>
      </c>
      <c r="C20" s="21" t="n">
        <v>0.6329</v>
      </c>
      <c r="D20" s="21" t="n">
        <v>0.3062</v>
      </c>
      <c r="E20" s="21" t="n">
        <v>0.6358</v>
      </c>
      <c r="F20" s="21" t="n">
        <v>0.6324</v>
      </c>
      <c r="G20" s="21" t="n">
        <v>0.3064</v>
      </c>
    </row>
    <row r="21">
      <c r="A21" s="10" t="inlineStr">
        <is>
          <t>PJ-2020-C</t>
        </is>
      </c>
      <c r="B21" s="21" t="n">
        <v>0.3825</v>
      </c>
      <c r="C21" s="21" t="n">
        <v>0.3845</v>
      </c>
      <c r="D21" s="21" t="n">
        <v>0.4602</v>
      </c>
      <c r="E21" s="21" t="n">
        <v>0.385</v>
      </c>
      <c r="F21" s="21" t="n">
        <v>0.3857</v>
      </c>
      <c r="G21" s="21" t="n">
        <v>0.4625</v>
      </c>
    </row>
    <row r="22">
      <c r="A22" s="10" t="inlineStr">
        <is>
          <t>PJ-2021-D</t>
        </is>
      </c>
      <c r="B22" s="21" t="n">
        <v>0.1611</v>
      </c>
      <c r="C22" s="21" t="n">
        <v>0.1625</v>
      </c>
      <c r="D22" s="21" t="n">
        <v>0.2935</v>
      </c>
      <c r="E22" s="21" t="n">
        <v>0.1612</v>
      </c>
      <c r="F22" s="21" t="n">
        <v>0.163</v>
      </c>
      <c r="G22" s="21" t="n">
        <v>0.2937</v>
      </c>
    </row>
    <row r="23">
      <c r="A23" s="10" t="inlineStr">
        <is>
          <t>PJ-2021-E</t>
        </is>
      </c>
      <c r="B23" s="21" t="n">
        <v>0.3767</v>
      </c>
      <c r="C23" s="21" t="n">
        <v>0.3706</v>
      </c>
      <c r="D23" s="21" t="n">
        <v>0.3008</v>
      </c>
      <c r="E23" s="21" t="n">
        <v>0.3774</v>
      </c>
      <c r="F23" s="21" t="n">
        <v>0.3705</v>
      </c>
      <c r="G23" s="21" t="n">
        <v>0.3</v>
      </c>
    </row>
    <row r="24">
      <c r="A24" s="10" t="inlineStr">
        <is>
          <t>PJ-2022-F</t>
        </is>
      </c>
      <c r="B24" s="21" t="n">
        <v>0.2442</v>
      </c>
      <c r="C24" s="21" t="n">
        <v>0.26</v>
      </c>
      <c r="D24" s="21" t="n">
        <v>0.1504</v>
      </c>
      <c r="E24" s="21" t="n">
        <v>0.2431</v>
      </c>
      <c r="F24" s="21" t="n">
        <v>0.2632</v>
      </c>
      <c r="G24" s="21" t="n">
        <v>0.1517</v>
      </c>
    </row>
    <row r="25">
      <c r="A25" s="10" t="inlineStr">
        <is>
          <t>PJ-2022-G</t>
        </is>
      </c>
      <c r="B25" s="21" t="n">
        <v>0.4951</v>
      </c>
      <c r="C25" s="21" t="n">
        <v>0.5234</v>
      </c>
      <c r="D25" s="21" t="n">
        <v>0.4797</v>
      </c>
      <c r="E25" s="21" t="n">
        <v>0.4954</v>
      </c>
      <c r="F25" s="21" t="n">
        <v>0.5249</v>
      </c>
      <c r="G25" s="21" t="n">
        <v>0.4815</v>
      </c>
    </row>
    <row r="26">
      <c r="A26" s="10" t="inlineStr">
        <is>
          <t>PJ-2023-H</t>
        </is>
      </c>
      <c r="B26" s="21" t="n">
        <v>0.2502</v>
      </c>
      <c r="C26" s="21" t="n">
        <v>0.3002</v>
      </c>
      <c r="D26" s="21" t="n">
        <v>0.1009</v>
      </c>
      <c r="E26" s="21" t="n">
        <v>0.25</v>
      </c>
      <c r="F26" s="21" t="n">
        <v>0.3034</v>
      </c>
      <c r="G26" s="21" t="n">
        <v>0.1014</v>
      </c>
    </row>
    <row r="27">
      <c r="A27" s="10" t="inlineStr">
        <is>
          <t>PJ-2023-I</t>
        </is>
      </c>
      <c r="B27" s="21" t="n">
        <v>0.3793</v>
      </c>
      <c r="C27" s="21" t="n">
        <v>0.3448</v>
      </c>
      <c r="D27" s="21" t="n">
        <v>0.2717</v>
      </c>
      <c r="E27" s="21" t="n">
        <v>0.3792</v>
      </c>
      <c r="F27" s="21" t="n">
        <v>0.3433</v>
      </c>
      <c r="G27" s="21" t="n">
        <v>0.2712</v>
      </c>
    </row>
    <row r="28">
      <c r="A28" s="10" t="inlineStr">
        <is>
          <t>PJ-2024-J</t>
        </is>
      </c>
      <c r="B28" s="21" t="n">
        <v>0.3979</v>
      </c>
      <c r="C28" s="21" t="n">
        <v>0.3971</v>
      </c>
      <c r="D28" s="21" t="n">
        <v>0.3318</v>
      </c>
      <c r="E28" s="21" t="n">
        <v>0.3945</v>
      </c>
      <c r="F28" s="21" t="n">
        <v>0.3935</v>
      </c>
      <c r="G28" s="21"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0.2018</v>
      </c>
      <c r="J53" s="21" t="n">
        <v>0.2403</v>
      </c>
      <c r="K53" s="21"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0.171</v>
      </c>
      <c r="J54" s="21" t="n">
        <v>0.2259</v>
      </c>
      <c r="K54" s="21"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0.2</v>
      </c>
      <c r="J56" s="21" t="n">
        <v>0.2388</v>
      </c>
      <c r="K56" s="21"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0.1695</v>
      </c>
      <c r="J57" s="21" t="n">
        <v>0.2216</v>
      </c>
      <c r="K57" s="21"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0.6329</v>
      </c>
      <c r="J59" s="21" t="n">
        <v>0.7086</v>
      </c>
      <c r="K59" s="21"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0.3062</v>
      </c>
      <c r="J60" s="21" t="n">
        <v>0.4069</v>
      </c>
      <c r="K60" s="21"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0.6324</v>
      </c>
      <c r="J62" s="21" t="n">
        <v>0.7087</v>
      </c>
      <c r="K62" s="21"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0.3064</v>
      </c>
      <c r="J63" s="21" t="n">
        <v>0.4069</v>
      </c>
      <c r="K63" s="21"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0.3845</v>
      </c>
      <c r="J65" s="21" t="n">
        <v>0.4142</v>
      </c>
      <c r="K65" s="21"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0.4602</v>
      </c>
      <c r="J66" s="21" t="n">
        <v>0.4841</v>
      </c>
      <c r="K66" s="21"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0.3857</v>
      </c>
      <c r="J68" s="21" t="n">
        <v>0.4157</v>
      </c>
      <c r="K68" s="21"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0.4625</v>
      </c>
      <c r="J69" s="21" t="n">
        <v>0.4869</v>
      </c>
      <c r="K69" s="21"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0.1625</v>
      </c>
      <c r="J71" s="21" t="n">
        <v>0.4574</v>
      </c>
      <c r="K71" s="21"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0.2935</v>
      </c>
      <c r="J72" s="21" t="n">
        <v>0.545</v>
      </c>
      <c r="K72" s="21"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0.163</v>
      </c>
      <c r="J74" s="21" t="n">
        <v>0.4574</v>
      </c>
      <c r="K74" s="21"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0.2937</v>
      </c>
      <c r="J75" s="21" t="n">
        <v>0.545</v>
      </c>
      <c r="K75" s="21"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0.3706</v>
      </c>
      <c r="J77" s="21" t="n">
        <v>0.4141</v>
      </c>
      <c r="K77" s="21"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0.3008</v>
      </c>
      <c r="J78" s="21" t="n">
        <v>0.3413</v>
      </c>
      <c r="K78" s="21"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0.3705</v>
      </c>
      <c r="J80" s="21" t="n">
        <v>0.4132</v>
      </c>
      <c r="K80" s="21"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0.3</v>
      </c>
      <c r="J81" s="21" t="n">
        <v>0.3392</v>
      </c>
      <c r="K81" s="21"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v>
      </c>
      <c r="J83" s="21" t="n">
        <v>0.3203</v>
      </c>
      <c r="K83" s="21"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0.1504</v>
      </c>
      <c r="J84" s="21" t="n">
        <v>0.2323</v>
      </c>
      <c r="K84" s="21"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0.2632</v>
      </c>
      <c r="J86" s="21" t="n">
        <v>0.3224</v>
      </c>
      <c r="K86" s="21"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0.1517</v>
      </c>
      <c r="J87" s="21" t="n">
        <v>0.2322</v>
      </c>
      <c r="K87" s="21"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0.5234</v>
      </c>
      <c r="J89" s="21" t="n">
        <v>0.6022</v>
      </c>
      <c r="K89" s="21"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0.4797</v>
      </c>
      <c r="J90" s="21" t="n">
        <v>0.5479000000000001</v>
      </c>
      <c r="K90" s="21"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0.5249</v>
      </c>
      <c r="J92" s="21" t="n">
        <v>0.6039</v>
      </c>
      <c r="K92" s="21"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0.4815</v>
      </c>
      <c r="J93" s="21" t="n">
        <v>0.5498</v>
      </c>
      <c r="K93" s="21"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0.3002</v>
      </c>
      <c r="J95" s="21" t="n">
        <v>0.3254</v>
      </c>
      <c r="K95" s="21"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0.1009</v>
      </c>
      <c r="J96" s="21" t="n">
        <v>0.2045</v>
      </c>
      <c r="K96" s="21"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0.3034</v>
      </c>
      <c r="J98" s="21" t="n">
        <v>0.3284</v>
      </c>
      <c r="K98" s="21"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0.1014</v>
      </c>
      <c r="J99" s="21" t="n">
        <v>0.2048</v>
      </c>
      <c r="K99" s="21"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0.3448</v>
      </c>
      <c r="J101" s="21" t="n">
        <v>0.4983</v>
      </c>
      <c r="K101" s="21"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0.2717</v>
      </c>
      <c r="J102" s="21" t="n">
        <v>0.4293</v>
      </c>
      <c r="K102" s="21"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0.3433</v>
      </c>
      <c r="J104" s="21" t="n">
        <v>0.4975</v>
      </c>
      <c r="K104" s="21"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0.2712</v>
      </c>
      <c r="J105" s="21" t="n">
        <v>0.4277</v>
      </c>
      <c r="K105" s="21"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0.3971</v>
      </c>
      <c r="J107" s="21" t="n">
        <v>0.4892</v>
      </c>
      <c r="K107" s="21"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0.3318</v>
      </c>
      <c r="J108" s="21" t="n">
        <v>0.4533</v>
      </c>
      <c r="K108" s="21"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0.3935</v>
      </c>
      <c r="J110" s="21" t="n">
        <v>0.488</v>
      </c>
      <c r="K110" s="21"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0.3282</v>
      </c>
      <c r="J111" s="21" t="n">
        <v>0.4519</v>
      </c>
      <c r="K111" s="21"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2"/>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21:06:00</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(出力なし)</t>
        </is>
      </c>
    </row>
    <row r="25">
      <c r="A25" s="10" t="inlineStr">
        <is>
          <t>実装範囲</t>
        </is>
      </c>
      <c r="B25" s="10" t="inlineStr">
        <is>
          <t>実装順序 1〜2(素朴版 + マイルストーン位置合わせ) + 見積もりによる総量指定</t>
        </is>
      </c>
    </row>
    <row r="26">
      <c r="A26" s="10" t="inlineStr">
        <is>
          <t>未使用パラメータ</t>
        </is>
      </c>
      <c r="B26" s="10" t="inlineStr">
        <is>
          <t>k=3.0, タグ重み係数=0.5 (実装順序 3・4 で使用予定)</t>
        </is>
      </c>
    </row>
    <row r="28">
      <c r="A28" s="6" t="inlineStr">
        <is>
          <t>■ 人月換算</t>
        </is>
      </c>
    </row>
    <row r="29">
      <c r="A29" s="2" t="inlineStr">
        <is>
          <t>換算係数</t>
        </is>
      </c>
      <c r="B29" s="4" t="n">
        <v>160</v>
      </c>
      <c r="C29" s="2" t="inlineStr">
        <is>
          <t>時間 / 人月</t>
        </is>
      </c>
    </row>
    <row r="30">
      <c r="A30" s="5" t="inlineStr">
        <is>
          <t>人月の定義は組織によって揺れる。この係数を明記しないまま数字が独り歩きすると議論が噛み合わなくなる(設計書 4-3)。</t>
        </is>
      </c>
    </row>
    <row r="32">
      <c r="A32" s="6" t="inlineStr">
        <is>
          <t>■ 学習に使用した案件と重み</t>
        </is>
      </c>
    </row>
    <row r="33">
      <c r="A33" s="5" t="inlineStr">
        <is>
          <t>第1版(素朴版+位置合わせ)では全案件の重みを 1.0 で固定している。種別・タグによる重み付けは実装順序 3・4 で導入する。</t>
        </is>
      </c>
    </row>
    <row r="34">
      <c r="A34" s="8" t="inlineStr">
        <is>
          <t>案件ID</t>
        </is>
      </c>
      <c r="B34" s="8" t="inlineStr">
        <is>
          <t>名称</t>
        </is>
      </c>
      <c r="C34" s="8" t="inlineStr">
        <is>
          <t>種別</t>
        </is>
      </c>
      <c r="D34" s="8" t="inlineStr">
        <is>
          <t>重み</t>
        </is>
      </c>
      <c r="E34" s="8" t="inlineStr">
        <is>
          <t>契約人月</t>
        </is>
      </c>
      <c r="F34" s="8" t="inlineStr">
        <is>
          <t>実績人月</t>
        </is>
      </c>
      <c r="G34" s="8" t="inlineStr">
        <is>
          <t>乖離率(%)</t>
        </is>
      </c>
      <c r="H34" s="8" t="inlineStr">
        <is>
          <t>期間(月)</t>
        </is>
      </c>
      <c r="I34" s="8" t="inlineStr">
        <is>
          <t>マイルストーン数</t>
        </is>
      </c>
    </row>
    <row r="35">
      <c r="A35" s="10" t="inlineStr">
        <is>
          <t>PJ-2019-A</t>
        </is>
      </c>
      <c r="B35" s="10" t="inlineStr">
        <is>
          <t>蒼穹のレガリア</t>
        </is>
      </c>
      <c r="C35" s="10" t="inlineStr">
        <is>
          <t>新規タイトル開発</t>
        </is>
      </c>
      <c r="D35" s="23" t="n">
        <v>1</v>
      </c>
      <c r="E35" s="12" t="n">
        <v>2400</v>
      </c>
      <c r="F35" s="12" t="n">
        <v>2372.3</v>
      </c>
      <c r="G35" s="10" t="n">
        <v>-1.2</v>
      </c>
      <c r="H35" s="10" t="n">
        <v>36</v>
      </c>
      <c r="I35" s="10" t="n">
        <v>4</v>
      </c>
    </row>
    <row r="36">
      <c r="A36" s="10" t="inlineStr">
        <is>
          <t>PJ-2020-B</t>
        </is>
      </c>
      <c r="B36" s="10" t="inlineStr">
        <is>
          <t>ブレイブフロンティア外伝(後半集中)</t>
        </is>
      </c>
      <c r="C36" s="10" t="inlineStr">
        <is>
          <t>大型アップデート</t>
        </is>
      </c>
      <c r="D36" s="23" t="n">
        <v>1</v>
      </c>
      <c r="E36" s="12" t="n">
        <v>620</v>
      </c>
      <c r="F36" s="12" t="n">
        <v>625.1</v>
      </c>
      <c r="G36" s="10" t="n">
        <v>0.8</v>
      </c>
      <c r="H36" s="10" t="n">
        <v>14</v>
      </c>
      <c r="I36" s="10" t="n">
        <v>3</v>
      </c>
    </row>
    <row r="37">
      <c r="A37" s="10" t="inlineStr">
        <is>
          <t>PJ-2020-C</t>
        </is>
      </c>
      <c r="B37" s="10" t="inlineStr">
        <is>
          <t>クロノスギア(二山)</t>
        </is>
      </c>
      <c r="C37" s="10" t="inlineStr">
        <is>
          <t>新規タイトル開発</t>
        </is>
      </c>
      <c r="D37" s="23" t="n">
        <v>1</v>
      </c>
      <c r="E37" s="12" t="n">
        <v>1800</v>
      </c>
      <c r="F37" s="12" t="n">
        <v>1806.5</v>
      </c>
      <c r="G37" s="10" t="n">
        <v>0.4</v>
      </c>
      <c r="H37" s="10" t="n">
        <v>30</v>
      </c>
      <c r="I37" s="10" t="n">
        <v>4</v>
      </c>
    </row>
    <row r="38">
      <c r="A38" s="10" t="inlineStr">
        <is>
          <t>PJ-2021-D</t>
        </is>
      </c>
      <c r="B38" s="10" t="inlineStr">
        <is>
          <t>蒼穹のレガリア HD Edition(前倒し)</t>
        </is>
      </c>
      <c r="C38" s="10" t="inlineStr">
        <is>
          <t>移植・リマスター</t>
        </is>
      </c>
      <c r="D38" s="23" t="n">
        <v>1</v>
      </c>
      <c r="E38" s="12" t="n">
        <v>520</v>
      </c>
      <c r="F38" s="12" t="n">
        <v>518.2</v>
      </c>
      <c r="G38" s="10" t="n">
        <v>-0.3</v>
      </c>
      <c r="H38" s="10" t="n">
        <v>15</v>
      </c>
      <c r="I38" s="10" t="n">
        <v>3</v>
      </c>
    </row>
    <row r="39">
      <c r="A39" s="10" t="inlineStr">
        <is>
          <t>PJ-2021-E</t>
        </is>
      </c>
      <c r="B39" s="10" t="inlineStr">
        <is>
          <t>シャドウヴェイル</t>
        </is>
      </c>
      <c r="C39" s="10" t="inlineStr">
        <is>
          <t>新規タイトル開発</t>
        </is>
      </c>
      <c r="D39" s="23" t="n">
        <v>1</v>
      </c>
      <c r="E39" s="12" t="n">
        <v>2950</v>
      </c>
      <c r="F39" s="12" t="n">
        <v>3013.4</v>
      </c>
      <c r="G39" s="10" t="n">
        <v>2.2</v>
      </c>
      <c r="H39" s="10" t="n">
        <v>36</v>
      </c>
      <c r="I39" s="10" t="n">
        <v>4</v>
      </c>
    </row>
    <row r="40">
      <c r="A40" s="10" t="inlineStr">
        <is>
          <t>PJ-2022-F</t>
        </is>
      </c>
      <c r="B40" s="10" t="inlineStr">
        <is>
          <t>ネオンハーツ Season2</t>
        </is>
      </c>
      <c r="C40" s="10" t="inlineStr">
        <is>
          <t>大型アップデート</t>
        </is>
      </c>
      <c r="D40" s="23" t="n">
        <v>1</v>
      </c>
      <c r="E40" s="12" t="n">
        <v>880</v>
      </c>
      <c r="F40" s="12" t="n">
        <v>881.8</v>
      </c>
      <c r="G40" s="10" t="n">
        <v>0.2</v>
      </c>
      <c r="H40" s="10" t="n">
        <v>18</v>
      </c>
      <c r="I40" s="10" t="n">
        <v>3</v>
      </c>
    </row>
    <row r="41">
      <c r="A41" s="10" t="inlineStr">
        <is>
          <t>PJ-2022-G</t>
        </is>
      </c>
      <c r="B41" s="10" t="inlineStr">
        <is>
          <t>ギルドマスターズ(前倒し)</t>
        </is>
      </c>
      <c r="C41" s="10" t="inlineStr">
        <is>
          <t>新規タイトル開発</t>
        </is>
      </c>
      <c r="D41" s="23" t="n">
        <v>1</v>
      </c>
      <c r="E41" s="12" t="n">
        <v>1450</v>
      </c>
      <c r="F41" s="12" t="n">
        <v>1461</v>
      </c>
      <c r="G41" s="10" t="n">
        <v>0.8</v>
      </c>
      <c r="H41" s="10" t="n">
        <v>24</v>
      </c>
      <c r="I41" s="10" t="n">
        <v>4</v>
      </c>
    </row>
    <row r="42">
      <c r="A42" s="10" t="inlineStr">
        <is>
          <t>PJ-2023-H</t>
        </is>
      </c>
      <c r="B42" s="10" t="inlineStr">
        <is>
          <t>クロノスギア:蒼き遺産</t>
        </is>
      </c>
      <c r="C42" s="10" t="inlineStr">
        <is>
          <t>大型アップデート</t>
        </is>
      </c>
      <c r="D42" s="23" t="n">
        <v>1</v>
      </c>
      <c r="E42" s="12" t="n">
        <v>1100</v>
      </c>
      <c r="F42" s="12" t="n">
        <v>1104.9</v>
      </c>
      <c r="G42" s="10" t="n">
        <v>0.4</v>
      </c>
      <c r="H42" s="10" t="n">
        <v>20</v>
      </c>
      <c r="I42" s="10" t="n">
        <v>3</v>
      </c>
    </row>
    <row r="43">
      <c r="A43" s="10" t="inlineStr">
        <is>
          <t>PJ-2023-I</t>
        </is>
      </c>
      <c r="B43" s="10" t="inlineStr">
        <is>
          <t>ブレイブフロンティア Remaster</t>
        </is>
      </c>
      <c r="C43" s="10" t="inlineStr">
        <is>
          <t>移植・リマスター</t>
        </is>
      </c>
      <c r="D43" s="23" t="n">
        <v>1</v>
      </c>
      <c r="E43" s="12" t="n">
        <v>700</v>
      </c>
      <c r="F43" s="12" t="n">
        <v>709.7</v>
      </c>
      <c r="G43" s="10" t="n">
        <v>1.4</v>
      </c>
      <c r="H43" s="10" t="n">
        <v>18</v>
      </c>
      <c r="I43" s="10" t="n">
        <v>3</v>
      </c>
    </row>
    <row r="44">
      <c r="A44" s="10" t="inlineStr">
        <is>
          <t>PJ-2024-J</t>
        </is>
      </c>
      <c r="B44" s="10" t="inlineStr">
        <is>
          <t>オーヴァーロード・サーガ(後半集中)</t>
        </is>
      </c>
      <c r="C44" s="10" t="inlineStr">
        <is>
          <t>新規タイトル開発</t>
        </is>
      </c>
      <c r="D44" s="23" t="n">
        <v>1</v>
      </c>
      <c r="E44" s="12" t="n">
        <v>2200</v>
      </c>
      <c r="F44" s="12" t="n">
        <v>2162.6</v>
      </c>
      <c r="G44" s="10" t="n">
        <v>-1.7</v>
      </c>
      <c r="H44" s="10" t="n">
        <v>30</v>
      </c>
      <c r="I44" s="10" t="n">
        <v>4</v>
      </c>
    </row>
    <row r="46">
      <c r="A46" s="6" t="inlineStr">
        <is>
          <t>■ 案件別 × 行程グループ 実績工数(人月)</t>
        </is>
      </c>
    </row>
    <row r="47">
      <c r="A47"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9">
      <c r="A49" s="8" t="inlineStr">
        <is>
          <t>案件ID</t>
        </is>
      </c>
      <c r="B49" s="8" t="inlineStr">
        <is>
          <t>名称</t>
        </is>
      </c>
      <c r="C49" s="8" t="inlineStr">
        <is>
          <t>期間(月)</t>
        </is>
      </c>
      <c r="D49" s="8" t="inlineStr">
        <is>
          <t>企画・プリプロ</t>
        </is>
      </c>
      <c r="E49" s="8" t="inlineStr">
        <is>
          <t>ゲームデザイン・シナリオ</t>
        </is>
      </c>
      <c r="F49" s="8" t="inlineStr">
        <is>
          <t>プログラム</t>
        </is>
      </c>
      <c r="G49" s="8" t="inlineStr">
        <is>
          <t>アート</t>
        </is>
      </c>
      <c r="H49" s="8" t="inlineStr">
        <is>
          <t>サウンド</t>
        </is>
      </c>
      <c r="I49" s="8" t="inlineStr">
        <is>
          <t>QA・デバッグ</t>
        </is>
      </c>
      <c r="J49" s="8" t="inlineStr">
        <is>
          <t>PM・運営</t>
        </is>
      </c>
      <c r="K49" s="8" t="inlineStr">
        <is>
          <t>合計</t>
        </is>
      </c>
    </row>
    <row r="50">
      <c r="A50" s="10" t="inlineStr">
        <is>
          <t>PJ-2019-A</t>
        </is>
      </c>
      <c r="B50" s="10" t="inlineStr">
        <is>
          <t>蒼穹のレガリア</t>
        </is>
      </c>
      <c r="C50" s="10" t="n">
        <v>36</v>
      </c>
      <c r="D50" s="19" t="n">
        <v>185</v>
      </c>
      <c r="E50" s="19" t="n">
        <v>297.4</v>
      </c>
      <c r="F50" s="19" t="n">
        <v>589.6</v>
      </c>
      <c r="G50" s="19" t="n">
        <v>772.4</v>
      </c>
      <c r="H50" s="19" t="n">
        <v>119.1</v>
      </c>
      <c r="I50" s="19" t="n">
        <v>272.4</v>
      </c>
      <c r="J50" s="19" t="n">
        <v>136.4</v>
      </c>
      <c r="K50" s="19" t="n">
        <v>2372.3</v>
      </c>
    </row>
    <row r="51">
      <c r="A51" s="10" t="inlineStr">
        <is>
          <t>PJ-2020-B</t>
        </is>
      </c>
      <c r="B51" s="10" t="inlineStr">
        <is>
          <t>ブレイブフロンティア外伝(後半集中)</t>
        </is>
      </c>
      <c r="C51" s="10" t="n">
        <v>14</v>
      </c>
      <c r="D51" s="19" t="n">
        <v>40.2</v>
      </c>
      <c r="E51" s="19" t="n">
        <v>85.5</v>
      </c>
      <c r="F51" s="19" t="n">
        <v>145.7</v>
      </c>
      <c r="G51" s="19" t="n">
        <v>202.1</v>
      </c>
      <c r="H51" s="19" t="n">
        <v>25.6</v>
      </c>
      <c r="I51" s="19" t="n">
        <v>87.59999999999999</v>
      </c>
      <c r="J51" s="19" t="n">
        <v>38.5</v>
      </c>
      <c r="K51" s="19" t="n">
        <v>625.1</v>
      </c>
    </row>
    <row r="52">
      <c r="A52" s="10" t="inlineStr">
        <is>
          <t>PJ-2020-C</t>
        </is>
      </c>
      <c r="B52" s="10" t="inlineStr">
        <is>
          <t>クロノスギア(二山)</t>
        </is>
      </c>
      <c r="C52" s="10" t="n">
        <v>30</v>
      </c>
      <c r="D52" s="19" t="n">
        <v>141.4</v>
      </c>
      <c r="E52" s="19" t="n">
        <v>217.4</v>
      </c>
      <c r="F52" s="19" t="n">
        <v>502.4</v>
      </c>
      <c r="G52" s="19" t="n">
        <v>524.6</v>
      </c>
      <c r="H52" s="19" t="n">
        <v>87.40000000000001</v>
      </c>
      <c r="I52" s="19" t="n">
        <v>225.2</v>
      </c>
      <c r="J52" s="19" t="n">
        <v>108.2</v>
      </c>
      <c r="K52" s="19" t="n">
        <v>1806.5</v>
      </c>
    </row>
    <row r="53">
      <c r="A53" s="10" t="inlineStr">
        <is>
          <t>PJ-2021-D</t>
        </is>
      </c>
      <c r="B53" s="10" t="inlineStr">
        <is>
          <t>蒼穹のレガリア HD Edition(前倒し)</t>
        </is>
      </c>
      <c r="C53" s="10" t="n">
        <v>15</v>
      </c>
      <c r="D53" s="19" t="n">
        <v>19.6</v>
      </c>
      <c r="E53" s="19" t="n">
        <v>24.2</v>
      </c>
      <c r="F53" s="19" t="n">
        <v>211.1</v>
      </c>
      <c r="G53" s="19" t="n">
        <v>127.2</v>
      </c>
      <c r="H53" s="19" t="n">
        <v>14</v>
      </c>
      <c r="I53" s="19" t="n">
        <v>93.2</v>
      </c>
      <c r="J53" s="19" t="n">
        <v>28.8</v>
      </c>
      <c r="K53" s="19" t="n">
        <v>518.2</v>
      </c>
    </row>
    <row r="54">
      <c r="A54" s="10" t="inlineStr">
        <is>
          <t>PJ-2021-E</t>
        </is>
      </c>
      <c r="B54" s="10" t="inlineStr">
        <is>
          <t>シャドウヴェイル</t>
        </is>
      </c>
      <c r="C54" s="10" t="n">
        <v>36</v>
      </c>
      <c r="D54" s="19" t="n">
        <v>251</v>
      </c>
      <c r="E54" s="19" t="n">
        <v>373</v>
      </c>
      <c r="F54" s="19" t="n">
        <v>795.5</v>
      </c>
      <c r="G54" s="19" t="n">
        <v>930.9</v>
      </c>
      <c r="H54" s="19" t="n">
        <v>147.4</v>
      </c>
      <c r="I54" s="19" t="n">
        <v>346.7</v>
      </c>
      <c r="J54" s="19" t="n">
        <v>168.9</v>
      </c>
      <c r="K54" s="19" t="n">
        <v>3013.4</v>
      </c>
    </row>
    <row r="55">
      <c r="A55" s="10" t="inlineStr">
        <is>
          <t>PJ-2022-F</t>
        </is>
      </c>
      <c r="B55" s="10" t="inlineStr">
        <is>
          <t>ネオンハーツ Season2</t>
        </is>
      </c>
      <c r="C55" s="10" t="n">
        <v>18</v>
      </c>
      <c r="D55" s="19" t="n">
        <v>51.8</v>
      </c>
      <c r="E55" s="19" t="n">
        <v>129.1</v>
      </c>
      <c r="F55" s="19" t="n">
        <v>204.3</v>
      </c>
      <c r="G55" s="19" t="n">
        <v>286.5</v>
      </c>
      <c r="H55" s="19" t="n">
        <v>37.3</v>
      </c>
      <c r="I55" s="19" t="n">
        <v>124.6</v>
      </c>
      <c r="J55" s="19" t="n">
        <v>48.2</v>
      </c>
      <c r="K55" s="19" t="n">
        <v>881.8</v>
      </c>
    </row>
    <row r="56">
      <c r="A56" s="10" t="inlineStr">
        <is>
          <t>PJ-2022-G</t>
        </is>
      </c>
      <c r="B56" s="10" t="inlineStr">
        <is>
          <t>ギルドマスターズ(前倒し)</t>
        </is>
      </c>
      <c r="C56" s="10" t="n">
        <v>24</v>
      </c>
      <c r="D56" s="19" t="n">
        <v>123.2</v>
      </c>
      <c r="E56" s="19" t="n">
        <v>170</v>
      </c>
      <c r="F56" s="19" t="n">
        <v>392.3</v>
      </c>
      <c r="G56" s="19" t="n">
        <v>446</v>
      </c>
      <c r="H56" s="19" t="n">
        <v>71.7</v>
      </c>
      <c r="I56" s="19" t="n">
        <v>171.6</v>
      </c>
      <c r="J56" s="19" t="n">
        <v>86.40000000000001</v>
      </c>
      <c r="K56" s="19" t="n">
        <v>1461</v>
      </c>
    </row>
    <row r="57">
      <c r="A57" s="10" t="inlineStr">
        <is>
          <t>PJ-2023-H</t>
        </is>
      </c>
      <c r="B57" s="10" t="inlineStr">
        <is>
          <t>クロノスギア:蒼き遺産</t>
        </is>
      </c>
      <c r="C57" s="10" t="n">
        <v>20</v>
      </c>
      <c r="D57" s="19" t="n">
        <v>61.4</v>
      </c>
      <c r="E57" s="19" t="n">
        <v>155.3</v>
      </c>
      <c r="F57" s="19" t="n">
        <v>260.3</v>
      </c>
      <c r="G57" s="19" t="n">
        <v>371</v>
      </c>
      <c r="H57" s="19" t="n">
        <v>40.6</v>
      </c>
      <c r="I57" s="19" t="n">
        <v>150.1</v>
      </c>
      <c r="J57" s="19" t="n">
        <v>66.3</v>
      </c>
      <c r="K57" s="19" t="n">
        <v>1104.9</v>
      </c>
    </row>
    <row r="58">
      <c r="A58" s="10" t="inlineStr">
        <is>
          <t>PJ-2023-I</t>
        </is>
      </c>
      <c r="B58" s="10" t="inlineStr">
        <is>
          <t>ブレイブフロンティア Remaster</t>
        </is>
      </c>
      <c r="C58" s="10" t="n">
        <v>18</v>
      </c>
      <c r="D58" s="19" t="n">
        <v>29.2</v>
      </c>
      <c r="E58" s="19" t="n">
        <v>34.4</v>
      </c>
      <c r="F58" s="19" t="n">
        <v>308.5</v>
      </c>
      <c r="G58" s="19" t="n">
        <v>171.1</v>
      </c>
      <c r="H58" s="19" t="n">
        <v>20.9</v>
      </c>
      <c r="I58" s="19" t="n">
        <v>106.1</v>
      </c>
      <c r="J58" s="19" t="n">
        <v>39.5</v>
      </c>
      <c r="K58" s="19" t="n">
        <v>709.7</v>
      </c>
    </row>
    <row r="59">
      <c r="A59" s="10" t="inlineStr">
        <is>
          <t>PJ-2024-J</t>
        </is>
      </c>
      <c r="B59" s="10" t="inlineStr">
        <is>
          <t>オーヴァーロード・サーガ(後半集中)</t>
        </is>
      </c>
      <c r="C59" s="10" t="n">
        <v>30</v>
      </c>
      <c r="D59" s="19" t="n">
        <v>153.8</v>
      </c>
      <c r="E59" s="19" t="n">
        <v>254</v>
      </c>
      <c r="F59" s="19" t="n">
        <v>600.1</v>
      </c>
      <c r="G59" s="19" t="n">
        <v>658.4</v>
      </c>
      <c r="H59" s="19" t="n">
        <v>122.6</v>
      </c>
      <c r="I59" s="19" t="n">
        <v>234.8</v>
      </c>
      <c r="J59" s="19" t="n">
        <v>138.9</v>
      </c>
      <c r="K59" s="19" t="n">
        <v>2162.6</v>
      </c>
    </row>
    <row r="60">
      <c r="A60" s="10" t="inlineStr">
        <is>
          <t>合計</t>
        </is>
      </c>
      <c r="B60" s="10" t="inlineStr"/>
      <c r="C60" s="10" t="n"/>
      <c r="D60" s="19" t="n">
        <v>1056.6</v>
      </c>
      <c r="E60" s="19" t="n">
        <v>1740.3</v>
      </c>
      <c r="F60" s="19" t="n">
        <v>4009.8</v>
      </c>
      <c r="G60" s="19" t="n">
        <v>4490.2</v>
      </c>
      <c r="H60" s="19" t="n">
        <v>686.6</v>
      </c>
      <c r="I60" s="19" t="n">
        <v>1812.3</v>
      </c>
      <c r="J60" s="19" t="n">
        <v>860.1</v>
      </c>
      <c r="K60" s="19" t="n">
        <v>14655.5</v>
      </c>
    </row>
    <row r="61">
      <c r="A61" s="10" t="inlineStr">
        <is>
          <t>構成比</t>
        </is>
      </c>
      <c r="B61" s="10" t="inlineStr">
        <is>
          <t>(全案件の単純合計)</t>
        </is>
      </c>
      <c r="C61" s="10" t="n"/>
      <c r="D61" s="17" t="n">
        <v>0.0721</v>
      </c>
      <c r="E61" s="17" t="n">
        <v>0.1187</v>
      </c>
      <c r="F61" s="17" t="n">
        <v>0.2736</v>
      </c>
      <c r="G61" s="17" t="n">
        <v>0.3064</v>
      </c>
      <c r="H61" s="17" t="n">
        <v>0.0468</v>
      </c>
      <c r="I61" s="17" t="n">
        <v>0.1237</v>
      </c>
      <c r="J61" s="17" t="n">
        <v>0.0587</v>
      </c>
      <c r="K61" s="17" t="n">
        <v>1</v>
      </c>
    </row>
    <row r="63">
      <c r="A63" s="6" t="inlineStr">
        <is>
          <t>■ マイルストーン位置分布(学習値)</t>
        </is>
      </c>
    </row>
    <row r="64">
      <c r="A64" s="8" t="inlineStr">
        <is>
          <t>マイルストーン名</t>
        </is>
      </c>
      <c r="B64" s="8" t="inlineStr">
        <is>
          <t>平均位置</t>
        </is>
      </c>
      <c r="C64" s="8" t="inlineStr">
        <is>
          <t>標準偏差</t>
        </is>
      </c>
      <c r="D64" s="8" t="inlineStr">
        <is>
          <t>件数</t>
        </is>
      </c>
      <c r="E64" s="8" t="inlineStr">
        <is>
          <t>背骨</t>
        </is>
      </c>
    </row>
    <row r="65">
      <c r="A65" s="10" t="inlineStr">
        <is>
          <t>プロトタイプ</t>
        </is>
      </c>
      <c r="B65" s="21" t="n">
        <v>0.2277301327110109</v>
      </c>
      <c r="C65" s="21" t="n">
        <v>0.03189012393515308</v>
      </c>
      <c r="D65" s="10" t="n">
        <v>5</v>
      </c>
      <c r="E65" s="10" t="inlineStr"/>
    </row>
    <row r="66">
      <c r="A66" s="10" t="inlineStr">
        <is>
          <t>α版</t>
        </is>
      </c>
      <c r="B66" s="21" t="n">
        <v>0.4968946897102826</v>
      </c>
      <c r="C66" s="21" t="n">
        <v>0.05787603873596738</v>
      </c>
      <c r="D66" s="10" t="n">
        <v>10</v>
      </c>
      <c r="E66" s="10" t="inlineStr">
        <is>
          <t>○</t>
        </is>
      </c>
    </row>
    <row r="67">
      <c r="A67" s="10" t="inlineStr">
        <is>
          <t>β版</t>
        </is>
      </c>
      <c r="B67" s="21" t="n">
        <v>0.7378800534841294</v>
      </c>
      <c r="C67" s="21" t="n">
        <v>0.05000354072467814</v>
      </c>
      <c r="D67" s="10" t="n">
        <v>10</v>
      </c>
      <c r="E67" s="10" t="inlineStr">
        <is>
          <t>○</t>
        </is>
      </c>
    </row>
    <row r="68">
      <c r="A68" s="10" t="inlineStr">
        <is>
          <t>マスターアップ</t>
        </is>
      </c>
      <c r="B68" s="21" t="n">
        <v>0.9135394862767734</v>
      </c>
      <c r="C68" s="21" t="n">
        <v>0.01808788952320223</v>
      </c>
      <c r="D68" s="10" t="n">
        <v>10</v>
      </c>
      <c r="E68" s="10" t="inlineStr">
        <is>
          <t>○</t>
        </is>
      </c>
    </row>
    <row r="70">
      <c r="A70" s="6" t="inlineStr">
        <is>
          <t>■ 行程グループ別 工数比率(学習値)</t>
        </is>
      </c>
    </row>
    <row r="71">
      <c r="A71"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2">
      <c r="A72" s="8" t="inlineStr">
        <is>
          <t>行程グループ</t>
        </is>
      </c>
      <c r="B72" s="8" t="inlineStr">
        <is>
          <t>比率</t>
        </is>
      </c>
      <c r="C72" s="8" t="inlineStr">
        <is>
          <t>件数</t>
        </is>
      </c>
    </row>
    <row r="73">
      <c r="A73" s="10" t="inlineStr">
        <is>
          <t>企画・プリプロ</t>
        </is>
      </c>
      <c r="B73" s="13" t="n">
        <v>0.06524885174932314</v>
      </c>
      <c r="C73" s="11" t="n">
        <v>10</v>
      </c>
    </row>
    <row r="74">
      <c r="A74" s="10" t="inlineStr">
        <is>
          <t>ゲームデザイン・シナリオ</t>
        </is>
      </c>
      <c r="B74" s="13" t="n">
        <v>0.1122043113713705</v>
      </c>
      <c r="C74" s="11" t="n">
        <v>10</v>
      </c>
    </row>
    <row r="75">
      <c r="A75" s="10" t="inlineStr">
        <is>
          <t>プログラム</t>
        </is>
      </c>
      <c r="B75" s="13" t="n">
        <v>0.2879091969215787</v>
      </c>
      <c r="C75" s="11" t="n">
        <v>10</v>
      </c>
    </row>
    <row r="76">
      <c r="A76" s="10" t="inlineStr">
        <is>
          <t>アート</t>
        </is>
      </c>
      <c r="B76" s="13" t="n">
        <v>0.3005002389104883</v>
      </c>
      <c r="C76" s="11" t="n">
        <v>10</v>
      </c>
    </row>
    <row r="77">
      <c r="A77" s="10" t="inlineStr">
        <is>
          <t>サウンド</t>
        </is>
      </c>
      <c r="B77" s="13" t="n">
        <v>0.04298558319794448</v>
      </c>
      <c r="C77" s="11" t="n">
        <v>10</v>
      </c>
    </row>
    <row r="78">
      <c r="A78" s="10" t="inlineStr">
        <is>
          <t>QA・デバッグ</t>
        </is>
      </c>
      <c r="B78" s="13" t="n">
        <v>0.1327188838365589</v>
      </c>
      <c r="C78" s="11" t="n">
        <v>10</v>
      </c>
    </row>
    <row r="79">
      <c r="A79" s="10" t="inlineStr">
        <is>
          <t>PM・運営</t>
        </is>
      </c>
      <c r="B79" s="13" t="n">
        <v>0.05843293401273604</v>
      </c>
      <c r="C79" s="11" t="n">
        <v>10</v>
      </c>
    </row>
    <row r="81">
      <c r="A81" s="6" t="inlineStr">
        <is>
          <t>■ 警告</t>
        </is>
      </c>
    </row>
    <row r="82">
      <c r="A82"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2026-09-03T21:06:00Z</dcterms:created>
  <dcterms:modified xsi:type="dcterms:W3CDTF">2026-09-03T21:06:01Z</dcterms:modified>
</cp:coreProperties>
</file>