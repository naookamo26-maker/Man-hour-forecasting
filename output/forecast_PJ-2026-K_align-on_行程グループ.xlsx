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検証" sheetId="3" state="visible" r:id="rId3"/>
    <sheet name="条件"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167"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'カーブ'!B132</f>
            </strRef>
          </tx>
          <spPr>
            <a:ln>
              <a:prstDash val="solid"/>
            </a:ln>
          </spPr>
          <marker>
            <symbol val="none"/>
            <spPr>
              <a:ln>
                <a:prstDash val="solid"/>
              </a:ln>
            </spPr>
          </marker>
          <cat>
            <numRef>
              <f>'カーブ'!$A$133:$A$232</f>
            </numRef>
          </cat>
          <val>
            <numRef>
              <f>'カーブ'!$B$133:$B$232</f>
            </numRef>
          </val>
        </ser>
        <ser>
          <idx val="1"/>
          <order val="1"/>
          <tx>
            <strRef>
              <f>'カーブ'!C132</f>
            </strRef>
          </tx>
          <spPr>
            <a:ln>
              <a:prstDash val="solid"/>
            </a:ln>
          </spPr>
          <marker>
            <symbol val="none"/>
            <spPr>
              <a:ln>
                <a:prstDash val="solid"/>
              </a:ln>
            </spPr>
          </marker>
          <cat>
            <numRef>
              <f>'カーブ'!$A$133:$A$232</f>
            </numRef>
          </cat>
          <val>
            <numRef>
              <f>'カーブ'!$C$133:$C$232</f>
            </numRef>
          </val>
        </ser>
        <ser>
          <idx val="2"/>
          <order val="2"/>
          <tx>
            <strRef>
              <f>'カーブ'!D132</f>
            </strRef>
          </tx>
          <spPr>
            <a:ln>
              <a:prstDash val="solid"/>
            </a:ln>
          </spPr>
          <marker>
            <symbol val="none"/>
            <spPr>
              <a:ln>
                <a:prstDash val="solid"/>
              </a:ln>
            </spPr>
          </marker>
          <cat>
            <numRef>
              <f>'カーブ'!$A$133:$A$232</f>
            </numRef>
          </cat>
          <val>
            <numRef>
              <f>'カーブ'!$D$133:$D$232</f>
            </numRef>
          </val>
        </ser>
        <ser>
          <idx val="3"/>
          <order val="3"/>
          <tx>
            <strRef>
              <f>'カーブ'!E132</f>
            </strRef>
          </tx>
          <spPr>
            <a:ln>
              <a:prstDash val="solid"/>
            </a:ln>
          </spPr>
          <marker>
            <symbol val="none"/>
            <spPr>
              <a:ln>
                <a:prstDash val="solid"/>
              </a:ln>
            </spPr>
          </marker>
          <cat>
            <numRef>
              <f>'カーブ'!$A$133:$A$232</f>
            </numRef>
          </cat>
          <val>
            <numRef>
              <f>'カーブ'!$E$133:$E$232</f>
            </numRef>
          </val>
        </ser>
        <ser>
          <idx val="4"/>
          <order val="4"/>
          <tx>
            <strRef>
              <f>'カーブ'!F132</f>
            </strRef>
          </tx>
          <spPr>
            <a:ln>
              <a:prstDash val="solid"/>
            </a:ln>
          </spPr>
          <marker>
            <symbol val="none"/>
            <spPr>
              <a:ln>
                <a:prstDash val="solid"/>
              </a:ln>
            </spPr>
          </marker>
          <cat>
            <numRef>
              <f>'カーブ'!$A$133:$A$232</f>
            </numRef>
          </cat>
          <val>
            <numRef>
              <f>'カーブ'!$F$133:$F$232</f>
            </numRef>
          </val>
        </ser>
        <ser>
          <idx val="5"/>
          <order val="5"/>
          <tx>
            <strRef>
              <f>'カーブ'!G132</f>
            </strRef>
          </tx>
          <spPr>
            <a:ln>
              <a:prstDash val="solid"/>
            </a:ln>
          </spPr>
          <marker>
            <symbol val="none"/>
            <spPr>
              <a:ln>
                <a:prstDash val="solid"/>
              </a:ln>
            </spPr>
          </marker>
          <cat>
            <numRef>
              <f>'カーブ'!$A$133:$A$232</f>
            </numRef>
          </cat>
          <val>
            <numRef>
              <f>'カーブ'!$G$133:$G$232</f>
            </numRef>
          </val>
        </ser>
        <ser>
          <idx val="6"/>
          <order val="6"/>
          <tx>
            <strRef>
              <f>'カーブ'!H132</f>
            </strRef>
          </tx>
          <spPr>
            <a:ln>
              <a:prstDash val="solid"/>
            </a:ln>
          </spPr>
          <marker>
            <symbol val="none"/>
            <spPr>
              <a:ln>
                <a:prstDash val="solid"/>
              </a:ln>
            </spPr>
          </marker>
          <cat>
            <numRef>
              <f>'カーブ'!$A$133:$A$232</f>
            </numRef>
          </cat>
          <val>
            <numRef>
              <f>'カーブ'!$H$133:$H$232</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'検証'!B15</f>
            </strRef>
          </tx>
          <spPr>
            <a:ln>
              <a:prstDash val="solid"/>
            </a:ln>
          </spPr>
          <cat>
            <numRef>
              <f>'検証'!$A$16:$A$25</f>
            </numRef>
          </cat>
          <val>
            <numRef>
              <f>'検証'!$B$16:$B$25</f>
            </numRef>
          </val>
        </ser>
        <ser>
          <idx val="1"/>
          <order val="1"/>
          <tx>
            <strRef>
              <f>'検証'!C15</f>
            </strRef>
          </tx>
          <spPr>
            <a:ln>
              <a:prstDash val="solid"/>
            </a:ln>
          </spPr>
          <cat>
            <numRef>
              <f>'検証'!$A$16:$A$25</f>
            </numRef>
          </cat>
          <val>
            <numRef>
              <f>'検証'!$C$16:$C$25</f>
            </numRef>
          </val>
        </ser>
        <ser>
          <idx val="2"/>
          <order val="2"/>
          <tx>
            <strRef>
              <f>'検証'!D15</f>
            </strRef>
          </tx>
          <spPr>
            <a:ln>
              <a:prstDash val="solid"/>
            </a:ln>
          </spPr>
          <cat>
            <numRef>
              <f>'検証'!$A$16:$A$25</f>
            </numRef>
          </cat>
          <val>
            <numRef>
              <f>'検証'!$D$16:$D$25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131</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14</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2026-09-02 14:49</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2167.6</v>
      </c>
      <c r="D12" s="12" t="n">
        <v>444.9</v>
      </c>
      <c r="E12" s="12" t="n">
        <v>135.4</v>
      </c>
      <c r="F12" s="12" t="n">
        <v>30.5</v>
      </c>
      <c r="G12" s="12" t="n">
        <v>0</v>
      </c>
      <c r="H12" s="12" t="n">
        <v>0</v>
      </c>
      <c r="I12" s="12" t="n">
        <v>201.8</v>
      </c>
      <c r="J12" s="12">
        <f>SUM(C12:I12)</f>
        <v/>
      </c>
      <c r="K12" s="13">
        <f>SUM($J$12:J12)/$J$38</f>
        <v/>
      </c>
    </row>
    <row r="13">
      <c r="A13" s="10" t="inlineStr">
        <is>
          <t>2026-08</t>
        </is>
      </c>
      <c r="B13" s="11" t="n">
        <v>2</v>
      </c>
      <c r="C13" s="12" t="n">
        <v>2582</v>
      </c>
      <c r="D13" s="12" t="n">
        <v>911</v>
      </c>
      <c r="E13" s="12" t="n">
        <v>414.9</v>
      </c>
      <c r="F13" s="12" t="n">
        <v>183.2</v>
      </c>
      <c r="G13" s="12" t="n">
        <v>0.3</v>
      </c>
      <c r="H13" s="12" t="n">
        <v>0</v>
      </c>
      <c r="I13" s="12" t="n">
        <v>351.3</v>
      </c>
      <c r="J13" s="12">
        <f>SUM(C13:I13)</f>
        <v/>
      </c>
      <c r="K13" s="13">
        <f>SUM($J$12:J13)/$J$38</f>
        <v/>
      </c>
    </row>
    <row r="14">
      <c r="A14" s="10" t="inlineStr">
        <is>
          <t>2026-09</t>
        </is>
      </c>
      <c r="B14" s="11" t="n">
        <v>3</v>
      </c>
      <c r="C14" s="12" t="n">
        <v>2623.5</v>
      </c>
      <c r="D14" s="12" t="n">
        <v>1418.3</v>
      </c>
      <c r="E14" s="12" t="n">
        <v>874.1</v>
      </c>
      <c r="F14" s="12" t="n">
        <v>458.9</v>
      </c>
      <c r="G14" s="12" t="n">
        <v>3</v>
      </c>
      <c r="H14" s="12" t="n">
        <v>0</v>
      </c>
      <c r="I14" s="12" t="n">
        <v>485.3</v>
      </c>
      <c r="J14" s="12">
        <f>SUM(C14:I14)</f>
        <v/>
      </c>
      <c r="K14" s="13">
        <f>SUM($J$12:J14)/$J$38</f>
        <v/>
      </c>
    </row>
    <row r="15">
      <c r="A15" s="10" t="inlineStr">
        <is>
          <t>2026-10</t>
        </is>
      </c>
      <c r="B15" s="11" t="n">
        <v>4</v>
      </c>
      <c r="C15" s="12" t="n">
        <v>2519.7</v>
      </c>
      <c r="D15" s="12" t="n">
        <v>1776</v>
      </c>
      <c r="E15" s="12" t="n">
        <v>1362.9</v>
      </c>
      <c r="F15" s="12" t="n">
        <v>893.5</v>
      </c>
      <c r="G15" s="12" t="n">
        <v>18.5</v>
      </c>
      <c r="H15" s="12" t="n">
        <v>0.5</v>
      </c>
      <c r="I15" s="12" t="n">
        <v>627.3</v>
      </c>
      <c r="J15" s="12">
        <f>SUM(C15:I15)</f>
        <v/>
      </c>
      <c r="K15" s="13">
        <f>SUM($J$12:J15)/$J$38</f>
        <v/>
      </c>
    </row>
    <row r="16">
      <c r="A16" s="10" t="inlineStr">
        <is>
          <t>2026-11</t>
        </is>
      </c>
      <c r="B16" s="11" t="n">
        <v>5</v>
      </c>
      <c r="C16" s="12" t="n">
        <v>2008.1</v>
      </c>
      <c r="D16" s="12" t="n">
        <v>1916.8</v>
      </c>
      <c r="E16" s="12" t="n">
        <v>1801.8</v>
      </c>
      <c r="F16" s="12" t="n">
        <v>1318.8</v>
      </c>
      <c r="G16" s="12" t="n">
        <v>44.3</v>
      </c>
      <c r="H16" s="12" t="n">
        <v>2.8</v>
      </c>
      <c r="I16" s="12" t="n">
        <v>658.6</v>
      </c>
      <c r="J16" s="12">
        <f>SUM(C16:I16)</f>
        <v/>
      </c>
      <c r="K16" s="13">
        <f>SUM($J$12:J16)/$J$38</f>
        <v/>
      </c>
    </row>
    <row r="17">
      <c r="A17" s="10" t="inlineStr">
        <is>
          <t>2026-12</t>
        </is>
      </c>
      <c r="B17" s="11" t="n">
        <v>6</v>
      </c>
      <c r="C17" s="12" t="n">
        <v>1735.1</v>
      </c>
      <c r="D17" s="12" t="n">
        <v>2024.5</v>
      </c>
      <c r="E17" s="12" t="n">
        <v>2298.5</v>
      </c>
      <c r="F17" s="12" t="n">
        <v>1805.4</v>
      </c>
      <c r="G17" s="12" t="n">
        <v>81.8</v>
      </c>
      <c r="H17" s="12" t="n">
        <v>11.5</v>
      </c>
      <c r="I17" s="12" t="n">
        <v>732.9</v>
      </c>
      <c r="J17" s="12">
        <f>SUM(C17:I17)</f>
        <v/>
      </c>
      <c r="K17" s="13">
        <f>SUM($J$12:J17)/$J$38</f>
        <v/>
      </c>
    </row>
    <row r="18">
      <c r="A18" s="10" t="inlineStr">
        <is>
          <t>2027-01</t>
        </is>
      </c>
      <c r="B18" s="11" t="n">
        <v>7</v>
      </c>
      <c r="C18" s="12" t="n">
        <v>1507.5</v>
      </c>
      <c r="D18" s="12" t="n">
        <v>2179.4</v>
      </c>
      <c r="E18" s="12" t="n">
        <v>2825.7</v>
      </c>
      <c r="F18" s="12" t="n">
        <v>2445.6</v>
      </c>
      <c r="G18" s="12" t="n">
        <v>132.2</v>
      </c>
      <c r="H18" s="12" t="n">
        <v>34.4</v>
      </c>
      <c r="I18" s="12" t="n">
        <v>858.4</v>
      </c>
      <c r="J18" s="12">
        <f>SUM(C18:I18)</f>
        <v/>
      </c>
      <c r="K18" s="13">
        <f>SUM($J$12:J18)/$J$38</f>
        <v/>
      </c>
    </row>
    <row r="19">
      <c r="A19" s="10" t="inlineStr">
        <is>
          <t>2027-02</t>
        </is>
      </c>
      <c r="B19" s="11" t="n">
        <v>8</v>
      </c>
      <c r="C19" s="12" t="n">
        <v>1187.7</v>
      </c>
      <c r="D19" s="12" t="n">
        <v>2158.4</v>
      </c>
      <c r="E19" s="12" t="n">
        <v>3029.4</v>
      </c>
      <c r="F19" s="12" t="n">
        <v>2834.6</v>
      </c>
      <c r="G19" s="12" t="n">
        <v>170.3</v>
      </c>
      <c r="H19" s="12" t="n">
        <v>54.8</v>
      </c>
      <c r="I19" s="12" t="n">
        <v>849.7</v>
      </c>
      <c r="J19" s="12">
        <f>SUM(C19:I19)</f>
        <v/>
      </c>
      <c r="K19" s="13">
        <f>SUM($J$12:J19)/$J$38</f>
        <v/>
      </c>
    </row>
    <row r="20">
      <c r="A20" s="10" t="inlineStr">
        <is>
          <t>2027-03</t>
        </is>
      </c>
      <c r="B20" s="11" t="n">
        <v>9</v>
      </c>
      <c r="C20" s="12" t="n">
        <v>1052.7</v>
      </c>
      <c r="D20" s="12" t="n">
        <v>2413.7</v>
      </c>
      <c r="E20" s="12" t="n">
        <v>4078.9</v>
      </c>
      <c r="F20" s="12" t="n">
        <v>3960.9</v>
      </c>
      <c r="G20" s="12" t="n">
        <v>303.3</v>
      </c>
      <c r="H20" s="12" t="n">
        <v>122.9</v>
      </c>
      <c r="I20" s="12" t="n">
        <v>993.3</v>
      </c>
      <c r="J20" s="12">
        <f>SUM(C20:I20)</f>
        <v/>
      </c>
      <c r="K20" s="13">
        <f>SUM($J$12:J20)/$J$38</f>
        <v/>
      </c>
    </row>
    <row r="21">
      <c r="A21" s="10" t="inlineStr">
        <is>
          <t>2027-04</t>
        </is>
      </c>
      <c r="B21" s="11" t="n">
        <v>10</v>
      </c>
      <c r="C21" s="12" t="n">
        <v>802.6</v>
      </c>
      <c r="D21" s="12" t="n">
        <v>2328.1</v>
      </c>
      <c r="E21" s="12" t="n">
        <v>4244.8</v>
      </c>
      <c r="F21" s="12" t="n">
        <v>4437.9</v>
      </c>
      <c r="G21" s="12" t="n">
        <v>378.3</v>
      </c>
      <c r="H21" s="12" t="n">
        <v>182.9</v>
      </c>
      <c r="I21" s="12" t="n">
        <v>1006.4</v>
      </c>
      <c r="J21" s="12">
        <f>SUM(C21:I21)</f>
        <v/>
      </c>
      <c r="K21" s="13">
        <f>SUM($J$12:J21)/$J$38</f>
        <v/>
      </c>
    </row>
    <row r="22">
      <c r="A22" s="10" t="inlineStr">
        <is>
          <t>2027-05</t>
        </is>
      </c>
      <c r="B22" s="11" t="n">
        <v>11</v>
      </c>
      <c r="C22" s="12" t="n">
        <v>599.6</v>
      </c>
      <c r="D22" s="12" t="n">
        <v>2680.7</v>
      </c>
      <c r="E22" s="12" t="n">
        <v>5690.2</v>
      </c>
      <c r="F22" s="12" t="n">
        <v>5194.6</v>
      </c>
      <c r="G22" s="12" t="n">
        <v>535.5</v>
      </c>
      <c r="H22" s="12" t="n">
        <v>315.3</v>
      </c>
      <c r="I22" s="12" t="n">
        <v>1098.4</v>
      </c>
      <c r="J22" s="12">
        <f>SUM(C22:I22)</f>
        <v/>
      </c>
      <c r="K22" s="13">
        <f>SUM($J$12:J22)/$J$38</f>
        <v/>
      </c>
    </row>
    <row r="23">
      <c r="A23" s="10" t="inlineStr">
        <is>
          <t>2027-06</t>
        </is>
      </c>
      <c r="B23" s="11" t="n">
        <v>12</v>
      </c>
      <c r="C23" s="12" t="n">
        <v>438.1</v>
      </c>
      <c r="D23" s="12" t="n">
        <v>2845.4</v>
      </c>
      <c r="E23" s="12" t="n">
        <v>7154.7</v>
      </c>
      <c r="F23" s="12" t="n">
        <v>5576.8</v>
      </c>
      <c r="G23" s="12" t="n">
        <v>631.4</v>
      </c>
      <c r="H23" s="12" t="n">
        <v>426.9</v>
      </c>
      <c r="I23" s="12" t="n">
        <v>1047.1</v>
      </c>
      <c r="J23" s="12">
        <f>SUM(C23:I23)</f>
        <v/>
      </c>
      <c r="K23" s="13">
        <f>SUM($J$12:J23)/$J$38</f>
        <v/>
      </c>
    </row>
    <row r="24">
      <c r="A24" s="10" t="inlineStr">
        <is>
          <t>2027-07</t>
        </is>
      </c>
      <c r="B24" s="11" t="n">
        <v>13</v>
      </c>
      <c r="C24" s="12" t="n">
        <v>284.2</v>
      </c>
      <c r="D24" s="12" t="n">
        <v>2860.4</v>
      </c>
      <c r="E24" s="12" t="n">
        <v>7961.6</v>
      </c>
      <c r="F24" s="12" t="n">
        <v>5601.9</v>
      </c>
      <c r="G24" s="12" t="n">
        <v>699.6</v>
      </c>
      <c r="H24" s="12" t="n">
        <v>621.5</v>
      </c>
      <c r="I24" s="12" t="n">
        <v>1013.9</v>
      </c>
      <c r="J24" s="12">
        <f>SUM(C24:I24)</f>
        <v/>
      </c>
      <c r="K24" s="13">
        <f>SUM($J$12:J24)/$J$38</f>
        <v/>
      </c>
    </row>
    <row r="25">
      <c r="A25" s="10" t="inlineStr">
        <is>
          <t>2027-08</t>
        </is>
      </c>
      <c r="B25" s="11" t="n">
        <v>14</v>
      </c>
      <c r="C25" s="12" t="n">
        <v>178.8</v>
      </c>
      <c r="D25" s="12" t="n">
        <v>2155.2</v>
      </c>
      <c r="E25" s="12" t="n">
        <v>6470.5</v>
      </c>
      <c r="F25" s="12" t="n">
        <v>5227.4</v>
      </c>
      <c r="G25" s="12" t="n">
        <v>698.6</v>
      </c>
      <c r="H25" s="12" t="n">
        <v>731.7</v>
      </c>
      <c r="I25" s="12" t="n">
        <v>910.9</v>
      </c>
      <c r="J25" s="12">
        <f>SUM(C25:I25)</f>
        <v/>
      </c>
      <c r="K25" s="13">
        <f>SUM($J$12:J25)/$J$38</f>
        <v/>
      </c>
    </row>
    <row r="26">
      <c r="A26" s="10" t="inlineStr">
        <is>
          <t>2027-09</t>
        </is>
      </c>
      <c r="B26" s="11" t="n">
        <v>15</v>
      </c>
      <c r="C26" s="12" t="n">
        <v>118</v>
      </c>
      <c r="D26" s="12" t="n">
        <v>1627.1</v>
      </c>
      <c r="E26" s="12" t="n">
        <v>5360.9</v>
      </c>
      <c r="F26" s="12" t="n">
        <v>5153.5</v>
      </c>
      <c r="G26" s="12" t="n">
        <v>770.1</v>
      </c>
      <c r="H26" s="12" t="n">
        <v>893.5</v>
      </c>
      <c r="I26" s="12" t="n">
        <v>889.7</v>
      </c>
      <c r="J26" s="12">
        <f>SUM(C26:I26)</f>
        <v/>
      </c>
      <c r="K26" s="13">
        <f>SUM($J$12:J26)/$J$38</f>
        <v/>
      </c>
    </row>
    <row r="27">
      <c r="A27" s="10" t="inlineStr">
        <is>
          <t>2027-10</t>
        </is>
      </c>
      <c r="B27" s="11" t="n">
        <v>16</v>
      </c>
      <c r="C27" s="12" t="n">
        <v>82.2</v>
      </c>
      <c r="D27" s="12" t="n">
        <v>1250.4</v>
      </c>
      <c r="E27" s="12" t="n">
        <v>4567</v>
      </c>
      <c r="F27" s="12" t="n">
        <v>5219.7</v>
      </c>
      <c r="G27" s="12" t="n">
        <v>850.3</v>
      </c>
      <c r="H27" s="12" t="n">
        <v>1138.2</v>
      </c>
      <c r="I27" s="12" t="n">
        <v>906.9</v>
      </c>
      <c r="J27" s="12">
        <f>SUM(C27:I27)</f>
        <v/>
      </c>
      <c r="K27" s="13">
        <f>SUM($J$12:J27)/$J$38</f>
        <v/>
      </c>
    </row>
    <row r="28">
      <c r="A28" s="10" t="inlineStr">
        <is>
          <t>2027-11</t>
        </is>
      </c>
      <c r="B28" s="11" t="n">
        <v>17</v>
      </c>
      <c r="C28" s="12" t="n">
        <v>49</v>
      </c>
      <c r="D28" s="12" t="n">
        <v>915.7</v>
      </c>
      <c r="E28" s="12" t="n">
        <v>3990.6</v>
      </c>
      <c r="F28" s="12" t="n">
        <v>5199</v>
      </c>
      <c r="G28" s="12" t="n">
        <v>895.8</v>
      </c>
      <c r="H28" s="12" t="n">
        <v>1467.7</v>
      </c>
      <c r="I28" s="12" t="n">
        <v>823.4</v>
      </c>
      <c r="J28" s="12">
        <f>SUM(C28:I28)</f>
        <v/>
      </c>
      <c r="K28" s="13">
        <f>SUM($J$12:J28)/$J$38</f>
        <v/>
      </c>
    </row>
    <row r="29">
      <c r="A29" s="10" t="inlineStr">
        <is>
          <t>2027-12</t>
        </is>
      </c>
      <c r="B29" s="11" t="n">
        <v>18</v>
      </c>
      <c r="C29" s="12" t="n">
        <v>22.2</v>
      </c>
      <c r="D29" s="12" t="n">
        <v>706.5</v>
      </c>
      <c r="E29" s="12" t="n">
        <v>4055.4</v>
      </c>
      <c r="F29" s="12" t="n">
        <v>5562.6</v>
      </c>
      <c r="G29" s="12" t="n">
        <v>1052.2</v>
      </c>
      <c r="H29" s="12" t="n">
        <v>2433.8</v>
      </c>
      <c r="I29" s="12" t="n">
        <v>811.1</v>
      </c>
      <c r="J29" s="12">
        <f>SUM(C29:I29)</f>
        <v/>
      </c>
      <c r="K29" s="13">
        <f>SUM($J$12:J29)/$J$38</f>
        <v/>
      </c>
    </row>
    <row r="30">
      <c r="A30" s="10" t="inlineStr">
        <is>
          <t>2028-01</t>
        </is>
      </c>
      <c r="B30" s="11" t="n">
        <v>19</v>
      </c>
      <c r="C30" s="12" t="n">
        <v>12.2</v>
      </c>
      <c r="D30" s="12" t="n">
        <v>605.6</v>
      </c>
      <c r="E30" s="12" t="n">
        <v>4286.2</v>
      </c>
      <c r="F30" s="12" t="n">
        <v>5959.5</v>
      </c>
      <c r="G30" s="12" t="n">
        <v>1131.2</v>
      </c>
      <c r="H30" s="12" t="n">
        <v>3471.3</v>
      </c>
      <c r="I30" s="12" t="n">
        <v>805.7</v>
      </c>
      <c r="J30" s="12">
        <f>SUM(C30:I30)</f>
        <v/>
      </c>
      <c r="K30" s="13">
        <f>SUM($J$12:J30)/$J$38</f>
        <v/>
      </c>
    </row>
    <row r="31">
      <c r="A31" s="10" t="inlineStr">
        <is>
          <t>2028-02</t>
        </is>
      </c>
      <c r="B31" s="11" t="n">
        <v>20</v>
      </c>
      <c r="C31" s="12" t="n">
        <v>3</v>
      </c>
      <c r="D31" s="12" t="n">
        <v>422.6</v>
      </c>
      <c r="E31" s="12" t="n">
        <v>4352.3</v>
      </c>
      <c r="F31" s="12" t="n">
        <v>6151.6</v>
      </c>
      <c r="G31" s="12" t="n">
        <v>1129</v>
      </c>
      <c r="H31" s="12" t="n">
        <v>4335.4</v>
      </c>
      <c r="I31" s="12" t="n">
        <v>694.5</v>
      </c>
      <c r="J31" s="12">
        <f>SUM(C31:I31)</f>
        <v/>
      </c>
      <c r="K31" s="13">
        <f>SUM($J$12:J31)/$J$38</f>
        <v/>
      </c>
    </row>
    <row r="32">
      <c r="A32" s="10" t="inlineStr">
        <is>
          <t>2028-03</t>
        </is>
      </c>
      <c r="B32" s="11" t="n">
        <v>21</v>
      </c>
      <c r="C32" s="12" t="n">
        <v>0.4</v>
      </c>
      <c r="D32" s="12" t="n">
        <v>366.4</v>
      </c>
      <c r="E32" s="12" t="n">
        <v>4751.5</v>
      </c>
      <c r="F32" s="12" t="n">
        <v>6733.7</v>
      </c>
      <c r="G32" s="12" t="n">
        <v>1233.6</v>
      </c>
      <c r="H32" s="12" t="n">
        <v>5305.3</v>
      </c>
      <c r="I32" s="12" t="n">
        <v>771.7</v>
      </c>
      <c r="J32" s="12">
        <f>SUM(C32:I32)</f>
        <v/>
      </c>
      <c r="K32" s="13">
        <f>SUM($J$12:J32)/$J$38</f>
        <v/>
      </c>
    </row>
    <row r="33">
      <c r="A33" s="10" t="inlineStr">
        <is>
          <t>2028-04</t>
        </is>
      </c>
      <c r="B33" s="11" t="n">
        <v>22</v>
      </c>
      <c r="C33" s="12" t="n">
        <v>0</v>
      </c>
      <c r="D33" s="12" t="n">
        <v>232.2</v>
      </c>
      <c r="E33" s="12" t="n">
        <v>3254.3</v>
      </c>
      <c r="F33" s="12" t="n">
        <v>4661.2</v>
      </c>
      <c r="G33" s="12" t="n">
        <v>977.2</v>
      </c>
      <c r="H33" s="12" t="n">
        <v>4201.9</v>
      </c>
      <c r="I33" s="12" t="n">
        <v>668.5</v>
      </c>
      <c r="J33" s="12">
        <f>SUM(C33:I33)</f>
        <v/>
      </c>
      <c r="K33" s="13">
        <f>SUM($J$12:J33)/$J$38</f>
        <v/>
      </c>
    </row>
    <row r="34">
      <c r="A34" s="10" t="inlineStr">
        <is>
          <t>2028-05</t>
        </is>
      </c>
      <c r="B34" s="11" t="n">
        <v>23</v>
      </c>
      <c r="C34" s="12" t="n">
        <v>0</v>
      </c>
      <c r="D34" s="12" t="n">
        <v>137.4</v>
      </c>
      <c r="E34" s="12" t="n">
        <v>2140.2</v>
      </c>
      <c r="F34" s="12" t="n">
        <v>3006</v>
      </c>
      <c r="G34" s="12" t="n">
        <v>704</v>
      </c>
      <c r="H34" s="12" t="n">
        <v>3990.9</v>
      </c>
      <c r="I34" s="12" t="n">
        <v>607.3</v>
      </c>
      <c r="J34" s="12">
        <f>SUM(C34:I34)</f>
        <v/>
      </c>
      <c r="K34" s="13">
        <f>SUM($J$12:J34)/$J$38</f>
        <v/>
      </c>
    </row>
    <row r="35">
      <c r="A35" s="10" t="inlineStr">
        <is>
          <t>2028-06</t>
        </is>
      </c>
      <c r="B35" s="11" t="n">
        <v>24</v>
      </c>
      <c r="C35" s="12" t="n">
        <v>0</v>
      </c>
      <c r="D35" s="12" t="n">
        <v>57.6</v>
      </c>
      <c r="E35" s="12" t="n">
        <v>1255.5</v>
      </c>
      <c r="F35" s="12" t="n">
        <v>1640.4</v>
      </c>
      <c r="G35" s="12" t="n">
        <v>408.9</v>
      </c>
      <c r="H35" s="12" t="n">
        <v>4685.2</v>
      </c>
      <c r="I35" s="12" t="n">
        <v>500.1</v>
      </c>
      <c r="J35" s="12">
        <f>SUM(C35:I35)</f>
        <v/>
      </c>
      <c r="K35" s="13">
        <f>SUM($J$12:J35)/$J$38</f>
        <v/>
      </c>
    </row>
    <row r="36">
      <c r="A36" s="10" t="inlineStr">
        <is>
          <t>2028-07</t>
        </is>
      </c>
      <c r="B36" s="11" t="n">
        <v>25</v>
      </c>
      <c r="C36" s="12" t="n">
        <v>0</v>
      </c>
      <c r="D36" s="12" t="n">
        <v>16.1</v>
      </c>
      <c r="E36" s="12" t="n">
        <v>689</v>
      </c>
      <c r="F36" s="12" t="n">
        <v>810.6</v>
      </c>
      <c r="G36" s="12" t="n">
        <v>227.2</v>
      </c>
      <c r="H36" s="12" t="n">
        <v>3788.3</v>
      </c>
      <c r="I36" s="12" t="n">
        <v>348.7</v>
      </c>
      <c r="J36" s="12">
        <f>SUM(C36:I36)</f>
        <v/>
      </c>
      <c r="K36" s="13">
        <f>SUM($J$12:J36)/$J$38</f>
        <v/>
      </c>
    </row>
    <row r="37">
      <c r="A37" s="10" t="inlineStr">
        <is>
          <t>2028-08</t>
        </is>
      </c>
      <c r="B37" s="11" t="n">
        <v>26</v>
      </c>
      <c r="C37" s="12" t="n">
        <v>0</v>
      </c>
      <c r="D37" s="12" t="n">
        <v>0</v>
      </c>
      <c r="E37" s="12" t="n">
        <v>236.1</v>
      </c>
      <c r="F37" s="12" t="n">
        <v>258.3</v>
      </c>
      <c r="G37" s="12" t="n">
        <v>72.5</v>
      </c>
      <c r="H37" s="12" t="n">
        <v>1749.3</v>
      </c>
      <c r="I37" s="12" t="n">
        <v>188.9</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2026-12-22</t>
        </is>
      </c>
      <c r="C78" s="21" t="n">
        <v>0.22</v>
      </c>
      <c r="D78" s="10" t="inlineStr">
        <is>
          <t>学習(n=5)</t>
        </is>
      </c>
    </row>
    <row r="79">
      <c r="A79" s="10" t="inlineStr">
        <is>
          <t>α版</t>
        </is>
      </c>
      <c r="B79" s="10" t="inlineStr">
        <is>
          <t>2027-07-16</t>
        </is>
      </c>
      <c r="C79" s="21" t="n">
        <v>0.48</v>
      </c>
      <c r="D79" s="10" t="inlineStr">
        <is>
          <t>指定</t>
        </is>
      </c>
    </row>
    <row r="80">
      <c r="A80" s="10" t="inlineStr">
        <is>
          <t>β版</t>
        </is>
      </c>
      <c r="B80" s="10" t="inlineStr">
        <is>
          <t>2028-02-28</t>
        </is>
      </c>
      <c r="C80" s="21" t="n">
        <v>0.767</v>
      </c>
      <c r="D80" s="10" t="inlineStr">
        <is>
          <t>学習(n=10)</t>
        </is>
      </c>
    </row>
    <row r="81">
      <c r="A81" s="10" t="inlineStr">
        <is>
          <t>マスターアップ</t>
        </is>
      </c>
      <c r="B81" s="10" t="inlineStr">
        <is>
          <t>2028-06-30</t>
        </is>
      </c>
      <c r="C81" s="21" t="n">
        <v>0.922</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268"/>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α版=0.496, β版=0.767, マスターアップ=0.922</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0.002298382821151546</v>
      </c>
      <c r="C7" s="21" t="n">
        <v>0.002347186320876969</v>
      </c>
      <c r="D7" s="21" t="n">
        <v>0.002042999345208909</v>
      </c>
      <c r="E7" s="21" t="n">
        <v>0.002719379113675854</v>
      </c>
      <c r="F7" s="21" t="n">
        <v>0.001574025377902674</v>
      </c>
      <c r="G7" s="21" t="n">
        <v>0.002028335865510203</v>
      </c>
      <c r="H7" s="21" t="n">
        <v>0.002296913053320514</v>
      </c>
      <c r="I7" s="21" t="n">
        <v>0.002664039896986118</v>
      </c>
      <c r="J7" s="21" t="n">
        <v>0.001896985825112394</v>
      </c>
      <c r="K7" s="21" t="n">
        <v>0.002274483202560572</v>
      </c>
      <c r="L7" s="21" t="n">
        <v>0.001485827510544274</v>
      </c>
      <c r="M7" s="21" t="n">
        <v>0.003674467464596401</v>
      </c>
    </row>
    <row r="8">
      <c r="A8" s="10" t="n">
        <v>0.015</v>
      </c>
      <c r="B8" s="21" t="n">
        <v>0.004585271575072958</v>
      </c>
      <c r="C8" s="21" t="n">
        <v>0.004694372641753938</v>
      </c>
      <c r="D8" s="21" t="n">
        <v>0.004146086906453375</v>
      </c>
      <c r="E8" s="21" t="n">
        <v>0.005378327580381132</v>
      </c>
      <c r="F8" s="21" t="n">
        <v>0.00318947247627647</v>
      </c>
      <c r="G8" s="21" t="n">
        <v>0.003997014793799518</v>
      </c>
      <c r="H8" s="21" t="n">
        <v>0.004547887845574617</v>
      </c>
      <c r="I8" s="21" t="n">
        <v>0.005328079793972236</v>
      </c>
      <c r="J8" s="21" t="n">
        <v>0.003793971650224787</v>
      </c>
      <c r="K8" s="21" t="n">
        <v>0.004596351471841157</v>
      </c>
      <c r="L8" s="21" t="n">
        <v>0.002936278175599398</v>
      </c>
      <c r="M8" s="21" t="n">
        <v>0.007348934929192802</v>
      </c>
    </row>
    <row r="9">
      <c r="A9" s="10" t="n">
        <v>0.025</v>
      </c>
      <c r="B9" s="21" t="n">
        <v>0.006978462526152219</v>
      </c>
      <c r="C9" s="21" t="n">
        <v>0.007102283897226464</v>
      </c>
      <c r="D9" s="21" t="n">
        <v>0.006189086251662285</v>
      </c>
      <c r="E9" s="21" t="n">
        <v>0.008097706694056985</v>
      </c>
      <c r="F9" s="21" t="n">
        <v>0.004763497854179143</v>
      </c>
      <c r="G9" s="21" t="n">
        <v>0.006025350659309722</v>
      </c>
      <c r="H9" s="21" t="n">
        <v>0.007853318374689824</v>
      </c>
      <c r="I9" s="21" t="n">
        <v>0.007913765576341113</v>
      </c>
      <c r="J9" s="21" t="n">
        <v>0.005743651526034748</v>
      </c>
      <c r="K9" s="21" t="n">
        <v>0.006870834674401729</v>
      </c>
      <c r="L9" s="21" t="n">
        <v>0.004422105686143671</v>
      </c>
      <c r="M9" s="21" t="n">
        <v>0.01111761950826603</v>
      </c>
    </row>
    <row r="10">
      <c r="A10" s="10" t="n">
        <v>0.035</v>
      </c>
      <c r="B10" s="21" t="n">
        <v>0.009648086776403384</v>
      </c>
      <c r="C10" s="21" t="n">
        <v>0.009901669342493325</v>
      </c>
      <c r="D10" s="21" t="n">
        <v>0.009626732516979892</v>
      </c>
      <c r="E10" s="21" t="n">
        <v>0.01075665516076226</v>
      </c>
      <c r="F10" s="21" t="n">
        <v>0.006815661227240949</v>
      </c>
      <c r="G10" s="21" t="n">
        <v>0.008053686524819925</v>
      </c>
      <c r="H10" s="21" t="n">
        <v>0.01155095014439186</v>
      </c>
      <c r="I10" s="21" t="n">
        <v>0.01057780547332723</v>
      </c>
      <c r="J10" s="21" t="n">
        <v>0.007640637351147141</v>
      </c>
      <c r="K10" s="21" t="n">
        <v>0.009192702943682313</v>
      </c>
      <c r="L10" s="21" t="n">
        <v>0.005872556351198796</v>
      </c>
      <c r="M10" s="21" t="n">
        <v>0.01569268872690513</v>
      </c>
    </row>
    <row r="11">
      <c r="A11" s="10" t="n">
        <v>0.045</v>
      </c>
      <c r="B11" s="21" t="n">
        <v>0.01275341558018427</v>
      </c>
      <c r="C11" s="21" t="n">
        <v>0.01293271305260672</v>
      </c>
      <c r="D11" s="21" t="n">
        <v>0.01329026743142047</v>
      </c>
      <c r="E11" s="21" t="n">
        <v>0.01347603427443812</v>
      </c>
      <c r="F11" s="21" t="n">
        <v>0.009528013138038636</v>
      </c>
      <c r="G11" s="21" t="n">
        <v>0.01002236545310924</v>
      </c>
      <c r="H11" s="21" t="n">
        <v>0.01583284489217794</v>
      </c>
      <c r="I11" s="21" t="n">
        <v>0.01324184537031335</v>
      </c>
      <c r="J11" s="21" t="n">
        <v>0.01061307163628116</v>
      </c>
      <c r="K11" s="21" t="n">
        <v>0.01285602599062815</v>
      </c>
      <c r="L11" s="21" t="n">
        <v>0.00735838386174307</v>
      </c>
      <c r="M11" s="21" t="n">
        <v>0.02103970230615225</v>
      </c>
    </row>
    <row r="12">
      <c r="A12" s="10" t="n">
        <v>0.055</v>
      </c>
      <c r="B12" s="21" t="n">
        <v>0.01608720589978478</v>
      </c>
      <c r="C12" s="21" t="n">
        <v>0.01637202378552682</v>
      </c>
      <c r="D12" s="21" t="n">
        <v>0.01706155337275637</v>
      </c>
      <c r="E12" s="21" t="n">
        <v>0.0161349827411434</v>
      </c>
      <c r="F12" s="21" t="n">
        <v>0.01217081756394408</v>
      </c>
      <c r="G12" s="21" t="n">
        <v>0.01205070131861944</v>
      </c>
      <c r="H12" s="21" t="n">
        <v>0.0203240660242471</v>
      </c>
      <c r="I12" s="21" t="n">
        <v>0.01590588526729947</v>
      </c>
      <c r="J12" s="21" t="n">
        <v>0.01394398874142238</v>
      </c>
      <c r="K12" s="21" t="n">
        <v>0.01696876669082656</v>
      </c>
      <c r="L12" s="21" t="n">
        <v>0.009804618087609115</v>
      </c>
      <c r="M12" s="21" t="n">
        <v>0.02638671588539937</v>
      </c>
    </row>
    <row r="13">
      <c r="A13" s="10" t="n">
        <v>0.065</v>
      </c>
      <c r="B13" s="21" t="n">
        <v>0.01982552193162886</v>
      </c>
      <c r="C13" s="21" t="n">
        <v>0.02034813718974574</v>
      </c>
      <c r="D13" s="21" t="n">
        <v>0.0210641091687901</v>
      </c>
      <c r="E13" s="21" t="n">
        <v>0.01976657672891911</v>
      </c>
      <c r="F13" s="21" t="n">
        <v>0.01488316947474176</v>
      </c>
      <c r="G13" s="21" t="n">
        <v>0.01407903718412965</v>
      </c>
      <c r="H13" s="21" t="n">
        <v>0.02522301655804556</v>
      </c>
      <c r="I13" s="21" t="n">
        <v>0.01963277342024523</v>
      </c>
      <c r="J13" s="21" t="n">
        <v>0.0172749058465636</v>
      </c>
      <c r="K13" s="21" t="n">
        <v>0.02099757390734746</v>
      </c>
      <c r="L13" s="21" t="n">
        <v>0.0128957635580056</v>
      </c>
      <c r="M13" s="21" t="n">
        <v>0.03237747982668585</v>
      </c>
    </row>
    <row r="14">
      <c r="A14" s="10" t="n">
        <v>0.075</v>
      </c>
      <c r="B14" s="21" t="n">
        <v>0.02407741573326941</v>
      </c>
      <c r="C14" s="21" t="n">
        <v>0.02475118188136381</v>
      </c>
      <c r="D14" s="21" t="n">
        <v>0.0253680168595733</v>
      </c>
      <c r="E14" s="21" t="n">
        <v>0.02443239791864409</v>
      </c>
      <c r="F14" s="21" t="n">
        <v>0.01809182521539168</v>
      </c>
      <c r="G14" s="21" t="n">
        <v>0.01646450031002901</v>
      </c>
      <c r="H14" s="21" t="n">
        <v>0.03063766323162132</v>
      </c>
      <c r="I14" s="21" t="n">
        <v>0.02457921805838511</v>
      </c>
      <c r="J14" s="21" t="n">
        <v>0.02069834842684764</v>
      </c>
      <c r="K14" s="21" t="n">
        <v>0.02511031460754588</v>
      </c>
      <c r="L14" s="21" t="n">
        <v>0.01606230282036297</v>
      </c>
      <c r="M14" s="21" t="n">
        <v>0.03937109761762363</v>
      </c>
    </row>
    <row r="15">
      <c r="A15" s="10" t="n">
        <v>0.08500000000000001</v>
      </c>
      <c r="B15" s="21" t="n">
        <v>0.02861536844516407</v>
      </c>
      <c r="C15" s="21" t="n">
        <v>0.0294214920102304</v>
      </c>
      <c r="D15" s="21" t="n">
        <v>0.02979851007067365</v>
      </c>
      <c r="E15" s="21" t="n">
        <v>0.02920426049904462</v>
      </c>
      <c r="F15" s="21" t="n">
        <v>0.02134898249730541</v>
      </c>
      <c r="G15" s="21" t="n">
        <v>0.02039737917045868</v>
      </c>
      <c r="H15" s="21" t="n">
        <v>0.03620894446740192</v>
      </c>
      <c r="I15" s="21" t="n">
        <v>0.02952566269652499</v>
      </c>
      <c r="J15" s="21" t="n">
        <v>0.02407893241452898</v>
      </c>
      <c r="K15" s="21" t="n">
        <v>0.03018007951734972</v>
      </c>
      <c r="L15" s="21" t="n">
        <v>0.01915344829075945</v>
      </c>
      <c r="M15" s="21" t="n">
        <v>0.04636471540856141</v>
      </c>
    </row>
    <row r="16">
      <c r="A16" s="10" t="n">
        <v>0.095</v>
      </c>
      <c r="B16" s="21" t="n">
        <v>0.03342044357610604</v>
      </c>
      <c r="C16" s="21" t="n">
        <v>0.03417156336056627</v>
      </c>
      <c r="D16" s="21" t="n">
        <v>0.03441977671833486</v>
      </c>
      <c r="E16" s="21" t="n">
        <v>0.03387008168876959</v>
      </c>
      <c r="F16" s="21" t="n">
        <v>0.02469185444453267</v>
      </c>
      <c r="G16" s="21" t="n">
        <v>0.0244494361781741</v>
      </c>
      <c r="H16" s="21" t="n">
        <v>0.04327938798895495</v>
      </c>
      <c r="I16" s="21" t="n">
        <v>0.03447210733466487</v>
      </c>
      <c r="J16" s="21" t="n">
        <v>0.02830385340539243</v>
      </c>
      <c r="K16" s="21" t="n">
        <v>0.03524984442715357</v>
      </c>
      <c r="L16" s="21" t="n">
        <v>0.02231998755311682</v>
      </c>
      <c r="M16" s="21" t="n">
        <v>0.0533583331994992</v>
      </c>
    </row>
    <row r="17">
      <c r="A17" s="10" t="n">
        <v>0.105</v>
      </c>
      <c r="B17" s="21" t="n">
        <v>0.03853604511987747</v>
      </c>
      <c r="C17" s="21" t="n">
        <v>0.03919841264287654</v>
      </c>
      <c r="D17" s="21" t="n">
        <v>0.0397759002203294</v>
      </c>
      <c r="E17" s="21" t="n">
        <v>0.03864194426917013</v>
      </c>
      <c r="F17" s="21" t="n">
        <v>0.02816206816199233</v>
      </c>
      <c r="G17" s="21" t="n">
        <v>0.02850149318588952</v>
      </c>
      <c r="H17" s="21" t="n">
        <v>0.05034983151050797</v>
      </c>
      <c r="I17" s="21" t="n">
        <v>0.03941855197280476</v>
      </c>
      <c r="J17" s="21" t="n">
        <v>0.03252877439625588</v>
      </c>
      <c r="K17" s="21" t="n">
        <v>0.040425229439245</v>
      </c>
      <c r="L17" s="21" t="n">
        <v>0.02596878089781867</v>
      </c>
      <c r="M17" s="21" t="n">
        <v>0.06196865115553368</v>
      </c>
    </row>
    <row r="18">
      <c r="A18" s="10" t="n">
        <v>0.115</v>
      </c>
      <c r="B18" s="21" t="n">
        <v>0.04370415595127668</v>
      </c>
      <c r="C18" s="21" t="n">
        <v>0.0447172515001668</v>
      </c>
      <c r="D18" s="21" t="n">
        <v>0.04497899162226696</v>
      </c>
      <c r="E18" s="21" t="n">
        <v>0.0433077654588951</v>
      </c>
      <c r="F18" s="21" t="n">
        <v>0.03184533831499793</v>
      </c>
      <c r="G18" s="21" t="n">
        <v>0.03243437204631919</v>
      </c>
      <c r="H18" s="21" t="n">
        <v>0.05732980893656678</v>
      </c>
      <c r="I18" s="21" t="n">
        <v>0.04421951294511699</v>
      </c>
      <c r="J18" s="21" t="n">
        <v>0.03675369538711933</v>
      </c>
      <c r="K18" s="21" t="n">
        <v>0.04549499434904885</v>
      </c>
      <c r="L18" s="21" t="n">
        <v>0.0304722418950811</v>
      </c>
      <c r="M18" s="21" t="n">
        <v>0.07071407171671627</v>
      </c>
    </row>
    <row r="19">
      <c r="A19" s="10" t="n">
        <v>0.125</v>
      </c>
      <c r="B19" s="21" t="n">
        <v>0.04907354048530062</v>
      </c>
      <c r="C19" s="21" t="n">
        <v>0.05037022328860273</v>
      </c>
      <c r="D19" s="21" t="n">
        <v>0.05020135392658048</v>
      </c>
      <c r="E19" s="21" t="n">
        <v>0.04860538050785001</v>
      </c>
      <c r="F19" s="21" t="n">
        <v>0.03562553662992473</v>
      </c>
      <c r="G19" s="21" t="n">
        <v>0.03648642905403461</v>
      </c>
      <c r="H19" s="21" t="n">
        <v>0.06416033606148393</v>
      </c>
      <c r="I19" s="21" t="n">
        <v>0.04916595758325688</v>
      </c>
      <c r="J19" s="21" t="n">
        <v>0.04109597529439565</v>
      </c>
      <c r="K19" s="21" t="n">
        <v>0.05144125274610449</v>
      </c>
      <c r="L19" s="21" t="n">
        <v>0.03508554340447189</v>
      </c>
      <c r="M19" s="21" t="n">
        <v>0.07945949227789886</v>
      </c>
    </row>
    <row r="20">
      <c r="A20" s="10" t="n">
        <v>0.135</v>
      </c>
      <c r="B20" s="21" t="n">
        <v>0.05492822168599389</v>
      </c>
      <c r="C20" s="21" t="n">
        <v>0.05627115898361993</v>
      </c>
      <c r="D20" s="21" t="n">
        <v>0.05623195901173339</v>
      </c>
      <c r="E20" s="21" t="n">
        <v>0.05519715547940028</v>
      </c>
      <c r="F20" s="21" t="n">
        <v>0.03930880678293033</v>
      </c>
      <c r="G20" s="21" t="n">
        <v>0.04053848606175003</v>
      </c>
      <c r="H20" s="21" t="n">
        <v>0.07158173947702608</v>
      </c>
      <c r="I20" s="21" t="n">
        <v>0.05566649641779634</v>
      </c>
      <c r="J20" s="21" t="n">
        <v>0.04578748898094683</v>
      </c>
      <c r="K20" s="21" t="n">
        <v>0.0574847524579684</v>
      </c>
      <c r="L20" s="21" t="n">
        <v>0.03958900440173432</v>
      </c>
      <c r="M20" s="21" t="n">
        <v>0.08868218481058354</v>
      </c>
    </row>
    <row r="21">
      <c r="A21" s="10" t="n">
        <v>0.145</v>
      </c>
      <c r="B21" s="21" t="n">
        <v>0.0609726900932868</v>
      </c>
      <c r="C21" s="21" t="n">
        <v>0.06253277749296786</v>
      </c>
      <c r="D21" s="21" t="n">
        <v>0.06209026109445336</v>
      </c>
      <c r="E21" s="21" t="n">
        <v>0.06164244656269388</v>
      </c>
      <c r="F21" s="21" t="n">
        <v>0.04318815632284039</v>
      </c>
      <c r="G21" s="21" t="n">
        <v>0.0444713649221797</v>
      </c>
      <c r="H21" s="21" t="n">
        <v>0.07921560302333133</v>
      </c>
      <c r="I21" s="21" t="n">
        <v>0.06256994856251347</v>
      </c>
      <c r="J21" s="21" t="n">
        <v>0.05089648034258705</v>
      </c>
      <c r="K21" s="21" t="n">
        <v>0.06365415841382947</v>
      </c>
      <c r="L21" s="21" t="n">
        <v>0.04420230591112511</v>
      </c>
      <c r="M21" s="21" t="n">
        <v>0.09871245130573274</v>
      </c>
    </row>
    <row r="22">
      <c r="A22" s="10" t="n">
        <v>0.155</v>
      </c>
      <c r="B22" s="21" t="n">
        <v>0.06706020811893638</v>
      </c>
      <c r="C22" s="21" t="n">
        <v>0.06888199675833609</v>
      </c>
      <c r="D22" s="21" t="n">
        <v>0.06812086617960628</v>
      </c>
      <c r="E22" s="21" t="n">
        <v>0.06823422153424415</v>
      </c>
      <c r="F22" s="21" t="n">
        <v>0.04718077397358036</v>
      </c>
      <c r="G22" s="21" t="n">
        <v>0.04869839311085902</v>
      </c>
      <c r="H22" s="21" t="n">
        <v>0.08685090643111923</v>
      </c>
      <c r="I22" s="21" t="n">
        <v>0.0694734007072306</v>
      </c>
      <c r="J22" s="21" t="n">
        <v>0.05600547170422727</v>
      </c>
      <c r="K22" s="21" t="n">
        <v>0.06969765812569338</v>
      </c>
      <c r="L22" s="21" t="n">
        <v>0.0488156074205159</v>
      </c>
      <c r="M22" s="21" t="n">
        <v>0.1084919611385032</v>
      </c>
    </row>
    <row r="23">
      <c r="A23" s="10" t="n">
        <v>0.165</v>
      </c>
      <c r="B23" s="21" t="n">
        <v>0.07352240726877729</v>
      </c>
      <c r="C23" s="21" t="n">
        <v>0.07531686909644451</v>
      </c>
      <c r="D23" s="21" t="n">
        <v>0.07447846083494869</v>
      </c>
      <c r="E23" s="21" t="n">
        <v>0.07467951261753775</v>
      </c>
      <c r="F23" s="21" t="n">
        <v>0.0510710168127629</v>
      </c>
      <c r="G23" s="21" t="n">
        <v>0.05473345683616523</v>
      </c>
      <c r="H23" s="21" t="n">
        <v>0.09487006280844637</v>
      </c>
      <c r="I23" s="21" t="n">
        <v>0.07617381014180899</v>
      </c>
      <c r="J23" s="21" t="n">
        <v>0.06111446306586749</v>
      </c>
      <c r="K23" s="21" t="n">
        <v>0.0766155149675376</v>
      </c>
      <c r="L23" s="21" t="n">
        <v>0.05456222172866273</v>
      </c>
      <c r="M23" s="21" t="n">
        <v>0.1182714709712737</v>
      </c>
    </row>
    <row r="24">
      <c r="A24" s="10" t="n">
        <v>0.175</v>
      </c>
      <c r="B24" s="21" t="n">
        <v>0.07997579477783974</v>
      </c>
      <c r="C24" s="21" t="n">
        <v>0.08188747920359946</v>
      </c>
      <c r="D24" s="21" t="n">
        <v>0.08118119053709334</v>
      </c>
      <c r="E24" s="21" t="n">
        <v>0.08127128758908801</v>
      </c>
      <c r="F24" s="21" t="n">
        <v>0.05527065469092327</v>
      </c>
      <c r="G24" s="21" t="n">
        <v>0.06076852056147144</v>
      </c>
      <c r="H24" s="21" t="n">
        <v>0.1030045637463949</v>
      </c>
      <c r="I24" s="21" t="n">
        <v>0.08307726228652612</v>
      </c>
      <c r="J24" s="21" t="n">
        <v>0.06636537085421992</v>
      </c>
      <c r="K24" s="21" t="n">
        <v>0.08368546160874983</v>
      </c>
      <c r="L24" s="21" t="n">
        <v>0.06058667023959796</v>
      </c>
      <c r="M24" s="21" t="n">
        <v>0.12599421305813</v>
      </c>
    </row>
    <row r="25">
      <c r="A25" s="10" t="n">
        <v>0.185</v>
      </c>
      <c r="B25" s="21" t="n">
        <v>0.08652496593252364</v>
      </c>
      <c r="C25" s="21" t="n">
        <v>0.0884580893107544</v>
      </c>
      <c r="D25" s="21" t="n">
        <v>0.08769241367631958</v>
      </c>
      <c r="E25" s="21" t="n">
        <v>0.08771657867238161</v>
      </c>
      <c r="F25" s="21" t="n">
        <v>0.05986659266767</v>
      </c>
      <c r="G25" s="21" t="n">
        <v>0.06662608241250394</v>
      </c>
      <c r="H25" s="21" t="n">
        <v>0.1118476098424465</v>
      </c>
      <c r="I25" s="21" t="n">
        <v>0.08998071443124325</v>
      </c>
      <c r="J25" s="21" t="n">
        <v>0.07193942062723226</v>
      </c>
      <c r="K25" s="21" t="n">
        <v>0.09075540824996206</v>
      </c>
      <c r="L25" s="21" t="n">
        <v>0.06646767950027284</v>
      </c>
      <c r="M25" s="21" t="n">
        <v>0.1339149741728544</v>
      </c>
    </row>
    <row r="26">
      <c r="A26" s="10" t="n">
        <v>0.195</v>
      </c>
      <c r="B26" s="21" t="n">
        <v>0.0932148719916229</v>
      </c>
      <c r="C26" s="21" t="n">
        <v>0.09518287425057105</v>
      </c>
      <c r="D26" s="21" t="n">
        <v>0.09412127055131803</v>
      </c>
      <c r="E26" s="21" t="n">
        <v>0.09517445929448812</v>
      </c>
      <c r="F26" s="21" t="n">
        <v>0.0643446860809104</v>
      </c>
      <c r="G26" s="21" t="n">
        <v>0.07266114613781015</v>
      </c>
      <c r="H26" s="21" t="n">
        <v>0.120513795016577</v>
      </c>
      <c r="I26" s="21" t="n">
        <v>0.09716250079471817</v>
      </c>
      <c r="J26" s="21" t="n">
        <v>0.07760648208251902</v>
      </c>
      <c r="K26" s="21" t="n">
        <v>0.09797264544619955</v>
      </c>
      <c r="L26" s="21" t="n">
        <v>0.07249212801120808</v>
      </c>
      <c r="M26" s="21" t="n">
        <v>0.1416377162597107</v>
      </c>
    </row>
    <row r="27">
      <c r="A27" s="10" t="n">
        <v>0.205</v>
      </c>
      <c r="B27" s="21" t="n">
        <v>0.09993616585528672</v>
      </c>
      <c r="C27" s="21" t="n">
        <v>0.1025266287979806</v>
      </c>
      <c r="D27" s="21" t="n">
        <v>0.1006798592910641</v>
      </c>
      <c r="E27" s="21" t="n">
        <v>0.1027745579118567</v>
      </c>
      <c r="F27" s="21" t="n">
        <v>0.06894062405765713</v>
      </c>
      <c r="G27" s="21" t="n">
        <v>0.07869620986311636</v>
      </c>
      <c r="H27" s="21" t="n">
        <v>0.128333127690664</v>
      </c>
      <c r="I27" s="21" t="n">
        <v>0.1046979128855699</v>
      </c>
      <c r="J27" s="21" t="n">
        <v>0.08327354353780579</v>
      </c>
      <c r="K27" s="21" t="n">
        <v>0.1054604222205729</v>
      </c>
      <c r="L27" s="21" t="n">
        <v>0.07851657652214332</v>
      </c>
      <c r="M27" s="21" t="n">
        <v>0.1492879402278147</v>
      </c>
    </row>
    <row r="28">
      <c r="A28" s="10" t="n">
        <v>0.215</v>
      </c>
      <c r="B28" s="21" t="n">
        <v>0.1068081655630215</v>
      </c>
      <c r="C28" s="21" t="n">
        <v>0.1100555827351187</v>
      </c>
      <c r="D28" s="21" t="n">
        <v>0.1070510597811031</v>
      </c>
      <c r="E28" s="21" t="n">
        <v>0.1105473860432564</v>
      </c>
      <c r="F28" s="21" t="n">
        <v>0.0741949906243341</v>
      </c>
      <c r="G28" s="21" t="n">
        <v>0.08455377171414886</v>
      </c>
      <c r="H28" s="21" t="n">
        <v>0.1360634418063193</v>
      </c>
      <c r="I28" s="21" t="n">
        <v>0.1124616707973566</v>
      </c>
      <c r="J28" s="21" t="n">
        <v>0.08894060499309256</v>
      </c>
      <c r="K28" s="21" t="n">
        <v>0.1135307292720144</v>
      </c>
      <c r="L28" s="21" t="n">
        <v>0.08510668154523768</v>
      </c>
      <c r="M28" s="21" t="n">
        <v>0.1568975540494174</v>
      </c>
    </row>
    <row r="29">
      <c r="A29" s="10" t="n">
        <v>0.225</v>
      </c>
      <c r="B29" s="21" t="n">
        <v>0.1139697291581635</v>
      </c>
      <c r="C29" s="21" t="n">
        <v>0.1179829684083894</v>
      </c>
      <c r="D29" s="21" t="n">
        <v>0.1142005770781111</v>
      </c>
      <c r="E29" s="21" t="n">
        <v>0.118147484660625</v>
      </c>
      <c r="F29" s="21" t="n">
        <v>0.07944935719101107</v>
      </c>
      <c r="G29" s="21" t="n">
        <v>0.09058883543945508</v>
      </c>
      <c r="H29" s="21" t="n">
        <v>0.1443341987924542</v>
      </c>
      <c r="I29" s="21" t="n">
        <v>0.1202254287091432</v>
      </c>
      <c r="J29" s="21" t="n">
        <v>0.09527489790025508</v>
      </c>
      <c r="K29" s="21" t="n">
        <v>0.121436336179549</v>
      </c>
      <c r="L29" s="21" t="n">
        <v>0.09269860489941599</v>
      </c>
      <c r="M29" s="21" t="n">
        <v>0.164702286174138</v>
      </c>
    </row>
    <row r="30">
      <c r="A30" s="10" t="n">
        <v>0.235</v>
      </c>
      <c r="B30" s="21" t="n">
        <v>0.1214651450974825</v>
      </c>
      <c r="C30" s="21" t="n">
        <v>0.1260853073675792</v>
      </c>
      <c r="D30" s="21" t="n">
        <v>0.122580934662841</v>
      </c>
      <c r="E30" s="21" t="n">
        <v>0.1259203127920247</v>
      </c>
      <c r="F30" s="21" t="n">
        <v>0.08484199656207428</v>
      </c>
      <c r="G30" s="21" t="n">
        <v>0.09719704967669915</v>
      </c>
      <c r="H30" s="21" t="n">
        <v>0.1527374597712183</v>
      </c>
      <c r="I30" s="21" t="n">
        <v>0.1279891866209298</v>
      </c>
      <c r="J30" s="21" t="n">
        <v>0.1027772864367659</v>
      </c>
      <c r="K30" s="21" t="n">
        <v>0.1295066432309905</v>
      </c>
      <c r="L30" s="21" t="n">
        <v>0.1001097681737329</v>
      </c>
      <c r="M30" s="21" t="n">
        <v>0.1724042283608461</v>
      </c>
    </row>
    <row r="31">
      <c r="A31" s="10" t="n">
        <v>0.245</v>
      </c>
      <c r="B31" s="21" t="n">
        <v>0.1291645065710156</v>
      </c>
      <c r="C31" s="21" t="n">
        <v>0.1342542861686819</v>
      </c>
      <c r="D31" s="21" t="n">
        <v>0.130961292247571</v>
      </c>
      <c r="E31" s="21" t="n">
        <v>0.1335204114093932</v>
      </c>
      <c r="F31" s="21" t="n">
        <v>0.08993957071455562</v>
      </c>
      <c r="G31" s="21" t="n">
        <v>0.1051561634048371</v>
      </c>
      <c r="H31" s="21" t="n">
        <v>0.1613236412127979</v>
      </c>
      <c r="I31" s="21" t="n">
        <v>0.1357529445327165</v>
      </c>
      <c r="J31" s="21" t="n">
        <v>0.1102796749732767</v>
      </c>
      <c r="K31" s="21" t="n">
        <v>0.1378164825352318</v>
      </c>
      <c r="L31" s="21" t="n">
        <v>0.1077016915279112</v>
      </c>
      <c r="M31" s="21" t="n">
        <v>0.1805282430737504</v>
      </c>
    </row>
    <row r="32">
      <c r="A32" s="10" t="n">
        <v>0.255</v>
      </c>
      <c r="B32" s="21" t="n">
        <v>0.1370312487930793</v>
      </c>
      <c r="C32" s="21" t="n">
        <v>0.1427012555329003</v>
      </c>
      <c r="D32" s="21" t="n">
        <v>0.1396916430140602</v>
      </c>
      <c r="E32" s="21" t="n">
        <v>0.1417304918704676</v>
      </c>
      <c r="F32" s="21" t="n">
        <v>0.0948434601200894</v>
      </c>
      <c r="G32" s="21" t="n">
        <v>0.1133564623974641</v>
      </c>
      <c r="H32" s="21" t="n">
        <v>0.1699243639972136</v>
      </c>
      <c r="I32" s="21" t="n">
        <v>0.1432883566235682</v>
      </c>
      <c r="J32" s="21" t="n">
        <v>0.1177820635097875</v>
      </c>
      <c r="K32" s="21" t="n">
        <v>0.1468771589586048</v>
      </c>
      <c r="L32" s="21" t="n">
        <v>0.1152936148820895</v>
      </c>
      <c r="M32" s="21" t="n">
        <v>0.1886522577866547</v>
      </c>
    </row>
    <row r="33">
      <c r="A33" s="10" t="n">
        <v>0.265</v>
      </c>
      <c r="B33" s="21" t="n">
        <v>0.1451535611282101</v>
      </c>
      <c r="C33" s="21" t="n">
        <v>0.1513282679879288</v>
      </c>
      <c r="D33" s="21" t="n">
        <v>0.1489518532475617</v>
      </c>
      <c r="E33" s="21" t="n">
        <v>0.1505330343944414</v>
      </c>
      <c r="F33" s="21" t="n">
        <v>0.09987639924682144</v>
      </c>
      <c r="G33" s="21" t="n">
        <v>0.1215567613900911</v>
      </c>
      <c r="H33" s="21" t="n">
        <v>0.1784173313855545</v>
      </c>
      <c r="I33" s="21" t="n">
        <v>0.152209627346776</v>
      </c>
      <c r="J33" s="21" t="n">
        <v>0.1252844520462983</v>
      </c>
      <c r="K33" s="21" t="n">
        <v>0.1557529236182356</v>
      </c>
      <c r="L33" s="21" t="n">
        <v>0.1229043654459601</v>
      </c>
      <c r="M33" s="21" t="n">
        <v>0.1969845805691206</v>
      </c>
    </row>
    <row r="34">
      <c r="A34" s="10" t="n">
        <v>0.275</v>
      </c>
      <c r="B34" s="21" t="n">
        <v>0.1538541316096692</v>
      </c>
      <c r="C34" s="21" t="n">
        <v>0.1604418816067472</v>
      </c>
      <c r="D34" s="21" t="n">
        <v>0.158484422605578</v>
      </c>
      <c r="E34" s="21" t="n">
        <v>0.159535634703051</v>
      </c>
      <c r="F34" s="21" t="n">
        <v>0.1054497336194387</v>
      </c>
      <c r="G34" s="21" t="n">
        <v>0.1297570603827181</v>
      </c>
      <c r="H34" s="21" t="n">
        <v>0.187477047452923</v>
      </c>
      <c r="I34" s="21" t="n">
        <v>0.1619411570379786</v>
      </c>
      <c r="J34" s="21" t="n">
        <v>0.1345861092953854</v>
      </c>
      <c r="K34" s="21" t="n">
        <v>0.1646286882778663</v>
      </c>
      <c r="L34" s="21" t="n">
        <v>0.1315441220702951</v>
      </c>
      <c r="M34" s="21" t="n">
        <v>0.2058554024590684</v>
      </c>
    </row>
    <row r="35">
      <c r="A35" s="10" t="n">
        <v>0.285</v>
      </c>
      <c r="B35" s="21" t="n">
        <v>0.162862991171838</v>
      </c>
      <c r="C35" s="21" t="n">
        <v>0.1699415040065609</v>
      </c>
      <c r="D35" s="21" t="n">
        <v>0.1677446328390795</v>
      </c>
      <c r="E35" s="21" t="n">
        <v>0.1685382350116607</v>
      </c>
      <c r="F35" s="21" t="n">
        <v>0.1131801684415471</v>
      </c>
      <c r="G35" s="21" t="n">
        <v>0.1377161741108561</v>
      </c>
      <c r="H35" s="21" t="n">
        <v>0.1965367635202914</v>
      </c>
      <c r="I35" s="21" t="n">
        <v>0.1716726867291812</v>
      </c>
      <c r="J35" s="21" t="n">
        <v>0.1448157018850502</v>
      </c>
      <c r="K35" s="21" t="n">
        <v>0.1739800246726509</v>
      </c>
      <c r="L35" s="21" t="n">
        <v>0.1399781702035746</v>
      </c>
      <c r="M35" s="21" t="n">
        <v>0.2150196128828548</v>
      </c>
    </row>
    <row r="36">
      <c r="A36" s="10" t="n">
        <v>0.295</v>
      </c>
      <c r="B36" s="21" t="n">
        <v>0.1721379109327866</v>
      </c>
      <c r="C36" s="21" t="n">
        <v>0.1796871011961134</v>
      </c>
      <c r="D36" s="21" t="n">
        <v>0.1775480273300928</v>
      </c>
      <c r="E36" s="21" t="n">
        <v>0.1773407775356345</v>
      </c>
      <c r="F36" s="21" t="n">
        <v>0.1211140357589741</v>
      </c>
      <c r="G36" s="21" t="n">
        <v>0.1459164731034831</v>
      </c>
      <c r="H36" s="21" t="n">
        <v>0.2061775999108234</v>
      </c>
      <c r="I36" s="21" t="n">
        <v>0.1814042164203838</v>
      </c>
      <c r="J36" s="21" t="n">
        <v>0.155045294474715</v>
      </c>
      <c r="K36" s="21" t="n">
        <v>0.1842509571950571</v>
      </c>
      <c r="L36" s="21" t="n">
        <v>0.1486179268279096</v>
      </c>
      <c r="M36" s="21" t="n">
        <v>0.2241838233066411</v>
      </c>
    </row>
    <row r="37">
      <c r="A37" s="10" t="n">
        <v>0.305</v>
      </c>
      <c r="B37" s="21" t="n">
        <v>0.181390139802287</v>
      </c>
      <c r="C37" s="21" t="n">
        <v>0.1900526422325501</v>
      </c>
      <c r="D37" s="21" t="n">
        <v>0.1871370966536622</v>
      </c>
      <c r="E37" s="21" t="n">
        <v>0.1863433778442441</v>
      </c>
      <c r="F37" s="21" t="n">
        <v>0.1288444705810825</v>
      </c>
      <c r="G37" s="21" t="n">
        <v>0.1541167720961101</v>
      </c>
      <c r="H37" s="21" t="n">
        <v>0.2157032783803675</v>
      </c>
      <c r="I37" s="21" t="n">
        <v>0.1908495246500804</v>
      </c>
      <c r="J37" s="21" t="n">
        <v>0.1652748870643798</v>
      </c>
      <c r="K37" s="21" t="n">
        <v>0.1947358674783468</v>
      </c>
      <c r="L37" s="21" t="n">
        <v>0.1572576834522446</v>
      </c>
      <c r="M37" s="21" t="n">
        <v>0.2334857282655776</v>
      </c>
    </row>
    <row r="38">
      <c r="A38" s="10" t="n">
        <v>0.315</v>
      </c>
      <c r="B38" s="21" t="n">
        <v>0.1910277440609701</v>
      </c>
      <c r="C38" s="21" t="n">
        <v>0.2004670238531654</v>
      </c>
      <c r="D38" s="21" t="n">
        <v>0.1967261659772315</v>
      </c>
      <c r="E38" s="21" t="n">
        <v>0.195145920368218</v>
      </c>
      <c r="F38" s="21" t="n">
        <v>0.1405085181308738</v>
      </c>
      <c r="G38" s="21" t="n">
        <v>0.1624301285374506</v>
      </c>
      <c r="H38" s="21" t="n">
        <v>0.2258816783689135</v>
      </c>
      <c r="I38" s="21" t="n">
        <v>0.200581054341283</v>
      </c>
      <c r="J38" s="21" t="n">
        <v>0.1755044796540446</v>
      </c>
      <c r="K38" s="21" t="n">
        <v>0.205006800000753</v>
      </c>
      <c r="L38" s="21" t="n">
        <v>0.165691731585524</v>
      </c>
      <c r="M38" s="21" t="n">
        <v>0.2423789298641546</v>
      </c>
    </row>
    <row r="39">
      <c r="A39" s="10" t="n">
        <v>0.325</v>
      </c>
      <c r="B39" s="21" t="n">
        <v>0.2014168428914964</v>
      </c>
      <c r="C39" s="21" t="n">
        <v>0.2108814054737806</v>
      </c>
      <c r="D39" s="21" t="n">
        <v>0.2069964594396566</v>
      </c>
      <c r="E39" s="21" t="n">
        <v>0.2049916583987877</v>
      </c>
      <c r="F39" s="21" t="n">
        <v>0.1533013404111908</v>
      </c>
      <c r="G39" s="21" t="n">
        <v>0.1730392779798546</v>
      </c>
      <c r="H39" s="21" t="n">
        <v>0.2361606851686361</v>
      </c>
      <c r="I39" s="21" t="n">
        <v>0.2103125840324856</v>
      </c>
      <c r="J39" s="21" t="n">
        <v>0.1874249962759301</v>
      </c>
      <c r="K39" s="21" t="n">
        <v>0.2154917102840427</v>
      </c>
      <c r="L39" s="21" t="n">
        <v>0.1750792217251639</v>
      </c>
      <c r="M39" s="21" t="n">
        <v>0.2512721314627316</v>
      </c>
    </row>
    <row r="40">
      <c r="A40" s="10" t="n">
        <v>0.335</v>
      </c>
      <c r="B40" s="21" t="n">
        <v>0.2119005829395281</v>
      </c>
      <c r="C40" s="21" t="n">
        <v>0.2219849299508976</v>
      </c>
      <c r="D40" s="21" t="n">
        <v>0.2173395593964219</v>
      </c>
      <c r="E40" s="21" t="n">
        <v>0.214824702582935</v>
      </c>
      <c r="F40" s="21" t="n">
        <v>0.1660941626915079</v>
      </c>
      <c r="G40" s="21" t="n">
        <v>0.1836484274222586</v>
      </c>
      <c r="H40" s="21" t="n">
        <v>0.2462272328294501</v>
      </c>
      <c r="I40" s="21" t="n">
        <v>0.2208691394082092</v>
      </c>
      <c r="J40" s="21" t="n">
        <v>0.1992372036334163</v>
      </c>
      <c r="K40" s="21" t="n">
        <v>0.2262830511424565</v>
      </c>
      <c r="L40" s="21" t="n">
        <v>0.1844713034249276</v>
      </c>
      <c r="M40" s="21" t="n">
        <v>0.2601653330613087</v>
      </c>
    </row>
    <row r="41">
      <c r="A41" s="10" t="n">
        <v>0.345</v>
      </c>
      <c r="B41" s="21" t="n">
        <v>0.2225842095293222</v>
      </c>
      <c r="C41" s="21" t="n">
        <v>0.2336251950238009</v>
      </c>
      <c r="D41" s="21" t="n">
        <v>0.2279868681754449</v>
      </c>
      <c r="E41" s="21" t="n">
        <v>0.2248812250439948</v>
      </c>
      <c r="F41" s="21" t="n">
        <v>0.17946268192285</v>
      </c>
      <c r="G41" s="21" t="n">
        <v>0.1939455430575331</v>
      </c>
      <c r="H41" s="21" t="n">
        <v>0.2564930107774145</v>
      </c>
      <c r="I41" s="21" t="n">
        <v>0.2312219758908791</v>
      </c>
      <c r="J41" s="21" t="n">
        <v>0.2110494109909024</v>
      </c>
      <c r="K41" s="21" t="n">
        <v>0.2372992116020872</v>
      </c>
      <c r="L41" s="21" t="n">
        <v>0.1940924602881001</v>
      </c>
      <c r="M41" s="21" t="n">
        <v>0.2697564727045402</v>
      </c>
    </row>
    <row r="42">
      <c r="A42" s="10" t="n">
        <v>0.355</v>
      </c>
      <c r="B42" s="21" t="n">
        <v>0.2333452921947627</v>
      </c>
      <c r="C42" s="21" t="n">
        <v>0.2453832948278588</v>
      </c>
      <c r="D42" s="21" t="n">
        <v>0.2386183976329188</v>
      </c>
      <c r="E42" s="21" t="n">
        <v>0.2347142692281421</v>
      </c>
      <c r="F42" s="21" t="n">
        <v>0.1930812916448613</v>
      </c>
      <c r="G42" s="21" t="n">
        <v>0.2045546924999371</v>
      </c>
      <c r="H42" s="21" t="n">
        <v>0.2667098205444837</v>
      </c>
      <c r="I42" s="21" t="n">
        <v>0.2418885346912055</v>
      </c>
      <c r="J42" s="21" t="n">
        <v>0.2228616183483886</v>
      </c>
      <c r="K42" s="21" t="n">
        <v>0.248090552460501</v>
      </c>
      <c r="L42" s="21" t="n">
        <v>0.2037136171512727</v>
      </c>
      <c r="M42" s="21" t="n">
        <v>0.2796988086952836</v>
      </c>
    </row>
    <row r="43">
      <c r="A43" s="10" t="n">
        <v>0.365</v>
      </c>
      <c r="B43" s="21" t="n">
        <v>0.2441729945986035</v>
      </c>
      <c r="C43" s="21" t="n">
        <v>0.2575771122433765</v>
      </c>
      <c r="D43" s="21" t="n">
        <v>0.2496152711246237</v>
      </c>
      <c r="E43" s="21" t="n">
        <v>0.2447707916892019</v>
      </c>
      <c r="F43" s="21" t="n">
        <v>0.2066999013668726</v>
      </c>
      <c r="G43" s="21" t="n">
        <v>0.2151638419423411</v>
      </c>
      <c r="H43" s="21" t="n">
        <v>0.2768315744309913</v>
      </c>
      <c r="I43" s="21" t="n">
        <v>0.252555093491532</v>
      </c>
      <c r="J43" s="21" t="n">
        <v>0.2353211789556156</v>
      </c>
      <c r="K43" s="21" t="n">
        <v>0.2588818933189148</v>
      </c>
      <c r="L43" s="21" t="n">
        <v>0.2131056988510364</v>
      </c>
      <c r="M43" s="21" t="n">
        <v>0.2893925862862584</v>
      </c>
    </row>
    <row r="44">
      <c r="A44" s="10" t="n">
        <v>0.375</v>
      </c>
      <c r="B44" s="21" t="n">
        <v>0.2554357616121651</v>
      </c>
      <c r="C44" s="21" t="n">
        <v>0.2700396703905892</v>
      </c>
      <c r="D44" s="21" t="n">
        <v>0.2609355820719669</v>
      </c>
      <c r="E44" s="21" t="n">
        <v>0.2546038358733492</v>
      </c>
      <c r="F44" s="21" t="n">
        <v>0.2206768955552526</v>
      </c>
      <c r="G44" s="21" t="n">
        <v>0.2257729913847451</v>
      </c>
      <c r="H44" s="21" t="n">
        <v>0.2867814684233949</v>
      </c>
      <c r="I44" s="21" t="n">
        <v>0.2632216522918585</v>
      </c>
      <c r="J44" s="21" t="n">
        <v>0.2496389641150898</v>
      </c>
      <c r="K44" s="21" t="n">
        <v>0.2705373033792651</v>
      </c>
      <c r="L44" s="21" t="n">
        <v>0.2236343207017613</v>
      </c>
      <c r="M44" s="21" t="n">
        <v>0.2993546705825506</v>
      </c>
    </row>
    <row r="45">
      <c r="A45" s="10" t="n">
        <v>0.385</v>
      </c>
      <c r="B45" s="21" t="n">
        <v>0.2669212730263417</v>
      </c>
      <c r="C45" s="21" t="n">
        <v>0.2825921469076009</v>
      </c>
      <c r="D45" s="21" t="n">
        <v>0.2720438817281135</v>
      </c>
      <c r="E45" s="21" t="n">
        <v>0.2657595364940097</v>
      </c>
      <c r="F45" s="21" t="n">
        <v>0.2348758300175681</v>
      </c>
      <c r="G45" s="21" t="n">
        <v>0.2360701070200196</v>
      </c>
      <c r="H45" s="21" t="n">
        <v>0.2976676019005563</v>
      </c>
      <c r="I45" s="21" t="n">
        <v>0.2738882110921849</v>
      </c>
      <c r="J45" s="21" t="n">
        <v>0.2635697821080916</v>
      </c>
      <c r="K45" s="21" t="n">
        <v>0.2820105104784466</v>
      </c>
      <c r="L45" s="21" t="n">
        <v>0.2347175871510541</v>
      </c>
      <c r="M45" s="21" t="n">
        <v>0.3095716462488943</v>
      </c>
    </row>
    <row r="46">
      <c r="A46" s="10" t="n">
        <v>0.395</v>
      </c>
      <c r="B46" s="21" t="n">
        <v>0.2788446779260309</v>
      </c>
      <c r="C46" s="21" t="n">
        <v>0.2957375405264048</v>
      </c>
      <c r="D46" s="21" t="n">
        <v>0.2841441758265487</v>
      </c>
      <c r="E46" s="21" t="n">
        <v>0.2780107726292788</v>
      </c>
      <c r="F46" s="21" t="n">
        <v>0.2492820233157066</v>
      </c>
      <c r="G46" s="21" t="n">
        <v>0.2469276925920646</v>
      </c>
      <c r="H46" s="21" t="n">
        <v>0.3085537353777177</v>
      </c>
      <c r="I46" s="21" t="n">
        <v>0.2852197570869398</v>
      </c>
      <c r="J46" s="21" t="n">
        <v>0.2775006001010935</v>
      </c>
      <c r="K46" s="21" t="n">
        <v>0.2937227427255276</v>
      </c>
      <c r="L46" s="21" t="n">
        <v>0.2460711771722809</v>
      </c>
      <c r="M46" s="21" t="n">
        <v>0.3200505956502724</v>
      </c>
    </row>
    <row r="47">
      <c r="A47" s="10" t="n">
        <v>0.405</v>
      </c>
      <c r="B47" s="21" t="n">
        <v>0.291241638851747</v>
      </c>
      <c r="C47" s="21" t="n">
        <v>0.3092698448982674</v>
      </c>
      <c r="D47" s="21" t="n">
        <v>0.2958987472364571</v>
      </c>
      <c r="E47" s="21" t="n">
        <v>0.2905404459494402</v>
      </c>
      <c r="F47" s="21" t="n">
        <v>0.2640673269637961</v>
      </c>
      <c r="G47" s="21" t="n">
        <v>0.2603524515037326</v>
      </c>
      <c r="H47" s="21" t="n">
        <v>0.3201809350915924</v>
      </c>
      <c r="I47" s="21" t="n">
        <v>0.2984460176881041</v>
      </c>
      <c r="J47" s="21" t="n">
        <v>0.2914314180940954</v>
      </c>
      <c r="K47" s="21" t="n">
        <v>0.305195949824709</v>
      </c>
      <c r="L47" s="21" t="n">
        <v>0.2574247671935078</v>
      </c>
      <c r="M47" s="21" t="n">
        <v>0.3303250690447024</v>
      </c>
    </row>
    <row r="48">
      <c r="A48" s="10" t="n">
        <v>0.415</v>
      </c>
      <c r="B48" s="21" t="n">
        <v>0.3040938022870283</v>
      </c>
      <c r="C48" s="21" t="n">
        <v>0.3226933093579022</v>
      </c>
      <c r="D48" s="21" t="n">
        <v>0.3079990413348923</v>
      </c>
      <c r="E48" s="21" t="n">
        <v>0.3030701192696017</v>
      </c>
      <c r="F48" s="21" t="n">
        <v>0.2795499039083914</v>
      </c>
      <c r="G48" s="21" t="n">
        <v>0.2733823645650574</v>
      </c>
      <c r="H48" s="21" t="n">
        <v>0.3322084839333449</v>
      </c>
      <c r="I48" s="21" t="n">
        <v>0.3116722782892684</v>
      </c>
      <c r="J48" s="21" t="n">
        <v>0.3062119665077198</v>
      </c>
      <c r="K48" s="21" t="n">
        <v>0.3184728868896158</v>
      </c>
      <c r="L48" s="21" t="n">
        <v>0.2685080336428006</v>
      </c>
      <c r="M48" s="21" t="n">
        <v>0.3416632504087296</v>
      </c>
    </row>
    <row r="49">
      <c r="A49" s="10" t="n">
        <v>0.425</v>
      </c>
      <c r="B49" s="21" t="n">
        <v>0.3177913174990092</v>
      </c>
      <c r="C49" s="21" t="n">
        <v>0.3358116265978426</v>
      </c>
      <c r="D49" s="21" t="n">
        <v>0.3222850522637423</v>
      </c>
      <c r="E49" s="21" t="n">
        <v>0.3153213554048707</v>
      </c>
      <c r="F49" s="21" t="n">
        <v>0.2978334544074653</v>
      </c>
      <c r="G49" s="21" t="n">
        <v>0.2868071234767254</v>
      </c>
      <c r="H49" s="21" t="n">
        <v>0.3453393375087103</v>
      </c>
      <c r="I49" s="21" t="n">
        <v>0.3248985388904326</v>
      </c>
      <c r="J49" s="21" t="n">
        <v>0.321958843738241</v>
      </c>
      <c r="K49" s="21" t="n">
        <v>0.3320919748818154</v>
      </c>
      <c r="L49" s="21" t="n">
        <v>0.2803101798286314</v>
      </c>
      <c r="M49" s="21" t="n">
        <v>0.3530014317727569</v>
      </c>
    </row>
    <row r="50">
      <c r="A50" s="10" t="n">
        <v>0.435</v>
      </c>
      <c r="B50" s="21" t="n">
        <v>0.3319166676822759</v>
      </c>
      <c r="C50" s="21" t="n">
        <v>0.3494049849347041</v>
      </c>
      <c r="D50" s="21" t="n">
        <v>0.3366477734810451</v>
      </c>
      <c r="E50" s="21" t="n">
        <v>0.3278510287250322</v>
      </c>
      <c r="F50" s="21" t="n">
        <v>0.3156481959193835</v>
      </c>
      <c r="G50" s="21" t="n">
        <v>0.3002318823883934</v>
      </c>
      <c r="H50" s="21" t="n">
        <v>0.3593370733747716</v>
      </c>
      <c r="I50" s="21" t="n">
        <v>0.3381247994915969</v>
      </c>
      <c r="J50" s="21" t="n">
        <v>0.3372801296922615</v>
      </c>
      <c r="K50" s="21" t="n">
        <v>0.3459947938738525</v>
      </c>
      <c r="L50" s="21" t="n">
        <v>0.2959911469651151</v>
      </c>
      <c r="M50" s="21" t="n">
        <v>0.3646303357358618</v>
      </c>
    </row>
    <row r="51">
      <c r="A51" s="10" t="n">
        <v>0.445</v>
      </c>
      <c r="B51" s="21" t="n">
        <v>0.3460433806508657</v>
      </c>
      <c r="C51" s="21" t="n">
        <v>0.3631229475728032</v>
      </c>
      <c r="D51" s="21" t="n">
        <v>0.3514329276753274</v>
      </c>
      <c r="E51" s="21" t="n">
        <v>0.3401022648603012</v>
      </c>
      <c r="F51" s="21" t="n">
        <v>0.3334629374313017</v>
      </c>
      <c r="G51" s="21" t="n">
        <v>0.3132617954497183</v>
      </c>
      <c r="H51" s="21" t="n">
        <v>0.3730483336175641</v>
      </c>
      <c r="I51" s="21" t="n">
        <v>0.3509620524280211</v>
      </c>
      <c r="J51" s="21" t="n">
        <v>0.3526014156462821</v>
      </c>
      <c r="K51" s="21" t="n">
        <v>0.3596138818660521</v>
      </c>
      <c r="L51" s="21" t="n">
        <v>0.3120545767146837</v>
      </c>
      <c r="M51" s="21" t="n">
        <v>0.3770440165301058</v>
      </c>
    </row>
    <row r="52">
      <c r="A52" s="10" t="n">
        <v>0.455</v>
      </c>
      <c r="B52" s="21" t="n">
        <v>0.3615881853795907</v>
      </c>
      <c r="C52" s="21" t="n">
        <v>0.3766470388064692</v>
      </c>
      <c r="D52" s="21" t="n">
        <v>0.3672971993510927</v>
      </c>
      <c r="E52" s="21" t="n">
        <v>0.3579341170453696</v>
      </c>
      <c r="F52" s="21" t="n">
        <v>0.3540032548705951</v>
      </c>
      <c r="G52" s="21" t="n">
        <v>0.3266865543613863</v>
      </c>
      <c r="H52" s="21" t="n">
        <v>0.3870227805338126</v>
      </c>
      <c r="I52" s="21" t="n">
        <v>0.3641883130291854</v>
      </c>
      <c r="J52" s="21" t="n">
        <v>0.367994555024265</v>
      </c>
      <c r="K52" s="21" t="n">
        <v>0.3754096350597383</v>
      </c>
      <c r="L52" s="21" t="n">
        <v>0.3281180064642523</v>
      </c>
      <c r="M52" s="21" t="n">
        <v>0.3902058708410224</v>
      </c>
    </row>
    <row r="53">
      <c r="A53" s="10" t="n">
        <v>0.465</v>
      </c>
      <c r="B53" s="21" t="n">
        <v>0.377562304707788</v>
      </c>
      <c r="C53" s="21" t="n">
        <v>0.3895255820390868</v>
      </c>
      <c r="D53" s="21" t="n">
        <v>0.3843673216343396</v>
      </c>
      <c r="E53" s="21" t="n">
        <v>0.3760177499320363</v>
      </c>
      <c r="F53" s="21" t="n">
        <v>0.3746765678401248</v>
      </c>
      <c r="G53" s="21" t="n">
        <v>0.3401113132730543</v>
      </c>
      <c r="H53" s="21" t="n">
        <v>0.4010492333710811</v>
      </c>
      <c r="I53" s="21" t="n">
        <v>0.3781654020472507</v>
      </c>
      <c r="J53" s="21" t="n">
        <v>0.3846092026096089</v>
      </c>
      <c r="K53" s="21" t="n">
        <v>0.3918681243544116</v>
      </c>
      <c r="L53" s="21" t="n">
        <v>0.3437989736007359</v>
      </c>
      <c r="M53" s="21" t="n">
        <v>0.4033677251519389</v>
      </c>
    </row>
    <row r="54">
      <c r="A54" s="10" t="n">
        <v>0.475</v>
      </c>
      <c r="B54" s="21" t="n">
        <v>0.3937680689967195</v>
      </c>
      <c r="C54" s="21" t="n">
        <v>0.4018007535947364</v>
      </c>
      <c r="D54" s="21" t="n">
        <v>0.4009497261380651</v>
      </c>
      <c r="E54" s="21" t="n">
        <v>0.3945123744752182</v>
      </c>
      <c r="F54" s="21" t="n">
        <v>0.3953498808096544</v>
      </c>
      <c r="G54" s="21" t="n">
        <v>0.3532321708403716</v>
      </c>
      <c r="H54" s="21" t="n">
        <v>0.415381263881501</v>
      </c>
      <c r="I54" s="21" t="n">
        <v>0.3925015829168775</v>
      </c>
      <c r="J54" s="21" t="n">
        <v>0.4016853681834345</v>
      </c>
      <c r="K54" s="21" t="n">
        <v>0.4083266136490848</v>
      </c>
      <c r="L54" s="21" t="n">
        <v>0.3598624033503045</v>
      </c>
      <c r="M54" s="21" t="n">
        <v>0.4177285285586377</v>
      </c>
    </row>
    <row r="55">
      <c r="A55" s="10" t="n">
        <v>0.485</v>
      </c>
      <c r="B55" s="21" t="n">
        <v>0.4096519770999145</v>
      </c>
      <c r="C55" s="21" t="n">
        <v>0.4140046357591086</v>
      </c>
      <c r="D55" s="21" t="n">
        <v>0.4151325043291971</v>
      </c>
      <c r="E55" s="21" t="n">
        <v>0.4125960073618849</v>
      </c>
      <c r="F55" s="21" t="n">
        <v>0.4152705652161063</v>
      </c>
      <c r="G55" s="21" t="n">
        <v>0.3651477789724107</v>
      </c>
      <c r="H55" s="21" t="n">
        <v>0.4300057848105009</v>
      </c>
      <c r="I55" s="21" t="n">
        <v>0.4064161114079858</v>
      </c>
      <c r="J55" s="21" t="n">
        <v>0.4183000157687784</v>
      </c>
      <c r="K55" s="21" t="n">
        <v>0.4251279881373971</v>
      </c>
      <c r="L55" s="21" t="n">
        <v>0.377438406494655</v>
      </c>
      <c r="M55" s="21" t="n">
        <v>0.4327568917820314</v>
      </c>
    </row>
    <row r="56">
      <c r="A56" s="10" t="n">
        <v>0.495</v>
      </c>
      <c r="B56" s="21" t="n">
        <v>0.426337953161325</v>
      </c>
      <c r="C56" s="21" t="n">
        <v>0.4262174257163494</v>
      </c>
      <c r="D56" s="21" t="n">
        <v>0.4300347258226428</v>
      </c>
      <c r="E56" s="21" t="n">
        <v>0.4278026986529455</v>
      </c>
      <c r="F56" s="21" t="n">
        <v>0.4324688827291158</v>
      </c>
      <c r="G56" s="21" t="n">
        <v>0.3792298613102751</v>
      </c>
      <c r="H56" s="21" t="n">
        <v>0.4490581875235082</v>
      </c>
      <c r="I56" s="21" t="n">
        <v>0.4228605541702047</v>
      </c>
      <c r="J56" s="21" t="n">
        <v>0.4386068072619765</v>
      </c>
      <c r="K56" s="21" t="n">
        <v>0.4409443297121507</v>
      </c>
      <c r="L56" s="21" t="n">
        <v>0.3950917226385541</v>
      </c>
      <c r="M56" s="21" t="n">
        <v>0.4485559402989325</v>
      </c>
    </row>
    <row r="57">
      <c r="A57" s="10" t="n">
        <v>0.505</v>
      </c>
      <c r="B57" s="21" t="n">
        <v>0.4425530286772852</v>
      </c>
      <c r="C57" s="21" t="n">
        <v>0.4384924834995321</v>
      </c>
      <c r="D57" s="21" t="n">
        <v>0.4484025802215411</v>
      </c>
      <c r="E57" s="21" t="n">
        <v>0.4384884817223395</v>
      </c>
      <c r="F57" s="21" t="n">
        <v>0.4520669654764986</v>
      </c>
      <c r="G57" s="21" t="n">
        <v>0.395839496888269</v>
      </c>
      <c r="H57" s="21" t="n">
        <v>0.4624050828563695</v>
      </c>
      <c r="I57" s="21" t="n">
        <v>0.4414132588250158</v>
      </c>
      <c r="J57" s="21" t="n">
        <v>0.4569503832494292</v>
      </c>
      <c r="K57" s="21" t="n">
        <v>0.4552536562863322</v>
      </c>
      <c r="L57" s="21" t="n">
        <v>0.4104817931229791</v>
      </c>
      <c r="M57" s="21" t="n">
        <v>0.4649390058928468</v>
      </c>
    </row>
    <row r="58">
      <c r="A58" s="10" t="n">
        <v>0.515</v>
      </c>
      <c r="B58" s="21" t="n">
        <v>0.4580782505536805</v>
      </c>
      <c r="C58" s="21" t="n">
        <v>0.4508828938505348</v>
      </c>
      <c r="D58" s="21" t="n">
        <v>0.4639214344033896</v>
      </c>
      <c r="E58" s="21" t="n">
        <v>0.4491742647917334</v>
      </c>
      <c r="F58" s="21" t="n">
        <v>0.4697548678923055</v>
      </c>
      <c r="G58" s="21" t="n">
        <v>0.4124491324662629</v>
      </c>
      <c r="H58" s="21" t="n">
        <v>0.4763080988280999</v>
      </c>
      <c r="I58" s="21" t="n">
        <v>0.4603876158583454</v>
      </c>
      <c r="J58" s="21" t="n">
        <v>0.47265399171974</v>
      </c>
      <c r="K58" s="21" t="n">
        <v>0.4701592048011046</v>
      </c>
      <c r="L58" s="21" t="n">
        <v>0.4263245127392988</v>
      </c>
      <c r="M58" s="21" t="n">
        <v>0.4799033930414045</v>
      </c>
    </row>
    <row r="59">
      <c r="A59" s="10" t="n">
        <v>0.525</v>
      </c>
      <c r="B59" s="21" t="n">
        <v>0.4726395432628017</v>
      </c>
      <c r="C59" s="21" t="n">
        <v>0.4633143565406541</v>
      </c>
      <c r="D59" s="21" t="n">
        <v>0.4796887170943518</v>
      </c>
      <c r="E59" s="21" t="n">
        <v>0.4598600478611273</v>
      </c>
      <c r="F59" s="21" t="n">
        <v>0.4836931046899581</v>
      </c>
      <c r="G59" s="21" t="n">
        <v>0.4290587680442567</v>
      </c>
      <c r="H59" s="21" t="n">
        <v>0.4902111147998304</v>
      </c>
      <c r="I59" s="21" t="n">
        <v>0.4747081329816916</v>
      </c>
      <c r="J59" s="21" t="n">
        <v>0.4880720800360452</v>
      </c>
      <c r="K59" s="21" t="n">
        <v>0.4844685313752861</v>
      </c>
      <c r="L59" s="21" t="n">
        <v>0.4417145832237238</v>
      </c>
      <c r="M59" s="21" t="n">
        <v>0.4948677801899622</v>
      </c>
    </row>
    <row r="60">
      <c r="A60" s="10" t="n">
        <v>0.535</v>
      </c>
      <c r="B60" s="21" t="n">
        <v>0.487213411445214</v>
      </c>
      <c r="C60" s="21" t="n">
        <v>0.4757518620380794</v>
      </c>
      <c r="D60" s="21" t="n">
        <v>0.4933823913608701</v>
      </c>
      <c r="E60" s="21" t="n">
        <v>0.4727274934598056</v>
      </c>
      <c r="F60" s="21" t="n">
        <v>0.4976313414876107</v>
      </c>
      <c r="G60" s="21" t="n">
        <v>0.4456684036222506</v>
      </c>
      <c r="H60" s="21" t="n">
        <v>0.50476965156304</v>
      </c>
      <c r="I60" s="21" t="n">
        <v>0.4892534565518602</v>
      </c>
      <c r="J60" s="21" t="n">
        <v>0.5023782080296794</v>
      </c>
      <c r="K60" s="21" t="n">
        <v>0.4993740798900584</v>
      </c>
      <c r="L60" s="21" t="n">
        <v>0.4571046537081487</v>
      </c>
      <c r="M60" s="21" t="n">
        <v>0.5097942147959321</v>
      </c>
    </row>
    <row r="61">
      <c r="A61" s="10" t="n">
        <v>0.545</v>
      </c>
      <c r="B61" s="21" t="n">
        <v>0.5013365084390341</v>
      </c>
      <c r="C61" s="21" t="n">
        <v>0.4881126842123613</v>
      </c>
      <c r="D61" s="21" t="n">
        <v>0.5066519184496614</v>
      </c>
      <c r="E61" s="21" t="n">
        <v>0.4861143825178373</v>
      </c>
      <c r="F61" s="21" t="n">
        <v>0.5119178233458649</v>
      </c>
      <c r="G61" s="21" t="n">
        <v>0.4601183227710859</v>
      </c>
      <c r="H61" s="21" t="n">
        <v>0.5204544931676357</v>
      </c>
      <c r="I61" s="21" t="n">
        <v>0.5034755507093585</v>
      </c>
      <c r="J61" s="21" t="n">
        <v>0.5158211863171308</v>
      </c>
      <c r="K61" s="21" t="n">
        <v>0.5136834064642399</v>
      </c>
      <c r="L61" s="21" t="n">
        <v>0.4711057751594367</v>
      </c>
      <c r="M61" s="21" t="n">
        <v>0.5239426222788516</v>
      </c>
    </row>
    <row r="62">
      <c r="A62" s="10" t="n">
        <v>0.555</v>
      </c>
      <c r="B62" s="21" t="n">
        <v>0.5153352041089151</v>
      </c>
      <c r="C62" s="21" t="n">
        <v>0.5005561270921873</v>
      </c>
      <c r="D62" s="21" t="n">
        <v>0.5199977714534807</v>
      </c>
      <c r="E62" s="21" t="n">
        <v>0.499501271575869</v>
      </c>
      <c r="F62" s="21" t="n">
        <v>0.5259537404926371</v>
      </c>
      <c r="G62" s="21" t="n">
        <v>0.4741806005095595</v>
      </c>
      <c r="H62" s="21" t="n">
        <v>0.5355119411080476</v>
      </c>
      <c r="I62" s="21" t="n">
        <v>0.518020874279527</v>
      </c>
      <c r="J62" s="21" t="n">
        <v>0.5292641646045823</v>
      </c>
      <c r="K62" s="21" t="n">
        <v>0.5285889549790124</v>
      </c>
      <c r="L62" s="21" t="n">
        <v>0.4841767961027106</v>
      </c>
      <c r="M62" s="21" t="n">
        <v>0.538091029761771</v>
      </c>
    </row>
    <row r="63">
      <c r="A63" s="10" t="n">
        <v>0.5649999999999999</v>
      </c>
      <c r="B63" s="21" t="n">
        <v>0.5293626933826727</v>
      </c>
      <c r="C63" s="21" t="n">
        <v>0.5127183552743638</v>
      </c>
      <c r="D63" s="21" t="n">
        <v>0.5337001685569038</v>
      </c>
      <c r="E63" s="21" t="n">
        <v>0.5128881606339007</v>
      </c>
      <c r="F63" s="21" t="n">
        <v>0.5402761049281188</v>
      </c>
      <c r="G63" s="21" t="n">
        <v>0.488242878248033</v>
      </c>
      <c r="H63" s="21" t="n">
        <v>0.5511967827126433</v>
      </c>
      <c r="I63" s="21" t="n">
        <v>0.5322429684370252</v>
      </c>
      <c r="J63" s="21" t="n">
        <v>0.5426223272281603</v>
      </c>
      <c r="K63" s="21" t="n">
        <v>0.5428982815531939</v>
      </c>
      <c r="L63" s="21" t="n">
        <v>0.4972478170459845</v>
      </c>
      <c r="M63" s="21" t="n">
        <v>0.5522394372446905</v>
      </c>
    </row>
    <row r="64">
      <c r="A64" s="10" t="n">
        <v>0.575</v>
      </c>
      <c r="B64" s="21" t="n">
        <v>0.542827236127378</v>
      </c>
      <c r="C64" s="21" t="n">
        <v>0.5248368731224776</v>
      </c>
      <c r="D64" s="21" t="n">
        <v>0.5471195730179442</v>
      </c>
      <c r="E64" s="21" t="n">
        <v>0.5262750496919325</v>
      </c>
      <c r="F64" s="21" t="n">
        <v>0.5523566487313338</v>
      </c>
      <c r="G64" s="21" t="n">
        <v>0.5023051559865065</v>
      </c>
      <c r="H64" s="21" t="n">
        <v>0.5659903203716108</v>
      </c>
      <c r="I64" s="21" t="n">
        <v>0.545249920042539</v>
      </c>
      <c r="J64" s="21" t="n">
        <v>0.5557213215144549</v>
      </c>
      <c r="K64" s="21" t="n">
        <v>0.5574809304511567</v>
      </c>
      <c r="L64" s="21" t="n">
        <v>0.5107032797817076</v>
      </c>
      <c r="M64" s="21" t="n">
        <v>0.5650596141016464</v>
      </c>
    </row>
    <row r="65">
      <c r="A65" s="10" t="n">
        <v>0.585</v>
      </c>
      <c r="B65" s="21" t="n">
        <v>0.5557416783828639</v>
      </c>
      <c r="C65" s="21" t="n">
        <v>0.5371177594621895</v>
      </c>
      <c r="D65" s="21" t="n">
        <v>0.5603532635574209</v>
      </c>
      <c r="E65" s="21" t="n">
        <v>0.54017681909835</v>
      </c>
      <c r="F65" s="21" t="n">
        <v>0.5646837342448185</v>
      </c>
      <c r="G65" s="21" t="n">
        <v>0.5163674337249801</v>
      </c>
      <c r="H65" s="21" t="n">
        <v>0.5783762834581528</v>
      </c>
      <c r="I65" s="21" t="n">
        <v>0.5577364150604266</v>
      </c>
      <c r="J65" s="21" t="n">
        <v>0.5690628897690141</v>
      </c>
      <c r="K65" s="21" t="n">
        <v>0.5692070600908612</v>
      </c>
      <c r="L65" s="21" t="n">
        <v>0.5237743007249814</v>
      </c>
      <c r="M65" s="21" t="n">
        <v>0.5777050237709755</v>
      </c>
    </row>
    <row r="66">
      <c r="A66" s="10" t="n">
        <v>0.595</v>
      </c>
      <c r="B66" s="21" t="n">
        <v>0.5684204874621772</v>
      </c>
      <c r="C66" s="21" t="n">
        <v>0.5494349956209789</v>
      </c>
      <c r="D66" s="21" t="n">
        <v>0.5729029362859438</v>
      </c>
      <c r="E66" s="21" t="n">
        <v>0.5535637081563818</v>
      </c>
      <c r="F66" s="21" t="n">
        <v>0.576792457767059</v>
      </c>
      <c r="G66" s="21" t="n">
        <v>0.5302671662773899</v>
      </c>
      <c r="H66" s="21" t="n">
        <v>0.5902668080212332</v>
      </c>
      <c r="I66" s="21" t="n">
        <v>0.5705066940559934</v>
      </c>
      <c r="J66" s="21" t="n">
        <v>0.5810014170072555</v>
      </c>
      <c r="K66" s="21" t="n">
        <v>0.5814217784655534</v>
      </c>
      <c r="L66" s="21" t="n">
        <v>0.5372297634607045</v>
      </c>
      <c r="M66" s="21" t="n">
        <v>0.5903504334403047</v>
      </c>
    </row>
    <row r="67">
      <c r="A67" s="10" t="n">
        <v>0.605</v>
      </c>
      <c r="B67" s="21" t="n">
        <v>0.5807226277534467</v>
      </c>
      <c r="C67" s="21" t="n">
        <v>0.5627151062574832</v>
      </c>
      <c r="D67" s="21" t="n">
        <v>0.5846604198555876</v>
      </c>
      <c r="E67" s="21" t="n">
        <v>0.5669505972144135</v>
      </c>
      <c r="F67" s="21" t="n">
        <v>0.5889880687562944</v>
      </c>
      <c r="G67" s="21" t="n">
        <v>0.5428340283040771</v>
      </c>
      <c r="H67" s="21" t="n">
        <v>0.6026527711077753</v>
      </c>
      <c r="I67" s="21" t="n">
        <v>0.582993189073881</v>
      </c>
      <c r="J67" s="21" t="n">
        <v>0.5924138038643776</v>
      </c>
      <c r="K67" s="21" t="n">
        <v>0.593147908105258</v>
      </c>
      <c r="L67" s="21" t="n">
        <v>0.5502005117437153</v>
      </c>
      <c r="M67" s="21" t="n">
        <v>0.6023863815260636</v>
      </c>
    </row>
    <row r="68">
      <c r="A68" s="10" t="n">
        <v>0.615</v>
      </c>
      <c r="B68" s="21" t="n">
        <v>0.5930619572683946</v>
      </c>
      <c r="C68" s="21" t="n">
        <v>0.5768194473276255</v>
      </c>
      <c r="D68" s="21" t="n">
        <v>0.5970173774568071</v>
      </c>
      <c r="E68" s="21" t="n">
        <v>0.5803374862724453</v>
      </c>
      <c r="F68" s="21" t="n">
        <v>0.6014325697657182</v>
      </c>
      <c r="G68" s="21" t="n">
        <v>0.5554008903307643</v>
      </c>
      <c r="H68" s="21" t="n">
        <v>0.6145432956708556</v>
      </c>
      <c r="I68" s="21" t="n">
        <v>0.5957634680694478</v>
      </c>
      <c r="J68" s="21" t="n">
        <v>0.6038261907214997</v>
      </c>
      <c r="K68" s="21" t="n">
        <v>0.6053626264799502</v>
      </c>
      <c r="L68" s="21" t="n">
        <v>0.5627844940514258</v>
      </c>
      <c r="M68" s="21" t="n">
        <v>0.6142830241070065</v>
      </c>
    </row>
    <row r="69">
      <c r="A69" s="10" t="n">
        <v>0.625</v>
      </c>
      <c r="B69" s="21" t="n">
        <v>0.605399070241883</v>
      </c>
      <c r="C69" s="21" t="n">
        <v>0.5910467795931572</v>
      </c>
      <c r="D69" s="21" t="n">
        <v>0.6099903932122437</v>
      </c>
      <c r="E69" s="21" t="n">
        <v>0.5937243753304771</v>
      </c>
      <c r="F69" s="21" t="n">
        <v>0.6132240684141753</v>
      </c>
      <c r="G69" s="21" t="n">
        <v>0.5679677523574516</v>
      </c>
      <c r="H69" s="21" t="n">
        <v>0.626802610755003</v>
      </c>
      <c r="I69" s="21" t="n">
        <v>0.6082904920192356</v>
      </c>
      <c r="J69" s="21" t="n">
        <v>0.6153093425678381</v>
      </c>
      <c r="K69" s="21" t="n">
        <v>0.6170887561196547</v>
      </c>
      <c r="L69" s="21" t="n">
        <v>0.5757385934858337</v>
      </c>
      <c r="M69" s="21" t="n">
        <v>0.6261796666879494</v>
      </c>
    </row>
    <row r="70">
      <c r="A70" s="10" t="n">
        <v>0.635</v>
      </c>
      <c r="B70" s="21" t="n">
        <v>0.6176583229754867</v>
      </c>
      <c r="C70" s="21" t="n">
        <v>0.6052774779990424</v>
      </c>
      <c r="D70" s="21" t="n">
        <v>0.6226114652690116</v>
      </c>
      <c r="E70" s="21" t="n">
        <v>0.6071112643885088</v>
      </c>
      <c r="F70" s="21" t="n">
        <v>0.6248266687136445</v>
      </c>
      <c r="G70" s="21" t="n">
        <v>0.5805346143841388</v>
      </c>
      <c r="H70" s="21" t="n">
        <v>0.638439839313294</v>
      </c>
      <c r="I70" s="21" t="n">
        <v>0.6208294362431117</v>
      </c>
      <c r="J70" s="21" t="n">
        <v>0.627114151508653</v>
      </c>
      <c r="K70" s="21" t="n">
        <v>0.629303474494347</v>
      </c>
      <c r="L70" s="21" t="n">
        <v>0.5883225757935442</v>
      </c>
      <c r="M70" s="21" t="n">
        <v>0.6379714207204671</v>
      </c>
    </row>
    <row r="71">
      <c r="A71" s="10" t="n">
        <v>0.645</v>
      </c>
      <c r="B71" s="21" t="n">
        <v>0.6298329423891663</v>
      </c>
      <c r="C71" s="21" t="n">
        <v>0.6198120953614668</v>
      </c>
      <c r="D71" s="21" t="n">
        <v>0.6339319323475952</v>
      </c>
      <c r="E71" s="21" t="n">
        <v>0.6209438677389874</v>
      </c>
      <c r="F71" s="21" t="n">
        <v>0.6361972170071242</v>
      </c>
      <c r="G71" s="21" t="n">
        <v>0.593101476410826</v>
      </c>
      <c r="H71" s="21" t="n">
        <v>0.650561952394847</v>
      </c>
      <c r="I71" s="21" t="n">
        <v>0.6336533564720759</v>
      </c>
      <c r="J71" s="21" t="n">
        <v>0.6389189604494679</v>
      </c>
      <c r="K71" s="21" t="n">
        <v>0.6410296041340515</v>
      </c>
      <c r="L71" s="21" t="n">
        <v>0.6009065581012547</v>
      </c>
      <c r="M71" s="21" t="n">
        <v>0.6497069844591855</v>
      </c>
    </row>
    <row r="72">
      <c r="A72" s="10" t="n">
        <v>0.655</v>
      </c>
      <c r="B72" s="21" t="n">
        <v>0.642184850246204</v>
      </c>
      <c r="C72" s="21" t="n">
        <v>0.6340192607578706</v>
      </c>
      <c r="D72" s="21" t="n">
        <v>0.6457810584729561</v>
      </c>
      <c r="E72" s="21" t="n">
        <v>0.6347942996611637</v>
      </c>
      <c r="F72" s="21" t="n">
        <v>0.6477054463380761</v>
      </c>
      <c r="G72" s="21" t="n">
        <v>0.6057104507359909</v>
      </c>
      <c r="H72" s="21" t="n">
        <v>0.662199180953138</v>
      </c>
      <c r="I72" s="21" t="n">
        <v>0.646192300695952</v>
      </c>
      <c r="J72" s="21" t="n">
        <v>0.6509021579190631</v>
      </c>
      <c r="K72" s="21" t="n">
        <v>0.6536616533906603</v>
      </c>
      <c r="L72" s="21" t="n">
        <v>0.6138606575356625</v>
      </c>
      <c r="M72" s="21" t="n">
        <v>0.6617154682848508</v>
      </c>
    </row>
    <row r="73">
      <c r="A73" s="10" t="n">
        <v>0.665</v>
      </c>
      <c r="B73" s="21" t="n">
        <v>0.6547643104841758</v>
      </c>
      <c r="C73" s="21" t="n">
        <v>0.6482136722617213</v>
      </c>
      <c r="D73" s="21" t="n">
        <v>0.6583492744109276</v>
      </c>
      <c r="E73" s="21" t="n">
        <v>0.6486447315833401</v>
      </c>
      <c r="F73" s="21" t="n">
        <v>0.6594485374921089</v>
      </c>
      <c r="G73" s="21" t="n">
        <v>0.618519458478925</v>
      </c>
      <c r="H73" s="21" t="n">
        <v>0.6747150903315193</v>
      </c>
      <c r="I73" s="21" t="n">
        <v>0.6590721432877052</v>
      </c>
      <c r="J73" s="21" t="n">
        <v>0.6629955365387873</v>
      </c>
      <c r="K73" s="21" t="n">
        <v>0.6666397756761142</v>
      </c>
      <c r="L73" s="21" t="n">
        <v>0.6264446398433731</v>
      </c>
      <c r="M73" s="21" t="n">
        <v>0.6735088725246897</v>
      </c>
    </row>
    <row r="74">
      <c r="A74" s="10" t="n">
        <v>0.675</v>
      </c>
      <c r="B74" s="21" t="n">
        <v>0.6676495614826465</v>
      </c>
      <c r="C74" s="21" t="n">
        <v>0.6627742375500963</v>
      </c>
      <c r="D74" s="21" t="n">
        <v>0.6711387017616575</v>
      </c>
      <c r="E74" s="21" t="n">
        <v>0.6624951635055165</v>
      </c>
      <c r="F74" s="21" t="n">
        <v>0.6714353094483329</v>
      </c>
      <c r="G74" s="21" t="n">
        <v>0.631328466221859</v>
      </c>
      <c r="H74" s="21" t="n">
        <v>0.6877024776217926</v>
      </c>
      <c r="I74" s="21" t="n">
        <v>0.671918660506921</v>
      </c>
      <c r="J74" s="21" t="n">
        <v>0.6748690355472438</v>
      </c>
      <c r="K74" s="21" t="n">
        <v>0.6801586530567953</v>
      </c>
      <c r="L74" s="21" t="n">
        <v>0.6408312793039289</v>
      </c>
      <c r="M74" s="21" t="n">
        <v>0.6853574881519616</v>
      </c>
    </row>
    <row r="75">
      <c r="A75" s="10" t="n">
        <v>0.6850000000000001</v>
      </c>
      <c r="B75" s="21" t="n">
        <v>0.6809388888084159</v>
      </c>
      <c r="C75" s="21" t="n">
        <v>0.6774341677560766</v>
      </c>
      <c r="D75" s="21" t="n">
        <v>0.685009607130317</v>
      </c>
      <c r="E75" s="21" t="n">
        <v>0.6763455954276929</v>
      </c>
      <c r="F75" s="21" t="n">
        <v>0.6851723282076655</v>
      </c>
      <c r="G75" s="21" t="n">
        <v>0.644137473964793</v>
      </c>
      <c r="H75" s="21" t="n">
        <v>0.7012310060491607</v>
      </c>
      <c r="I75" s="21" t="n">
        <v>0.6850571440265734</v>
      </c>
      <c r="J75" s="21" t="n">
        <v>0.687690043192831</v>
      </c>
      <c r="K75" s="21" t="n">
        <v>0.6931367753422493</v>
      </c>
      <c r="L75" s="21" t="n">
        <v>0.6550947912974681</v>
      </c>
      <c r="M75" s="21" t="n">
        <v>0.6972061037792335</v>
      </c>
    </row>
    <row r="76">
      <c r="A76" s="10" t="n">
        <v>0.695</v>
      </c>
      <c r="B76" s="21" t="n">
        <v>0.6943609419407081</v>
      </c>
      <c r="C76" s="21" t="n">
        <v>0.6921146209956225</v>
      </c>
      <c r="D76" s="21" t="n">
        <v>0.6986441874942357</v>
      </c>
      <c r="E76" s="21" t="n">
        <v>0.6901960273498693</v>
      </c>
      <c r="F76" s="21" t="n">
        <v>0.6986346065918115</v>
      </c>
      <c r="G76" s="21" t="n">
        <v>0.6569464817077271</v>
      </c>
      <c r="H76" s="21" t="n">
        <v>0.7147595344765287</v>
      </c>
      <c r="I76" s="21" t="n">
        <v>0.6979036612457891</v>
      </c>
      <c r="J76" s="21" t="n">
        <v>0.7009961368556602</v>
      </c>
      <c r="K76" s="21" t="n">
        <v>0.7066556527229304</v>
      </c>
      <c r="L76" s="21" t="n">
        <v>0.6693583032910072</v>
      </c>
      <c r="M76" s="21" t="n">
        <v>0.7099945485656475</v>
      </c>
    </row>
    <row r="77">
      <c r="A77" s="10" t="n">
        <v>0.705</v>
      </c>
      <c r="B77" s="21" t="n">
        <v>0.7080379596643663</v>
      </c>
      <c r="C77" s="21" t="n">
        <v>0.7073897462042418</v>
      </c>
      <c r="D77" s="21" t="n">
        <v>0.7128515128922447</v>
      </c>
      <c r="E77" s="21" t="n">
        <v>0.7040464592720457</v>
      </c>
      <c r="F77" s="21" t="n">
        <v>0.7130062362684245</v>
      </c>
      <c r="G77" s="21" t="n">
        <v>0.6697554894506611</v>
      </c>
      <c r="H77" s="21" t="n">
        <v>0.727746921766802</v>
      </c>
      <c r="I77" s="21" t="n">
        <v>0.7110421447654415</v>
      </c>
      <c r="J77" s="21" t="n">
        <v>0.7143022305184894</v>
      </c>
      <c r="K77" s="21" t="n">
        <v>0.7196337750083843</v>
      </c>
      <c r="L77" s="21" t="n">
        <v>0.6840413303431798</v>
      </c>
      <c r="M77" s="21" t="n">
        <v>0.7239701459741356</v>
      </c>
    </row>
    <row r="78">
      <c r="A78" s="10" t="n">
        <v>0.715</v>
      </c>
      <c r="B78" s="21" t="n">
        <v>0.7223691221858636</v>
      </c>
      <c r="C78" s="21" t="n">
        <v>0.722727563216886</v>
      </c>
      <c r="D78" s="21" t="n">
        <v>0.7270588382902536</v>
      </c>
      <c r="E78" s="21" t="n">
        <v>0.7184296001143058</v>
      </c>
      <c r="F78" s="21" t="n">
        <v>0.7283111020837348</v>
      </c>
      <c r="G78" s="21" t="n">
        <v>0.6844617148355808</v>
      </c>
      <c r="H78" s="21" t="n">
        <v>0.7425616389009171</v>
      </c>
      <c r="I78" s="21" t="n">
        <v>0.72412502001944</v>
      </c>
      <c r="J78" s="21" t="n">
        <v>0.7289363690571158</v>
      </c>
      <c r="K78" s="21" t="n">
        <v>0.7331526523890655</v>
      </c>
      <c r="L78" s="21" t="n">
        <v>0.698304842336719</v>
      </c>
      <c r="M78" s="21" t="n">
        <v>0.7379457433826236</v>
      </c>
    </row>
    <row r="79">
      <c r="A79" s="10" t="n">
        <v>0.725</v>
      </c>
      <c r="B79" s="21" t="n">
        <v>0.7375661486582046</v>
      </c>
      <c r="C79" s="21" t="n">
        <v>0.7379371142030224</v>
      </c>
      <c r="D79" s="21" t="n">
        <v>0.7428622337488899</v>
      </c>
      <c r="E79" s="21" t="n">
        <v>0.7322800320364822</v>
      </c>
      <c r="F79" s="21" t="n">
        <v>0.7433098705827389</v>
      </c>
      <c r="G79" s="21" t="n">
        <v>0.7029986459468538</v>
      </c>
      <c r="H79" s="21" t="n">
        <v>0.7573648220124802</v>
      </c>
      <c r="I79" s="21" t="n">
        <v>0.7408088740608358</v>
      </c>
      <c r="J79" s="21" t="n">
        <v>0.7448511222974037</v>
      </c>
      <c r="K79" s="21" t="n">
        <v>0.7461307746745194</v>
      </c>
      <c r="L79" s="21" t="n">
        <v>0.7125683543302581</v>
      </c>
      <c r="M79" s="21" t="n">
        <v>0.7523616269662968</v>
      </c>
    </row>
    <row r="80">
      <c r="A80" s="10" t="n">
        <v>0.735</v>
      </c>
      <c r="B80" s="21" t="n">
        <v>0.7531634783582026</v>
      </c>
      <c r="C80" s="21" t="n">
        <v>0.7532852051140464</v>
      </c>
      <c r="D80" s="21" t="n">
        <v>0.7584614092665927</v>
      </c>
      <c r="E80" s="21" t="n">
        <v>0.7461304639586586</v>
      </c>
      <c r="F80" s="21" t="n">
        <v>0.7597915975211247</v>
      </c>
      <c r="G80" s="21" t="n">
        <v>0.7215355770581267</v>
      </c>
      <c r="H80" s="21" t="n">
        <v>0.7727848044203586</v>
      </c>
      <c r="I80" s="21" t="n">
        <v>0.7571219757902007</v>
      </c>
      <c r="J80" s="21" t="n">
        <v>0.7604765163878682</v>
      </c>
      <c r="K80" s="21" t="n">
        <v>0.7596496520552005</v>
      </c>
      <c r="L80" s="21" t="n">
        <v>0.727869140671892</v>
      </c>
      <c r="M80" s="21" t="n">
        <v>0.7679149165025313</v>
      </c>
    </row>
    <row r="81">
      <c r="A81" s="10" t="n">
        <v>0.745</v>
      </c>
      <c r="B81" s="21" t="n">
        <v>0.7690775813633636</v>
      </c>
      <c r="C81" s="21" t="n">
        <v>0.7687051985048914</v>
      </c>
      <c r="D81" s="21" t="n">
        <v>0.7751104355838202</v>
      </c>
      <c r="E81" s="21" t="n">
        <v>0.759980895880835</v>
      </c>
      <c r="F81" s="21" t="n">
        <v>0.7761633706637169</v>
      </c>
      <c r="G81" s="21" t="n">
        <v>0.7400725081693995</v>
      </c>
      <c r="H81" s="21" t="n">
        <v>0.7875879875319217</v>
      </c>
      <c r="I81" s="21" t="n">
        <v>0.7738058298315965</v>
      </c>
      <c r="J81" s="21" t="n">
        <v>0.7777342301722918</v>
      </c>
      <c r="K81" s="21" t="n">
        <v>0.7728398992102908</v>
      </c>
      <c r="L81" s="21" t="n">
        <v>0.7444664099811736</v>
      </c>
      <c r="M81" s="21" t="n">
        <v>0.7834682060387658</v>
      </c>
    </row>
    <row r="82">
      <c r="A82" s="10" t="n">
        <v>0.755</v>
      </c>
      <c r="B82" s="21" t="n">
        <v>0.7852744032230401</v>
      </c>
      <c r="C82" s="21" t="n">
        <v>0.7847316115770414</v>
      </c>
      <c r="D82" s="21" t="n">
        <v>0.7918927715285951</v>
      </c>
      <c r="E82" s="21" t="n">
        <v>0.7717583948660293</v>
      </c>
      <c r="F82" s="21" t="n">
        <v>0.793863078958853</v>
      </c>
      <c r="G82" s="21" t="n">
        <v>0.7586094392806724</v>
      </c>
      <c r="H82" s="21" t="n">
        <v>0.8023063597321615</v>
      </c>
      <c r="I82" s="21" t="n">
        <v>0.7901189315609614</v>
      </c>
      <c r="J82" s="21" t="n">
        <v>0.797006384772919</v>
      </c>
      <c r="K82" s="21" t="n">
        <v>0.7865797399968433</v>
      </c>
      <c r="L82" s="21" t="n">
        <v>0.7615518342701399</v>
      </c>
      <c r="M82" s="21" t="n">
        <v>0.7997706823218748</v>
      </c>
    </row>
    <row r="83">
      <c r="A83" s="10" t="n">
        <v>0.765</v>
      </c>
      <c r="B83" s="21" t="n">
        <v>0.8020879152470922</v>
      </c>
      <c r="C83" s="21" t="n">
        <v>0.8008545134366782</v>
      </c>
      <c r="D83" s="21" t="n">
        <v>0.8105547133166887</v>
      </c>
      <c r="E83" s="21" t="n">
        <v>0.7850593253363021</v>
      </c>
      <c r="F83" s="21" t="n">
        <v>0.8129370592718148</v>
      </c>
      <c r="G83" s="21" t="n">
        <v>0.7775493471552338</v>
      </c>
      <c r="H83" s="21" t="n">
        <v>0.8156477228662089</v>
      </c>
      <c r="I83" s="21" t="n">
        <v>0.8069564940058865</v>
      </c>
      <c r="J83" s="21" t="n">
        <v>0.8138257196971026</v>
      </c>
      <c r="K83" s="21" t="n">
        <v>0.8014187680463198</v>
      </c>
      <c r="L83" s="21" t="n">
        <v>0.7796135685184759</v>
      </c>
      <c r="M83" s="21" t="n">
        <v>0.818013524889343</v>
      </c>
    </row>
    <row r="84">
      <c r="A84" s="10" t="n">
        <v>0.775</v>
      </c>
      <c r="B84" s="21" t="n">
        <v>0.8187918591715349</v>
      </c>
      <c r="C84" s="21" t="n">
        <v>0.8170457060838983</v>
      </c>
      <c r="D84" s="21" t="n">
        <v>0.8261532675746085</v>
      </c>
      <c r="E84" s="21" t="n">
        <v>0.8039380653586248</v>
      </c>
      <c r="F84" s="21" t="n">
        <v>0.8281095436116708</v>
      </c>
      <c r="G84" s="21" t="n">
        <v>0.7949551897875529</v>
      </c>
      <c r="H84" s="21" t="n">
        <v>0.8328009040385557</v>
      </c>
      <c r="I84" s="21" t="n">
        <v>0.822839458290644</v>
      </c>
      <c r="J84" s="21" t="n">
        <v>0.8257394152683993</v>
      </c>
      <c r="K84" s="21" t="n">
        <v>0.8201049515160311</v>
      </c>
      <c r="L84" s="21" t="n">
        <v>0.8006042326449202</v>
      </c>
      <c r="M84" s="21" t="n">
        <v>0.8335866831786451</v>
      </c>
    </row>
    <row r="85">
      <c r="A85" s="10" t="n">
        <v>0.785</v>
      </c>
      <c r="B85" s="21" t="n">
        <v>0.8357323791609803</v>
      </c>
      <c r="C85" s="21" t="n">
        <v>0.8324071730832044</v>
      </c>
      <c r="D85" s="21" t="n">
        <v>0.8417518218325283</v>
      </c>
      <c r="E85" s="21" t="n">
        <v>0.8228168053809475</v>
      </c>
      <c r="F85" s="21" t="n">
        <v>0.8428485283989594</v>
      </c>
      <c r="G85" s="21" t="n">
        <v>0.8125925719624036</v>
      </c>
      <c r="H85" s="21" t="n">
        <v>0.8504305624656898</v>
      </c>
      <c r="I85" s="21" t="n">
        <v>0.8384169809545408</v>
      </c>
      <c r="J85" s="21" t="n">
        <v>0.8395431146062026</v>
      </c>
      <c r="K85" s="21" t="n">
        <v>0.8387911349857424</v>
      </c>
      <c r="L85" s="21" t="n">
        <v>0.8220830517510493</v>
      </c>
      <c r="M85" s="21" t="n">
        <v>0.8491598414679473</v>
      </c>
    </row>
    <row r="86">
      <c r="A86" s="10" t="n">
        <v>0.795</v>
      </c>
      <c r="B86" s="21" t="n">
        <v>0.8515441087507415</v>
      </c>
      <c r="C86" s="21" t="n">
        <v>0.8470941883620802</v>
      </c>
      <c r="D86" s="21" t="n">
        <v>0.8561358106377405</v>
      </c>
      <c r="E86" s="21" t="n">
        <v>0.8412664831300355</v>
      </c>
      <c r="F86" s="21" t="n">
        <v>0.8567582694577617</v>
      </c>
      <c r="G86" s="21" t="n">
        <v>0.8298841231142181</v>
      </c>
      <c r="H86" s="21" t="n">
        <v>0.8645467550746994</v>
      </c>
      <c r="I86" s="21" t="n">
        <v>0.8542999452392982</v>
      </c>
      <c r="J86" s="21" t="n">
        <v>0.8542780629046296</v>
      </c>
      <c r="K86" s="21" t="n">
        <v>0.8574773184554537</v>
      </c>
      <c r="L86" s="21" t="n">
        <v>0.8383314945495413</v>
      </c>
      <c r="M86" s="21" t="n">
        <v>0.8635245359372173</v>
      </c>
    </row>
    <row r="87">
      <c r="A87" s="10" t="n">
        <v>0.805</v>
      </c>
      <c r="B87" s="21" t="n">
        <v>0.8664148142814787</v>
      </c>
      <c r="C87" s="21" t="n">
        <v>0.8603775859091877</v>
      </c>
      <c r="D87" s="21" t="n">
        <v>0.8706671252753364</v>
      </c>
      <c r="E87" s="21" t="n">
        <v>0.8601452231523582</v>
      </c>
      <c r="F87" s="21" t="n">
        <v>0.8695457419016037</v>
      </c>
      <c r="G87" s="21" t="n">
        <v>0.8471756742660326</v>
      </c>
      <c r="H87" s="21" t="n">
        <v>0.8783016349899894</v>
      </c>
      <c r="I87" s="21" t="n">
        <v>0.8701829095240556</v>
      </c>
      <c r="J87" s="21" t="n">
        <v>0.8685796303707499</v>
      </c>
      <c r="K87" s="21" t="n">
        <v>0.8722915834886775</v>
      </c>
      <c r="L87" s="21" t="n">
        <v>0.8520822492693774</v>
      </c>
      <c r="M87" s="21" t="n">
        <v>0.8762042246269983</v>
      </c>
    </row>
    <row r="88">
      <c r="A88" s="10" t="n">
        <v>0.8149999999999999</v>
      </c>
      <c r="B88" s="21" t="n">
        <v>0.8804411150603776</v>
      </c>
      <c r="C88" s="21" t="n">
        <v>0.873103628537623</v>
      </c>
      <c r="D88" s="21" t="n">
        <v>0.8848160368961535</v>
      </c>
      <c r="E88" s="21" t="n">
        <v>0.8790239631746809</v>
      </c>
      <c r="F88" s="21" t="n">
        <v>0.8823332143454458</v>
      </c>
      <c r="G88" s="21" t="n">
        <v>0.8648130564408834</v>
      </c>
      <c r="H88" s="21" t="n">
        <v>0.8916847613940554</v>
      </c>
      <c r="I88" s="21" t="n">
        <v>0.8819090657904055</v>
      </c>
      <c r="J88" s="21" t="n">
        <v>0.883314578669177</v>
      </c>
      <c r="K88" s="21" t="n">
        <v>0.8829092638604701</v>
      </c>
      <c r="L88" s="21" t="n">
        <v>0.8658330039892135</v>
      </c>
      <c r="M88" s="21" t="n">
        <v>0.8888839133167793</v>
      </c>
    </row>
    <row r="89">
      <c r="A89" s="10" t="n">
        <v>0.825</v>
      </c>
      <c r="B89" s="21" t="n">
        <v>0.8927933171153573</v>
      </c>
      <c r="C89" s="21" t="n">
        <v>0.8858296711660584</v>
      </c>
      <c r="D89" s="21" t="n">
        <v>0.8960312869728678</v>
      </c>
      <c r="E89" s="21" t="n">
        <v>0.8911943595598979</v>
      </c>
      <c r="F89" s="21" t="n">
        <v>0.8954967889199891</v>
      </c>
      <c r="G89" s="21" t="n">
        <v>0.8781705047424349</v>
      </c>
      <c r="H89" s="21" t="n">
        <v>0.9023179452361711</v>
      </c>
      <c r="I89" s="21" t="n">
        <v>0.892785253758352</v>
      </c>
      <c r="J89" s="21" t="n">
        <v>0.898049526967604</v>
      </c>
      <c r="K89" s="21" t="n">
        <v>0.8935269442322626</v>
      </c>
      <c r="L89" s="21" t="n">
        <v>0.8792712415563261</v>
      </c>
      <c r="M89" s="21" t="n">
        <v>0.9019258788262683</v>
      </c>
    </row>
    <row r="90">
      <c r="A90" s="10" t="n">
        <v>0.835</v>
      </c>
      <c r="B90" s="21" t="n">
        <v>0.9034323725809807</v>
      </c>
      <c r="C90" s="21" t="n">
        <v>0.8976073110970867</v>
      </c>
      <c r="D90" s="21" t="n">
        <v>0.906890941710903</v>
      </c>
      <c r="E90" s="21" t="n">
        <v>0.9008634869152097</v>
      </c>
      <c r="F90" s="21" t="n">
        <v>0.9059691370177343</v>
      </c>
      <c r="G90" s="21" t="n">
        <v>0.8881766802456141</v>
      </c>
      <c r="H90" s="21" t="n">
        <v>0.9118258627218139</v>
      </c>
      <c r="I90" s="21" t="n">
        <v>0.9036614417262986</v>
      </c>
      <c r="J90" s="21" t="n">
        <v>0.9080768442532636</v>
      </c>
      <c r="K90" s="21" t="n">
        <v>0.9041446246040552</v>
      </c>
      <c r="L90" s="21" t="n">
        <v>0.8930219962761623</v>
      </c>
      <c r="M90" s="21" t="n">
        <v>0.9122599826488201</v>
      </c>
    </row>
    <row r="91">
      <c r="A91" s="10" t="n">
        <v>0.845</v>
      </c>
      <c r="B91" s="21" t="n">
        <v>0.9135077447451302</v>
      </c>
      <c r="C91" s="21" t="n">
        <v>0.9085781764201937</v>
      </c>
      <c r="D91" s="21" t="n">
        <v>0.9177505964489382</v>
      </c>
      <c r="E91" s="21" t="n">
        <v>0.9105326142705215</v>
      </c>
      <c r="F91" s="21" t="n">
        <v>0.9153342517325636</v>
      </c>
      <c r="G91" s="21" t="n">
        <v>0.8981828557487934</v>
      </c>
      <c r="H91" s="21" t="n">
        <v>0.9213337802074566</v>
      </c>
      <c r="I91" s="21" t="n">
        <v>0.9145376296942451</v>
      </c>
      <c r="J91" s="21" t="n">
        <v>0.916998812306264</v>
      </c>
      <c r="K91" s="21" t="n">
        <v>0.9147623049758478</v>
      </c>
      <c r="L91" s="21" t="n">
        <v>0.9043105651299082</v>
      </c>
      <c r="M91" s="21" t="n">
        <v>0.9216558525244802</v>
      </c>
    </row>
    <row r="92">
      <c r="A92" s="10" t="n">
        <v>0.855</v>
      </c>
      <c r="B92" s="21" t="n">
        <v>0.9228960579589925</v>
      </c>
      <c r="C92" s="21" t="n">
        <v>0.9191771472537263</v>
      </c>
      <c r="D92" s="21" t="n">
        <v>0.9266714071171014</v>
      </c>
      <c r="E92" s="21" t="n">
        <v>0.9202017416258332</v>
      </c>
      <c r="F92" s="21" t="n">
        <v>0.924974810997829</v>
      </c>
      <c r="G92" s="21" t="n">
        <v>0.9083891547620363</v>
      </c>
      <c r="H92" s="21" t="n">
        <v>0.9299116206625384</v>
      </c>
      <c r="I92" s="21" t="n">
        <v>0.9237105778342496</v>
      </c>
      <c r="J92" s="21" t="n">
        <v>0.9256583695341761</v>
      </c>
      <c r="K92" s="21" t="n">
        <v>0.9253799853476403</v>
      </c>
      <c r="L92" s="21" t="n">
        <v>0.9130831396714212</v>
      </c>
      <c r="M92" s="21" t="n">
        <v>0.9310517224001403</v>
      </c>
    </row>
    <row r="93">
      <c r="A93" s="10" t="n">
        <v>0.865</v>
      </c>
      <c r="B93" s="21" t="n">
        <v>0.9318478033970778</v>
      </c>
      <c r="C93" s="21" t="n">
        <v>0.9290126244144585</v>
      </c>
      <c r="D93" s="21" t="n">
        <v>0.9352169576427087</v>
      </c>
      <c r="E93" s="21" t="n">
        <v>0.9296511160867061</v>
      </c>
      <c r="F93" s="21" t="n">
        <v>0.9343399257126582</v>
      </c>
      <c r="G93" s="21" t="n">
        <v>0.9183953302652156</v>
      </c>
      <c r="H93" s="21" t="n">
        <v>0.9376999105247477</v>
      </c>
      <c r="I93" s="21" t="n">
        <v>0.9317092738360834</v>
      </c>
      <c r="J93" s="21" t="n">
        <v>0.9345803375871765</v>
      </c>
      <c r="K93" s="21" t="n">
        <v>0.9347069648417281</v>
      </c>
      <c r="L93" s="21" t="n">
        <v>0.9218557142129342</v>
      </c>
      <c r="M93" s="21" t="n">
        <v>0.9401882433393505</v>
      </c>
    </row>
    <row r="94">
      <c r="A94" s="10" t="n">
        <v>0.875</v>
      </c>
      <c r="B94" s="21" t="n">
        <v>0.9402529726194108</v>
      </c>
      <c r="C94" s="21" t="n">
        <v>0.9377497018974392</v>
      </c>
      <c r="D94" s="21" t="n">
        <v>0.9437625081683161</v>
      </c>
      <c r="E94" s="21" t="n">
        <v>0.9393202434420179</v>
      </c>
      <c r="F94" s="21" t="n">
        <v>0.942683612810989</v>
      </c>
      <c r="G94" s="21" t="n">
        <v>0.9282390152378167</v>
      </c>
      <c r="H94" s="21" t="n">
        <v>0.9457045417720182</v>
      </c>
      <c r="I94" s="21" t="n">
        <v>0.9397079698379172</v>
      </c>
      <c r="J94" s="21" t="n">
        <v>0.9432398948150886</v>
      </c>
      <c r="K94" s="21" t="n">
        <v>0.9419699941421136</v>
      </c>
      <c r="L94" s="21" t="n">
        <v>0.930428912060322</v>
      </c>
      <c r="M94" s="21" t="n">
        <v>0.9472749778835843</v>
      </c>
    </row>
    <row r="95">
      <c r="A95" s="10" t="n">
        <v>0.885</v>
      </c>
      <c r="B95" s="21" t="n">
        <v>0.9483464859984924</v>
      </c>
      <c r="C95" s="21" t="n">
        <v>0.9461157473642974</v>
      </c>
      <c r="D95" s="21" t="n">
        <v>0.9512987552568095</v>
      </c>
      <c r="E95" s="21" t="n">
        <v>0.9489893707973297</v>
      </c>
      <c r="F95" s="21" t="n">
        <v>0.9505789390699591</v>
      </c>
      <c r="G95" s="21" t="n">
        <v>0.9378533844610961</v>
      </c>
      <c r="H95" s="21" t="n">
        <v>0.952944190317859</v>
      </c>
      <c r="I95" s="21" t="n">
        <v>0.9477066658397509</v>
      </c>
      <c r="J95" s="21" t="n">
        <v>0.9509275122254471</v>
      </c>
      <c r="K95" s="21" t="n">
        <v>0.9494531152394804</v>
      </c>
      <c r="L95" s="21" t="n">
        <v>0.939201486601835</v>
      </c>
      <c r="M95" s="21" t="n">
        <v>0.9543617124278181</v>
      </c>
    </row>
    <row r="96">
      <c r="A96" s="10" t="n">
        <v>0.895</v>
      </c>
      <c r="B96" s="21" t="n">
        <v>0.955911855530255</v>
      </c>
      <c r="C96" s="21" t="n">
        <v>0.9541582162033743</v>
      </c>
      <c r="D96" s="21" t="n">
        <v>0.9584537064582102</v>
      </c>
      <c r="E96" s="21" t="n">
        <v>0.9549374146855449</v>
      </c>
      <c r="F96" s="21" t="n">
        <v>0.9584742653289291</v>
      </c>
      <c r="G96" s="21" t="n">
        <v>0.9472792366407818</v>
      </c>
      <c r="H96" s="21" t="n">
        <v>0.959933835129848</v>
      </c>
      <c r="I96" s="21" t="n">
        <v>0.9555342427871353</v>
      </c>
      <c r="J96" s="21" t="n">
        <v>0.9581824635496633</v>
      </c>
      <c r="K96" s="21" t="n">
        <v>0.9569362363368472</v>
      </c>
      <c r="L96" s="21" t="n">
        <v>0.9476244321892271</v>
      </c>
      <c r="M96" s="21" t="n">
        <v>0.9616509251018871</v>
      </c>
    </row>
    <row r="97">
      <c r="A97" s="10" t="n">
        <v>0.905</v>
      </c>
      <c r="B97" s="21" t="n">
        <v>0.9633788446345894</v>
      </c>
      <c r="C97" s="21" t="n">
        <v>0.9613121502476839</v>
      </c>
      <c r="D97" s="21" t="n">
        <v>0.9656086576596108</v>
      </c>
      <c r="E97" s="21" t="n">
        <v>0.9610237851758118</v>
      </c>
      <c r="F97" s="21" t="n">
        <v>0.9666018070661041</v>
      </c>
      <c r="G97" s="21" t="n">
        <v>0.9567050888204676</v>
      </c>
      <c r="H97" s="21" t="n">
        <v>0.9667345706225939</v>
      </c>
      <c r="I97" s="21" t="n">
        <v>0.9634205019352764</v>
      </c>
      <c r="J97" s="21" t="n">
        <v>0.9656572618837043</v>
      </c>
      <c r="K97" s="21" t="n">
        <v>0.964419357434214</v>
      </c>
      <c r="L97" s="21" t="n">
        <v>0.9557959976907576</v>
      </c>
      <c r="M97" s="21" t="n">
        <v>0.9679894831575803</v>
      </c>
    </row>
    <row r="98">
      <c r="A98" s="10" t="n">
        <v>0.915</v>
      </c>
      <c r="B98" s="21" t="n">
        <v>0.970440553852874</v>
      </c>
      <c r="C98" s="21" t="n">
        <v>0.9683247567545945</v>
      </c>
      <c r="D98" s="21" t="n">
        <v>0.9722702076601493</v>
      </c>
      <c r="E98" s="21" t="n">
        <v>0.9671101556660786</v>
      </c>
      <c r="F98" s="21" t="n">
        <v>0.9731339630077623</v>
      </c>
      <c r="G98" s="21" t="n">
        <v>0.966319458043747</v>
      </c>
      <c r="H98" s="21" t="n">
        <v>0.9729717168882996</v>
      </c>
      <c r="I98" s="21" t="n">
        <v>0.9713067610834175</v>
      </c>
      <c r="J98" s="21" t="n">
        <v>0.9729122132079204</v>
      </c>
      <c r="K98" s="21" t="n">
        <v>0.9719024785315808</v>
      </c>
      <c r="L98" s="21" t="n">
        <v>0.9637818457945261</v>
      </c>
      <c r="M98" s="21" t="n">
        <v>0.9730618963865123</v>
      </c>
    </row>
    <row r="99">
      <c r="A99" s="10" t="n">
        <v>0.925</v>
      </c>
      <c r="B99" s="21" t="n">
        <v>0.9770297449633746</v>
      </c>
      <c r="C99" s="21" t="n">
        <v>0.9751006164542335</v>
      </c>
      <c r="D99" s="21" t="n">
        <v>0.9788362606540693</v>
      </c>
      <c r="E99" s="21" t="n">
        <v>0.9740264857686545</v>
      </c>
      <c r="F99" s="21" t="n">
        <v>0.9787812302726429</v>
      </c>
      <c r="G99" s="21" t="n">
        <v>0.9740486568310892</v>
      </c>
      <c r="H99" s="21" t="n">
        <v>0.9787886069833999</v>
      </c>
      <c r="I99" s="21" t="n">
        <v>0.9778280907636111</v>
      </c>
      <c r="J99" s="21" t="n">
        <v>0.9790679294830129</v>
      </c>
      <c r="K99" s="21" t="n">
        <v>0.9782449742058698</v>
      </c>
      <c r="L99" s="21" t="n">
        <v>0.9717676938982945</v>
      </c>
      <c r="M99" s="21" t="n">
        <v>0.9791487922612307</v>
      </c>
    </row>
    <row r="100">
      <c r="A100" s="10" t="n">
        <v>0.9350000000000001</v>
      </c>
      <c r="B100" s="21" t="n">
        <v>0.9830050107055632</v>
      </c>
      <c r="C100" s="21" t="n">
        <v>0.9813508145105173</v>
      </c>
      <c r="D100" s="21" t="n">
        <v>0.9854023136479892</v>
      </c>
      <c r="E100" s="21" t="n">
        <v>0.9812194690753334</v>
      </c>
      <c r="F100" s="21" t="n">
        <v>0.9842402552953607</v>
      </c>
      <c r="G100" s="21" t="n">
        <v>0.9790527501334659</v>
      </c>
      <c r="H100" s="21" t="n">
        <v>0.9847585731336344</v>
      </c>
      <c r="I100" s="21" t="n">
        <v>0.9840461027842609</v>
      </c>
      <c r="J100" s="21" t="n">
        <v>0.9832404176572265</v>
      </c>
      <c r="K100" s="21" t="n">
        <v>0.9830370400670075</v>
      </c>
      <c r="L100" s="21" t="n">
        <v>0.9795678246043009</v>
      </c>
      <c r="M100" s="21" t="n">
        <v>0.9853190764206967</v>
      </c>
    </row>
    <row r="101">
      <c r="A101" s="10" t="n">
        <v>0.945</v>
      </c>
      <c r="B101" s="21" t="n">
        <v>0.9878509542964462</v>
      </c>
      <c r="C101" s="21" t="n">
        <v>0.9864002480525371</v>
      </c>
      <c r="D101" s="21" t="n">
        <v>0.9894963882981945</v>
      </c>
      <c r="E101" s="21" t="n">
        <v>0.9884124523820124</v>
      </c>
      <c r="F101" s="21" t="n">
        <v>0.9896992803180786</v>
      </c>
      <c r="G101" s="21" t="n">
        <v>0.9824986180768784</v>
      </c>
      <c r="H101" s="21" t="n">
        <v>0.9892623632860724</v>
      </c>
      <c r="I101" s="21" t="n">
        <v>0.989225225853584</v>
      </c>
      <c r="J101" s="21" t="n">
        <v>0.9860884512579592</v>
      </c>
      <c r="K101" s="21" t="n">
        <v>0.9879212610408595</v>
      </c>
      <c r="L101" s="21" t="n">
        <v>0.9865768674610972</v>
      </c>
      <c r="M101" s="21" t="n">
        <v>0.9889881609495846</v>
      </c>
    </row>
    <row r="102">
      <c r="A102" s="10" t="n">
        <v>0.955</v>
      </c>
      <c r="B102" s="21" t="n">
        <v>0.9911922587277279</v>
      </c>
      <c r="C102" s="21" t="n">
        <v>0.9902653412390274</v>
      </c>
      <c r="D102" s="21" t="n">
        <v>0.9930304003734173</v>
      </c>
      <c r="E102" s="21" t="n">
        <v>0.9912963700652626</v>
      </c>
      <c r="F102" s="21" t="n">
        <v>0.9931056441878797</v>
      </c>
      <c r="G102" s="21" t="n">
        <v>0.9860351667556438</v>
      </c>
      <c r="H102" s="21" t="n">
        <v>0.9927462049183043</v>
      </c>
      <c r="I102" s="21" t="n">
        <v>0.9914014117649291</v>
      </c>
      <c r="J102" s="21" t="n">
        <v>0.9888269451048176</v>
      </c>
      <c r="K102" s="21" t="n">
        <v>0.9928054820147115</v>
      </c>
      <c r="L102" s="21" t="n">
        <v>0.9892487706204997</v>
      </c>
      <c r="M102" s="21" t="n">
        <v>0.9926572454784726</v>
      </c>
    </row>
    <row r="103">
      <c r="A103" s="10" t="n">
        <v>0.965</v>
      </c>
      <c r="B103" s="21" t="n">
        <v>0.9940282890404322</v>
      </c>
      <c r="C103" s="21" t="n">
        <v>0.9935186263304279</v>
      </c>
      <c r="D103" s="21" t="n">
        <v>0.99656441244864</v>
      </c>
      <c r="E103" s="21" t="n">
        <v>0.9934618665083552</v>
      </c>
      <c r="F103" s="21" t="n">
        <v>0.9948442208709359</v>
      </c>
      <c r="G103" s="21" t="n">
        <v>0.9894810346990563</v>
      </c>
      <c r="H103" s="21" t="n">
        <v>0.9963193758231575</v>
      </c>
      <c r="I103" s="21" t="n">
        <v>0.9935245199711196</v>
      </c>
      <c r="J103" s="21" t="n">
        <v>0.9916749787055503</v>
      </c>
      <c r="K103" s="21" t="n">
        <v>0.9951906231463926</v>
      </c>
      <c r="L103" s="21" t="n">
        <v>0.9919206737799021</v>
      </c>
      <c r="M103" s="21" t="n">
        <v>0.996242941722613</v>
      </c>
    </row>
    <row r="104">
      <c r="A104" s="10" t="n">
        <v>0.975</v>
      </c>
      <c r="B104" s="21" t="n">
        <v>0.9960633019025855</v>
      </c>
      <c r="C104" s="21" t="n">
        <v>0.9957691401625591</v>
      </c>
      <c r="D104" s="21" t="n">
        <v>0.9977200191704612</v>
      </c>
      <c r="E104" s="21" t="n">
        <v>0.9956273629514478</v>
      </c>
      <c r="F104" s="21" t="n">
        <v>0.9965228466338868</v>
      </c>
      <c r="G104" s="21" t="n">
        <v>0.9930175833778218</v>
      </c>
      <c r="H104" s="21" t="n">
        <v>0.9978335008823412</v>
      </c>
      <c r="I104" s="21" t="n">
        <v>0.9957007058824647</v>
      </c>
      <c r="J104" s="21" t="n">
        <v>0.9944134725524088</v>
      </c>
      <c r="K104" s="21" t="n">
        <v>0.9968038951289317</v>
      </c>
      <c r="L104" s="21" t="n">
        <v>0.9945925769393046</v>
      </c>
      <c r="M104" s="21" t="n">
        <v>0.997654764196531</v>
      </c>
    </row>
    <row r="105">
      <c r="A105" s="10" t="n">
        <v>0.985</v>
      </c>
      <c r="B105" s="21" t="n">
        <v>0.9980312068007885</v>
      </c>
      <c r="C105" s="21" t="n">
        <v>0.9978845700812797</v>
      </c>
      <c r="D105" s="21" t="n">
        <v>0.998844393278179</v>
      </c>
      <c r="E105" s="21" t="n">
        <v>0.9978345035569076</v>
      </c>
      <c r="F105" s="21" t="n">
        <v>0.998261423316943</v>
      </c>
      <c r="G105" s="21" t="n">
        <v>0.9964634513212343</v>
      </c>
      <c r="H105" s="21" t="n">
        <v>0.9989167504411706</v>
      </c>
      <c r="I105" s="21" t="n">
        <v>0.9978238140886552</v>
      </c>
      <c r="J105" s="21" t="n">
        <v>0.9972615061531415</v>
      </c>
      <c r="K105" s="21" t="n">
        <v>0.9983867280174606</v>
      </c>
      <c r="L105" s="21" t="n">
        <v>0.9973280968405975</v>
      </c>
      <c r="M105" s="21" t="n">
        <v>0.9988139037315789</v>
      </c>
    </row>
    <row r="106">
      <c r="A106" s="10" t="n">
        <v>0.995</v>
      </c>
      <c r="B106" s="21" t="n">
        <v>0.9999999999999997</v>
      </c>
      <c r="C106" s="21" t="n">
        <v>1</v>
      </c>
      <c r="D106" s="21" t="n">
        <v>1</v>
      </c>
      <c r="E106" s="21" t="n">
        <v>1</v>
      </c>
      <c r="F106" s="21" t="n">
        <v>0.9999999999999992</v>
      </c>
      <c r="G106" s="21" t="n">
        <v>0.9999999999999997</v>
      </c>
      <c r="H106" s="21" t="n">
        <v>0.9999999999999999</v>
      </c>
      <c r="I106" s="21" t="n">
        <v>1</v>
      </c>
      <c r="J106" s="21" t="n">
        <v>0.9999999999999999</v>
      </c>
      <c r="K106" s="21" t="n">
        <v>0.9999999999999998</v>
      </c>
      <c r="L106" s="21" t="n">
        <v>1</v>
      </c>
      <c r="M106" s="21" t="n">
        <v>0.9999999999999999</v>
      </c>
    </row>
    <row r="130">
      <c r="A130" s="6" t="inlineStr">
        <is>
          <t>■ 行程グループ別 平均カーブ(密度・面積1)</t>
        </is>
      </c>
    </row>
    <row r="131">
      <c r="A131" s="5" t="inlineStr">
        <is>
          <t>各行程グループが正準時間軸のどこで消化されるか。山が立つ位置がマイルストーン直前に来ていれば位置合わせが効いている。</t>
        </is>
      </c>
    </row>
    <row r="132">
      <c r="A132" s="7" t="inlineStr">
        <is>
          <t>t</t>
        </is>
      </c>
      <c r="B132" s="8" t="inlineStr">
        <is>
          <t>企画・プリプロ</t>
        </is>
      </c>
      <c r="C132" s="8" t="inlineStr">
        <is>
          <t>ゲームデザイン・シナリオ</t>
        </is>
      </c>
      <c r="D132" s="8" t="inlineStr">
        <is>
          <t>プログラム</t>
        </is>
      </c>
      <c r="E132" s="8" t="inlineStr">
        <is>
          <t>アート</t>
        </is>
      </c>
      <c r="F132" s="8" t="inlineStr">
        <is>
          <t>サウンド</t>
        </is>
      </c>
      <c r="G132" s="8" t="inlineStr">
        <is>
          <t>QA・デバッグ</t>
        </is>
      </c>
      <c r="H132" s="8" t="inlineStr">
        <is>
          <t>PM・運営</t>
        </is>
      </c>
    </row>
    <row r="133">
      <c r="A133" s="10" t="n">
        <v>0.005</v>
      </c>
      <c r="B133" s="21" t="n">
        <v>2.603245376176093</v>
      </c>
      <c r="C133" s="21" t="n">
        <v>0.2885778009662788</v>
      </c>
      <c r="D133" s="21" t="n">
        <v>0.03256219305680366</v>
      </c>
      <c r="E133" s="21" t="n">
        <v>0.006018151270048862</v>
      </c>
      <c r="F133" s="21" t="n">
        <v>0</v>
      </c>
      <c r="G133" s="21" t="n">
        <v>0</v>
      </c>
      <c r="H133" s="21" t="n">
        <v>0.2411014367876252</v>
      </c>
    </row>
    <row r="134">
      <c r="A134" s="10" t="n">
        <v>0.015</v>
      </c>
      <c r="B134" s="21" t="n">
        <v>2.592559153347537</v>
      </c>
      <c r="C134" s="21" t="n">
        <v>0.2866367828450471</v>
      </c>
      <c r="D134" s="21" t="n">
        <v>0.03219732969417156</v>
      </c>
      <c r="E134" s="21" t="n">
        <v>0.005917004907068036</v>
      </c>
      <c r="F134" s="21" t="n">
        <v>0</v>
      </c>
      <c r="G134" s="21" t="n">
        <v>0</v>
      </c>
      <c r="H134" s="21" t="n">
        <v>0.239609950461576</v>
      </c>
    </row>
    <row r="135">
      <c r="A135" s="10" t="n">
        <v>0.025</v>
      </c>
      <c r="B135" s="21" t="n">
        <v>2.670930403447422</v>
      </c>
      <c r="C135" s="21" t="n">
        <v>0.3103559793382611</v>
      </c>
      <c r="D135" s="21" t="n">
        <v>0.03628551813330168</v>
      </c>
      <c r="E135" s="21" t="n">
        <v>0.007310034825580967</v>
      </c>
      <c r="F135" s="21" t="n">
        <v>0</v>
      </c>
      <c r="G135" s="21" t="n">
        <v>0</v>
      </c>
      <c r="H135" s="21" t="n">
        <v>0.2590443082379668</v>
      </c>
    </row>
    <row r="136">
      <c r="A136" s="10" t="n">
        <v>0.035</v>
      </c>
      <c r="B136" s="21" t="n">
        <v>2.832394513796606</v>
      </c>
      <c r="C136" s="21" t="n">
        <v>0.3808714362757543</v>
      </c>
      <c r="D136" s="21" t="n">
        <v>0.05034990520824251</v>
      </c>
      <c r="E136" s="21" t="n">
        <v>0.0131795892076657</v>
      </c>
      <c r="F136" s="21" t="n">
        <v>0</v>
      </c>
      <c r="G136" s="21" t="n">
        <v>0</v>
      </c>
      <c r="H136" s="21" t="n">
        <v>0.3116320634489848</v>
      </c>
    </row>
    <row r="137">
      <c r="A137" s="10" t="n">
        <v>0.045</v>
      </c>
      <c r="B137" s="21" t="n">
        <v>3.059595469736535</v>
      </c>
      <c r="C137" s="21" t="n">
        <v>0.4994868352709388</v>
      </c>
      <c r="D137" s="21" t="n">
        <v>0.07462456436568528</v>
      </c>
      <c r="E137" s="21" t="n">
        <v>0.02600591207201352</v>
      </c>
      <c r="F137" s="21" t="n">
        <v>0</v>
      </c>
      <c r="G137" s="21" t="n">
        <v>0</v>
      </c>
      <c r="H137" s="21" t="n">
        <v>0.3829006139375969</v>
      </c>
    </row>
    <row r="138">
      <c r="A138" s="10" t="n">
        <v>0.055</v>
      </c>
      <c r="B138" s="21" t="n">
        <v>3.164800007712388</v>
      </c>
      <c r="C138" s="21" t="n">
        <v>0.5649176011283097</v>
      </c>
      <c r="D138" s="21" t="n">
        <v>0.08841654440883445</v>
      </c>
      <c r="E138" s="21" t="n">
        <v>0.03426677218127701</v>
      </c>
      <c r="F138" s="21" t="n">
        <v>0</v>
      </c>
      <c r="G138" s="21" t="n">
        <v>0</v>
      </c>
      <c r="H138" s="21" t="n">
        <v>0.4168355830552013</v>
      </c>
    </row>
    <row r="139">
      <c r="A139" s="10" t="n">
        <v>0.065</v>
      </c>
      <c r="B139" s="21" t="n">
        <v>3.255539377920162</v>
      </c>
      <c r="C139" s="21" t="n">
        <v>0.6894077151288205</v>
      </c>
      <c r="D139" s="21" t="n">
        <v>0.1253702936532019</v>
      </c>
      <c r="E139" s="21" t="n">
        <v>0.05433964213412755</v>
      </c>
      <c r="F139" s="21" t="n">
        <v>0.0005102754886593113</v>
      </c>
      <c r="G139" s="21" t="n">
        <v>0</v>
      </c>
      <c r="H139" s="21" t="n">
        <v>0.4778979446982435</v>
      </c>
    </row>
    <row r="140">
      <c r="A140" s="10" t="n">
        <v>0.075</v>
      </c>
      <c r="B140" s="21" t="n">
        <v>3.351294388558331</v>
      </c>
      <c r="C140" s="21" t="n">
        <v>0.8448062976955353</v>
      </c>
      <c r="D140" s="21" t="n">
        <v>0.1747896995264648</v>
      </c>
      <c r="E140" s="21" t="n">
        <v>0.08178966589966273</v>
      </c>
      <c r="F140" s="21" t="n">
        <v>0.001658395338142762</v>
      </c>
      <c r="G140" s="21" t="n">
        <v>0</v>
      </c>
      <c r="H140" s="21" t="n">
        <v>0.5595108654329574</v>
      </c>
    </row>
    <row r="141">
      <c r="A141" s="10" t="n">
        <v>0.08500000000000001</v>
      </c>
      <c r="B141" s="21" t="n">
        <v>3.314003800036443</v>
      </c>
      <c r="C141" s="21" t="n">
        <v>0.9438609781324315</v>
      </c>
      <c r="D141" s="21" t="n">
        <v>0.2114195981913103</v>
      </c>
      <c r="E141" s="21" t="n">
        <v>0.1030876688764007</v>
      </c>
      <c r="F141" s="21" t="n">
        <v>0.001969761450816735</v>
      </c>
      <c r="G141" s="21" t="n">
        <v>0</v>
      </c>
      <c r="H141" s="21" t="n">
        <v>0.6074401663403355</v>
      </c>
    </row>
    <row r="142">
      <c r="A142" s="10" t="n">
        <v>0.095</v>
      </c>
      <c r="B142" s="21" t="n">
        <v>3.385735749381961</v>
      </c>
      <c r="C142" s="21" t="n">
        <v>1.019362441178373</v>
      </c>
      <c r="D142" s="21" t="n">
        <v>0.2367434673805726</v>
      </c>
      <c r="E142" s="21" t="n">
        <v>0.1162809154242219</v>
      </c>
      <c r="F142" s="21" t="n">
        <v>0.003819184312581742</v>
      </c>
      <c r="G142" s="21" t="n">
        <v>0</v>
      </c>
      <c r="H142" s="21" t="n">
        <v>0.6424665848347645</v>
      </c>
    </row>
    <row r="143">
      <c r="A143" s="10" t="n">
        <v>0.105</v>
      </c>
      <c r="B143" s="21" t="n">
        <v>3.420158951344924</v>
      </c>
      <c r="C143" s="21" t="n">
        <v>1.098481679019644</v>
      </c>
      <c r="D143" s="21" t="n">
        <v>0.2723814042997869</v>
      </c>
      <c r="E143" s="21" t="n">
        <v>0.1397063795082993</v>
      </c>
      <c r="F143" s="21" t="n">
        <v>0.007660667228402671</v>
      </c>
      <c r="G143" s="21" t="n">
        <v>0</v>
      </c>
      <c r="H143" s="21" t="n">
        <v>0.6822354902626936</v>
      </c>
    </row>
    <row r="144">
      <c r="A144" s="10" t="n">
        <v>0.115</v>
      </c>
      <c r="B144" s="21" t="n">
        <v>3.262751826358094</v>
      </c>
      <c r="C144" s="21" t="n">
        <v>1.126102577952593</v>
      </c>
      <c r="D144" s="21" t="n">
        <v>0.2968073147193313</v>
      </c>
      <c r="E144" s="21" t="n">
        <v>0.1567305835772394</v>
      </c>
      <c r="F144" s="21" t="n">
        <v>0.009184434654877071</v>
      </c>
      <c r="G144" s="21" t="n">
        <v>0</v>
      </c>
      <c r="H144" s="21" t="n">
        <v>0.6874937286560077</v>
      </c>
    </row>
    <row r="145">
      <c r="A145" s="10" t="n">
        <v>0.125</v>
      </c>
      <c r="B145" s="21" t="n">
        <v>3.283434836505926</v>
      </c>
      <c r="C145" s="21" t="n">
        <v>1.162149382196352</v>
      </c>
      <c r="D145" s="21" t="n">
        <v>0.3168766593532349</v>
      </c>
      <c r="E145" s="21" t="n">
        <v>0.1778399637487205</v>
      </c>
      <c r="F145" s="21" t="n">
        <v>0.01364178240727201</v>
      </c>
      <c r="G145" s="21" t="n">
        <v>0</v>
      </c>
      <c r="H145" s="21" t="n">
        <v>0.727103859637428</v>
      </c>
    </row>
    <row r="146">
      <c r="A146" s="10" t="n">
        <v>0.135</v>
      </c>
      <c r="B146" s="21" t="n">
        <v>3.127701128622232</v>
      </c>
      <c r="C146" s="21" t="n">
        <v>1.28102402759572</v>
      </c>
      <c r="D146" s="21" t="n">
        <v>0.3827394147050058</v>
      </c>
      <c r="E146" s="21" t="n">
        <v>0.2440020918295745</v>
      </c>
      <c r="F146" s="21" t="n">
        <v>0.03453029490440292</v>
      </c>
      <c r="G146" s="21" t="n">
        <v>0.0002199846875615769</v>
      </c>
      <c r="H146" s="21" t="n">
        <v>0.8204710417107165</v>
      </c>
    </row>
    <row r="147">
      <c r="A147" s="10" t="n">
        <v>0.145</v>
      </c>
      <c r="B147" s="21" t="n">
        <v>3.046000070070348</v>
      </c>
      <c r="C147" s="21" t="n">
        <v>1.317542241930445</v>
      </c>
      <c r="D147" s="21" t="n">
        <v>0.4138815682314947</v>
      </c>
      <c r="E147" s="21" t="n">
        <v>0.2717384321112287</v>
      </c>
      <c r="F147" s="21" t="n">
        <v>0.04316774239684515</v>
      </c>
      <c r="G147" s="21" t="n">
        <v>0.0004888548612479489</v>
      </c>
      <c r="H147" s="21" t="n">
        <v>0.8626737579185858</v>
      </c>
    </row>
    <row r="148">
      <c r="A148" s="10" t="n">
        <v>0.155</v>
      </c>
      <c r="B148" s="21" t="n">
        <v>3.019603080414402</v>
      </c>
      <c r="C148" s="21" t="n">
        <v>1.324029672059184</v>
      </c>
      <c r="D148" s="21" t="n">
        <v>0.4229599271531388</v>
      </c>
      <c r="E148" s="21" t="n">
        <v>0.2784351267985903</v>
      </c>
      <c r="F148" s="21" t="n">
        <v>0.04539065593413068</v>
      </c>
      <c r="G148" s="21" t="n">
        <v>0.000512501584952469</v>
      </c>
      <c r="H148" s="21" t="n">
        <v>0.8724891263782384</v>
      </c>
    </row>
    <row r="149">
      <c r="A149" s="10" t="n">
        <v>0.165</v>
      </c>
      <c r="B149" s="21" t="n">
        <v>2.762960558946386</v>
      </c>
      <c r="C149" s="21" t="n">
        <v>1.411381029657274</v>
      </c>
      <c r="D149" s="21" t="n">
        <v>0.4995014515004269</v>
      </c>
      <c r="E149" s="21" t="n">
        <v>0.3438735376046868</v>
      </c>
      <c r="F149" s="21" t="n">
        <v>0.07393929677059016</v>
      </c>
      <c r="G149" s="21" t="n">
        <v>0.0008831385690548973</v>
      </c>
      <c r="H149" s="21" t="n">
        <v>0.9003690301291256</v>
      </c>
    </row>
    <row r="150">
      <c r="A150" s="10" t="n">
        <v>0.175</v>
      </c>
      <c r="B150" s="21" t="n">
        <v>2.625018773505807</v>
      </c>
      <c r="C150" s="21" t="n">
        <v>1.400902553323089</v>
      </c>
      <c r="D150" s="21" t="n">
        <v>0.5139211764734546</v>
      </c>
      <c r="E150" s="21" t="n">
        <v>0.361316566835058</v>
      </c>
      <c r="F150" s="21" t="n">
        <v>0.08074245295758065</v>
      </c>
      <c r="G150" s="21" t="n">
        <v>0.001489340041531276</v>
      </c>
      <c r="H150" s="21" t="n">
        <v>0.895096182024412</v>
      </c>
    </row>
    <row r="151">
      <c r="A151" s="10" t="n">
        <v>0.185</v>
      </c>
      <c r="B151" s="21" t="n">
        <v>2.529721554616038</v>
      </c>
      <c r="C151" s="21" t="n">
        <v>1.439613070327769</v>
      </c>
      <c r="D151" s="21" t="n">
        <v>0.5349692575456381</v>
      </c>
      <c r="E151" s="21" t="n">
        <v>0.3808617978915619</v>
      </c>
      <c r="F151" s="21" t="n">
        <v>0.08757267925256461</v>
      </c>
      <c r="G151" s="21" t="n">
        <v>0.001982389836683723</v>
      </c>
      <c r="H151" s="21" t="n">
        <v>0.8828772078417082</v>
      </c>
    </row>
    <row r="152">
      <c r="A152" s="10" t="n">
        <v>0.195</v>
      </c>
      <c r="B152" s="21" t="n">
        <v>2.393243968795189</v>
      </c>
      <c r="C152" s="21" t="n">
        <v>1.455299937539742</v>
      </c>
      <c r="D152" s="21" t="n">
        <v>0.5693386085198991</v>
      </c>
      <c r="E152" s="21" t="n">
        <v>0.4117995301069533</v>
      </c>
      <c r="F152" s="21" t="n">
        <v>0.1034616106254119</v>
      </c>
      <c r="G152" s="21" t="n">
        <v>0.002906889564702182</v>
      </c>
      <c r="H152" s="21" t="n">
        <v>0.905357485527312</v>
      </c>
    </row>
    <row r="153">
      <c r="A153" s="10" t="n">
        <v>0.205</v>
      </c>
      <c r="B153" s="21" t="n">
        <v>2.178679520367135</v>
      </c>
      <c r="C153" s="21" t="n">
        <v>1.419052770555204</v>
      </c>
      <c r="D153" s="21" t="n">
        <v>0.5985279447932358</v>
      </c>
      <c r="E153" s="21" t="n">
        <v>0.4503688074580093</v>
      </c>
      <c r="F153" s="21" t="n">
        <v>0.1308827269158626</v>
      </c>
      <c r="G153" s="21" t="n">
        <v>0.004895162134299946</v>
      </c>
      <c r="H153" s="21" t="n">
        <v>0.906269324997004</v>
      </c>
    </row>
    <row r="154">
      <c r="A154" s="10" t="n">
        <v>0.215</v>
      </c>
      <c r="B154" s="21" t="n">
        <v>2.136360053139238</v>
      </c>
      <c r="C154" s="21" t="n">
        <v>1.424298692874612</v>
      </c>
      <c r="D154" s="21" t="n">
        <v>0.6244872645471817</v>
      </c>
      <c r="E154" s="21" t="n">
        <v>0.477615116961295</v>
      </c>
      <c r="F154" s="21" t="n">
        <v>0.1472796719938793</v>
      </c>
      <c r="G154" s="21" t="n">
        <v>0.006182021552756219</v>
      </c>
      <c r="H154" s="21" t="n">
        <v>0.9196459195686683</v>
      </c>
    </row>
    <row r="155">
      <c r="A155" s="10" t="n">
        <v>0.225</v>
      </c>
      <c r="B155" s="21" t="n">
        <v>2.134384493837593</v>
      </c>
      <c r="C155" s="21" t="n">
        <v>1.456106196951026</v>
      </c>
      <c r="D155" s="21" t="n">
        <v>0.6674576124676169</v>
      </c>
      <c r="E155" s="21" t="n">
        <v>0.5080054652433459</v>
      </c>
      <c r="F155" s="21" t="n">
        <v>0.1608074825703986</v>
      </c>
      <c r="G155" s="21" t="n">
        <v>0.007768202559797249</v>
      </c>
      <c r="H155" s="21" t="n">
        <v>0.9731983104501857</v>
      </c>
    </row>
    <row r="156">
      <c r="A156" s="10" t="n">
        <v>0.235</v>
      </c>
      <c r="B156" s="21" t="n">
        <v>2.117419073025899</v>
      </c>
      <c r="C156" s="21" t="n">
        <v>1.504400356682758</v>
      </c>
      <c r="D156" s="21" t="n">
        <v>0.7144227463956451</v>
      </c>
      <c r="E156" s="21" t="n">
        <v>0.5422217795592732</v>
      </c>
      <c r="F156" s="21" t="n">
        <v>0.1777622965430611</v>
      </c>
      <c r="G156" s="21" t="n">
        <v>0.0099060324832951</v>
      </c>
      <c r="H156" s="21" t="n">
        <v>1.043536297875114</v>
      </c>
    </row>
    <row r="157">
      <c r="A157" s="10" t="n">
        <v>0.245</v>
      </c>
      <c r="B157" s="21" t="n">
        <v>1.996783660825308</v>
      </c>
      <c r="C157" s="21" t="n">
        <v>1.524783562005541</v>
      </c>
      <c r="D157" s="21" t="n">
        <v>0.7481928579877872</v>
      </c>
      <c r="E157" s="21" t="n">
        <v>0.5838654170574825</v>
      </c>
      <c r="F157" s="21" t="n">
        <v>0.2048886772397565</v>
      </c>
      <c r="G157" s="21" t="n">
        <v>0.01424508138774307</v>
      </c>
      <c r="H157" s="21" t="n">
        <v>1.07898240264157</v>
      </c>
    </row>
    <row r="158">
      <c r="A158" s="10" t="n">
        <v>0.255</v>
      </c>
      <c r="B158" s="21" t="n">
        <v>1.929218439938669</v>
      </c>
      <c r="C158" s="21" t="n">
        <v>1.521052413233229</v>
      </c>
      <c r="D158" s="21" t="n">
        <v>0.7748342065906635</v>
      </c>
      <c r="E158" s="21" t="n">
        <v>0.6200375916846463</v>
      </c>
      <c r="F158" s="21" t="n">
        <v>0.2229231685537016</v>
      </c>
      <c r="G158" s="21" t="n">
        <v>0.01758694084347995</v>
      </c>
      <c r="H158" s="21" t="n">
        <v>1.110979029607995</v>
      </c>
    </row>
    <row r="159">
      <c r="A159" s="10" t="n">
        <v>0.265</v>
      </c>
      <c r="B159" s="21" t="n">
        <v>1.807406822657383</v>
      </c>
      <c r="C159" s="21" t="n">
        <v>1.551589442723456</v>
      </c>
      <c r="D159" s="21" t="n">
        <v>0.8065064627432965</v>
      </c>
      <c r="E159" s="21" t="n">
        <v>0.6793724036076064</v>
      </c>
      <c r="F159" s="21" t="n">
        <v>0.2581041181348286</v>
      </c>
      <c r="G159" s="21" t="n">
        <v>0.02314985359877706</v>
      </c>
      <c r="H159" s="21" t="n">
        <v>1.129100137783308</v>
      </c>
    </row>
    <row r="160">
      <c r="A160" s="10" t="n">
        <v>0.275</v>
      </c>
      <c r="B160" s="21" t="n">
        <v>1.72825546831923</v>
      </c>
      <c r="C160" s="21" t="n">
        <v>1.643792027144428</v>
      </c>
      <c r="D160" s="21" t="n">
        <v>0.8626889614677224</v>
      </c>
      <c r="E160" s="21" t="n">
        <v>0.7831667755606387</v>
      </c>
      <c r="F160" s="21" t="n">
        <v>0.3034376059482978</v>
      </c>
      <c r="G160" s="21" t="n">
        <v>0.0294084916922608</v>
      </c>
      <c r="H160" s="21" t="n">
        <v>1.174631359162416</v>
      </c>
    </row>
    <row r="161">
      <c r="A161" s="10" t="n">
        <v>0.285</v>
      </c>
      <c r="B161" s="21" t="n">
        <v>1.712823734864253</v>
      </c>
      <c r="C161" s="21" t="n">
        <v>1.69972858593007</v>
      </c>
      <c r="D161" s="21" t="n">
        <v>0.9035672881561877</v>
      </c>
      <c r="E161" s="21" t="n">
        <v>0.8212271291343286</v>
      </c>
      <c r="F161" s="21" t="n">
        <v>0.3205864585801245</v>
      </c>
      <c r="G161" s="21" t="n">
        <v>0.03169108323487997</v>
      </c>
      <c r="H161" s="21" t="n">
        <v>1.197476852510351</v>
      </c>
    </row>
    <row r="162">
      <c r="A162" s="10" t="n">
        <v>0.295</v>
      </c>
      <c r="B162" s="21" t="n">
        <v>1.619444332888746</v>
      </c>
      <c r="C162" s="21" t="n">
        <v>1.720704916122832</v>
      </c>
      <c r="D162" s="21" t="n">
        <v>0.9515848241443723</v>
      </c>
      <c r="E162" s="21" t="n">
        <v>0.8613916701681641</v>
      </c>
      <c r="F162" s="21" t="n">
        <v>0.3561122346127042</v>
      </c>
      <c r="G162" s="21" t="n">
        <v>0.03724108661336085</v>
      </c>
      <c r="H162" s="21" t="n">
        <v>1.235821586201452</v>
      </c>
    </row>
    <row r="163">
      <c r="A163" s="10" t="n">
        <v>0.305</v>
      </c>
      <c r="B163" s="21" t="n">
        <v>1.592699612739214</v>
      </c>
      <c r="C163" s="21" t="n">
        <v>1.705717871279218</v>
      </c>
      <c r="D163" s="21" t="n">
        <v>0.9544703710830317</v>
      </c>
      <c r="E163" s="21" t="n">
        <v>0.8614322477612895</v>
      </c>
      <c r="F163" s="21" t="n">
        <v>0.3613002023448875</v>
      </c>
      <c r="G163" s="21" t="n">
        <v>0.03888190957181833</v>
      </c>
      <c r="H163" s="21" t="n">
        <v>1.23430471372313</v>
      </c>
    </row>
    <row r="164">
      <c r="A164" s="10" t="n">
        <v>0.315</v>
      </c>
      <c r="B164" s="21" t="n">
        <v>1.580989184636383</v>
      </c>
      <c r="C164" s="21" t="n">
        <v>1.748715565591971</v>
      </c>
      <c r="D164" s="21" t="n">
        <v>1.009062060329813</v>
      </c>
      <c r="E164" s="21" t="n">
        <v>0.907426050623778</v>
      </c>
      <c r="F164" s="21" t="n">
        <v>0.390474798740466</v>
      </c>
      <c r="G164" s="21" t="n">
        <v>0.04428408138317719</v>
      </c>
      <c r="H164" s="21" t="n">
        <v>1.284654791954458</v>
      </c>
    </row>
    <row r="165">
      <c r="A165" s="10" t="n">
        <v>0.325</v>
      </c>
      <c r="B165" s="21" t="n">
        <v>1.413573249215569</v>
      </c>
      <c r="C165" s="21" t="n">
        <v>1.779265530518726</v>
      </c>
      <c r="D165" s="21" t="n">
        <v>1.136686658623269</v>
      </c>
      <c r="E165" s="21" t="n">
        <v>1.029453048577737</v>
      </c>
      <c r="F165" s="21" t="n">
        <v>0.5130498175322947</v>
      </c>
      <c r="G165" s="21" t="n">
        <v>0.06404729830542741</v>
      </c>
      <c r="H165" s="21" t="n">
        <v>1.315096130920145</v>
      </c>
    </row>
    <row r="166">
      <c r="A166" s="10" t="n">
        <v>0.335</v>
      </c>
      <c r="B166" s="21" t="n">
        <v>1.266612967396234</v>
      </c>
      <c r="C166" s="21" t="n">
        <v>1.706256323577577</v>
      </c>
      <c r="D166" s="21" t="n">
        <v>1.169558548023483</v>
      </c>
      <c r="E166" s="21" t="n">
        <v>1.081008926003288</v>
      </c>
      <c r="F166" s="21" t="n">
        <v>0.5790960117060889</v>
      </c>
      <c r="G166" s="21" t="n">
        <v>0.07837479135913385</v>
      </c>
      <c r="H166" s="21" t="n">
        <v>1.281186853976137</v>
      </c>
    </row>
    <row r="167">
      <c r="A167" s="10" t="n">
        <v>0.345</v>
      </c>
      <c r="B167" s="21" t="n">
        <v>1.236233599312333</v>
      </c>
      <c r="C167" s="21" t="n">
        <v>1.715662963425223</v>
      </c>
      <c r="D167" s="21" t="n">
        <v>1.18150664274753</v>
      </c>
      <c r="E167" s="21" t="n">
        <v>1.127722013452592</v>
      </c>
      <c r="F167" s="21" t="n">
        <v>0.6138910438414786</v>
      </c>
      <c r="G167" s="21" t="n">
        <v>0.08418788696020434</v>
      </c>
      <c r="H167" s="21" t="n">
        <v>1.302786780358764</v>
      </c>
    </row>
    <row r="168">
      <c r="A168" s="10" t="n">
        <v>0.355</v>
      </c>
      <c r="B168" s="21" t="n">
        <v>1.172981720463127</v>
      </c>
      <c r="C168" s="21" t="n">
        <v>1.707109561868073</v>
      </c>
      <c r="D168" s="21" t="n">
        <v>1.177027021715315</v>
      </c>
      <c r="E168" s="21" t="n">
        <v>1.166218309905337</v>
      </c>
      <c r="F168" s="21" t="n">
        <v>0.6448779325483447</v>
      </c>
      <c r="G168" s="21" t="n">
        <v>0.09017270750850216</v>
      </c>
      <c r="H168" s="21" t="n">
        <v>1.312329673732573</v>
      </c>
    </row>
    <row r="169">
      <c r="A169" s="10" t="n">
        <v>0.365</v>
      </c>
      <c r="B169" s="21" t="n">
        <v>1.138307555708159</v>
      </c>
      <c r="C169" s="21" t="n">
        <v>1.696228030530488</v>
      </c>
      <c r="D169" s="21" t="n">
        <v>1.17584039559431</v>
      </c>
      <c r="E169" s="21" t="n">
        <v>1.195083821689227</v>
      </c>
      <c r="F169" s="21" t="n">
        <v>0.657583132797966</v>
      </c>
      <c r="G169" s="21" t="n">
        <v>0.09631171855928246</v>
      </c>
      <c r="H169" s="21" t="n">
        <v>1.321695807540997</v>
      </c>
    </row>
    <row r="170">
      <c r="A170" s="10" t="n">
        <v>0.375</v>
      </c>
      <c r="B170" s="21" t="n">
        <v>1.069477991495559</v>
      </c>
      <c r="C170" s="21" t="n">
        <v>1.740268137830049</v>
      </c>
      <c r="D170" s="21" t="n">
        <v>1.228217000748605</v>
      </c>
      <c r="E170" s="21" t="n">
        <v>1.262404166110599</v>
      </c>
      <c r="F170" s="21" t="n">
        <v>0.7203721383055371</v>
      </c>
      <c r="G170" s="21" t="n">
        <v>0.113364267756918</v>
      </c>
      <c r="H170" s="21" t="n">
        <v>1.370717040891641</v>
      </c>
    </row>
    <row r="171">
      <c r="A171" s="10" t="n">
        <v>0.385</v>
      </c>
      <c r="B171" s="21" t="n">
        <v>0.9489447127383572</v>
      </c>
      <c r="C171" s="21" t="n">
        <v>1.728680775816564</v>
      </c>
      <c r="D171" s="21" t="n">
        <v>1.285234169537701</v>
      </c>
      <c r="E171" s="21" t="n">
        <v>1.293526465139615</v>
      </c>
      <c r="F171" s="21" t="n">
        <v>0.7805516348806321</v>
      </c>
      <c r="G171" s="21" t="n">
        <v>0.1297988789425475</v>
      </c>
      <c r="H171" s="21" t="n">
        <v>1.388876966775624</v>
      </c>
    </row>
    <row r="172">
      <c r="A172" s="10" t="n">
        <v>0.395</v>
      </c>
      <c r="B172" s="21" t="n">
        <v>0.8744634687037279</v>
      </c>
      <c r="C172" s="21" t="n">
        <v>1.793399559604729</v>
      </c>
      <c r="D172" s="21" t="n">
        <v>1.353455089496885</v>
      </c>
      <c r="E172" s="21" t="n">
        <v>1.339480830625226</v>
      </c>
      <c r="F172" s="21" t="n">
        <v>0.8573032881319328</v>
      </c>
      <c r="G172" s="21" t="n">
        <v>0.1471586857804132</v>
      </c>
      <c r="H172" s="21" t="n">
        <v>1.429283360801187</v>
      </c>
    </row>
    <row r="173">
      <c r="A173" s="10" t="n">
        <v>0.405</v>
      </c>
      <c r="B173" s="21" t="n">
        <v>0.8104095372491089</v>
      </c>
      <c r="C173" s="21" t="n">
        <v>1.848909950298115</v>
      </c>
      <c r="D173" s="21" t="n">
        <v>1.443615394044777</v>
      </c>
      <c r="E173" s="21" t="n">
        <v>1.38068179511587</v>
      </c>
      <c r="F173" s="21" t="n">
        <v>0.9160178053159905</v>
      </c>
      <c r="G173" s="21" t="n">
        <v>0.1699792041396598</v>
      </c>
      <c r="H173" s="21" t="n">
        <v>1.45517972464993</v>
      </c>
    </row>
    <row r="174">
      <c r="A174" s="10" t="n">
        <v>0.415</v>
      </c>
      <c r="B174" s="21" t="n">
        <v>0.7438693873305613</v>
      </c>
      <c r="C174" s="21" t="n">
        <v>1.895054190289287</v>
      </c>
      <c r="D174" s="21" t="n">
        <v>1.563414841282409</v>
      </c>
      <c r="E174" s="21" t="n">
        <v>1.397527621603504</v>
      </c>
      <c r="F174" s="21" t="n">
        <v>0.9928944785408798</v>
      </c>
      <c r="G174" s="21" t="n">
        <v>0.191703918768369</v>
      </c>
      <c r="H174" s="21" t="n">
        <v>1.440353265554764</v>
      </c>
    </row>
    <row r="175">
      <c r="A175" s="10" t="n">
        <v>0.425</v>
      </c>
      <c r="B175" s="21" t="n">
        <v>0.6802193038040156</v>
      </c>
      <c r="C175" s="21" t="n">
        <v>1.990398270015447</v>
      </c>
      <c r="D175" s="21" t="n">
        <v>1.747461223482288</v>
      </c>
      <c r="E175" s="21" t="n">
        <v>1.459805921257819</v>
      </c>
      <c r="F175" s="21" t="n">
        <v>1.077162366336057</v>
      </c>
      <c r="G175" s="21" t="n">
        <v>0.2174808234850534</v>
      </c>
      <c r="H175" s="21" t="n">
        <v>1.432813625290896</v>
      </c>
    </row>
    <row r="176">
      <c r="A176" s="10" t="n">
        <v>0.435</v>
      </c>
      <c r="B176" s="21" t="n">
        <v>0.6589630467791983</v>
      </c>
      <c r="C176" s="21" t="n">
        <v>2.02735415029919</v>
      </c>
      <c r="D176" s="21" t="n">
        <v>1.844422517201293</v>
      </c>
      <c r="E176" s="21" t="n">
        <v>1.491671259287039</v>
      </c>
      <c r="F176" s="21" t="n">
        <v>1.123822328178584</v>
      </c>
      <c r="G176" s="21" t="n">
        <v>0.2259310714189883</v>
      </c>
      <c r="H176" s="21" t="n">
        <v>1.425658153750229</v>
      </c>
    </row>
    <row r="177">
      <c r="A177" s="10" t="n">
        <v>0.445</v>
      </c>
      <c r="B177" s="21" t="n">
        <v>0.6481377277015526</v>
      </c>
      <c r="C177" s="21" t="n">
        <v>2.019037721379393</v>
      </c>
      <c r="D177" s="21" t="n">
        <v>1.848061072343583</v>
      </c>
      <c r="E177" s="21" t="n">
        <v>1.498584134875936</v>
      </c>
      <c r="F177" s="21" t="n">
        <v>1.126871584532836</v>
      </c>
      <c r="G177" s="21" t="n">
        <v>0.2286482404253264</v>
      </c>
      <c r="H177" s="21" t="n">
        <v>1.396668191765567</v>
      </c>
    </row>
    <row r="178">
      <c r="A178" s="10" t="n">
        <v>0.455</v>
      </c>
      <c r="B178" s="21" t="n">
        <v>0.5754600817528484</v>
      </c>
      <c r="C178" s="21" t="n">
        <v>2.126240291217396</v>
      </c>
      <c r="D178" s="21" t="n">
        <v>2.135842811480092</v>
      </c>
      <c r="E178" s="21" t="n">
        <v>1.623205065795901</v>
      </c>
      <c r="F178" s="21" t="n">
        <v>1.253631843040733</v>
      </c>
      <c r="G178" s="21" t="n">
        <v>0.2763114097891975</v>
      </c>
      <c r="H178" s="21" t="n">
        <v>1.445581555214482</v>
      </c>
    </row>
    <row r="179">
      <c r="A179" s="10" t="n">
        <v>0.465</v>
      </c>
      <c r="B179" s="21" t="n">
        <v>0.492787470936039</v>
      </c>
      <c r="C179" s="21" t="n">
        <v>2.172785383838964</v>
      </c>
      <c r="D179" s="21" t="n">
        <v>2.266596691747981</v>
      </c>
      <c r="E179" s="21" t="n">
        <v>1.630828199538783</v>
      </c>
      <c r="F179" s="21" t="n">
        <v>1.287054621629179</v>
      </c>
      <c r="G179" s="21" t="n">
        <v>0.3019321045772129</v>
      </c>
      <c r="H179" s="21" t="n">
        <v>1.420889532267875</v>
      </c>
    </row>
    <row r="180">
      <c r="A180" s="10" t="n">
        <v>0.475</v>
      </c>
      <c r="B180" s="21" t="n">
        <v>0.4654744307251606</v>
      </c>
      <c r="C180" s="21" t="n">
        <v>2.221979107284302</v>
      </c>
      <c r="D180" s="21" t="n">
        <v>2.322304714022145</v>
      </c>
      <c r="E180" s="21" t="n">
        <v>1.623255087653953</v>
      </c>
      <c r="F180" s="21" t="n">
        <v>1.328670094942401</v>
      </c>
      <c r="G180" s="21" t="n">
        <v>0.3224069631007938</v>
      </c>
      <c r="H180" s="21" t="n">
        <v>1.439404595268312</v>
      </c>
    </row>
    <row r="181">
      <c r="A181" s="10" t="n">
        <v>0.485</v>
      </c>
      <c r="B181" s="21" t="n">
        <v>0.3974635352305038</v>
      </c>
      <c r="C181" s="21" t="n">
        <v>2.162118535584752</v>
      </c>
      <c r="D181" s="21" t="n">
        <v>2.296305333797118</v>
      </c>
      <c r="E181" s="21" t="n">
        <v>1.573392285349311</v>
      </c>
      <c r="F181" s="21" t="n">
        <v>1.317458483278743</v>
      </c>
      <c r="G181" s="21" t="n">
        <v>0.3549258813149308</v>
      </c>
      <c r="H181" s="21" t="n">
        <v>1.400004124431163</v>
      </c>
    </row>
    <row r="182">
      <c r="A182" s="10" t="n">
        <v>0.495</v>
      </c>
      <c r="B182" s="21" t="n">
        <v>0.3646494709641212</v>
      </c>
      <c r="C182" s="21" t="n">
        <v>2.222344154883702</v>
      </c>
      <c r="D182" s="21" t="n">
        <v>2.446133714550584</v>
      </c>
      <c r="E182" s="21" t="n">
        <v>1.63600287779713</v>
      </c>
      <c r="F182" s="21" t="n">
        <v>1.4016678565888</v>
      </c>
      <c r="G182" s="21" t="n">
        <v>0.4254367840340678</v>
      </c>
      <c r="H182" s="21" t="n">
        <v>1.416208609374018</v>
      </c>
    </row>
    <row r="183">
      <c r="A183" s="10" t="n">
        <v>0.505</v>
      </c>
      <c r="B183" s="21" t="n">
        <v>0.3323557734372598</v>
      </c>
      <c r="C183" s="21" t="n">
        <v>2.103708507656584</v>
      </c>
      <c r="D183" s="21" t="n">
        <v>2.381149673910986</v>
      </c>
      <c r="E183" s="21" t="n">
        <v>1.597302191407318</v>
      </c>
      <c r="F183" s="21" t="n">
        <v>1.406151166868687</v>
      </c>
      <c r="G183" s="21" t="n">
        <v>0.4351242155508925</v>
      </c>
      <c r="H183" s="21" t="n">
        <v>1.370496737928451</v>
      </c>
    </row>
    <row r="184">
      <c r="A184" s="10" t="n">
        <v>0.515</v>
      </c>
      <c r="B184" s="21" t="n">
        <v>0.2997605870946181</v>
      </c>
      <c r="C184" s="21" t="n">
        <v>1.949179755419972</v>
      </c>
      <c r="D184" s="21" t="n">
        <v>2.250790037432752</v>
      </c>
      <c r="E184" s="21" t="n">
        <v>1.570207557526798</v>
      </c>
      <c r="F184" s="21" t="n">
        <v>1.397874883286524</v>
      </c>
      <c r="G184" s="21" t="n">
        <v>0.4434689147652384</v>
      </c>
      <c r="H184" s="21" t="n">
        <v>1.296438987623356</v>
      </c>
    </row>
    <row r="185">
      <c r="A185" s="10" t="n">
        <v>0.525</v>
      </c>
      <c r="B185" s="21" t="n">
        <v>0.2631242414868266</v>
      </c>
      <c r="C185" s="21" t="n">
        <v>1.770974220772285</v>
      </c>
      <c r="D185" s="21" t="n">
        <v>2.084434432631787</v>
      </c>
      <c r="E185" s="21" t="n">
        <v>1.504827871817035</v>
      </c>
      <c r="F185" s="21" t="n">
        <v>1.336074230006857</v>
      </c>
      <c r="G185" s="21" t="n">
        <v>0.4416423482888283</v>
      </c>
      <c r="H185" s="21" t="n">
        <v>1.236954209156446</v>
      </c>
    </row>
    <row r="186">
      <c r="A186" s="10" t="n">
        <v>0.535</v>
      </c>
      <c r="B186" s="21" t="n">
        <v>0.2417014716702754</v>
      </c>
      <c r="C186" s="21" t="n">
        <v>1.703942953270921</v>
      </c>
      <c r="D186" s="21" t="n">
        <v>1.991512834626929</v>
      </c>
      <c r="E186" s="21" t="n">
        <v>1.573057220284829</v>
      </c>
      <c r="F186" s="21" t="n">
        <v>1.421242913329738</v>
      </c>
      <c r="G186" s="21" t="n">
        <v>0.4955818781315936</v>
      </c>
      <c r="H186" s="21" t="n">
        <v>1.331977395912104</v>
      </c>
    </row>
    <row r="187">
      <c r="A187" s="10" t="n">
        <v>0.545</v>
      </c>
      <c r="B187" s="21" t="n">
        <v>0.200050733801704</v>
      </c>
      <c r="C187" s="21" t="n">
        <v>1.50564999423779</v>
      </c>
      <c r="D187" s="21" t="n">
        <v>1.839806404175603</v>
      </c>
      <c r="E187" s="21" t="n">
        <v>1.602472096798494</v>
      </c>
      <c r="F187" s="21" t="n">
        <v>1.54372110284283</v>
      </c>
      <c r="G187" s="21" t="n">
        <v>0.5603143400641364</v>
      </c>
      <c r="H187" s="21" t="n">
        <v>1.350363307118818</v>
      </c>
    </row>
    <row r="188">
      <c r="A188" s="10" t="n">
        <v>0.555</v>
      </c>
      <c r="B188" s="21" t="n">
        <v>0.1886994591290399</v>
      </c>
      <c r="C188" s="21" t="n">
        <v>1.439611274688971</v>
      </c>
      <c r="D188" s="21" t="n">
        <v>1.804863698927724</v>
      </c>
      <c r="E188" s="21" t="n">
        <v>1.614598454325772</v>
      </c>
      <c r="F188" s="21" t="n">
        <v>1.589412971370665</v>
      </c>
      <c r="G188" s="21" t="n">
        <v>0.5737147886117939</v>
      </c>
      <c r="H188" s="21" t="n">
        <v>1.325867289737315</v>
      </c>
    </row>
    <row r="189">
      <c r="A189" s="10" t="n">
        <v>0.5649999999999999</v>
      </c>
      <c r="B189" s="21" t="n">
        <v>0.1804708429713367</v>
      </c>
      <c r="C189" s="21" t="n">
        <v>1.408419960178671</v>
      </c>
      <c r="D189" s="21" t="n">
        <v>1.815610529365017</v>
      </c>
      <c r="E189" s="21" t="n">
        <v>1.621265115709811</v>
      </c>
      <c r="F189" s="21" t="n">
        <v>1.610583348326724</v>
      </c>
      <c r="G189" s="21" t="n">
        <v>0.5874905759276039</v>
      </c>
      <c r="H189" s="21" t="n">
        <v>1.312348105693119</v>
      </c>
    </row>
    <row r="190">
      <c r="A190" s="10" t="n">
        <v>0.575</v>
      </c>
      <c r="B190" s="21" t="n">
        <v>0.1543816142003413</v>
      </c>
      <c r="C190" s="21" t="n">
        <v>1.275133828471094</v>
      </c>
      <c r="D190" s="21" t="n">
        <v>1.680401306634494</v>
      </c>
      <c r="E190" s="21" t="n">
        <v>1.584136535323195</v>
      </c>
      <c r="F190" s="21" t="n">
        <v>1.65397610183792</v>
      </c>
      <c r="G190" s="21" t="n">
        <v>0.6471777615623888</v>
      </c>
      <c r="H190" s="21" t="n">
        <v>1.322868167238926</v>
      </c>
    </row>
    <row r="191">
      <c r="A191" s="10" t="n">
        <v>0.585</v>
      </c>
      <c r="B191" s="21" t="n">
        <v>0.1339236648596486</v>
      </c>
      <c r="C191" s="21" t="n">
        <v>1.135700186475302</v>
      </c>
      <c r="D191" s="21" t="n">
        <v>1.542673524078518</v>
      </c>
      <c r="E191" s="21" t="n">
        <v>1.557418330790519</v>
      </c>
      <c r="F191" s="21" t="n">
        <v>1.707939506643369</v>
      </c>
      <c r="G191" s="21" t="n">
        <v>0.703576247639544</v>
      </c>
      <c r="H191" s="21" t="n">
        <v>1.320751271738757</v>
      </c>
    </row>
    <row r="192">
      <c r="A192" s="10" t="n">
        <v>0.595</v>
      </c>
      <c r="B192" s="21" t="n">
        <v>0.1282571098757881</v>
      </c>
      <c r="C192" s="21" t="n">
        <v>1.084887209375945</v>
      </c>
      <c r="D192" s="21" t="n">
        <v>1.481982213063338</v>
      </c>
      <c r="E192" s="21" t="n">
        <v>1.547573429695155</v>
      </c>
      <c r="F192" s="21" t="n">
        <v>1.719003266536153</v>
      </c>
      <c r="G192" s="21" t="n">
        <v>0.7236780325644179</v>
      </c>
      <c r="H192" s="21" t="n">
        <v>1.317469262818864</v>
      </c>
    </row>
    <row r="193">
      <c r="A193" s="10" t="n">
        <v>0.605</v>
      </c>
      <c r="B193" s="21" t="n">
        <v>0.1097239232758972</v>
      </c>
      <c r="C193" s="21" t="n">
        <v>0.9657685434710773</v>
      </c>
      <c r="D193" s="21" t="n">
        <v>1.383717245147984</v>
      </c>
      <c r="E193" s="21" t="n">
        <v>1.549147918982965</v>
      </c>
      <c r="F193" s="21" t="n">
        <v>1.741985817431511</v>
      </c>
      <c r="G193" s="21" t="n">
        <v>0.7618312774014003</v>
      </c>
      <c r="H193" s="21" t="n">
        <v>1.297879811981787</v>
      </c>
    </row>
    <row r="194">
      <c r="A194" s="10" t="n">
        <v>0.615</v>
      </c>
      <c r="B194" s="21" t="n">
        <v>0.1008003190615823</v>
      </c>
      <c r="C194" s="21" t="n">
        <v>0.9132616833987344</v>
      </c>
      <c r="D194" s="21" t="n">
        <v>1.377957419049932</v>
      </c>
      <c r="E194" s="21" t="n">
        <v>1.572424030395949</v>
      </c>
      <c r="F194" s="21" t="n">
        <v>1.758659727471666</v>
      </c>
      <c r="G194" s="21" t="n">
        <v>0.7978856949447874</v>
      </c>
      <c r="H194" s="21" t="n">
        <v>1.290336079001352</v>
      </c>
    </row>
    <row r="195">
      <c r="A195" s="10" t="n">
        <v>0.625</v>
      </c>
      <c r="B195" s="21" t="n">
        <v>0.08681690779535844</v>
      </c>
      <c r="C195" s="21" t="n">
        <v>0.8482081183043046</v>
      </c>
      <c r="D195" s="21" t="n">
        <v>1.340353500989752</v>
      </c>
      <c r="E195" s="21" t="n">
        <v>1.6004549135482</v>
      </c>
      <c r="F195" s="21" t="n">
        <v>1.82160652325421</v>
      </c>
      <c r="G195" s="21" t="n">
        <v>0.8636178577912361</v>
      </c>
      <c r="H195" s="21" t="n">
        <v>1.27699851555183</v>
      </c>
    </row>
    <row r="196">
      <c r="A196" s="10" t="n">
        <v>0.635</v>
      </c>
      <c r="B196" s="21" t="n">
        <v>0.07813519699612533</v>
      </c>
      <c r="C196" s="21" t="n">
        <v>0.8009816346397146</v>
      </c>
      <c r="D196" s="21" t="n">
        <v>1.298721276318402</v>
      </c>
      <c r="E196" s="21" t="n">
        <v>1.608054441259203</v>
      </c>
      <c r="F196" s="21" t="n">
        <v>1.85617055939593</v>
      </c>
      <c r="G196" s="21" t="n">
        <v>0.9220550525952329</v>
      </c>
      <c r="H196" s="21" t="n">
        <v>1.255290989100464</v>
      </c>
    </row>
    <row r="197">
      <c r="A197" s="10" t="n">
        <v>0.645</v>
      </c>
      <c r="B197" s="21" t="n">
        <v>0.06335139560735388</v>
      </c>
      <c r="C197" s="21" t="n">
        <v>0.6990985712780959</v>
      </c>
      <c r="D197" s="21" t="n">
        <v>1.250278454019695</v>
      </c>
      <c r="E197" s="21" t="n">
        <v>1.603639082171303</v>
      </c>
      <c r="F197" s="21" t="n">
        <v>1.941848159674627</v>
      </c>
      <c r="G197" s="21" t="n">
        <v>1.068755484710445</v>
      </c>
      <c r="H197" s="21" t="n">
        <v>1.195338321718646</v>
      </c>
    </row>
    <row r="198">
      <c r="A198" s="10" t="n">
        <v>0.655</v>
      </c>
      <c r="B198" s="21" t="n">
        <v>0.05500259687853028</v>
      </c>
      <c r="C198" s="21" t="n">
        <v>0.6761956521861348</v>
      </c>
      <c r="D198" s="21" t="n">
        <v>1.254843309717836</v>
      </c>
      <c r="E198" s="21" t="n">
        <v>1.623043007813778</v>
      </c>
      <c r="F198" s="21" t="n">
        <v>1.961016047953184</v>
      </c>
      <c r="G198" s="21" t="n">
        <v>1.17195778871436</v>
      </c>
      <c r="H198" s="21" t="n">
        <v>1.185663187639689</v>
      </c>
    </row>
    <row r="199">
      <c r="A199" s="10" t="n">
        <v>0.665</v>
      </c>
      <c r="B199" s="21" t="n">
        <v>0.04080086532124544</v>
      </c>
      <c r="C199" s="21" t="n">
        <v>0.6072872324128354</v>
      </c>
      <c r="D199" s="21" t="n">
        <v>1.243296624272104</v>
      </c>
      <c r="E199" s="21" t="n">
        <v>1.632524255563349</v>
      </c>
      <c r="F199" s="21" t="n">
        <v>2.078227403724354</v>
      </c>
      <c r="G199" s="21" t="n">
        <v>1.384420231952636</v>
      </c>
      <c r="H199" s="21" t="n">
        <v>1.169437219547599</v>
      </c>
    </row>
    <row r="200">
      <c r="A200" s="10" t="n">
        <v>0.675</v>
      </c>
      <c r="B200" s="21" t="n">
        <v>0.03008065727350508</v>
      </c>
      <c r="C200" s="21" t="n">
        <v>0.5477832090093311</v>
      </c>
      <c r="D200" s="21" t="n">
        <v>1.243698592327984</v>
      </c>
      <c r="E200" s="21" t="n">
        <v>1.647114200348083</v>
      </c>
      <c r="F200" s="21" t="n">
        <v>2.148147104434349</v>
      </c>
      <c r="G200" s="21" t="n">
        <v>1.6192727771946</v>
      </c>
      <c r="H200" s="21" t="n">
        <v>1.164220685871232</v>
      </c>
    </row>
    <row r="201">
      <c r="A201" s="10" t="n">
        <v>0.6850000000000001</v>
      </c>
      <c r="B201" s="21" t="n">
        <v>0.0248739490180222</v>
      </c>
      <c r="C201" s="21" t="n">
        <v>0.5306700372885131</v>
      </c>
      <c r="D201" s="21" t="n">
        <v>1.270565903729271</v>
      </c>
      <c r="E201" s="21" t="n">
        <v>1.687733780166786</v>
      </c>
      <c r="F201" s="21" t="n">
        <v>2.216013027138349</v>
      </c>
      <c r="G201" s="21" t="n">
        <v>1.771558713654266</v>
      </c>
      <c r="H201" s="21" t="n">
        <v>1.163414262020187</v>
      </c>
    </row>
    <row r="202">
      <c r="A202" s="10" t="n">
        <v>0.695</v>
      </c>
      <c r="B202" s="21" t="n">
        <v>0.02289538417493766</v>
      </c>
      <c r="C202" s="21" t="n">
        <v>0.5245097262222203</v>
      </c>
      <c r="D202" s="21" t="n">
        <v>1.268725715542932</v>
      </c>
      <c r="E202" s="21" t="n">
        <v>1.699033486928286</v>
      </c>
      <c r="F202" s="21" t="n">
        <v>2.223030217207448</v>
      </c>
      <c r="G202" s="21" t="n">
        <v>1.860627752209216</v>
      </c>
      <c r="H202" s="21" t="n">
        <v>1.151455437372237</v>
      </c>
    </row>
    <row r="203">
      <c r="A203" s="10" t="n">
        <v>0.705</v>
      </c>
      <c r="B203" s="21" t="n">
        <v>0.01980350591746749</v>
      </c>
      <c r="C203" s="21" t="n">
        <v>0.5099612241796001</v>
      </c>
      <c r="D203" s="21" t="n">
        <v>1.2757841484593</v>
      </c>
      <c r="E203" s="21" t="n">
        <v>1.70220074931272</v>
      </c>
      <c r="F203" s="21" t="n">
        <v>2.235531346352349</v>
      </c>
      <c r="G203" s="21" t="n">
        <v>2.038131977344992</v>
      </c>
      <c r="H203" s="21" t="n">
        <v>1.15958086705199</v>
      </c>
    </row>
    <row r="204">
      <c r="A204" s="10" t="n">
        <v>0.715</v>
      </c>
      <c r="B204" s="21" t="n">
        <v>0.0174299598679563</v>
      </c>
      <c r="C204" s="21" t="n">
        <v>0.4920409348816278</v>
      </c>
      <c r="D204" s="21" t="n">
        <v>1.305334236315523</v>
      </c>
      <c r="E204" s="21" t="n">
        <v>1.768834488385049</v>
      </c>
      <c r="F204" s="21" t="n">
        <v>2.323361812841262</v>
      </c>
      <c r="G204" s="21" t="n">
        <v>2.296922069198914</v>
      </c>
      <c r="H204" s="21" t="n">
        <v>1.1837220234323</v>
      </c>
    </row>
    <row r="205">
      <c r="A205" s="10" t="n">
        <v>0.725</v>
      </c>
      <c r="B205" s="21" t="n">
        <v>0.01290873827556827</v>
      </c>
      <c r="C205" s="21" t="n">
        <v>0.4336949377782711</v>
      </c>
      <c r="D205" s="21" t="n">
        <v>1.376874482045803</v>
      </c>
      <c r="E205" s="21" t="n">
        <v>1.85640878298805</v>
      </c>
      <c r="F205" s="21" t="n">
        <v>2.38283007286114</v>
      </c>
      <c r="G205" s="21" t="n">
        <v>2.65463563982068</v>
      </c>
      <c r="H205" s="21" t="n">
        <v>1.14074651930634</v>
      </c>
    </row>
    <row r="206">
      <c r="A206" s="10" t="n">
        <v>0.735</v>
      </c>
      <c r="B206" s="21" t="n">
        <v>0.01082751981441834</v>
      </c>
      <c r="C206" s="21" t="n">
        <v>0.4189862845643338</v>
      </c>
      <c r="D206" s="21" t="n">
        <v>1.420687500448514</v>
      </c>
      <c r="E206" s="21" t="n">
        <v>1.889556732864461</v>
      </c>
      <c r="F206" s="21" t="n">
        <v>2.47082403629236</v>
      </c>
      <c r="G206" s="21" t="n">
        <v>2.786542750385325</v>
      </c>
      <c r="H206" s="21" t="n">
        <v>1.112656834387896</v>
      </c>
    </row>
    <row r="207">
      <c r="A207" s="10" t="n">
        <v>0.745</v>
      </c>
      <c r="B207" s="21" t="n">
        <v>0.005680532136652038</v>
      </c>
      <c r="C207" s="21" t="n">
        <v>0.365895837144919</v>
      </c>
      <c r="D207" s="21" t="n">
        <v>1.412862638207218</v>
      </c>
      <c r="E207" s="21" t="n">
        <v>1.94051733876025</v>
      </c>
      <c r="F207" s="21" t="n">
        <v>2.455470180645809</v>
      </c>
      <c r="G207" s="21" t="n">
        <v>3.008908524539812</v>
      </c>
      <c r="H207" s="21" t="n">
        <v>1.057299059995383</v>
      </c>
    </row>
    <row r="208">
      <c r="A208" s="10" t="n">
        <v>0.755</v>
      </c>
      <c r="B208" s="21" t="n">
        <v>0.00263844758384302</v>
      </c>
      <c r="C208" s="21" t="n">
        <v>0.3372916454677004</v>
      </c>
      <c r="D208" s="21" t="n">
        <v>1.42547040015179</v>
      </c>
      <c r="E208" s="21" t="n">
        <v>1.972955901231181</v>
      </c>
      <c r="F208" s="21" t="n">
        <v>2.46259896272774</v>
      </c>
      <c r="G208" s="21" t="n">
        <v>3.155494475626562</v>
      </c>
      <c r="H208" s="21" t="n">
        <v>1.039166049393981</v>
      </c>
    </row>
    <row r="209">
      <c r="A209" s="10" t="n">
        <v>0.765</v>
      </c>
      <c r="B209" s="21" t="n">
        <v>0.0006009521872781642</v>
      </c>
      <c r="C209" s="21" t="n">
        <v>0.314104428010009</v>
      </c>
      <c r="D209" s="21" t="n">
        <v>1.479124518347614</v>
      </c>
      <c r="E209" s="21" t="n">
        <v>2.011609067999275</v>
      </c>
      <c r="F209" s="21" t="n">
        <v>2.496856273979275</v>
      </c>
      <c r="G209" s="21" t="n">
        <v>3.423313670052336</v>
      </c>
      <c r="H209" s="21" t="n">
        <v>1.052867790065003</v>
      </c>
    </row>
    <row r="210">
      <c r="A210" s="10" t="n">
        <v>0.775</v>
      </c>
      <c r="B210" s="21" t="n">
        <v>0.0007726528122147824</v>
      </c>
      <c r="C210" s="21" t="n">
        <v>0.2947207436159383</v>
      </c>
      <c r="D210" s="21" t="n">
        <v>1.457738388138633</v>
      </c>
      <c r="E210" s="21" t="n">
        <v>1.97528234158519</v>
      </c>
      <c r="F210" s="21" t="n">
        <v>2.445589934235255</v>
      </c>
      <c r="G210" s="21" t="n">
        <v>3.499685248504977</v>
      </c>
      <c r="H210" s="21" t="n">
        <v>1.058339901103527</v>
      </c>
    </row>
    <row r="211">
      <c r="A211" s="10" t="n">
        <v>0.785</v>
      </c>
      <c r="B211" s="21" t="n">
        <v>0.0007941153903318596</v>
      </c>
      <c r="C211" s="21" t="n">
        <v>0.2922869716169946</v>
      </c>
      <c r="D211" s="21" t="n">
        <v>1.479903605303819</v>
      </c>
      <c r="E211" s="21" t="n">
        <v>1.991831551509065</v>
      </c>
      <c r="F211" s="21" t="n">
        <v>2.493768973939488</v>
      </c>
      <c r="G211" s="21" t="n">
        <v>3.576797325138313</v>
      </c>
      <c r="H211" s="21" t="n">
        <v>1.06526245303277</v>
      </c>
    </row>
    <row r="212">
      <c r="A212" s="10" t="n">
        <v>0.795</v>
      </c>
      <c r="B212" s="21" t="n">
        <v>0.000150238046819541</v>
      </c>
      <c r="C212" s="21" t="n">
        <v>0.2581062398654141</v>
      </c>
      <c r="D212" s="21" t="n">
        <v>1.35696074747263</v>
      </c>
      <c r="E212" s="21" t="n">
        <v>1.876172158438787</v>
      </c>
      <c r="F212" s="21" t="n">
        <v>2.367607104747507</v>
      </c>
      <c r="G212" s="21" t="n">
        <v>3.326928083756915</v>
      </c>
      <c r="H212" s="21" t="n">
        <v>1.049250205353267</v>
      </c>
    </row>
    <row r="213">
      <c r="A213" s="10" t="n">
        <v>0.805</v>
      </c>
      <c r="B213" s="21" t="n">
        <v>0</v>
      </c>
      <c r="C213" s="21" t="n">
        <v>0.2339232021320379</v>
      </c>
      <c r="D213" s="21" t="n">
        <v>1.251682335095329</v>
      </c>
      <c r="E213" s="21" t="n">
        <v>1.762770948738365</v>
      </c>
      <c r="F213" s="21" t="n">
        <v>2.281054706877614</v>
      </c>
      <c r="G213" s="21" t="n">
        <v>3.160985923599857</v>
      </c>
      <c r="H213" s="21" t="n">
        <v>1.019073930115675</v>
      </c>
    </row>
    <row r="214">
      <c r="A214" s="10" t="n">
        <v>0.8149999999999999</v>
      </c>
      <c r="B214" s="21" t="n">
        <v>0</v>
      </c>
      <c r="C214" s="21" t="n">
        <v>0.216735434525826</v>
      </c>
      <c r="D214" s="21" t="n">
        <v>1.17018364931088</v>
      </c>
      <c r="E214" s="21" t="n">
        <v>1.636909902228518</v>
      </c>
      <c r="F214" s="21" t="n">
        <v>2.216299560099594</v>
      </c>
      <c r="G214" s="21" t="n">
        <v>3.032417108062158</v>
      </c>
      <c r="H214" s="21" t="n">
        <v>0.986927214547321</v>
      </c>
    </row>
    <row r="215">
      <c r="A215" s="10" t="n">
        <v>0.825</v>
      </c>
      <c r="B215" s="21" t="n">
        <v>0</v>
      </c>
      <c r="C215" s="21" t="n">
        <v>0.1816996959856077</v>
      </c>
      <c r="D215" s="21" t="n">
        <v>1.008565043091113</v>
      </c>
      <c r="E215" s="21" t="n">
        <v>1.386733522946091</v>
      </c>
      <c r="F215" s="21" t="n">
        <v>2.011280865386568</v>
      </c>
      <c r="G215" s="21" t="n">
        <v>2.798858255733952</v>
      </c>
      <c r="H215" s="21" t="n">
        <v>0.9364512524102638</v>
      </c>
    </row>
    <row r="216">
      <c r="A216" s="10" t="n">
        <v>0.835</v>
      </c>
      <c r="B216" s="21" t="n">
        <v>0</v>
      </c>
      <c r="C216" s="21" t="n">
        <v>0.1471932528008187</v>
      </c>
      <c r="D216" s="21" t="n">
        <v>0.8326659356429933</v>
      </c>
      <c r="E216" s="21" t="n">
        <v>1.147655304465744</v>
      </c>
      <c r="F216" s="21" t="n">
        <v>1.75698715506109</v>
      </c>
      <c r="G216" s="21" t="n">
        <v>2.554019837375781</v>
      </c>
      <c r="H216" s="21" t="n">
        <v>0.8932638878452658</v>
      </c>
    </row>
    <row r="217">
      <c r="A217" s="10" t="n">
        <v>0.845</v>
      </c>
      <c r="B217" s="21" t="n">
        <v>0</v>
      </c>
      <c r="C217" s="21" t="n">
        <v>0.1362231746801906</v>
      </c>
      <c r="D217" s="21" t="n">
        <v>0.7778434640606915</v>
      </c>
      <c r="E217" s="21" t="n">
        <v>1.060910820026336</v>
      </c>
      <c r="F217" s="21" t="n">
        <v>1.651277872088024</v>
      </c>
      <c r="G217" s="21" t="n">
        <v>2.493500013063873</v>
      </c>
      <c r="H217" s="21" t="n">
        <v>0.8758092813696935</v>
      </c>
    </row>
    <row r="218">
      <c r="A218" s="10" t="n">
        <v>0.855</v>
      </c>
      <c r="B218" s="21" t="n">
        <v>0</v>
      </c>
      <c r="C218" s="21" t="n">
        <v>0.1166052136011235</v>
      </c>
      <c r="D218" s="21" t="n">
        <v>0.7009844379718562</v>
      </c>
      <c r="E218" s="21" t="n">
        <v>0.946667580464831</v>
      </c>
      <c r="F218" s="21" t="n">
        <v>1.509476527424827</v>
      </c>
      <c r="G218" s="21" t="n">
        <v>2.47039622646964</v>
      </c>
      <c r="H218" s="21" t="n">
        <v>0.8548400714020497</v>
      </c>
    </row>
    <row r="219">
      <c r="A219" s="10" t="n">
        <v>0.865</v>
      </c>
      <c r="B219" s="21" t="n">
        <v>0</v>
      </c>
      <c r="C219" s="21" t="n">
        <v>0.104391421889004</v>
      </c>
      <c r="D219" s="21" t="n">
        <v>0.643503492845667</v>
      </c>
      <c r="E219" s="21" t="n">
        <v>0.8750510338748057</v>
      </c>
      <c r="F219" s="21" t="n">
        <v>1.404967176507703</v>
      </c>
      <c r="G219" s="21" t="n">
        <v>2.481610446337088</v>
      </c>
      <c r="H219" s="21" t="n">
        <v>0.8315525232059532</v>
      </c>
    </row>
    <row r="220">
      <c r="A220" s="10" t="n">
        <v>0.875</v>
      </c>
      <c r="B220" s="21" t="n">
        <v>0</v>
      </c>
      <c r="C220" s="21" t="n">
        <v>0.08839365024055024</v>
      </c>
      <c r="D220" s="21" t="n">
        <v>0.5562537074522008</v>
      </c>
      <c r="E220" s="21" t="n">
        <v>0.7589871392500902</v>
      </c>
      <c r="F220" s="21" t="n">
        <v>1.248070182762054</v>
      </c>
      <c r="G220" s="21" t="n">
        <v>2.601370584054798</v>
      </c>
      <c r="H220" s="21" t="n">
        <v>0.7949933625376113</v>
      </c>
    </row>
    <row r="221">
      <c r="A221" s="10" t="n">
        <v>0.885</v>
      </c>
      <c r="B221" s="21" t="n">
        <v>0</v>
      </c>
      <c r="C221" s="21" t="n">
        <v>0.06967651889732229</v>
      </c>
      <c r="D221" s="21" t="n">
        <v>0.4804423789698936</v>
      </c>
      <c r="E221" s="21" t="n">
        <v>0.645850527550376</v>
      </c>
      <c r="F221" s="21" t="n">
        <v>1.062239375638184</v>
      </c>
      <c r="G221" s="21" t="n">
        <v>2.870048559054232</v>
      </c>
      <c r="H221" s="21" t="n">
        <v>0.7797182278677292</v>
      </c>
    </row>
    <row r="222">
      <c r="A222" s="10" t="n">
        <v>0.895</v>
      </c>
      <c r="B222" s="21" t="n">
        <v>0</v>
      </c>
      <c r="C222" s="21" t="n">
        <v>0.05459920330097897</v>
      </c>
      <c r="D222" s="21" t="n">
        <v>0.4124597050472203</v>
      </c>
      <c r="E222" s="21" t="n">
        <v>0.5362770414961824</v>
      </c>
      <c r="F222" s="21" t="n">
        <v>0.8927169868834798</v>
      </c>
      <c r="G222" s="21" t="n">
        <v>2.95200911753489</v>
      </c>
      <c r="H222" s="21" t="n">
        <v>0.7398396058779634</v>
      </c>
    </row>
    <row r="223">
      <c r="A223" s="10" t="n">
        <v>0.905</v>
      </c>
      <c r="B223" s="21" t="n">
        <v>0</v>
      </c>
      <c r="C223" s="21" t="n">
        <v>0.04139674039844299</v>
      </c>
      <c r="D223" s="21" t="n">
        <v>0.3762010004764612</v>
      </c>
      <c r="E223" s="21" t="n">
        <v>0.4667054459112114</v>
      </c>
      <c r="F223" s="21" t="n">
        <v>0.7991643289426467</v>
      </c>
      <c r="G223" s="21" t="n">
        <v>3.166941351401311</v>
      </c>
      <c r="H223" s="21" t="n">
        <v>0.7161285667853354</v>
      </c>
    </row>
    <row r="224">
      <c r="A224" s="10" t="n">
        <v>0.915</v>
      </c>
      <c r="B224" s="21" t="n">
        <v>0</v>
      </c>
      <c r="C224" s="21" t="n">
        <v>0.02936108151994144</v>
      </c>
      <c r="D224" s="21" t="n">
        <v>0.3227794723207905</v>
      </c>
      <c r="E224" s="21" t="n">
        <v>0.3887316881286224</v>
      </c>
      <c r="F224" s="21" t="n">
        <v>0.6968308069750208</v>
      </c>
      <c r="G224" s="21" t="n">
        <v>3.235136488594749</v>
      </c>
      <c r="H224" s="21" t="n">
        <v>0.6323167617998887</v>
      </c>
    </row>
    <row r="225">
      <c r="A225" s="10" t="n">
        <v>0.925</v>
      </c>
      <c r="B225" s="21" t="n">
        <v>0</v>
      </c>
      <c r="C225" s="21" t="n">
        <v>0.02321491532200342</v>
      </c>
      <c r="D225" s="21" t="n">
        <v>0.2891150093774609</v>
      </c>
      <c r="E225" s="21" t="n">
        <v>0.338217959392753</v>
      </c>
      <c r="F225" s="21" t="n">
        <v>0.6339198035636875</v>
      </c>
      <c r="G225" s="21" t="n">
        <v>3.112858409696651</v>
      </c>
      <c r="H225" s="21" t="n">
        <v>0.5825811954100041</v>
      </c>
    </row>
    <row r="226">
      <c r="A226" s="10" t="n">
        <v>0.9350000000000001</v>
      </c>
      <c r="B226" s="21" t="n">
        <v>0</v>
      </c>
      <c r="C226" s="21" t="n">
        <v>0.01858895541625813</v>
      </c>
      <c r="D226" s="21" t="n">
        <v>0.2531365035783762</v>
      </c>
      <c r="E226" s="21" t="n">
        <v>0.2858471568693851</v>
      </c>
      <c r="F226" s="21" t="n">
        <v>0.5571196993158205</v>
      </c>
      <c r="G226" s="21" t="n">
        <v>2.89322882974418</v>
      </c>
      <c r="H226" s="21" t="n">
        <v>0.5377236029047647</v>
      </c>
    </row>
    <row r="227">
      <c r="A227" s="10" t="n">
        <v>0.945</v>
      </c>
      <c r="B227" s="21" t="n">
        <v>0</v>
      </c>
      <c r="C227" s="21" t="n">
        <v>0.01003381886107308</v>
      </c>
      <c r="D227" s="21" t="n">
        <v>0.1940794544255121</v>
      </c>
      <c r="E227" s="21" t="n">
        <v>0.2178263054543217</v>
      </c>
      <c r="F227" s="21" t="n">
        <v>0.4230534588394215</v>
      </c>
      <c r="G227" s="21" t="n">
        <v>2.396859511751753</v>
      </c>
      <c r="H227" s="21" t="n">
        <v>0.4774018288612371</v>
      </c>
    </row>
    <row r="228">
      <c r="A228" s="10" t="n">
        <v>0.955</v>
      </c>
      <c r="B228" s="21" t="n">
        <v>0</v>
      </c>
      <c r="C228" s="21" t="n">
        <v>0.001949460107342503</v>
      </c>
      <c r="D228" s="21" t="n">
        <v>0.120637239442323</v>
      </c>
      <c r="E228" s="21" t="n">
        <v>0.1355735901595134</v>
      </c>
      <c r="F228" s="21" t="n">
        <v>0.2624168022382583</v>
      </c>
      <c r="G228" s="21" t="n">
        <v>1.712861044246525</v>
      </c>
      <c r="H228" s="21" t="n">
        <v>0.3620943902035652</v>
      </c>
    </row>
    <row r="229">
      <c r="A229" s="10" t="n">
        <v>0.965</v>
      </c>
      <c r="B229" s="21" t="n">
        <v>0</v>
      </c>
      <c r="C229" s="21" t="n">
        <v>0.0001076355202957537</v>
      </c>
      <c r="D229" s="21" t="n">
        <v>0.09599852072291838</v>
      </c>
      <c r="E229" s="21" t="n">
        <v>0.1072392777141356</v>
      </c>
      <c r="F229" s="21" t="n">
        <v>0.2060382288935369</v>
      </c>
      <c r="G229" s="21" t="n">
        <v>1.4846529623041</v>
      </c>
      <c r="H229" s="21" t="n">
        <v>0.32363065991882</v>
      </c>
    </row>
    <row r="230">
      <c r="A230" s="10" t="n">
        <v>0.975</v>
      </c>
      <c r="B230" s="21" t="n">
        <v>0</v>
      </c>
      <c r="C230" s="21" t="n">
        <v>0</v>
      </c>
      <c r="D230" s="21" t="n">
        <v>0.06608947585137932</v>
      </c>
      <c r="E230" s="21" t="n">
        <v>0.06883169892648641</v>
      </c>
      <c r="F230" s="21" t="n">
        <v>0.132767207255014</v>
      </c>
      <c r="G230" s="21" t="n">
        <v>1.085581886230317</v>
      </c>
      <c r="H230" s="21" t="n">
        <v>0.2517699572973204</v>
      </c>
    </row>
    <row r="231">
      <c r="A231" s="10" t="n">
        <v>0.985</v>
      </c>
      <c r="B231" s="21" t="n">
        <v>0</v>
      </c>
      <c r="C231" s="21" t="n">
        <v>0</v>
      </c>
      <c r="D231" s="21" t="n">
        <v>0.06380094527284523</v>
      </c>
      <c r="E231" s="21" t="n">
        <v>0.06566575717583215</v>
      </c>
      <c r="F231" s="21" t="n">
        <v>0.1267448391456149</v>
      </c>
      <c r="G231" s="21" t="n">
        <v>1.051564814841969</v>
      </c>
      <c r="H231" s="21" t="n">
        <v>0.245635446869064</v>
      </c>
    </row>
    <row r="232">
      <c r="A232" s="10" t="n">
        <v>0.995</v>
      </c>
      <c r="B232" s="21" t="n">
        <v>0</v>
      </c>
      <c r="C232" s="21" t="n">
        <v>0</v>
      </c>
      <c r="D232" s="21" t="n">
        <v>0.06383253092427298</v>
      </c>
      <c r="E232" s="21" t="n">
        <v>0.06566861388684601</v>
      </c>
      <c r="F232" s="21" t="n">
        <v>0.1266665007158401</v>
      </c>
      <c r="G232" s="21" t="n">
        <v>1.052091448831319</v>
      </c>
      <c r="H232" s="21" t="n">
        <v>0.2458461385154048</v>
      </c>
    </row>
    <row r="256">
      <c r="A256" s="6" t="inlineStr">
        <is>
          <t>■ 案件ごとのワープ(実位置 → 正準位置)</t>
        </is>
      </c>
    </row>
    <row r="257">
      <c r="A257" s="8" t="inlineStr">
        <is>
          <t>案件ID</t>
        </is>
      </c>
      <c r="B257" s="8" t="inlineStr">
        <is>
          <t>名称</t>
        </is>
      </c>
      <c r="C257" s="8" t="inlineStr">
        <is>
          <t>種別</t>
        </is>
      </c>
      <c r="D257" s="8" t="inlineStr">
        <is>
          <t>期間(月)</t>
        </is>
      </c>
      <c r="E257" s="8" t="inlineStr">
        <is>
          <t>プロトタイプ</t>
        </is>
      </c>
      <c r="F257" s="8" t="inlineStr">
        <is>
          <t>α版</t>
        </is>
      </c>
      <c r="G257" s="8" t="inlineStr">
        <is>
          <t>β版</t>
        </is>
      </c>
      <c r="H257" s="8" t="inlineStr">
        <is>
          <t>マスターアップ</t>
        </is>
      </c>
    </row>
    <row r="258">
      <c r="A258" s="10" t="inlineStr">
        <is>
          <t>PJ-2019-A</t>
        </is>
      </c>
      <c r="B258" s="10" t="inlineStr">
        <is>
          <t>蒼穹のレガリア</t>
        </is>
      </c>
      <c r="C258" s="10" t="inlineStr">
        <is>
          <t>新規タイトル開発</t>
        </is>
      </c>
      <c r="D258" s="10" t="n">
        <v>36</v>
      </c>
      <c r="E258" s="21" t="n">
        <v>0.202</v>
      </c>
      <c r="F258" s="21" t="n">
        <v>0.426</v>
      </c>
      <c r="G258" s="21" t="n">
        <v>0.784</v>
      </c>
      <c r="H258" s="21" t="n">
        <v>0.929</v>
      </c>
    </row>
    <row r="259">
      <c r="A259" s="10" t="inlineStr">
        <is>
          <t>PJ-2020-B</t>
        </is>
      </c>
      <c r="B259" s="10" t="inlineStr">
        <is>
          <t>ブレイブフロンティア外伝</t>
        </is>
      </c>
      <c r="C259" s="10" t="inlineStr">
        <is>
          <t>大型アップデート</t>
        </is>
      </c>
      <c r="D259" s="10" t="n">
        <v>14</v>
      </c>
      <c r="E259" s="21" t="n">
        <v/>
      </c>
      <c r="F259" s="21" t="n">
        <v>0.552</v>
      </c>
      <c r="G259" s="21" t="n">
        <v>0.729</v>
      </c>
      <c r="H259" s="21" t="n">
        <v>0.899</v>
      </c>
    </row>
    <row r="260">
      <c r="A260" s="10" t="inlineStr">
        <is>
          <t>PJ-2020-C</t>
        </is>
      </c>
      <c r="B260" s="10" t="inlineStr">
        <is>
          <t>クロノスギア</t>
        </is>
      </c>
      <c r="C260" s="10" t="inlineStr">
        <is>
          <t>新規タイトル開発</t>
        </is>
      </c>
      <c r="D260" s="10" t="n">
        <v>30</v>
      </c>
      <c r="E260" s="21" t="n">
        <v>0.287</v>
      </c>
      <c r="F260" s="21" t="n">
        <v>0.475</v>
      </c>
      <c r="G260" s="21" t="n">
        <v>0.8110000000000001</v>
      </c>
      <c r="H260" s="21" t="n">
        <v>0.944</v>
      </c>
    </row>
    <row r="261">
      <c r="A261" s="10" t="inlineStr">
        <is>
          <t>PJ-2021-D</t>
        </is>
      </c>
      <c r="B261" s="10" t="inlineStr">
        <is>
          <t>蒼穹のレガリア HD Edition</t>
        </is>
      </c>
      <c r="C261" s="10" t="inlineStr">
        <is>
          <t>移植・リマスター</t>
        </is>
      </c>
      <c r="D261" s="10" t="n">
        <v>15</v>
      </c>
      <c r="E261" s="21" t="n">
        <v/>
      </c>
      <c r="F261" s="21" t="n">
        <v>0.418</v>
      </c>
      <c r="G261" s="21" t="n">
        <v>0.73</v>
      </c>
      <c r="H261" s="21" t="n">
        <v>0.925</v>
      </c>
    </row>
    <row r="262">
      <c r="A262" s="10" t="inlineStr">
        <is>
          <t>PJ-2021-E</t>
        </is>
      </c>
      <c r="B262" s="10" t="inlineStr">
        <is>
          <t>シャドウヴェイル</t>
        </is>
      </c>
      <c r="C262" s="10" t="inlineStr">
        <is>
          <t>新規タイトル開発</t>
        </is>
      </c>
      <c r="D262" s="10" t="n">
        <v>36</v>
      </c>
      <c r="E262" s="21" t="n">
        <v>0.246</v>
      </c>
      <c r="F262" s="21" t="n">
        <v>0.616</v>
      </c>
      <c r="G262" s="21" t="n">
        <v>0.782</v>
      </c>
      <c r="H262" s="21" t="n">
        <v>0.924</v>
      </c>
    </row>
    <row r="263">
      <c r="A263" s="10" t="inlineStr">
        <is>
          <t>PJ-2022-F</t>
        </is>
      </c>
      <c r="B263" s="10" t="inlineStr">
        <is>
          <t>ネオンハーツ Season2</t>
        </is>
      </c>
      <c r="C263" s="10" t="inlineStr">
        <is>
          <t>大型アップデート</t>
        </is>
      </c>
      <c r="D263" s="10" t="n">
        <v>18</v>
      </c>
      <c r="E263" s="21" t="n">
        <v/>
      </c>
      <c r="F263" s="21" t="n">
        <v>0.419</v>
      </c>
      <c r="G263" s="21" t="n">
        <v>0.72</v>
      </c>
      <c r="H263" s="21" t="n">
        <v>0.921</v>
      </c>
    </row>
    <row r="264">
      <c r="A264" s="10" t="inlineStr">
        <is>
          <t>PJ-2022-G</t>
        </is>
      </c>
      <c r="B264" s="10" t="inlineStr">
        <is>
          <t>ギルドマスターズ</t>
        </is>
      </c>
      <c r="C264" s="10" t="inlineStr">
        <is>
          <t>新規タイトル開発</t>
        </is>
      </c>
      <c r="D264" s="10" t="n">
        <v>24</v>
      </c>
      <c r="E264" s="21" t="n">
        <v>0.232</v>
      </c>
      <c r="F264" s="21" t="n">
        <v>0.449</v>
      </c>
      <c r="G264" s="21" t="n">
        <v>0.82</v>
      </c>
      <c r="H264" s="21" t="n">
        <v>0.951</v>
      </c>
    </row>
    <row r="265">
      <c r="A265" s="10" t="inlineStr">
        <is>
          <t>PJ-2023-H</t>
        </is>
      </c>
      <c r="B265" s="10" t="inlineStr">
        <is>
          <t>クロノスギア:蒼き遺産</t>
        </is>
      </c>
      <c r="C265" s="10" t="inlineStr">
        <is>
          <t>大型アップデート</t>
        </is>
      </c>
      <c r="D265" s="10" t="n">
        <v>20</v>
      </c>
      <c r="E265" s="21" t="n">
        <v/>
      </c>
      <c r="F265" s="21" t="n">
        <v>0.6</v>
      </c>
      <c r="G265" s="21" t="n">
        <v>0.766</v>
      </c>
      <c r="H265" s="21" t="n">
        <v>0.898</v>
      </c>
    </row>
    <row r="266">
      <c r="A266" s="10" t="inlineStr">
        <is>
          <t>PJ-2023-I</t>
        </is>
      </c>
      <c r="B266" s="10" t="inlineStr">
        <is>
          <t>ブレイブフロンティア Remaster</t>
        </is>
      </c>
      <c r="C266" s="10" t="inlineStr">
        <is>
          <t>移植・リマスター</t>
        </is>
      </c>
      <c r="D266" s="10" t="n">
        <v>18</v>
      </c>
      <c r="E266" s="21" t="n">
        <v/>
      </c>
      <c r="F266" s="21" t="n">
        <v>0.515</v>
      </c>
      <c r="G266" s="21" t="n">
        <v>0.749</v>
      </c>
      <c r="H266" s="21" t="n">
        <v>0.918</v>
      </c>
    </row>
    <row r="267">
      <c r="A267" s="10" t="inlineStr">
        <is>
          <t>PJ-2024-J</t>
        </is>
      </c>
      <c r="B267" s="10" t="inlineStr">
        <is>
          <t>オーヴァーロード・サーガ</t>
        </is>
      </c>
      <c r="C267" s="10" t="inlineStr">
        <is>
          <t>新規タイトル開発</t>
        </is>
      </c>
      <c r="D267" s="10" t="n">
        <v>30</v>
      </c>
      <c r="E267" s="21" t="n">
        <v>0.169</v>
      </c>
      <c r="F267" s="21" t="n">
        <v>0.486</v>
      </c>
      <c r="G267" s="21" t="n">
        <v>0.778</v>
      </c>
      <c r="H267" s="21" t="n">
        <v>0.915</v>
      </c>
    </row>
    <row r="268">
      <c r="A268" s="10" t="inlineStr">
        <is>
          <t>(正準位置)</t>
        </is>
      </c>
      <c r="B268" s="10" t="inlineStr"/>
      <c r="C268" s="10" t="inlineStr"/>
      <c r="D268" s="10" t="n"/>
      <c r="E268" s="21" t="n"/>
      <c r="F268" s="21" t="n">
        <v>0.496</v>
      </c>
      <c r="G268" s="21" t="n">
        <v>0.767</v>
      </c>
      <c r="H268" s="21" t="n">
        <v>0.922</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L805"/>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17.1" customWidth="1" min="10" max="10"/>
    <col width="11.4" customWidth="1" min="11" max="11"/>
    <col width="13.3" customWidth="1" min="12" max="12"/>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t>
        </is>
      </c>
      <c r="B7" s="10" t="n">
        <v>10</v>
      </c>
      <c r="C7" s="21" t="n">
        <v>0.2616</v>
      </c>
      <c r="D7" s="21" t="n">
        <v>0.3236</v>
      </c>
      <c r="E7" s="21" t="n">
        <v>0.3307</v>
      </c>
      <c r="F7" s="21" t="n">
        <v>0.0948</v>
      </c>
      <c r="G7" s="22" t="n">
        <v>5.1</v>
      </c>
      <c r="H7" s="13" t="n">
        <v>0</v>
      </c>
    </row>
    <row r="8">
      <c r="A8" s="10" t="inlineStr">
        <is>
          <t>位置合わせ(MS学習値)</t>
        </is>
      </c>
      <c r="B8" s="10" t="n">
        <v>10</v>
      </c>
      <c r="C8" s="21" t="n">
        <v>0.273</v>
      </c>
      <c r="D8" s="21" t="n">
        <v>0.3518</v>
      </c>
      <c r="E8" s="21" t="n">
        <v>0.3367</v>
      </c>
      <c r="F8" s="21" t="n">
        <v>0.103</v>
      </c>
      <c r="G8" s="22" t="n">
        <v>6.9</v>
      </c>
      <c r="H8" s="13" t="n">
        <v>-0.0436</v>
      </c>
    </row>
    <row r="9">
      <c r="A9" s="10" t="inlineStr">
        <is>
          <t>位置合わせ(MS指定)</t>
        </is>
      </c>
      <c r="B9" s="10" t="n">
        <v>10</v>
      </c>
      <c r="C9" s="21" t="n">
        <v>0.0794</v>
      </c>
      <c r="D9" s="21" t="n">
        <v>0.1533</v>
      </c>
      <c r="E9" s="21" t="n">
        <v>0.1817</v>
      </c>
      <c r="F9" s="21" t="n">
        <v>0.0315</v>
      </c>
      <c r="G9" s="22" t="n">
        <v>2.7</v>
      </c>
      <c r="H9" s="13" t="n">
        <v>0.6965</v>
      </c>
    </row>
    <row r="11">
      <c r="A11" s="5" t="inlineStr">
        <is>
          <t>素朴版 vs 位置合わせ(MS学習値):平均カーブを鋭くしただけで当たるようになるかを測る。</t>
        </is>
      </c>
    </row>
    <row r="12">
      <c r="A12" s="5" t="inlineStr">
        <is>
          <t>位置合わせ(MS学習値) vs 位置合わせ(MS指定):マイルストーンを手入力する価値を測る。</t>
        </is>
      </c>
    </row>
    <row r="14">
      <c r="A14" s="6" t="inlineStr">
        <is>
          <t>■ 案件別 誤差</t>
        </is>
      </c>
    </row>
    <row r="15">
      <c r="A15" s="7" t="inlineStr">
        <is>
          <t>案件ID</t>
        </is>
      </c>
      <c r="B15" s="8" t="inlineStr">
        <is>
          <t>素朴版</t>
        </is>
      </c>
      <c r="C15" s="8" t="inlineStr">
        <is>
          <t>位置合わせ(MS学習値)</t>
        </is>
      </c>
      <c r="D15" s="8" t="inlineStr">
        <is>
          <t>位置合わせ(MS指定)</t>
        </is>
      </c>
    </row>
    <row r="16">
      <c r="A16" s="10" t="inlineStr">
        <is>
          <t>PJ-2019-A</t>
        </is>
      </c>
      <c r="B16" s="21" t="n">
        <v>0.2507</v>
      </c>
      <c r="C16" s="21" t="n">
        <v>0.2878</v>
      </c>
      <c r="D16" s="21" t="n">
        <v>0.0415</v>
      </c>
    </row>
    <row r="17">
      <c r="A17" s="10" t="inlineStr">
        <is>
          <t>PJ-2020-B</t>
        </is>
      </c>
      <c r="B17" s="21" t="n">
        <v>0.3105</v>
      </c>
      <c r="C17" s="21" t="n">
        <v>0.3049</v>
      </c>
      <c r="D17" s="21" t="n">
        <v>0.0437</v>
      </c>
    </row>
    <row r="18">
      <c r="A18" s="10" t="inlineStr">
        <is>
          <t>PJ-2020-C</t>
        </is>
      </c>
      <c r="B18" s="21" t="n">
        <v>0.3171</v>
      </c>
      <c r="C18" s="21" t="n">
        <v>0.3075</v>
      </c>
      <c r="D18" s="21" t="n">
        <v>0.1533</v>
      </c>
    </row>
    <row r="19">
      <c r="A19" s="10" t="inlineStr">
        <is>
          <t>PJ-2021-D</t>
        </is>
      </c>
      <c r="B19" s="21" t="n">
        <v>0.158</v>
      </c>
      <c r="C19" s="21" t="n">
        <v>0.2023</v>
      </c>
      <c r="D19" s="21" t="n">
        <v>0.0975</v>
      </c>
    </row>
    <row r="20">
      <c r="A20" s="10" t="inlineStr">
        <is>
          <t>PJ-2021-E</t>
        </is>
      </c>
      <c r="B20" s="21" t="n">
        <v>0.3057</v>
      </c>
      <c r="C20" s="21" t="n">
        <v>0.3204</v>
      </c>
      <c r="D20" s="21" t="n">
        <v>0.0917</v>
      </c>
    </row>
    <row r="21">
      <c r="A21" s="10" t="inlineStr">
        <is>
          <t>PJ-2022-F</t>
        </is>
      </c>
      <c r="B21" s="21" t="n">
        <v>0.2324</v>
      </c>
      <c r="C21" s="21" t="n">
        <v>0.2785</v>
      </c>
      <c r="D21" s="21" t="n">
        <v>0.0384</v>
      </c>
    </row>
    <row r="22">
      <c r="A22" s="10" t="inlineStr">
        <is>
          <t>PJ-2022-G</t>
        </is>
      </c>
      <c r="B22" s="21" t="n">
        <v>0.3155</v>
      </c>
      <c r="C22" s="21" t="n">
        <v>0.3518</v>
      </c>
      <c r="D22" s="21" t="n">
        <v>0.0833</v>
      </c>
    </row>
    <row r="23">
      <c r="A23" s="10" t="inlineStr">
        <is>
          <t>PJ-2023-H</t>
        </is>
      </c>
      <c r="B23" s="21" t="n">
        <v>0.3236</v>
      </c>
      <c r="C23" s="21" t="n">
        <v>0.3363</v>
      </c>
      <c r="D23" s="21" t="n">
        <v>0.0425</v>
      </c>
    </row>
    <row r="24">
      <c r="A24" s="10" t="inlineStr">
        <is>
          <t>PJ-2023-I</t>
        </is>
      </c>
      <c r="B24" s="21" t="n">
        <v>0.2176</v>
      </c>
      <c r="C24" s="21" t="n">
        <v>0.1847</v>
      </c>
      <c r="D24" s="21" t="n">
        <v>0.0856</v>
      </c>
    </row>
    <row r="25">
      <c r="A25" s="10" t="inlineStr">
        <is>
          <t>PJ-2024-J</t>
        </is>
      </c>
      <c r="B25" s="21" t="n">
        <v>0.1848</v>
      </c>
      <c r="C25" s="21" t="n">
        <v>0.1561</v>
      </c>
      <c r="D25" s="21" t="n">
        <v>0.1166</v>
      </c>
    </row>
    <row r="47">
      <c r="A47" s="6" t="inlineStr">
        <is>
          <t>■ 案件別 詳細指標</t>
        </is>
      </c>
    </row>
    <row r="48">
      <c r="A48" s="8" t="inlineStr">
        <is>
          <t>案件ID</t>
        </is>
      </c>
      <c r="B48" s="8" t="inlineStr">
        <is>
          <t>名称</t>
        </is>
      </c>
      <c r="C48" s="8" t="inlineStr">
        <is>
          <t>種別</t>
        </is>
      </c>
      <c r="D48" s="8" t="inlineStr">
        <is>
          <t>モード</t>
        </is>
      </c>
      <c r="E48" s="8" t="inlineStr">
        <is>
          <t>契約人月</t>
        </is>
      </c>
      <c r="F48" s="8" t="inlineStr">
        <is>
          <t>期間(月)</t>
        </is>
      </c>
      <c r="G48" s="8" t="inlineStr">
        <is>
          <t>学習件数</t>
        </is>
      </c>
      <c r="H48" s="8" t="inlineStr">
        <is>
          <t>月次誤差WAPE</t>
        </is>
      </c>
      <c r="I48" s="8" t="inlineStr">
        <is>
          <t>月×グループ誤差WAPE</t>
        </is>
      </c>
      <c r="J48" s="8" t="inlineStr">
        <is>
          <t>累積カーブ最大乖離</t>
        </is>
      </c>
      <c r="K48" s="8" t="inlineStr">
        <is>
          <t>ピーク月ズレ</t>
        </is>
      </c>
      <c r="L48" s="8" t="inlineStr">
        <is>
          <t>ピーク高さ誤差</t>
        </is>
      </c>
    </row>
    <row r="49">
      <c r="A49" s="10" t="inlineStr">
        <is>
          <t>PJ-2019-A</t>
        </is>
      </c>
      <c r="B49" s="10" t="inlineStr">
        <is>
          <t>蒼穹のレガリア</t>
        </is>
      </c>
      <c r="C49" s="10" t="inlineStr">
        <is>
          <t>新規タイトル開発</t>
        </is>
      </c>
      <c r="D49" s="10" t="inlineStr">
        <is>
          <t>素朴版</t>
        </is>
      </c>
      <c r="E49" s="12" t="n">
        <v>2400</v>
      </c>
      <c r="F49" s="10" t="n">
        <v>36</v>
      </c>
      <c r="G49" s="10" t="n">
        <v>9</v>
      </c>
      <c r="H49" s="21" t="n">
        <v>0.2507</v>
      </c>
      <c r="I49" s="21" t="n">
        <v>0.266</v>
      </c>
      <c r="J49" s="21" t="n">
        <v>0.1018</v>
      </c>
      <c r="K49" s="10" t="n">
        <v>13</v>
      </c>
      <c r="L49" s="13" t="n">
        <v>-0.1237</v>
      </c>
    </row>
    <row r="50">
      <c r="A50" s="10" t="inlineStr">
        <is>
          <t>PJ-2019-A</t>
        </is>
      </c>
      <c r="B50" s="10" t="inlineStr">
        <is>
          <t>蒼穹のレガリア</t>
        </is>
      </c>
      <c r="C50" s="10" t="inlineStr">
        <is>
          <t>新規タイトル開発</t>
        </is>
      </c>
      <c r="D50" s="10" t="inlineStr">
        <is>
          <t>位置合わせ(MS学習値)</t>
        </is>
      </c>
      <c r="E50" s="12" t="n">
        <v>2400</v>
      </c>
      <c r="F50" s="10" t="n">
        <v>36</v>
      </c>
      <c r="G50" s="10" t="n">
        <v>9</v>
      </c>
      <c r="H50" s="21" t="n">
        <v>0.2878</v>
      </c>
      <c r="I50" s="21" t="n">
        <v>0.3022</v>
      </c>
      <c r="J50" s="21" t="n">
        <v>0.119</v>
      </c>
      <c r="K50" s="10" t="n">
        <v>13</v>
      </c>
      <c r="L50" s="13" t="n">
        <v>-0.109</v>
      </c>
    </row>
    <row r="51">
      <c r="A51" s="10" t="inlineStr">
        <is>
          <t>PJ-2019-A</t>
        </is>
      </c>
      <c r="B51" s="10" t="inlineStr">
        <is>
          <t>蒼穹のレガリア</t>
        </is>
      </c>
      <c r="C51" s="10" t="inlineStr">
        <is>
          <t>新規タイトル開発</t>
        </is>
      </c>
      <c r="D51" s="10" t="inlineStr">
        <is>
          <t>位置合わせ(MS指定)</t>
        </is>
      </c>
      <c r="E51" s="12" t="n">
        <v>2400</v>
      </c>
      <c r="F51" s="10" t="n">
        <v>36</v>
      </c>
      <c r="G51" s="10" t="n">
        <v>9</v>
      </c>
      <c r="H51" s="21" t="n">
        <v>0.0415</v>
      </c>
      <c r="I51" s="21" t="n">
        <v>0.1167</v>
      </c>
      <c r="J51" s="21" t="n">
        <v>0.0083</v>
      </c>
      <c r="K51" s="10" t="n">
        <v>0</v>
      </c>
      <c r="L51" s="13" t="n">
        <v>-0.0463</v>
      </c>
    </row>
    <row r="52">
      <c r="A52" s="10" t="inlineStr">
        <is>
          <t>PJ-2020-B</t>
        </is>
      </c>
      <c r="B52" s="10" t="inlineStr">
        <is>
          <t>ブレイブフロンティア外伝</t>
        </is>
      </c>
      <c r="C52" s="10" t="inlineStr">
        <is>
          <t>大型アップデート</t>
        </is>
      </c>
      <c r="D52" s="10" t="inlineStr">
        <is>
          <t>素朴版</t>
        </is>
      </c>
      <c r="E52" s="12" t="n">
        <v>620</v>
      </c>
      <c r="F52" s="10" t="n">
        <v>14</v>
      </c>
      <c r="G52" s="10" t="n">
        <v>9</v>
      </c>
      <c r="H52" s="21" t="n">
        <v>0.3105</v>
      </c>
      <c r="I52" s="21" t="n">
        <v>0.3442</v>
      </c>
      <c r="J52" s="21" t="n">
        <v>0.09719999999999999</v>
      </c>
      <c r="K52" s="10" t="n">
        <v>1</v>
      </c>
      <c r="L52" s="13" t="n">
        <v>-0.2951</v>
      </c>
    </row>
    <row r="53">
      <c r="A53" s="10" t="inlineStr">
        <is>
          <t>PJ-2020-B</t>
        </is>
      </c>
      <c r="B53" s="10" t="inlineStr">
        <is>
          <t>ブレイブフロンティア外伝</t>
        </is>
      </c>
      <c r="C53" s="10" t="inlineStr">
        <is>
          <t>大型アップデート</t>
        </is>
      </c>
      <c r="D53" s="10" t="inlineStr">
        <is>
          <t>位置合わせ(MS学習値)</t>
        </is>
      </c>
      <c r="E53" s="12" t="n">
        <v>620</v>
      </c>
      <c r="F53" s="10" t="n">
        <v>14</v>
      </c>
      <c r="G53" s="10" t="n">
        <v>9</v>
      </c>
      <c r="H53" s="21" t="n">
        <v>0.3049</v>
      </c>
      <c r="I53" s="21" t="n">
        <v>0.3335</v>
      </c>
      <c r="J53" s="21" t="n">
        <v>0.0982</v>
      </c>
      <c r="K53" s="10" t="n">
        <v>-3</v>
      </c>
      <c r="L53" s="13" t="n">
        <v>-0.2614</v>
      </c>
    </row>
    <row r="54">
      <c r="A54" s="10" t="inlineStr">
        <is>
          <t>PJ-2020-B</t>
        </is>
      </c>
      <c r="B54" s="10" t="inlineStr">
        <is>
          <t>ブレイブフロンティア外伝</t>
        </is>
      </c>
      <c r="C54" s="10" t="inlineStr">
        <is>
          <t>大型アップデート</t>
        </is>
      </c>
      <c r="D54" s="10" t="inlineStr">
        <is>
          <t>位置合わせ(MS指定)</t>
        </is>
      </c>
      <c r="E54" s="12" t="n">
        <v>620</v>
      </c>
      <c r="F54" s="10" t="n">
        <v>14</v>
      </c>
      <c r="G54" s="10" t="n">
        <v>9</v>
      </c>
      <c r="H54" s="21" t="n">
        <v>0.0437</v>
      </c>
      <c r="I54" s="21" t="n">
        <v>0.1673</v>
      </c>
      <c r="J54" s="21" t="n">
        <v>0.0148</v>
      </c>
      <c r="K54" s="10" t="n">
        <v>0</v>
      </c>
      <c r="L54" s="13" t="n">
        <v>-0.004</v>
      </c>
    </row>
    <row r="55">
      <c r="A55" s="10" t="inlineStr">
        <is>
          <t>PJ-2020-C</t>
        </is>
      </c>
      <c r="B55" s="10" t="inlineStr">
        <is>
          <t>クロノスギア</t>
        </is>
      </c>
      <c r="C55" s="10" t="inlineStr">
        <is>
          <t>新規タイトル開発</t>
        </is>
      </c>
      <c r="D55" s="10" t="inlineStr">
        <is>
          <t>素朴版</t>
        </is>
      </c>
      <c r="E55" s="12" t="n">
        <v>1800</v>
      </c>
      <c r="F55" s="10" t="n">
        <v>30</v>
      </c>
      <c r="G55" s="10" t="n">
        <v>9</v>
      </c>
      <c r="H55" s="21" t="n">
        <v>0.3171</v>
      </c>
      <c r="I55" s="21" t="n">
        <v>0.3391</v>
      </c>
      <c r="J55" s="21" t="n">
        <v>0.0633</v>
      </c>
      <c r="K55" s="10" t="n">
        <v>9</v>
      </c>
      <c r="L55" s="13" t="n">
        <v>-0.2593</v>
      </c>
    </row>
    <row r="56">
      <c r="A56" s="10" t="inlineStr">
        <is>
          <t>PJ-2020-C</t>
        </is>
      </c>
      <c r="B56" s="10" t="inlineStr">
        <is>
          <t>クロノスギア</t>
        </is>
      </c>
      <c r="C56" s="10" t="inlineStr">
        <is>
          <t>新規タイトル開発</t>
        </is>
      </c>
      <c r="D56" s="10" t="inlineStr">
        <is>
          <t>位置合わせ(MS学習値)</t>
        </is>
      </c>
      <c r="E56" s="12" t="n">
        <v>1800</v>
      </c>
      <c r="F56" s="10" t="n">
        <v>30</v>
      </c>
      <c r="G56" s="10" t="n">
        <v>9</v>
      </c>
      <c r="H56" s="21" t="n">
        <v>0.3075</v>
      </c>
      <c r="I56" s="21" t="n">
        <v>0.3289</v>
      </c>
      <c r="J56" s="21" t="n">
        <v>0.0673</v>
      </c>
      <c r="K56" s="10" t="n">
        <v>9</v>
      </c>
      <c r="L56" s="13" t="n">
        <v>-0.2446</v>
      </c>
    </row>
    <row r="57">
      <c r="A57" s="10" t="inlineStr">
        <is>
          <t>PJ-2020-C</t>
        </is>
      </c>
      <c r="B57" s="10" t="inlineStr">
        <is>
          <t>クロノスギア</t>
        </is>
      </c>
      <c r="C57" s="10" t="inlineStr">
        <is>
          <t>新規タイトル開発</t>
        </is>
      </c>
      <c r="D57" s="10" t="inlineStr">
        <is>
          <t>位置合わせ(MS指定)</t>
        </is>
      </c>
      <c r="E57" s="12" t="n">
        <v>1800</v>
      </c>
      <c r="F57" s="10" t="n">
        <v>30</v>
      </c>
      <c r="G57" s="10" t="n">
        <v>9</v>
      </c>
      <c r="H57" s="21" t="n">
        <v>0.1533</v>
      </c>
      <c r="I57" s="21" t="n">
        <v>0.1898</v>
      </c>
      <c r="J57" s="21" t="n">
        <v>0.0586</v>
      </c>
      <c r="K57" s="10" t="n">
        <v>11</v>
      </c>
      <c r="L57" s="13" t="n">
        <v>-0.1912</v>
      </c>
    </row>
    <row r="58">
      <c r="A58" s="10" t="inlineStr">
        <is>
          <t>PJ-2021-D</t>
        </is>
      </c>
      <c r="B58" s="10" t="inlineStr">
        <is>
          <t>蒼穹のレガリア HD Edition</t>
        </is>
      </c>
      <c r="C58" s="10" t="inlineStr">
        <is>
          <t>移植・リマスター</t>
        </is>
      </c>
      <c r="D58" s="10" t="inlineStr">
        <is>
          <t>素朴版</t>
        </is>
      </c>
      <c r="E58" s="12" t="n">
        <v>520</v>
      </c>
      <c r="F58" s="10" t="n">
        <v>15</v>
      </c>
      <c r="G58" s="10" t="n">
        <v>9</v>
      </c>
      <c r="H58" s="21" t="n">
        <v>0.158</v>
      </c>
      <c r="I58" s="21" t="n">
        <v>0.4086</v>
      </c>
      <c r="J58" s="21" t="n">
        <v>0.0646</v>
      </c>
      <c r="K58" s="10" t="n">
        <v>6</v>
      </c>
      <c r="L58" s="13" t="n">
        <v>0.0289</v>
      </c>
    </row>
    <row r="59">
      <c r="A59" s="10" t="inlineStr">
        <is>
          <t>PJ-2021-D</t>
        </is>
      </c>
      <c r="B59" s="10" t="inlineStr">
        <is>
          <t>蒼穹のレガリア HD Edition</t>
        </is>
      </c>
      <c r="C59" s="10" t="inlineStr">
        <is>
          <t>移植・リマスター</t>
        </is>
      </c>
      <c r="D59" s="10" t="inlineStr">
        <is>
          <t>位置合わせ(MS学習値)</t>
        </is>
      </c>
      <c r="E59" s="12" t="n">
        <v>520</v>
      </c>
      <c r="F59" s="10" t="n">
        <v>15</v>
      </c>
      <c r="G59" s="10" t="n">
        <v>9</v>
      </c>
      <c r="H59" s="21" t="n">
        <v>0.2023</v>
      </c>
      <c r="I59" s="21" t="n">
        <v>0.4183</v>
      </c>
      <c r="J59" s="21" t="n">
        <v>0.079</v>
      </c>
      <c r="K59" s="10" t="n">
        <v>6</v>
      </c>
      <c r="L59" s="13" t="n">
        <v>0.07679999999999999</v>
      </c>
    </row>
    <row r="60">
      <c r="A60" s="10" t="inlineStr">
        <is>
          <t>PJ-2021-D</t>
        </is>
      </c>
      <c r="B60" s="10" t="inlineStr">
        <is>
          <t>蒼穹のレガリア HD Edition</t>
        </is>
      </c>
      <c r="C60" s="10" t="inlineStr">
        <is>
          <t>移植・リマスター</t>
        </is>
      </c>
      <c r="D60" s="10" t="inlineStr">
        <is>
          <t>位置合わせ(MS指定)</t>
        </is>
      </c>
      <c r="E60" s="12" t="n">
        <v>520</v>
      </c>
      <c r="F60" s="10" t="n">
        <v>15</v>
      </c>
      <c r="G60" s="10" t="n">
        <v>9</v>
      </c>
      <c r="H60" s="21" t="n">
        <v>0.0975</v>
      </c>
      <c r="I60" s="21" t="n">
        <v>0.3495</v>
      </c>
      <c r="J60" s="21" t="n">
        <v>0.046</v>
      </c>
      <c r="K60" s="10" t="n">
        <v>0</v>
      </c>
      <c r="L60" s="13" t="n">
        <v>0.0788</v>
      </c>
    </row>
    <row r="61">
      <c r="A61" s="10" t="inlineStr">
        <is>
          <t>PJ-2021-E</t>
        </is>
      </c>
      <c r="B61" s="10" t="inlineStr">
        <is>
          <t>シャドウヴェイル</t>
        </is>
      </c>
      <c r="C61" s="10" t="inlineStr">
        <is>
          <t>新規タイトル開発</t>
        </is>
      </c>
      <c r="D61" s="10" t="inlineStr">
        <is>
          <t>素朴版</t>
        </is>
      </c>
      <c r="E61" s="12" t="n">
        <v>2950</v>
      </c>
      <c r="F61" s="10" t="n">
        <v>36</v>
      </c>
      <c r="G61" s="10" t="n">
        <v>9</v>
      </c>
      <c r="H61" s="21" t="n">
        <v>0.3057</v>
      </c>
      <c r="I61" s="21" t="n">
        <v>0.3714</v>
      </c>
      <c r="J61" s="21" t="n">
        <v>0.1465</v>
      </c>
      <c r="K61" s="10" t="n">
        <v>4</v>
      </c>
      <c r="L61" s="13" t="n">
        <v>-0.4116</v>
      </c>
    </row>
    <row r="62">
      <c r="A62" s="10" t="inlineStr">
        <is>
          <t>PJ-2021-E</t>
        </is>
      </c>
      <c r="B62" s="10" t="inlineStr">
        <is>
          <t>シャドウヴェイル</t>
        </is>
      </c>
      <c r="C62" s="10" t="inlineStr">
        <is>
          <t>新規タイトル開発</t>
        </is>
      </c>
      <c r="D62" s="10" t="inlineStr">
        <is>
          <t>位置合わせ(MS学習値)</t>
        </is>
      </c>
      <c r="E62" s="12" t="n">
        <v>2950</v>
      </c>
      <c r="F62" s="10" t="n">
        <v>36</v>
      </c>
      <c r="G62" s="10" t="n">
        <v>9</v>
      </c>
      <c r="H62" s="21" t="n">
        <v>0.3204</v>
      </c>
      <c r="I62" s="21" t="n">
        <v>0.3883</v>
      </c>
      <c r="J62" s="21" t="n">
        <v>0.1571</v>
      </c>
      <c r="K62" s="10" t="n">
        <v>-7</v>
      </c>
      <c r="L62" s="13" t="n">
        <v>-0.331</v>
      </c>
    </row>
    <row r="63">
      <c r="A63" s="10" t="inlineStr">
        <is>
          <t>PJ-2021-E</t>
        </is>
      </c>
      <c r="B63" s="10" t="inlineStr">
        <is>
          <t>シャドウヴェイル</t>
        </is>
      </c>
      <c r="C63" s="10" t="inlineStr">
        <is>
          <t>新規タイトル開発</t>
        </is>
      </c>
      <c r="D63" s="10" t="inlineStr">
        <is>
          <t>位置合わせ(MS指定)</t>
        </is>
      </c>
      <c r="E63" s="12" t="n">
        <v>2950</v>
      </c>
      <c r="F63" s="10" t="n">
        <v>36</v>
      </c>
      <c r="G63" s="10" t="n">
        <v>9</v>
      </c>
      <c r="H63" s="21" t="n">
        <v>0.0917</v>
      </c>
      <c r="I63" s="21" t="n">
        <v>0.1327</v>
      </c>
      <c r="J63" s="21" t="n">
        <v>0.0385</v>
      </c>
      <c r="K63" s="10" t="n">
        <v>4</v>
      </c>
      <c r="L63" s="13" t="n">
        <v>-0.0149</v>
      </c>
    </row>
    <row r="64">
      <c r="A64" s="10" t="inlineStr">
        <is>
          <t>PJ-2022-F</t>
        </is>
      </c>
      <c r="B64" s="10" t="inlineStr">
        <is>
          <t>ネオンハーツ Season2</t>
        </is>
      </c>
      <c r="C64" s="10" t="inlineStr">
        <is>
          <t>大型アップデート</t>
        </is>
      </c>
      <c r="D64" s="10" t="inlineStr">
        <is>
          <t>素朴版</t>
        </is>
      </c>
      <c r="E64" s="12" t="n">
        <v>880</v>
      </c>
      <c r="F64" s="10" t="n">
        <v>18</v>
      </c>
      <c r="G64" s="10" t="n">
        <v>9</v>
      </c>
      <c r="H64" s="21" t="n">
        <v>0.2324</v>
      </c>
      <c r="I64" s="21" t="n">
        <v>0.3168</v>
      </c>
      <c r="J64" s="21" t="n">
        <v>0.1162</v>
      </c>
      <c r="K64" s="10" t="n">
        <v>6</v>
      </c>
      <c r="L64" s="13" t="n">
        <v>-0.0095</v>
      </c>
    </row>
    <row r="65">
      <c r="A65" s="10" t="inlineStr">
        <is>
          <t>PJ-2022-F</t>
        </is>
      </c>
      <c r="B65" s="10" t="inlineStr">
        <is>
          <t>ネオンハーツ Season2</t>
        </is>
      </c>
      <c r="C65" s="10" t="inlineStr">
        <is>
          <t>大型アップデート</t>
        </is>
      </c>
      <c r="D65" s="10" t="inlineStr">
        <is>
          <t>位置合わせ(MS学習値)</t>
        </is>
      </c>
      <c r="E65" s="12" t="n">
        <v>880</v>
      </c>
      <c r="F65" s="10" t="n">
        <v>18</v>
      </c>
      <c r="G65" s="10" t="n">
        <v>9</v>
      </c>
      <c r="H65" s="21" t="n">
        <v>0.2785</v>
      </c>
      <c r="I65" s="21" t="n">
        <v>0.3336</v>
      </c>
      <c r="J65" s="21" t="n">
        <v>0.1319</v>
      </c>
      <c r="K65" s="10" t="n">
        <v>6</v>
      </c>
      <c r="L65" s="13" t="n">
        <v>-0.0102</v>
      </c>
    </row>
    <row r="66">
      <c r="A66" s="10" t="inlineStr">
        <is>
          <t>PJ-2022-F</t>
        </is>
      </c>
      <c r="B66" s="10" t="inlineStr">
        <is>
          <t>ネオンハーツ Season2</t>
        </is>
      </c>
      <c r="C66" s="10" t="inlineStr">
        <is>
          <t>大型アップデート</t>
        </is>
      </c>
      <c r="D66" s="10" t="inlineStr">
        <is>
          <t>位置合わせ(MS指定)</t>
        </is>
      </c>
      <c r="E66" s="12" t="n">
        <v>880</v>
      </c>
      <c r="F66" s="10" t="n">
        <v>18</v>
      </c>
      <c r="G66" s="10" t="n">
        <v>9</v>
      </c>
      <c r="H66" s="21" t="n">
        <v>0.0384</v>
      </c>
      <c r="I66" s="21" t="n">
        <v>0.1529</v>
      </c>
      <c r="J66" s="21" t="n">
        <v>0.0097</v>
      </c>
      <c r="K66" s="10" t="n">
        <v>-1</v>
      </c>
      <c r="L66" s="13" t="n">
        <v>0.0063</v>
      </c>
    </row>
    <row r="67">
      <c r="A67" s="10" t="inlineStr">
        <is>
          <t>PJ-2022-G</t>
        </is>
      </c>
      <c r="B67" s="10" t="inlineStr">
        <is>
          <t>ギルドマスターズ</t>
        </is>
      </c>
      <c r="C67" s="10" t="inlineStr">
        <is>
          <t>新規タイトル開発</t>
        </is>
      </c>
      <c r="D67" s="10" t="inlineStr">
        <is>
          <t>素朴版</t>
        </is>
      </c>
      <c r="E67" s="12" t="n">
        <v>1450</v>
      </c>
      <c r="F67" s="10" t="n">
        <v>24</v>
      </c>
      <c r="G67" s="10" t="n">
        <v>9</v>
      </c>
      <c r="H67" s="21" t="n">
        <v>0.3155</v>
      </c>
      <c r="I67" s="21" t="n">
        <v>0.3358</v>
      </c>
      <c r="J67" s="21" t="n">
        <v>0.0791</v>
      </c>
      <c r="K67" s="10" t="n">
        <v>8</v>
      </c>
      <c r="L67" s="13" t="n">
        <v>-0.114</v>
      </c>
    </row>
    <row r="68">
      <c r="A68" s="10" t="inlineStr">
        <is>
          <t>PJ-2022-G</t>
        </is>
      </c>
      <c r="B68" s="10" t="inlineStr">
        <is>
          <t>ギルドマスターズ</t>
        </is>
      </c>
      <c r="C68" s="10" t="inlineStr">
        <is>
          <t>新規タイトル開発</t>
        </is>
      </c>
      <c r="D68" s="10" t="inlineStr">
        <is>
          <t>位置合わせ(MS学習値)</t>
        </is>
      </c>
      <c r="E68" s="12" t="n">
        <v>1450</v>
      </c>
      <c r="F68" s="10" t="n">
        <v>24</v>
      </c>
      <c r="G68" s="10" t="n">
        <v>9</v>
      </c>
      <c r="H68" s="21" t="n">
        <v>0.3518</v>
      </c>
      <c r="I68" s="21" t="n">
        <v>0.3694</v>
      </c>
      <c r="J68" s="21" t="n">
        <v>0.0948</v>
      </c>
      <c r="K68" s="10" t="n">
        <v>8</v>
      </c>
      <c r="L68" s="13" t="n">
        <v>-0.091</v>
      </c>
    </row>
    <row r="69">
      <c r="A69" s="10" t="inlineStr">
        <is>
          <t>PJ-2022-G</t>
        </is>
      </c>
      <c r="B69" s="10" t="inlineStr">
        <is>
          <t>ギルドマスターズ</t>
        </is>
      </c>
      <c r="C69" s="10" t="inlineStr">
        <is>
          <t>新規タイトル開発</t>
        </is>
      </c>
      <c r="D69" s="10" t="inlineStr">
        <is>
          <t>位置合わせ(MS指定)</t>
        </is>
      </c>
      <c r="E69" s="12" t="n">
        <v>1450</v>
      </c>
      <c r="F69" s="10" t="n">
        <v>24</v>
      </c>
      <c r="G69" s="10" t="n">
        <v>9</v>
      </c>
      <c r="H69" s="21" t="n">
        <v>0.0833</v>
      </c>
      <c r="I69" s="21" t="n">
        <v>0.1179</v>
      </c>
      <c r="J69" s="21" t="n">
        <v>0.0224</v>
      </c>
      <c r="K69" s="10" t="n">
        <v>10</v>
      </c>
      <c r="L69" s="13" t="n">
        <v>-0.0571</v>
      </c>
    </row>
    <row r="70">
      <c r="A70" s="10" t="inlineStr">
        <is>
          <t>PJ-2023-H</t>
        </is>
      </c>
      <c r="B70" s="10" t="inlineStr">
        <is>
          <t>クロノスギア:蒼き遺産</t>
        </is>
      </c>
      <c r="C70" s="10" t="inlineStr">
        <is>
          <t>大型アップデート</t>
        </is>
      </c>
      <c r="D70" s="10" t="inlineStr">
        <is>
          <t>素朴版</t>
        </is>
      </c>
      <c r="E70" s="12" t="n">
        <v>1100</v>
      </c>
      <c r="F70" s="10" t="n">
        <v>20</v>
      </c>
      <c r="G70" s="10" t="n">
        <v>9</v>
      </c>
      <c r="H70" s="21" t="n">
        <v>0.3236</v>
      </c>
      <c r="I70" s="21" t="n">
        <v>0.3781</v>
      </c>
      <c r="J70" s="21" t="n">
        <v>0.1364</v>
      </c>
      <c r="K70" s="10" t="n">
        <v>2</v>
      </c>
      <c r="L70" s="13" t="n">
        <v>-0.3881</v>
      </c>
    </row>
    <row r="71">
      <c r="A71" s="10" t="inlineStr">
        <is>
          <t>PJ-2023-H</t>
        </is>
      </c>
      <c r="B71" s="10" t="inlineStr">
        <is>
          <t>クロノスギア:蒼き遺産</t>
        </is>
      </c>
      <c r="C71" s="10" t="inlineStr">
        <is>
          <t>大型アップデート</t>
        </is>
      </c>
      <c r="D71" s="10" t="inlineStr">
        <is>
          <t>位置合わせ(MS学習値)</t>
        </is>
      </c>
      <c r="E71" s="12" t="n">
        <v>1100</v>
      </c>
      <c r="F71" s="10" t="n">
        <v>20</v>
      </c>
      <c r="G71" s="10" t="n">
        <v>9</v>
      </c>
      <c r="H71" s="21" t="n">
        <v>0.3363</v>
      </c>
      <c r="I71" s="21" t="n">
        <v>0.3887</v>
      </c>
      <c r="J71" s="21" t="n">
        <v>0.1469</v>
      </c>
      <c r="K71" s="10" t="n">
        <v>-3</v>
      </c>
      <c r="L71" s="13" t="n">
        <v>-0.3172</v>
      </c>
    </row>
    <row r="72">
      <c r="A72" s="10" t="inlineStr">
        <is>
          <t>PJ-2023-H</t>
        </is>
      </c>
      <c r="B72" s="10" t="inlineStr">
        <is>
          <t>クロノスギア:蒼き遺産</t>
        </is>
      </c>
      <c r="C72" s="10" t="inlineStr">
        <is>
          <t>大型アップデート</t>
        </is>
      </c>
      <c r="D72" s="10" t="inlineStr">
        <is>
          <t>位置合わせ(MS指定)</t>
        </is>
      </c>
      <c r="E72" s="12" t="n">
        <v>1100</v>
      </c>
      <c r="F72" s="10" t="n">
        <v>20</v>
      </c>
      <c r="G72" s="10" t="n">
        <v>9</v>
      </c>
      <c r="H72" s="21" t="n">
        <v>0.0425</v>
      </c>
      <c r="I72" s="21" t="n">
        <v>0.1144</v>
      </c>
      <c r="J72" s="21" t="n">
        <v>0.0173</v>
      </c>
      <c r="K72" s="10" t="n">
        <v>0</v>
      </c>
      <c r="L72" s="13" t="n">
        <v>0.0098</v>
      </c>
    </row>
    <row r="73">
      <c r="A73" s="10" t="inlineStr">
        <is>
          <t>PJ-2023-I</t>
        </is>
      </c>
      <c r="B73" s="10" t="inlineStr">
        <is>
          <t>ブレイブフロンティア Remaster</t>
        </is>
      </c>
      <c r="C73" s="10" t="inlineStr">
        <is>
          <t>移植・リマスター</t>
        </is>
      </c>
      <c r="D73" s="10" t="inlineStr">
        <is>
          <t>素朴版</t>
        </is>
      </c>
      <c r="E73" s="12" t="n">
        <v>700</v>
      </c>
      <c r="F73" s="10" t="n">
        <v>18</v>
      </c>
      <c r="G73" s="10" t="n">
        <v>9</v>
      </c>
      <c r="H73" s="21" t="n">
        <v>0.2176</v>
      </c>
      <c r="I73" s="21" t="n">
        <v>0.3412</v>
      </c>
      <c r="J73" s="21" t="n">
        <v>0.0877</v>
      </c>
      <c r="K73" s="10" t="n">
        <v>0</v>
      </c>
      <c r="L73" s="13" t="n">
        <v>-0.2125</v>
      </c>
    </row>
    <row r="74">
      <c r="A74" s="10" t="inlineStr">
        <is>
          <t>PJ-2023-I</t>
        </is>
      </c>
      <c r="B74" s="10" t="inlineStr">
        <is>
          <t>ブレイブフロンティア Remaster</t>
        </is>
      </c>
      <c r="C74" s="10" t="inlineStr">
        <is>
          <t>移植・リマスター</t>
        </is>
      </c>
      <c r="D74" s="10" t="inlineStr">
        <is>
          <t>位置合わせ(MS学習値)</t>
        </is>
      </c>
      <c r="E74" s="12" t="n">
        <v>700</v>
      </c>
      <c r="F74" s="10" t="n">
        <v>18</v>
      </c>
      <c r="G74" s="10" t="n">
        <v>9</v>
      </c>
      <c r="H74" s="21" t="n">
        <v>0.1847</v>
      </c>
      <c r="I74" s="21" t="n">
        <v>0.3278</v>
      </c>
      <c r="J74" s="21" t="n">
        <v>0.0725</v>
      </c>
      <c r="K74" s="10" t="n">
        <v>-5</v>
      </c>
      <c r="L74" s="13" t="n">
        <v>-0.152</v>
      </c>
    </row>
    <row r="75">
      <c r="A75" s="10" t="inlineStr">
        <is>
          <t>PJ-2023-I</t>
        </is>
      </c>
      <c r="B75" s="10" t="inlineStr">
        <is>
          <t>ブレイブフロンティア Remaster</t>
        </is>
      </c>
      <c r="C75" s="10" t="inlineStr">
        <is>
          <t>移植・リマスター</t>
        </is>
      </c>
      <c r="D75" s="10" t="inlineStr">
        <is>
          <t>位置合わせ(MS指定)</t>
        </is>
      </c>
      <c r="E75" s="12" t="n">
        <v>700</v>
      </c>
      <c r="F75" s="10" t="n">
        <v>18</v>
      </c>
      <c r="G75" s="10" t="n">
        <v>9</v>
      </c>
      <c r="H75" s="21" t="n">
        <v>0.0856</v>
      </c>
      <c r="I75" s="21" t="n">
        <v>0.3221</v>
      </c>
      <c r="J75" s="21" t="n">
        <v>0.0419</v>
      </c>
      <c r="K75" s="10" t="n">
        <v>-1</v>
      </c>
      <c r="L75" s="13" t="n">
        <v>-0.1362</v>
      </c>
    </row>
    <row r="76">
      <c r="A76" s="10" t="inlineStr">
        <is>
          <t>PJ-2024-J</t>
        </is>
      </c>
      <c r="B76" s="10" t="inlineStr">
        <is>
          <t>オーヴァーロード・サーガ</t>
        </is>
      </c>
      <c r="C76" s="10" t="inlineStr">
        <is>
          <t>新規タイトル開発</t>
        </is>
      </c>
      <c r="D76" s="10" t="inlineStr">
        <is>
          <t>素朴版</t>
        </is>
      </c>
      <c r="E76" s="12" t="n">
        <v>2200</v>
      </c>
      <c r="F76" s="10" t="n">
        <v>30</v>
      </c>
      <c r="G76" s="10" t="n">
        <v>9</v>
      </c>
      <c r="H76" s="21" t="n">
        <v>0.1848</v>
      </c>
      <c r="I76" s="21" t="n">
        <v>0.2056</v>
      </c>
      <c r="J76" s="21" t="n">
        <v>0.0552</v>
      </c>
      <c r="K76" s="10" t="n">
        <v>-2</v>
      </c>
      <c r="L76" s="13" t="n">
        <v>-0.127</v>
      </c>
    </row>
    <row r="77">
      <c r="A77" s="10" t="inlineStr">
        <is>
          <t>PJ-2024-J</t>
        </is>
      </c>
      <c r="B77" s="10" t="inlineStr">
        <is>
          <t>オーヴァーロード・サーガ</t>
        </is>
      </c>
      <c r="C77" s="10" t="inlineStr">
        <is>
          <t>新規タイトル開発</t>
        </is>
      </c>
      <c r="D77" s="10" t="inlineStr">
        <is>
          <t>位置合わせ(MS学習値)</t>
        </is>
      </c>
      <c r="E77" s="12" t="n">
        <v>2200</v>
      </c>
      <c r="F77" s="10" t="n">
        <v>30</v>
      </c>
      <c r="G77" s="10" t="n">
        <v>9</v>
      </c>
      <c r="H77" s="21" t="n">
        <v>0.1561</v>
      </c>
      <c r="I77" s="21" t="n">
        <v>0.1764</v>
      </c>
      <c r="J77" s="21" t="n">
        <v>0.06370000000000001</v>
      </c>
      <c r="K77" s="10" t="n">
        <v>-9</v>
      </c>
      <c r="L77" s="13" t="n">
        <v>-0.0844</v>
      </c>
    </row>
    <row r="78">
      <c r="A78" s="10" t="inlineStr">
        <is>
          <t>PJ-2024-J</t>
        </is>
      </c>
      <c r="B78" s="10" t="inlineStr">
        <is>
          <t>オーヴァーロード・サーガ</t>
        </is>
      </c>
      <c r="C78" s="10" t="inlineStr">
        <is>
          <t>新規タイトル開発</t>
        </is>
      </c>
      <c r="D78" s="10" t="inlineStr">
        <is>
          <t>位置合わせ(MS指定)</t>
        </is>
      </c>
      <c r="E78" s="12" t="n">
        <v>2200</v>
      </c>
      <c r="F78" s="10" t="n">
        <v>30</v>
      </c>
      <c r="G78" s="10" t="n">
        <v>9</v>
      </c>
      <c r="H78" s="21" t="n">
        <v>0.1166</v>
      </c>
      <c r="I78" s="21" t="n">
        <v>0.1538</v>
      </c>
      <c r="J78" s="21" t="n">
        <v>0.0577</v>
      </c>
      <c r="K78" s="10" t="n">
        <v>0</v>
      </c>
      <c r="L78" s="13" t="n">
        <v>0.0077</v>
      </c>
    </row>
    <row r="80">
      <c r="A80" s="6" t="inlineStr">
        <is>
          <t>■ 月次 予測 vs 実績(全案件・全モード)</t>
        </is>
      </c>
    </row>
    <row r="81">
      <c r="A81" s="5" t="inlineStr">
        <is>
          <t>ピボットテーブルで案件・モードを切り替えて確認できる形にしてある。</t>
        </is>
      </c>
    </row>
    <row r="82">
      <c r="A82" s="8" t="inlineStr">
        <is>
          <t>案件ID</t>
        </is>
      </c>
      <c r="B82" s="8" t="inlineStr">
        <is>
          <t>モード</t>
        </is>
      </c>
      <c r="C82" s="8" t="inlineStr">
        <is>
          <t>月</t>
        </is>
      </c>
      <c r="D82" s="8" t="inlineStr">
        <is>
          <t>月次番号</t>
        </is>
      </c>
      <c r="E82" s="8" t="inlineStr">
        <is>
          <t>予測(時間)</t>
        </is>
      </c>
      <c r="F82" s="8" t="inlineStr">
        <is>
          <t>実績(時間)</t>
        </is>
      </c>
      <c r="G82" s="8" t="inlineStr">
        <is>
          <t>差分(時間)</t>
        </is>
      </c>
      <c r="H82" s="8" t="inlineStr">
        <is>
          <t>予測累積率</t>
        </is>
      </c>
      <c r="I82" s="8" t="inlineStr">
        <is>
          <t>実績累積率</t>
        </is>
      </c>
    </row>
    <row r="83">
      <c r="A83" s="10" t="inlineStr">
        <is>
          <t>PJ-2019-A</t>
        </is>
      </c>
      <c r="B83" s="10" t="inlineStr">
        <is>
          <t>素朴版</t>
        </is>
      </c>
      <c r="C83" s="10" t="inlineStr">
        <is>
          <t>2019-04</t>
        </is>
      </c>
      <c r="D83" s="10" t="n">
        <v>1</v>
      </c>
      <c r="E83" s="12" t="n">
        <v>2474.1</v>
      </c>
      <c r="F83" s="12" t="n">
        <v>2538</v>
      </c>
      <c r="G83" s="12" t="n">
        <v>-63.9</v>
      </c>
      <c r="H83" s="13" t="n">
        <v>0.0064</v>
      </c>
      <c r="I83" s="13" t="n">
        <v>0.0066</v>
      </c>
    </row>
    <row r="84">
      <c r="A84" s="10" t="inlineStr">
        <is>
          <t>PJ-2019-A</t>
        </is>
      </c>
      <c r="B84" s="10" t="inlineStr">
        <is>
          <t>素朴版</t>
        </is>
      </c>
      <c r="C84" s="10" t="inlineStr">
        <is>
          <t>2019-05</t>
        </is>
      </c>
      <c r="D84" s="10" t="n">
        <v>2</v>
      </c>
      <c r="E84" s="12" t="n">
        <v>3088.9</v>
      </c>
      <c r="F84" s="12" t="n">
        <v>4675.3</v>
      </c>
      <c r="G84" s="12" t="n">
        <v>-1586.4</v>
      </c>
      <c r="H84" s="13" t="n">
        <v>0.0145</v>
      </c>
      <c r="I84" s="13" t="n">
        <v>0.0188</v>
      </c>
    </row>
    <row r="85">
      <c r="A85" s="10" t="inlineStr">
        <is>
          <t>PJ-2019-A</t>
        </is>
      </c>
      <c r="B85" s="10" t="inlineStr">
        <is>
          <t>素朴版</t>
        </is>
      </c>
      <c r="C85" s="10" t="inlineStr">
        <is>
          <t>2019-06</t>
        </is>
      </c>
      <c r="D85" s="10" t="n">
        <v>3</v>
      </c>
      <c r="E85" s="12" t="n">
        <v>4212.8</v>
      </c>
      <c r="F85" s="12" t="n">
        <v>5298.1</v>
      </c>
      <c r="G85" s="12" t="n">
        <v>-1085.3</v>
      </c>
      <c r="H85" s="13" t="n">
        <v>0.0255</v>
      </c>
      <c r="I85" s="13" t="n">
        <v>0.0326</v>
      </c>
    </row>
    <row r="86">
      <c r="A86" s="10" t="inlineStr">
        <is>
          <t>PJ-2019-A</t>
        </is>
      </c>
      <c r="B86" s="10" t="inlineStr">
        <is>
          <t>素朴版</t>
        </is>
      </c>
      <c r="C86" s="10" t="inlineStr">
        <is>
          <t>2019-07</t>
        </is>
      </c>
      <c r="D86" s="10" t="n">
        <v>4</v>
      </c>
      <c r="E86" s="12" t="n">
        <v>5189</v>
      </c>
      <c r="F86" s="12" t="n">
        <v>6698.8</v>
      </c>
      <c r="G86" s="12" t="n">
        <v>-1509.8</v>
      </c>
      <c r="H86" s="13" t="n">
        <v>0.039</v>
      </c>
      <c r="I86" s="13" t="n">
        <v>0.05</v>
      </c>
    </row>
    <row r="87">
      <c r="A87" s="10" t="inlineStr">
        <is>
          <t>PJ-2019-A</t>
        </is>
      </c>
      <c r="B87" s="10" t="inlineStr">
        <is>
          <t>素朴版</t>
        </is>
      </c>
      <c r="C87" s="10" t="inlineStr">
        <is>
          <t>2019-08</t>
        </is>
      </c>
      <c r="D87" s="10" t="n">
        <v>5</v>
      </c>
      <c r="E87" s="12" t="n">
        <v>6046.1</v>
      </c>
      <c r="F87" s="12" t="n">
        <v>7476.2</v>
      </c>
      <c r="G87" s="12" t="n">
        <v>-1430.1</v>
      </c>
      <c r="H87" s="13" t="n">
        <v>0.0547</v>
      </c>
      <c r="I87" s="13" t="n">
        <v>0.06950000000000001</v>
      </c>
    </row>
    <row r="88">
      <c r="A88" s="10" t="inlineStr">
        <is>
          <t>PJ-2019-A</t>
        </is>
      </c>
      <c r="B88" s="10" t="inlineStr">
        <is>
          <t>素朴版</t>
        </is>
      </c>
      <c r="C88" s="10" t="inlineStr">
        <is>
          <t>2019-09</t>
        </is>
      </c>
      <c r="D88" s="10" t="n">
        <v>6</v>
      </c>
      <c r="E88" s="12" t="n">
        <v>6477.9</v>
      </c>
      <c r="F88" s="12" t="n">
        <v>8015.3</v>
      </c>
      <c r="G88" s="12" t="n">
        <v>-1537.4</v>
      </c>
      <c r="H88" s="13" t="n">
        <v>0.0716</v>
      </c>
      <c r="I88" s="13" t="n">
        <v>0.09039999999999999</v>
      </c>
    </row>
    <row r="89">
      <c r="A89" s="10" t="inlineStr">
        <is>
          <t>PJ-2019-A</t>
        </is>
      </c>
      <c r="B89" s="10" t="inlineStr">
        <is>
          <t>素朴版</t>
        </is>
      </c>
      <c r="C89" s="10" t="inlineStr">
        <is>
          <t>2019-10</t>
        </is>
      </c>
      <c r="D89" s="10" t="n">
        <v>7</v>
      </c>
      <c r="E89" s="12" t="n">
        <v>7066</v>
      </c>
      <c r="F89" s="12" t="n">
        <v>8202.700000000001</v>
      </c>
      <c r="G89" s="12" t="n">
        <v>-1136.7</v>
      </c>
      <c r="H89" s="13" t="n">
        <v>0.09</v>
      </c>
      <c r="I89" s="13" t="n">
        <v>0.1117</v>
      </c>
    </row>
    <row r="90">
      <c r="A90" s="10" t="inlineStr">
        <is>
          <t>PJ-2019-A</t>
        </is>
      </c>
      <c r="B90" s="10" t="inlineStr">
        <is>
          <t>素朴版</t>
        </is>
      </c>
      <c r="C90" s="10" t="inlineStr">
        <is>
          <t>2019-11</t>
        </is>
      </c>
      <c r="D90" s="10" t="n">
        <v>8</v>
      </c>
      <c r="E90" s="12" t="n">
        <v>7434.4</v>
      </c>
      <c r="F90" s="12" t="n">
        <v>10316.2</v>
      </c>
      <c r="G90" s="12" t="n">
        <v>-2881.8</v>
      </c>
      <c r="H90" s="13" t="n">
        <v>0.1094</v>
      </c>
      <c r="I90" s="13" t="n">
        <v>0.1386</v>
      </c>
    </row>
    <row r="91">
      <c r="A91" s="10" t="inlineStr">
        <is>
          <t>PJ-2019-A</t>
        </is>
      </c>
      <c r="B91" s="10" t="inlineStr">
        <is>
          <t>素朴版</t>
        </is>
      </c>
      <c r="C91" s="10" t="inlineStr">
        <is>
          <t>2019-12</t>
        </is>
      </c>
      <c r="D91" s="10" t="n">
        <v>9</v>
      </c>
      <c r="E91" s="12" t="n">
        <v>8521.799999999999</v>
      </c>
      <c r="F91" s="12" t="n">
        <v>11922.2</v>
      </c>
      <c r="G91" s="12" t="n">
        <v>-3400.4</v>
      </c>
      <c r="H91" s="13" t="n">
        <v>0.1315</v>
      </c>
      <c r="I91" s="13" t="n">
        <v>0.1697</v>
      </c>
    </row>
    <row r="92">
      <c r="A92" s="10" t="inlineStr">
        <is>
          <t>PJ-2019-A</t>
        </is>
      </c>
      <c r="B92" s="10" t="inlineStr">
        <is>
          <t>素朴版</t>
        </is>
      </c>
      <c r="C92" s="10" t="inlineStr">
        <is>
          <t>2020-01</t>
        </is>
      </c>
      <c r="D92" s="10" t="n">
        <v>10</v>
      </c>
      <c r="E92" s="12" t="n">
        <v>9155.799999999999</v>
      </c>
      <c r="F92" s="12" t="n">
        <v>12237.3</v>
      </c>
      <c r="G92" s="12" t="n">
        <v>-3081.5</v>
      </c>
      <c r="H92" s="13" t="n">
        <v>0.1554</v>
      </c>
      <c r="I92" s="13" t="n">
        <v>0.2015</v>
      </c>
    </row>
    <row r="93">
      <c r="A93" s="10" t="inlineStr">
        <is>
          <t>PJ-2019-A</t>
        </is>
      </c>
      <c r="B93" s="10" t="inlineStr">
        <is>
          <t>素朴版</t>
        </is>
      </c>
      <c r="C93" s="10" t="inlineStr">
        <is>
          <t>2020-02</t>
        </is>
      </c>
      <c r="D93" s="10" t="n">
        <v>11</v>
      </c>
      <c r="E93" s="12" t="n">
        <v>9669.200000000001</v>
      </c>
      <c r="F93" s="12" t="n">
        <v>12381.9</v>
      </c>
      <c r="G93" s="12" t="n">
        <v>-2712.7</v>
      </c>
      <c r="H93" s="13" t="n">
        <v>0.1806</v>
      </c>
      <c r="I93" s="13" t="n">
        <v>0.2338</v>
      </c>
    </row>
    <row r="94">
      <c r="A94" s="10" t="inlineStr">
        <is>
          <t>PJ-2019-A</t>
        </is>
      </c>
      <c r="B94" s="10" t="inlineStr">
        <is>
          <t>素朴版</t>
        </is>
      </c>
      <c r="C94" s="10" t="inlineStr">
        <is>
          <t>2020-03</t>
        </is>
      </c>
      <c r="D94" s="10" t="n">
        <v>12</v>
      </c>
      <c r="E94" s="12" t="n">
        <v>11103</v>
      </c>
      <c r="F94" s="12" t="n">
        <v>14033.9</v>
      </c>
      <c r="G94" s="12" t="n">
        <v>-2930.9</v>
      </c>
      <c r="H94" s="13" t="n">
        <v>0.2095</v>
      </c>
      <c r="I94" s="13" t="n">
        <v>0.2703</v>
      </c>
    </row>
    <row r="95">
      <c r="A95" s="10" t="inlineStr">
        <is>
          <t>PJ-2019-A</t>
        </is>
      </c>
      <c r="B95" s="10" t="inlineStr">
        <is>
          <t>素朴版</t>
        </is>
      </c>
      <c r="C95" s="10" t="inlineStr">
        <is>
          <t>2020-04</t>
        </is>
      </c>
      <c r="D95" s="10" t="n">
        <v>13</v>
      </c>
      <c r="E95" s="12" t="n">
        <v>11976.6</v>
      </c>
      <c r="F95" s="12" t="n">
        <v>14602.6</v>
      </c>
      <c r="G95" s="12" t="n">
        <v>-2626</v>
      </c>
      <c r="H95" s="13" t="n">
        <v>0.2407</v>
      </c>
      <c r="I95" s="13" t="n">
        <v>0.3083</v>
      </c>
    </row>
    <row r="96">
      <c r="A96" s="10" t="inlineStr">
        <is>
          <t>PJ-2019-A</t>
        </is>
      </c>
      <c r="B96" s="10" t="inlineStr">
        <is>
          <t>素朴版</t>
        </is>
      </c>
      <c r="C96" s="10" t="inlineStr">
        <is>
          <t>2020-05</t>
        </is>
      </c>
      <c r="D96" s="10" t="n">
        <v>14</v>
      </c>
      <c r="E96" s="12" t="n">
        <v>12927.6</v>
      </c>
      <c r="F96" s="12" t="n">
        <v>18329.3</v>
      </c>
      <c r="G96" s="12" t="n">
        <v>-5401.7</v>
      </c>
      <c r="H96" s="13" t="n">
        <v>0.2743</v>
      </c>
      <c r="I96" s="13" t="n">
        <v>0.3561</v>
      </c>
    </row>
    <row r="97">
      <c r="A97" s="10" t="inlineStr">
        <is>
          <t>PJ-2019-A</t>
        </is>
      </c>
      <c r="B97" s="10" t="inlineStr">
        <is>
          <t>素朴版</t>
        </is>
      </c>
      <c r="C97" s="10" t="inlineStr">
        <is>
          <t>2020-06</t>
        </is>
      </c>
      <c r="D97" s="10" t="n">
        <v>15</v>
      </c>
      <c r="E97" s="12" t="n">
        <v>13285.1</v>
      </c>
      <c r="F97" s="12" t="n">
        <v>20412.9</v>
      </c>
      <c r="G97" s="12" t="n">
        <v>-7127.8</v>
      </c>
      <c r="H97" s="13" t="n">
        <v>0.3089</v>
      </c>
      <c r="I97" s="13" t="n">
        <v>0.4092</v>
      </c>
    </row>
    <row r="98">
      <c r="A98" s="10" t="inlineStr">
        <is>
          <t>PJ-2019-A</t>
        </is>
      </c>
      <c r="B98" s="10" t="inlineStr">
        <is>
          <t>素朴版</t>
        </is>
      </c>
      <c r="C98" s="10" t="inlineStr">
        <is>
          <t>2020-07</t>
        </is>
      </c>
      <c r="D98" s="10" t="n">
        <v>16</v>
      </c>
      <c r="E98" s="12" t="n">
        <v>14601.3</v>
      </c>
      <c r="F98" s="12" t="n">
        <v>15170.4</v>
      </c>
      <c r="G98" s="12" t="n">
        <v>-569.1</v>
      </c>
      <c r="H98" s="13" t="n">
        <v>0.347</v>
      </c>
      <c r="I98" s="13" t="n">
        <v>0.4487</v>
      </c>
    </row>
    <row r="99">
      <c r="A99" s="10" t="inlineStr">
        <is>
          <t>PJ-2019-A</t>
        </is>
      </c>
      <c r="B99" s="10" t="inlineStr">
        <is>
          <t>素朴版</t>
        </is>
      </c>
      <c r="C99" s="10" t="inlineStr">
        <is>
          <t>2020-08</t>
        </is>
      </c>
      <c r="D99" s="10" t="n">
        <v>17</v>
      </c>
      <c r="E99" s="12" t="n">
        <v>14404.7</v>
      </c>
      <c r="F99" s="12" t="n">
        <v>12908.3</v>
      </c>
      <c r="G99" s="12" t="n">
        <v>1496.4</v>
      </c>
      <c r="H99" s="13" t="n">
        <v>0.3845</v>
      </c>
      <c r="I99" s="13" t="n">
        <v>0.4824</v>
      </c>
    </row>
    <row r="100">
      <c r="A100" s="10" t="inlineStr">
        <is>
          <t>PJ-2019-A</t>
        </is>
      </c>
      <c r="B100" s="10" t="inlineStr">
        <is>
          <t>素朴版</t>
        </is>
      </c>
      <c r="C100" s="10" t="inlineStr">
        <is>
          <t>2020-09</t>
        </is>
      </c>
      <c r="D100" s="10" t="n">
        <v>18</v>
      </c>
      <c r="E100" s="12" t="n">
        <v>13029.6</v>
      </c>
      <c r="F100" s="12" t="n">
        <v>10478.9</v>
      </c>
      <c r="G100" s="12" t="n">
        <v>2550.7</v>
      </c>
      <c r="H100" s="13" t="n">
        <v>0.4184</v>
      </c>
      <c r="I100" s="13" t="n">
        <v>0.5097</v>
      </c>
    </row>
    <row r="101">
      <c r="A101" s="10" t="inlineStr">
        <is>
          <t>PJ-2019-A</t>
        </is>
      </c>
      <c r="B101" s="10" t="inlineStr">
        <is>
          <t>素朴版</t>
        </is>
      </c>
      <c r="C101" s="10" t="inlineStr">
        <is>
          <t>2020-10</t>
        </is>
      </c>
      <c r="D101" s="10" t="n">
        <v>19</v>
      </c>
      <c r="E101" s="12" t="n">
        <v>13794.7</v>
      </c>
      <c r="F101" s="12" t="n">
        <v>11317.1</v>
      </c>
      <c r="G101" s="12" t="n">
        <v>2477.6</v>
      </c>
      <c r="H101" s="13" t="n">
        <v>0.4543</v>
      </c>
      <c r="I101" s="13" t="n">
        <v>0.5391</v>
      </c>
    </row>
    <row r="102">
      <c r="A102" s="10" t="inlineStr">
        <is>
          <t>PJ-2019-A</t>
        </is>
      </c>
      <c r="B102" s="10" t="inlineStr">
        <is>
          <t>素朴版</t>
        </is>
      </c>
      <c r="C102" s="10" t="inlineStr">
        <is>
          <t>2020-11</t>
        </is>
      </c>
      <c r="D102" s="10" t="n">
        <v>20</v>
      </c>
      <c r="E102" s="12" t="n">
        <v>13288.2</v>
      </c>
      <c r="F102" s="12" t="n">
        <v>10450.6</v>
      </c>
      <c r="G102" s="12" t="n">
        <v>2837.6</v>
      </c>
      <c r="H102" s="13" t="n">
        <v>0.4889</v>
      </c>
      <c r="I102" s="13" t="n">
        <v>0.5663</v>
      </c>
    </row>
    <row r="103">
      <c r="A103" s="10" t="inlineStr">
        <is>
          <t>PJ-2019-A</t>
        </is>
      </c>
      <c r="B103" s="10" t="inlineStr">
        <is>
          <t>素朴版</t>
        </is>
      </c>
      <c r="C103" s="10" t="inlineStr">
        <is>
          <t>2020-12</t>
        </is>
      </c>
      <c r="D103" s="10" t="n">
        <v>21</v>
      </c>
      <c r="E103" s="12" t="n">
        <v>13727.8</v>
      </c>
      <c r="F103" s="12" t="n">
        <v>9897.5</v>
      </c>
      <c r="G103" s="12" t="n">
        <v>3830.3</v>
      </c>
      <c r="H103" s="13" t="n">
        <v>0.5247000000000001</v>
      </c>
      <c r="I103" s="13" t="n">
        <v>0.5921</v>
      </c>
    </row>
    <row r="104">
      <c r="A104" s="10" t="inlineStr">
        <is>
          <t>PJ-2019-A</t>
        </is>
      </c>
      <c r="B104" s="10" t="inlineStr">
        <is>
          <t>素朴版</t>
        </is>
      </c>
      <c r="C104" s="10" t="inlineStr">
        <is>
          <t>2021-01</t>
        </is>
      </c>
      <c r="D104" s="10" t="n">
        <v>22</v>
      </c>
      <c r="E104" s="12" t="n">
        <v>14384.9</v>
      </c>
      <c r="F104" s="12" t="n">
        <v>10620.7</v>
      </c>
      <c r="G104" s="12" t="n">
        <v>3764.2</v>
      </c>
      <c r="H104" s="13" t="n">
        <v>0.5622</v>
      </c>
      <c r="I104" s="13" t="n">
        <v>0.6198</v>
      </c>
    </row>
    <row r="105">
      <c r="A105" s="10" t="inlineStr">
        <is>
          <t>PJ-2019-A</t>
        </is>
      </c>
      <c r="B105" s="10" t="inlineStr">
        <is>
          <t>素朴版</t>
        </is>
      </c>
      <c r="C105" s="10" t="inlineStr">
        <is>
          <t>2021-02</t>
        </is>
      </c>
      <c r="D105" s="10" t="n">
        <v>23</v>
      </c>
      <c r="E105" s="12" t="n">
        <v>14503.7</v>
      </c>
      <c r="F105" s="12" t="n">
        <v>8526.5</v>
      </c>
      <c r="G105" s="12" t="n">
        <v>5977.2</v>
      </c>
      <c r="H105" s="13" t="n">
        <v>0.5999</v>
      </c>
      <c r="I105" s="13" t="n">
        <v>0.642</v>
      </c>
    </row>
    <row r="106">
      <c r="A106" s="10" t="inlineStr">
        <is>
          <t>PJ-2019-A</t>
        </is>
      </c>
      <c r="B106" s="10" t="inlineStr">
        <is>
          <t>素朴版</t>
        </is>
      </c>
      <c r="C106" s="10" t="inlineStr">
        <is>
          <t>2021-03</t>
        </is>
      </c>
      <c r="D106" s="10" t="n">
        <v>24</v>
      </c>
      <c r="E106" s="12" t="n">
        <v>16123.9</v>
      </c>
      <c r="F106" s="12" t="n">
        <v>10289.3</v>
      </c>
      <c r="G106" s="12" t="n">
        <v>5834.6</v>
      </c>
      <c r="H106" s="13" t="n">
        <v>0.6419</v>
      </c>
      <c r="I106" s="13" t="n">
        <v>0.6688</v>
      </c>
    </row>
    <row r="107">
      <c r="A107" s="10" t="inlineStr">
        <is>
          <t>PJ-2019-A</t>
        </is>
      </c>
      <c r="B107" s="10" t="inlineStr">
        <is>
          <t>素朴版</t>
        </is>
      </c>
      <c r="C107" s="10" t="inlineStr">
        <is>
          <t>2021-04</t>
        </is>
      </c>
      <c r="D107" s="10" t="n">
        <v>25</v>
      </c>
      <c r="E107" s="12" t="n">
        <v>15899.9</v>
      </c>
      <c r="F107" s="12" t="n">
        <v>11054.3</v>
      </c>
      <c r="G107" s="12" t="n">
        <v>4845.6</v>
      </c>
      <c r="H107" s="13" t="n">
        <v>0.6833</v>
      </c>
      <c r="I107" s="13" t="n">
        <v>0.6976</v>
      </c>
    </row>
    <row r="108">
      <c r="A108" s="10" t="inlineStr">
        <is>
          <t>PJ-2019-A</t>
        </is>
      </c>
      <c r="B108" s="10" t="inlineStr">
        <is>
          <t>素朴版</t>
        </is>
      </c>
      <c r="C108" s="10" t="inlineStr">
        <is>
          <t>2021-05</t>
        </is>
      </c>
      <c r="D108" s="10" t="n">
        <v>26</v>
      </c>
      <c r="E108" s="12" t="n">
        <v>17005</v>
      </c>
      <c r="F108" s="12" t="n">
        <v>11631.2</v>
      </c>
      <c r="G108" s="12" t="n">
        <v>5373.8</v>
      </c>
      <c r="H108" s="13" t="n">
        <v>0.7276</v>
      </c>
      <c r="I108" s="13" t="n">
        <v>0.7279</v>
      </c>
    </row>
    <row r="109">
      <c r="A109" s="10" t="inlineStr">
        <is>
          <t>PJ-2019-A</t>
        </is>
      </c>
      <c r="B109" s="10" t="inlineStr">
        <is>
          <t>素朴版</t>
        </is>
      </c>
      <c r="C109" s="10" t="inlineStr">
        <is>
          <t>2021-06</t>
        </is>
      </c>
      <c r="D109" s="10" t="n">
        <v>27</v>
      </c>
      <c r="E109" s="12" t="n">
        <v>16622.6</v>
      </c>
      <c r="F109" s="12" t="n">
        <v>12670.7</v>
      </c>
      <c r="G109" s="12" t="n">
        <v>3951.9</v>
      </c>
      <c r="H109" s="13" t="n">
        <v>0.7709</v>
      </c>
      <c r="I109" s="13" t="n">
        <v>0.7609</v>
      </c>
    </row>
    <row r="110">
      <c r="A110" s="10" t="inlineStr">
        <is>
          <t>PJ-2019-A</t>
        </is>
      </c>
      <c r="B110" s="10" t="inlineStr">
        <is>
          <t>素朴版</t>
        </is>
      </c>
      <c r="C110" s="10" t="inlineStr">
        <is>
          <t>2021-07</t>
        </is>
      </c>
      <c r="D110" s="10" t="n">
        <v>28</v>
      </c>
      <c r="E110" s="12" t="n">
        <v>17887</v>
      </c>
      <c r="F110" s="12" t="n">
        <v>13739.3</v>
      </c>
      <c r="G110" s="12" t="n">
        <v>4147.7</v>
      </c>
      <c r="H110" s="13" t="n">
        <v>0.8175</v>
      </c>
      <c r="I110" s="13" t="n">
        <v>0.7966</v>
      </c>
    </row>
    <row r="111">
      <c r="A111" s="10" t="inlineStr">
        <is>
          <t>PJ-2019-A</t>
        </is>
      </c>
      <c r="B111" s="10" t="inlineStr">
        <is>
          <t>素朴版</t>
        </is>
      </c>
      <c r="C111" s="10" t="inlineStr">
        <is>
          <t>2021-08</t>
        </is>
      </c>
      <c r="D111" s="10" t="n">
        <v>29</v>
      </c>
      <c r="E111" s="12" t="n">
        <v>15607.9</v>
      </c>
      <c r="F111" s="12" t="n">
        <v>18292.4</v>
      </c>
      <c r="G111" s="12" t="n">
        <v>-2684.5</v>
      </c>
      <c r="H111" s="13" t="n">
        <v>0.8581</v>
      </c>
      <c r="I111" s="13" t="n">
        <v>0.8443000000000001</v>
      </c>
    </row>
    <row r="112">
      <c r="A112" s="10" t="inlineStr">
        <is>
          <t>PJ-2019-A</t>
        </is>
      </c>
      <c r="B112" s="10" t="inlineStr">
        <is>
          <t>素朴版</t>
        </is>
      </c>
      <c r="C112" s="10" t="inlineStr">
        <is>
          <t>2021-09</t>
        </is>
      </c>
      <c r="D112" s="10" t="n">
        <v>30</v>
      </c>
      <c r="E112" s="12" t="n">
        <v>13038.1</v>
      </c>
      <c r="F112" s="12" t="n">
        <v>16151.9</v>
      </c>
      <c r="G112" s="12" t="n">
        <v>-3113.8</v>
      </c>
      <c r="H112" s="13" t="n">
        <v>0.8921</v>
      </c>
      <c r="I112" s="13" t="n">
        <v>0.8863</v>
      </c>
    </row>
    <row r="113">
      <c r="A113" s="10" t="inlineStr">
        <is>
          <t>PJ-2019-A</t>
        </is>
      </c>
      <c r="B113" s="10" t="inlineStr">
        <is>
          <t>素朴版</t>
        </is>
      </c>
      <c r="C113" s="10" t="inlineStr">
        <is>
          <t>2021-10</t>
        </is>
      </c>
      <c r="D113" s="10" t="n">
        <v>31</v>
      </c>
      <c r="E113" s="12" t="n">
        <v>11672.1</v>
      </c>
      <c r="F113" s="12" t="n">
        <v>12735.1</v>
      </c>
      <c r="G113" s="12" t="n">
        <v>-1063</v>
      </c>
      <c r="H113" s="13" t="n">
        <v>0.9225</v>
      </c>
      <c r="I113" s="13" t="n">
        <v>0.9195</v>
      </c>
    </row>
    <row r="114">
      <c r="A114" s="10" t="inlineStr">
        <is>
          <t>PJ-2019-A</t>
        </is>
      </c>
      <c r="B114" s="10" t="inlineStr">
        <is>
          <t>素朴版</t>
        </is>
      </c>
      <c r="C114" s="10" t="inlineStr">
        <is>
          <t>2021-11</t>
        </is>
      </c>
      <c r="D114" s="10" t="n">
        <v>32</v>
      </c>
      <c r="E114" s="12" t="n">
        <v>9308.1</v>
      </c>
      <c r="F114" s="12" t="n">
        <v>9755.299999999999</v>
      </c>
      <c r="G114" s="12" t="n">
        <v>-447.2</v>
      </c>
      <c r="H114" s="13" t="n">
        <v>0.9467</v>
      </c>
      <c r="I114" s="13" t="n">
        <v>0.9449</v>
      </c>
    </row>
    <row r="115">
      <c r="A115" s="10" t="inlineStr">
        <is>
          <t>PJ-2019-A</t>
        </is>
      </c>
      <c r="B115" s="10" t="inlineStr">
        <is>
          <t>素朴版</t>
        </is>
      </c>
      <c r="C115" s="10" t="inlineStr">
        <is>
          <t>2021-12</t>
        </is>
      </c>
      <c r="D115" s="10" t="n">
        <v>33</v>
      </c>
      <c r="E115" s="12" t="n">
        <v>7993.4</v>
      </c>
      <c r="F115" s="12" t="n">
        <v>8390.6</v>
      </c>
      <c r="G115" s="12" t="n">
        <v>-397.2</v>
      </c>
      <c r="H115" s="13" t="n">
        <v>0.9676</v>
      </c>
      <c r="I115" s="13" t="n">
        <v>0.9668</v>
      </c>
    </row>
    <row r="116">
      <c r="A116" s="10" t="inlineStr">
        <is>
          <t>PJ-2019-A</t>
        </is>
      </c>
      <c r="B116" s="10" t="inlineStr">
        <is>
          <t>素朴版</t>
        </is>
      </c>
      <c r="C116" s="10" t="inlineStr">
        <is>
          <t>2022-01</t>
        </is>
      </c>
      <c r="D116" s="10" t="n">
        <v>34</v>
      </c>
      <c r="E116" s="12" t="n">
        <v>6601.1</v>
      </c>
      <c r="F116" s="12" t="n">
        <v>7700</v>
      </c>
      <c r="G116" s="12" t="n">
        <v>-1098.9</v>
      </c>
      <c r="H116" s="13" t="n">
        <v>0.9847</v>
      </c>
      <c r="I116" s="13" t="n">
        <v>0.9868</v>
      </c>
    </row>
    <row r="117">
      <c r="A117" s="10" t="inlineStr">
        <is>
          <t>PJ-2019-A</t>
        </is>
      </c>
      <c r="B117" s="10" t="inlineStr">
        <is>
          <t>素朴版</t>
        </is>
      </c>
      <c r="C117" s="10" t="inlineStr">
        <is>
          <t>2022-02</t>
        </is>
      </c>
      <c r="D117" s="10" t="n">
        <v>35</v>
      </c>
      <c r="E117" s="12" t="n">
        <v>3496.2</v>
      </c>
      <c r="F117" s="12" t="n">
        <v>3740.9</v>
      </c>
      <c r="G117" s="12" t="n">
        <v>-244.7</v>
      </c>
      <c r="H117" s="13" t="n">
        <v>0.9938</v>
      </c>
      <c r="I117" s="13" t="n">
        <v>0.9966</v>
      </c>
    </row>
    <row r="118">
      <c r="A118" s="10" t="inlineStr">
        <is>
          <t>PJ-2019-A</t>
        </is>
      </c>
      <c r="B118" s="10" t="inlineStr">
        <is>
          <t>素朴版</t>
        </is>
      </c>
      <c r="C118" s="10" t="inlineStr">
        <is>
          <t>2022-03</t>
        </is>
      </c>
      <c r="D118" s="10" t="n">
        <v>36</v>
      </c>
      <c r="E118" s="12" t="n">
        <v>2361.9</v>
      </c>
      <c r="F118" s="12" t="n">
        <v>1319.2</v>
      </c>
      <c r="G118" s="12" t="n">
        <v>1042.7</v>
      </c>
      <c r="H118" s="13" t="n">
        <v>1</v>
      </c>
      <c r="I118" s="13" t="n">
        <v>1</v>
      </c>
    </row>
    <row r="119">
      <c r="A119" s="10" t="inlineStr">
        <is>
          <t>PJ-2019-A</t>
        </is>
      </c>
      <c r="B119" s="10" t="inlineStr">
        <is>
          <t>位置合わせ(MS学習値)</t>
        </is>
      </c>
      <c r="C119" s="10" t="inlineStr">
        <is>
          <t>2019-04</t>
        </is>
      </c>
      <c r="D119" s="10" t="n">
        <v>1</v>
      </c>
      <c r="E119" s="12" t="n">
        <v>2434</v>
      </c>
      <c r="F119" s="12" t="n">
        <v>2538</v>
      </c>
      <c r="G119" s="12" t="n">
        <v>-104</v>
      </c>
      <c r="H119" s="13" t="n">
        <v>0.0063</v>
      </c>
      <c r="I119" s="13" t="n">
        <v>0.0066</v>
      </c>
    </row>
    <row r="120">
      <c r="A120" s="10" t="inlineStr">
        <is>
          <t>PJ-2019-A</t>
        </is>
      </c>
      <c r="B120" s="10" t="inlineStr">
        <is>
          <t>位置合わせ(MS学習値)</t>
        </is>
      </c>
      <c r="C120" s="10" t="inlineStr">
        <is>
          <t>2019-05</t>
        </is>
      </c>
      <c r="D120" s="10" t="n">
        <v>2</v>
      </c>
      <c r="E120" s="12" t="n">
        <v>3053.1</v>
      </c>
      <c r="F120" s="12" t="n">
        <v>4675.3</v>
      </c>
      <c r="G120" s="12" t="n">
        <v>-1622.2</v>
      </c>
      <c r="H120" s="13" t="n">
        <v>0.0143</v>
      </c>
      <c r="I120" s="13" t="n">
        <v>0.0188</v>
      </c>
    </row>
    <row r="121">
      <c r="A121" s="10" t="inlineStr">
        <is>
          <t>PJ-2019-A</t>
        </is>
      </c>
      <c r="B121" s="10" t="inlineStr">
        <is>
          <t>位置合わせ(MS学習値)</t>
        </is>
      </c>
      <c r="C121" s="10" t="inlineStr">
        <is>
          <t>2019-06</t>
        </is>
      </c>
      <c r="D121" s="10" t="n">
        <v>3</v>
      </c>
      <c r="E121" s="12" t="n">
        <v>3995.7</v>
      </c>
      <c r="F121" s="12" t="n">
        <v>5298.1</v>
      </c>
      <c r="G121" s="12" t="n">
        <v>-1302.4</v>
      </c>
      <c r="H121" s="13" t="n">
        <v>0.0247</v>
      </c>
      <c r="I121" s="13" t="n">
        <v>0.0326</v>
      </c>
    </row>
    <row r="122">
      <c r="A122" s="10" t="inlineStr">
        <is>
          <t>PJ-2019-A</t>
        </is>
      </c>
      <c r="B122" s="10" t="inlineStr">
        <is>
          <t>位置合わせ(MS学習値)</t>
        </is>
      </c>
      <c r="C122" s="10" t="inlineStr">
        <is>
          <t>2019-07</t>
        </is>
      </c>
      <c r="D122" s="10" t="n">
        <v>4</v>
      </c>
      <c r="E122" s="12" t="n">
        <v>5205.3</v>
      </c>
      <c r="F122" s="12" t="n">
        <v>6698.8</v>
      </c>
      <c r="G122" s="12" t="n">
        <v>-1493.5</v>
      </c>
      <c r="H122" s="13" t="n">
        <v>0.0383</v>
      </c>
      <c r="I122" s="13" t="n">
        <v>0.05</v>
      </c>
    </row>
    <row r="123">
      <c r="A123" s="10" t="inlineStr">
        <is>
          <t>PJ-2019-A</t>
        </is>
      </c>
      <c r="B123" s="10" t="inlineStr">
        <is>
          <t>位置合わせ(MS学習値)</t>
        </is>
      </c>
      <c r="C123" s="10" t="inlineStr">
        <is>
          <t>2019-08</t>
        </is>
      </c>
      <c r="D123" s="10" t="n">
        <v>5</v>
      </c>
      <c r="E123" s="12" t="n">
        <v>5793.7</v>
      </c>
      <c r="F123" s="12" t="n">
        <v>7476.2</v>
      </c>
      <c r="G123" s="12" t="n">
        <v>-1682.5</v>
      </c>
      <c r="H123" s="13" t="n">
        <v>0.0533</v>
      </c>
      <c r="I123" s="13" t="n">
        <v>0.06950000000000001</v>
      </c>
    </row>
    <row r="124">
      <c r="A124" s="10" t="inlineStr">
        <is>
          <t>PJ-2019-A</t>
        </is>
      </c>
      <c r="B124" s="10" t="inlineStr">
        <is>
          <t>位置合わせ(MS学習値)</t>
        </is>
      </c>
      <c r="C124" s="10" t="inlineStr">
        <is>
          <t>2019-09</t>
        </is>
      </c>
      <c r="D124" s="10" t="n">
        <v>6</v>
      </c>
      <c r="E124" s="12" t="n">
        <v>6327.7</v>
      </c>
      <c r="F124" s="12" t="n">
        <v>8015.3</v>
      </c>
      <c r="G124" s="12" t="n">
        <v>-1687.6</v>
      </c>
      <c r="H124" s="13" t="n">
        <v>0.0698</v>
      </c>
      <c r="I124" s="13" t="n">
        <v>0.09039999999999999</v>
      </c>
    </row>
    <row r="125">
      <c r="A125" s="10" t="inlineStr">
        <is>
          <t>PJ-2019-A</t>
        </is>
      </c>
      <c r="B125" s="10" t="inlineStr">
        <is>
          <t>位置合わせ(MS学習値)</t>
        </is>
      </c>
      <c r="C125" s="10" t="inlineStr">
        <is>
          <t>2019-10</t>
        </is>
      </c>
      <c r="D125" s="10" t="n">
        <v>7</v>
      </c>
      <c r="E125" s="12" t="n">
        <v>7002.3</v>
      </c>
      <c r="F125" s="12" t="n">
        <v>8202.700000000001</v>
      </c>
      <c r="G125" s="12" t="n">
        <v>-1200.4</v>
      </c>
      <c r="H125" s="13" t="n">
        <v>0.0881</v>
      </c>
      <c r="I125" s="13" t="n">
        <v>0.1117</v>
      </c>
    </row>
    <row r="126">
      <c r="A126" s="10" t="inlineStr">
        <is>
          <t>PJ-2019-A</t>
        </is>
      </c>
      <c r="B126" s="10" t="inlineStr">
        <is>
          <t>位置合わせ(MS学習値)</t>
        </is>
      </c>
      <c r="C126" s="10" t="inlineStr">
        <is>
          <t>2019-11</t>
        </is>
      </c>
      <c r="D126" s="10" t="n">
        <v>8</v>
      </c>
      <c r="E126" s="12" t="n">
        <v>7025.1</v>
      </c>
      <c r="F126" s="12" t="n">
        <v>10316.2</v>
      </c>
      <c r="G126" s="12" t="n">
        <v>-3291.1</v>
      </c>
      <c r="H126" s="13" t="n">
        <v>0.1064</v>
      </c>
      <c r="I126" s="13" t="n">
        <v>0.1386</v>
      </c>
    </row>
    <row r="127">
      <c r="A127" s="10" t="inlineStr">
        <is>
          <t>PJ-2019-A</t>
        </is>
      </c>
      <c r="B127" s="10" t="inlineStr">
        <is>
          <t>位置合わせ(MS学習値)</t>
        </is>
      </c>
      <c r="C127" s="10" t="inlineStr">
        <is>
          <t>2019-12</t>
        </is>
      </c>
      <c r="D127" s="10" t="n">
        <v>9</v>
      </c>
      <c r="E127" s="12" t="n">
        <v>7926.3</v>
      </c>
      <c r="F127" s="12" t="n">
        <v>11922.2</v>
      </c>
      <c r="G127" s="12" t="n">
        <v>-3995.9</v>
      </c>
      <c r="H127" s="13" t="n">
        <v>0.127</v>
      </c>
      <c r="I127" s="13" t="n">
        <v>0.1697</v>
      </c>
    </row>
    <row r="128">
      <c r="A128" s="10" t="inlineStr">
        <is>
          <t>PJ-2019-A</t>
        </is>
      </c>
      <c r="B128" s="10" t="inlineStr">
        <is>
          <t>位置合わせ(MS学習値)</t>
        </is>
      </c>
      <c r="C128" s="10" t="inlineStr">
        <is>
          <t>2020-01</t>
        </is>
      </c>
      <c r="D128" s="10" t="n">
        <v>10</v>
      </c>
      <c r="E128" s="12" t="n">
        <v>8508.700000000001</v>
      </c>
      <c r="F128" s="12" t="n">
        <v>12237.3</v>
      </c>
      <c r="G128" s="12" t="n">
        <v>-3728.6</v>
      </c>
      <c r="H128" s="13" t="n">
        <v>0.1492</v>
      </c>
      <c r="I128" s="13" t="n">
        <v>0.2015</v>
      </c>
    </row>
    <row r="129">
      <c r="A129" s="10" t="inlineStr">
        <is>
          <t>PJ-2019-A</t>
        </is>
      </c>
      <c r="B129" s="10" t="inlineStr">
        <is>
          <t>位置合わせ(MS学習値)</t>
        </is>
      </c>
      <c r="C129" s="10" t="inlineStr">
        <is>
          <t>2020-02</t>
        </is>
      </c>
      <c r="D129" s="10" t="n">
        <v>11</v>
      </c>
      <c r="E129" s="12" t="n">
        <v>9062.799999999999</v>
      </c>
      <c r="F129" s="12" t="n">
        <v>12381.9</v>
      </c>
      <c r="G129" s="12" t="n">
        <v>-3319.1</v>
      </c>
      <c r="H129" s="13" t="n">
        <v>0.1728</v>
      </c>
      <c r="I129" s="13" t="n">
        <v>0.2338</v>
      </c>
    </row>
    <row r="130">
      <c r="A130" s="10" t="inlineStr">
        <is>
          <t>PJ-2019-A</t>
        </is>
      </c>
      <c r="B130" s="10" t="inlineStr">
        <is>
          <t>位置合わせ(MS学習値)</t>
        </is>
      </c>
      <c r="C130" s="10" t="inlineStr">
        <is>
          <t>2020-03</t>
        </is>
      </c>
      <c r="D130" s="10" t="n">
        <v>12</v>
      </c>
      <c r="E130" s="12" t="n">
        <v>10411</v>
      </c>
      <c r="F130" s="12" t="n">
        <v>14033.9</v>
      </c>
      <c r="G130" s="12" t="n">
        <v>-3622.9</v>
      </c>
      <c r="H130" s="13" t="n">
        <v>0.1999</v>
      </c>
      <c r="I130" s="13" t="n">
        <v>0.2703</v>
      </c>
    </row>
    <row r="131">
      <c r="A131" s="10" t="inlineStr">
        <is>
          <t>PJ-2019-A</t>
        </is>
      </c>
      <c r="B131" s="10" t="inlineStr">
        <is>
          <t>位置合わせ(MS学習値)</t>
        </is>
      </c>
      <c r="C131" s="10" t="inlineStr">
        <is>
          <t>2020-04</t>
        </is>
      </c>
      <c r="D131" s="10" t="n">
        <v>13</v>
      </c>
      <c r="E131" s="12" t="n">
        <v>11074.6</v>
      </c>
      <c r="F131" s="12" t="n">
        <v>14602.6</v>
      </c>
      <c r="G131" s="12" t="n">
        <v>-3528</v>
      </c>
      <c r="H131" s="13" t="n">
        <v>0.2287</v>
      </c>
      <c r="I131" s="13" t="n">
        <v>0.3083</v>
      </c>
    </row>
    <row r="132">
      <c r="A132" s="10" t="inlineStr">
        <is>
          <t>PJ-2019-A</t>
        </is>
      </c>
      <c r="B132" s="10" t="inlineStr">
        <is>
          <t>位置合わせ(MS学習値)</t>
        </is>
      </c>
      <c r="C132" s="10" t="inlineStr">
        <is>
          <t>2020-05</t>
        </is>
      </c>
      <c r="D132" s="10" t="n">
        <v>14</v>
      </c>
      <c r="E132" s="12" t="n">
        <v>11765.1</v>
      </c>
      <c r="F132" s="12" t="n">
        <v>18329.3</v>
      </c>
      <c r="G132" s="12" t="n">
        <v>-6564.2</v>
      </c>
      <c r="H132" s="13" t="n">
        <v>0.2593</v>
      </c>
      <c r="I132" s="13" t="n">
        <v>0.3561</v>
      </c>
    </row>
    <row r="133">
      <c r="A133" s="10" t="inlineStr">
        <is>
          <t>PJ-2019-A</t>
        </is>
      </c>
      <c r="B133" s="10" t="inlineStr">
        <is>
          <t>位置合わせ(MS学習値)</t>
        </is>
      </c>
      <c r="C133" s="10" t="inlineStr">
        <is>
          <t>2020-06</t>
        </is>
      </c>
      <c r="D133" s="10" t="n">
        <v>15</v>
      </c>
      <c r="E133" s="12" t="n">
        <v>12473.6</v>
      </c>
      <c r="F133" s="12" t="n">
        <v>20412.9</v>
      </c>
      <c r="G133" s="12" t="n">
        <v>-7939.3</v>
      </c>
      <c r="H133" s="13" t="n">
        <v>0.2918</v>
      </c>
      <c r="I133" s="13" t="n">
        <v>0.4092</v>
      </c>
    </row>
    <row r="134">
      <c r="A134" s="10" t="inlineStr">
        <is>
          <t>PJ-2019-A</t>
        </is>
      </c>
      <c r="B134" s="10" t="inlineStr">
        <is>
          <t>位置合わせ(MS学習値)</t>
        </is>
      </c>
      <c r="C134" s="10" t="inlineStr">
        <is>
          <t>2020-07</t>
        </is>
      </c>
      <c r="D134" s="10" t="n">
        <v>16</v>
      </c>
      <c r="E134" s="12" t="n">
        <v>14567.8</v>
      </c>
      <c r="F134" s="12" t="n">
        <v>15170.4</v>
      </c>
      <c r="G134" s="12" t="n">
        <v>-602.6</v>
      </c>
      <c r="H134" s="13" t="n">
        <v>0.3298</v>
      </c>
      <c r="I134" s="13" t="n">
        <v>0.4487</v>
      </c>
    </row>
    <row r="135">
      <c r="A135" s="10" t="inlineStr">
        <is>
          <t>PJ-2019-A</t>
        </is>
      </c>
      <c r="B135" s="10" t="inlineStr">
        <is>
          <t>位置合わせ(MS学習値)</t>
        </is>
      </c>
      <c r="C135" s="10" t="inlineStr">
        <is>
          <t>2020-08</t>
        </is>
      </c>
      <c r="D135" s="10" t="n">
        <v>17</v>
      </c>
      <c r="E135" s="12" t="n">
        <v>16059.9</v>
      </c>
      <c r="F135" s="12" t="n">
        <v>12908.3</v>
      </c>
      <c r="G135" s="12" t="n">
        <v>3151.6</v>
      </c>
      <c r="H135" s="13" t="n">
        <v>0.3716</v>
      </c>
      <c r="I135" s="13" t="n">
        <v>0.4824</v>
      </c>
    </row>
    <row r="136">
      <c r="A136" s="10" t="inlineStr">
        <is>
          <t>PJ-2019-A</t>
        </is>
      </c>
      <c r="B136" s="10" t="inlineStr">
        <is>
          <t>位置合わせ(MS学習値)</t>
        </is>
      </c>
      <c r="C136" s="10" t="inlineStr">
        <is>
          <t>2020-09</t>
        </is>
      </c>
      <c r="D136" s="10" t="n">
        <v>18</v>
      </c>
      <c r="E136" s="12" t="n">
        <v>16645.9</v>
      </c>
      <c r="F136" s="12" t="n">
        <v>10478.9</v>
      </c>
      <c r="G136" s="12" t="n">
        <v>6167</v>
      </c>
      <c r="H136" s="13" t="n">
        <v>0.4149</v>
      </c>
      <c r="I136" s="13" t="n">
        <v>0.5097</v>
      </c>
    </row>
    <row r="137">
      <c r="A137" s="10" t="inlineStr">
        <is>
          <t>PJ-2019-A</t>
        </is>
      </c>
      <c r="B137" s="10" t="inlineStr">
        <is>
          <t>位置合わせ(MS学習値)</t>
        </is>
      </c>
      <c r="C137" s="10" t="inlineStr">
        <is>
          <t>2020-10</t>
        </is>
      </c>
      <c r="D137" s="10" t="n">
        <v>19</v>
      </c>
      <c r="E137" s="12" t="n">
        <v>17958</v>
      </c>
      <c r="F137" s="12" t="n">
        <v>11317.1</v>
      </c>
      <c r="G137" s="12" t="n">
        <v>6640.9</v>
      </c>
      <c r="H137" s="13" t="n">
        <v>0.4617</v>
      </c>
      <c r="I137" s="13" t="n">
        <v>0.5391</v>
      </c>
    </row>
    <row r="138">
      <c r="A138" s="10" t="inlineStr">
        <is>
          <t>PJ-2019-A</t>
        </is>
      </c>
      <c r="B138" s="10" t="inlineStr">
        <is>
          <t>位置合わせ(MS学習値)</t>
        </is>
      </c>
      <c r="C138" s="10" t="inlineStr">
        <is>
          <t>2020-11</t>
        </is>
      </c>
      <c r="D138" s="10" t="n">
        <v>20</v>
      </c>
      <c r="E138" s="12" t="n">
        <v>15672.2</v>
      </c>
      <c r="F138" s="12" t="n">
        <v>10450.6</v>
      </c>
      <c r="G138" s="12" t="n">
        <v>5221.6</v>
      </c>
      <c r="H138" s="13" t="n">
        <v>0.5024999999999999</v>
      </c>
      <c r="I138" s="13" t="n">
        <v>0.5663</v>
      </c>
    </row>
    <row r="139">
      <c r="A139" s="10" t="inlineStr">
        <is>
          <t>PJ-2019-A</t>
        </is>
      </c>
      <c r="B139" s="10" t="inlineStr">
        <is>
          <t>位置合わせ(MS学習値)</t>
        </is>
      </c>
      <c r="C139" s="10" t="inlineStr">
        <is>
          <t>2020-12</t>
        </is>
      </c>
      <c r="D139" s="10" t="n">
        <v>21</v>
      </c>
      <c r="E139" s="12" t="n">
        <v>15663.6</v>
      </c>
      <c r="F139" s="12" t="n">
        <v>9897.5</v>
      </c>
      <c r="G139" s="12" t="n">
        <v>5766.1</v>
      </c>
      <c r="H139" s="13" t="n">
        <v>0.5433</v>
      </c>
      <c r="I139" s="13" t="n">
        <v>0.5921</v>
      </c>
    </row>
    <row r="140">
      <c r="A140" s="10" t="inlineStr">
        <is>
          <t>PJ-2019-A</t>
        </is>
      </c>
      <c r="B140" s="10" t="inlineStr">
        <is>
          <t>位置合わせ(MS学習値)</t>
        </is>
      </c>
      <c r="C140" s="10" t="inlineStr">
        <is>
          <t>2021-01</t>
        </is>
      </c>
      <c r="D140" s="10" t="n">
        <v>22</v>
      </c>
      <c r="E140" s="12" t="n">
        <v>14245.6</v>
      </c>
      <c r="F140" s="12" t="n">
        <v>10620.7</v>
      </c>
      <c r="G140" s="12" t="n">
        <v>3624.9</v>
      </c>
      <c r="H140" s="13" t="n">
        <v>0.5804</v>
      </c>
      <c r="I140" s="13" t="n">
        <v>0.6198</v>
      </c>
    </row>
    <row r="141">
      <c r="A141" s="10" t="inlineStr">
        <is>
          <t>PJ-2019-A</t>
        </is>
      </c>
      <c r="B141" s="10" t="inlineStr">
        <is>
          <t>位置合わせ(MS学習値)</t>
        </is>
      </c>
      <c r="C141" s="10" t="inlineStr">
        <is>
          <t>2021-02</t>
        </is>
      </c>
      <c r="D141" s="10" t="n">
        <v>23</v>
      </c>
      <c r="E141" s="12" t="n">
        <v>12467.8</v>
      </c>
      <c r="F141" s="12" t="n">
        <v>8526.5</v>
      </c>
      <c r="G141" s="12" t="n">
        <v>3941.3</v>
      </c>
      <c r="H141" s="13" t="n">
        <v>0.6129</v>
      </c>
      <c r="I141" s="13" t="n">
        <v>0.642</v>
      </c>
    </row>
    <row r="142">
      <c r="A142" s="10" t="inlineStr">
        <is>
          <t>PJ-2019-A</t>
        </is>
      </c>
      <c r="B142" s="10" t="inlineStr">
        <is>
          <t>位置合わせ(MS学習値)</t>
        </is>
      </c>
      <c r="C142" s="10" t="inlineStr">
        <is>
          <t>2021-03</t>
        </is>
      </c>
      <c r="D142" s="10" t="n">
        <v>24</v>
      </c>
      <c r="E142" s="12" t="n">
        <v>13894.7</v>
      </c>
      <c r="F142" s="12" t="n">
        <v>10289.3</v>
      </c>
      <c r="G142" s="12" t="n">
        <v>3605.4</v>
      </c>
      <c r="H142" s="13" t="n">
        <v>0.6491</v>
      </c>
      <c r="I142" s="13" t="n">
        <v>0.6688</v>
      </c>
    </row>
    <row r="143">
      <c r="A143" s="10" t="inlineStr">
        <is>
          <t>PJ-2019-A</t>
        </is>
      </c>
      <c r="B143" s="10" t="inlineStr">
        <is>
          <t>位置合わせ(MS学習値)</t>
        </is>
      </c>
      <c r="C143" s="10" t="inlineStr">
        <is>
          <t>2021-04</t>
        </is>
      </c>
      <c r="D143" s="10" t="n">
        <v>25</v>
      </c>
      <c r="E143" s="12" t="n">
        <v>14304.6</v>
      </c>
      <c r="F143" s="12" t="n">
        <v>11054.3</v>
      </c>
      <c r="G143" s="12" t="n">
        <v>3250.3</v>
      </c>
      <c r="H143" s="13" t="n">
        <v>0.6863</v>
      </c>
      <c r="I143" s="13" t="n">
        <v>0.6976</v>
      </c>
    </row>
    <row r="144">
      <c r="A144" s="10" t="inlineStr">
        <is>
          <t>PJ-2019-A</t>
        </is>
      </c>
      <c r="B144" s="10" t="inlineStr">
        <is>
          <t>位置合わせ(MS学習値)</t>
        </is>
      </c>
      <c r="C144" s="10" t="inlineStr">
        <is>
          <t>2021-05</t>
        </is>
      </c>
      <c r="D144" s="10" t="n">
        <v>26</v>
      </c>
      <c r="E144" s="12" t="n">
        <v>15726.4</v>
      </c>
      <c r="F144" s="12" t="n">
        <v>11631.2</v>
      </c>
      <c r="G144" s="12" t="n">
        <v>4095.2</v>
      </c>
      <c r="H144" s="13" t="n">
        <v>0.7272999999999999</v>
      </c>
      <c r="I144" s="13" t="n">
        <v>0.7279</v>
      </c>
    </row>
    <row r="145">
      <c r="A145" s="10" t="inlineStr">
        <is>
          <t>PJ-2019-A</t>
        </is>
      </c>
      <c r="B145" s="10" t="inlineStr">
        <is>
          <t>位置合わせ(MS学習値)</t>
        </is>
      </c>
      <c r="C145" s="10" t="inlineStr">
        <is>
          <t>2021-06</t>
        </is>
      </c>
      <c r="D145" s="10" t="n">
        <v>27</v>
      </c>
      <c r="E145" s="12" t="n">
        <v>17144</v>
      </c>
      <c r="F145" s="12" t="n">
        <v>12670.7</v>
      </c>
      <c r="G145" s="12" t="n">
        <v>4473.3</v>
      </c>
      <c r="H145" s="13" t="n">
        <v>0.7719</v>
      </c>
      <c r="I145" s="13" t="n">
        <v>0.7609</v>
      </c>
    </row>
    <row r="146">
      <c r="A146" s="10" t="inlineStr">
        <is>
          <t>PJ-2019-A</t>
        </is>
      </c>
      <c r="B146" s="10" t="inlineStr">
        <is>
          <t>位置合わせ(MS学習値)</t>
        </is>
      </c>
      <c r="C146" s="10" t="inlineStr">
        <is>
          <t>2021-07</t>
        </is>
      </c>
      <c r="D146" s="10" t="n">
        <v>28</v>
      </c>
      <c r="E146" s="12" t="n">
        <v>18187.5</v>
      </c>
      <c r="F146" s="12" t="n">
        <v>13739.3</v>
      </c>
      <c r="G146" s="12" t="n">
        <v>4448.2</v>
      </c>
      <c r="H146" s="13" t="n">
        <v>0.8193</v>
      </c>
      <c r="I146" s="13" t="n">
        <v>0.7966</v>
      </c>
    </row>
    <row r="147">
      <c r="A147" s="10" t="inlineStr">
        <is>
          <t>PJ-2019-A</t>
        </is>
      </c>
      <c r="B147" s="10" t="inlineStr">
        <is>
          <t>位置合わせ(MS学習値)</t>
        </is>
      </c>
      <c r="C147" s="10" t="inlineStr">
        <is>
          <t>2021-08</t>
        </is>
      </c>
      <c r="D147" s="10" t="n">
        <v>29</v>
      </c>
      <c r="E147" s="12" t="n">
        <v>17242.8</v>
      </c>
      <c r="F147" s="12" t="n">
        <v>18292.4</v>
      </c>
      <c r="G147" s="12" t="n">
        <v>-1049.6</v>
      </c>
      <c r="H147" s="13" t="n">
        <v>0.8642</v>
      </c>
      <c r="I147" s="13" t="n">
        <v>0.8443000000000001</v>
      </c>
    </row>
    <row r="148">
      <c r="A148" s="10" t="inlineStr">
        <is>
          <t>PJ-2019-A</t>
        </is>
      </c>
      <c r="B148" s="10" t="inlineStr">
        <is>
          <t>位置合わせ(MS学習値)</t>
        </is>
      </c>
      <c r="C148" s="10" t="inlineStr">
        <is>
          <t>2021-09</t>
        </is>
      </c>
      <c r="D148" s="10" t="n">
        <v>30</v>
      </c>
      <c r="E148" s="12" t="n">
        <v>13369.4</v>
      </c>
      <c r="F148" s="12" t="n">
        <v>16151.9</v>
      </c>
      <c r="G148" s="12" t="n">
        <v>-2782.5</v>
      </c>
      <c r="H148" s="13" t="n">
        <v>0.899</v>
      </c>
      <c r="I148" s="13" t="n">
        <v>0.8863</v>
      </c>
    </row>
    <row r="149">
      <c r="A149" s="10" t="inlineStr">
        <is>
          <t>PJ-2019-A</t>
        </is>
      </c>
      <c r="B149" s="10" t="inlineStr">
        <is>
          <t>位置合わせ(MS学習値)</t>
        </is>
      </c>
      <c r="C149" s="10" t="inlineStr">
        <is>
          <t>2021-10</t>
        </is>
      </c>
      <c r="D149" s="10" t="n">
        <v>31</v>
      </c>
      <c r="E149" s="12" t="n">
        <v>10446.4</v>
      </c>
      <c r="F149" s="12" t="n">
        <v>12735.1</v>
      </c>
      <c r="G149" s="12" t="n">
        <v>-2288.7</v>
      </c>
      <c r="H149" s="13" t="n">
        <v>0.9262</v>
      </c>
      <c r="I149" s="13" t="n">
        <v>0.9195</v>
      </c>
    </row>
    <row r="150">
      <c r="A150" s="10" t="inlineStr">
        <is>
          <t>PJ-2019-A</t>
        </is>
      </c>
      <c r="B150" s="10" t="inlineStr">
        <is>
          <t>位置合わせ(MS学習値)</t>
        </is>
      </c>
      <c r="C150" s="10" t="inlineStr">
        <is>
          <t>2021-11</t>
        </is>
      </c>
      <c r="D150" s="10" t="n">
        <v>32</v>
      </c>
      <c r="E150" s="12" t="n">
        <v>8796</v>
      </c>
      <c r="F150" s="12" t="n">
        <v>9755.299999999999</v>
      </c>
      <c r="G150" s="12" t="n">
        <v>-959.3</v>
      </c>
      <c r="H150" s="13" t="n">
        <v>0.9491000000000001</v>
      </c>
      <c r="I150" s="13" t="n">
        <v>0.9449</v>
      </c>
    </row>
    <row r="151">
      <c r="A151" s="10" t="inlineStr">
        <is>
          <t>PJ-2019-A</t>
        </is>
      </c>
      <c r="B151" s="10" t="inlineStr">
        <is>
          <t>位置合わせ(MS学習値)</t>
        </is>
      </c>
      <c r="C151" s="10" t="inlineStr">
        <is>
          <t>2021-12</t>
        </is>
      </c>
      <c r="D151" s="10" t="n">
        <v>33</v>
      </c>
      <c r="E151" s="12" t="n">
        <v>7964.8</v>
      </c>
      <c r="F151" s="12" t="n">
        <v>8390.6</v>
      </c>
      <c r="G151" s="12" t="n">
        <v>-425.8</v>
      </c>
      <c r="H151" s="13" t="n">
        <v>0.9699</v>
      </c>
      <c r="I151" s="13" t="n">
        <v>0.9668</v>
      </c>
    </row>
    <row r="152">
      <c r="A152" s="10" t="inlineStr">
        <is>
          <t>PJ-2019-A</t>
        </is>
      </c>
      <c r="B152" s="10" t="inlineStr">
        <is>
          <t>位置合わせ(MS学習値)</t>
        </is>
      </c>
      <c r="C152" s="10" t="inlineStr">
        <is>
          <t>2022-01</t>
        </is>
      </c>
      <c r="D152" s="10" t="n">
        <v>34</v>
      </c>
      <c r="E152" s="12" t="n">
        <v>6345.4</v>
      </c>
      <c r="F152" s="12" t="n">
        <v>7700</v>
      </c>
      <c r="G152" s="12" t="n">
        <v>-1354.6</v>
      </c>
      <c r="H152" s="13" t="n">
        <v>0.9864000000000001</v>
      </c>
      <c r="I152" s="13" t="n">
        <v>0.9868</v>
      </c>
    </row>
    <row r="153">
      <c r="A153" s="10" t="inlineStr">
        <is>
          <t>PJ-2019-A</t>
        </is>
      </c>
      <c r="B153" s="10" t="inlineStr">
        <is>
          <t>位置合わせ(MS学習値)</t>
        </is>
      </c>
      <c r="C153" s="10" t="inlineStr">
        <is>
          <t>2022-02</t>
        </is>
      </c>
      <c r="D153" s="10" t="n">
        <v>35</v>
      </c>
      <c r="E153" s="12" t="n">
        <v>3038.4</v>
      </c>
      <c r="F153" s="12" t="n">
        <v>3740.9</v>
      </c>
      <c r="G153" s="12" t="n">
        <v>-702.5</v>
      </c>
      <c r="H153" s="13" t="n">
        <v>0.9943</v>
      </c>
      <c r="I153" s="13" t="n">
        <v>0.9966</v>
      </c>
    </row>
    <row r="154">
      <c r="A154" s="10" t="inlineStr">
        <is>
          <t>PJ-2019-A</t>
        </is>
      </c>
      <c r="B154" s="10" t="inlineStr">
        <is>
          <t>位置合わせ(MS学習値)</t>
        </is>
      </c>
      <c r="C154" s="10" t="inlineStr">
        <is>
          <t>2022-03</t>
        </is>
      </c>
      <c r="D154" s="10" t="n">
        <v>36</v>
      </c>
      <c r="E154" s="12" t="n">
        <v>2180.7</v>
      </c>
      <c r="F154" s="12" t="n">
        <v>1319.2</v>
      </c>
      <c r="G154" s="12" t="n">
        <v>861.5</v>
      </c>
      <c r="H154" s="13" t="n">
        <v>1</v>
      </c>
      <c r="I154" s="13" t="n">
        <v>1</v>
      </c>
    </row>
    <row r="155">
      <c r="A155" s="10" t="inlineStr">
        <is>
          <t>PJ-2019-A</t>
        </is>
      </c>
      <c r="B155" s="10" t="inlineStr">
        <is>
          <t>位置合わせ(MS指定)</t>
        </is>
      </c>
      <c r="C155" s="10" t="inlineStr">
        <is>
          <t>2019-04</t>
        </is>
      </c>
      <c r="D155" s="10" t="n">
        <v>1</v>
      </c>
      <c r="E155" s="12" t="n">
        <v>2881.7</v>
      </c>
      <c r="F155" s="12" t="n">
        <v>2538</v>
      </c>
      <c r="G155" s="12" t="n">
        <v>343.7</v>
      </c>
      <c r="H155" s="13" t="n">
        <v>0.0075</v>
      </c>
      <c r="I155" s="13" t="n">
        <v>0.0066</v>
      </c>
    </row>
    <row r="156">
      <c r="A156" s="10" t="inlineStr">
        <is>
          <t>PJ-2019-A</t>
        </is>
      </c>
      <c r="B156" s="10" t="inlineStr">
        <is>
          <t>位置合わせ(MS指定)</t>
        </is>
      </c>
      <c r="C156" s="10" t="inlineStr">
        <is>
          <t>2019-05</t>
        </is>
      </c>
      <c r="D156" s="10" t="n">
        <v>2</v>
      </c>
      <c r="E156" s="12" t="n">
        <v>3923.8</v>
      </c>
      <c r="F156" s="12" t="n">
        <v>4675.3</v>
      </c>
      <c r="G156" s="12" t="n">
        <v>-751.5</v>
      </c>
      <c r="H156" s="13" t="n">
        <v>0.0177</v>
      </c>
      <c r="I156" s="13" t="n">
        <v>0.0188</v>
      </c>
    </row>
    <row r="157">
      <c r="A157" s="10" t="inlineStr">
        <is>
          <t>PJ-2019-A</t>
        </is>
      </c>
      <c r="B157" s="10" t="inlineStr">
        <is>
          <t>位置合わせ(MS指定)</t>
        </is>
      </c>
      <c r="C157" s="10" t="inlineStr">
        <is>
          <t>2019-06</t>
        </is>
      </c>
      <c r="D157" s="10" t="n">
        <v>3</v>
      </c>
      <c r="E157" s="12" t="n">
        <v>5338.2</v>
      </c>
      <c r="F157" s="12" t="n">
        <v>5298.1</v>
      </c>
      <c r="G157" s="12" t="n">
        <v>40.1</v>
      </c>
      <c r="H157" s="13" t="n">
        <v>0.0316</v>
      </c>
      <c r="I157" s="13" t="n">
        <v>0.0326</v>
      </c>
    </row>
    <row r="158">
      <c r="A158" s="10" t="inlineStr">
        <is>
          <t>PJ-2019-A</t>
        </is>
      </c>
      <c r="B158" s="10" t="inlineStr">
        <is>
          <t>位置合わせ(MS指定)</t>
        </is>
      </c>
      <c r="C158" s="10" t="inlineStr">
        <is>
          <t>2019-07</t>
        </is>
      </c>
      <c r="D158" s="10" t="n">
        <v>4</v>
      </c>
      <c r="E158" s="12" t="n">
        <v>6537.5</v>
      </c>
      <c r="F158" s="12" t="n">
        <v>6698.8</v>
      </c>
      <c r="G158" s="12" t="n">
        <v>-161.3</v>
      </c>
      <c r="H158" s="13" t="n">
        <v>0.0487</v>
      </c>
      <c r="I158" s="13" t="n">
        <v>0.05</v>
      </c>
    </row>
    <row r="159">
      <c r="A159" s="10" t="inlineStr">
        <is>
          <t>PJ-2019-A</t>
        </is>
      </c>
      <c r="B159" s="10" t="inlineStr">
        <is>
          <t>位置合わせ(MS指定)</t>
        </is>
      </c>
      <c r="C159" s="10" t="inlineStr">
        <is>
          <t>2019-08</t>
        </is>
      </c>
      <c r="D159" s="10" t="n">
        <v>5</v>
      </c>
      <c r="E159" s="12" t="n">
        <v>7640.6</v>
      </c>
      <c r="F159" s="12" t="n">
        <v>7476.2</v>
      </c>
      <c r="G159" s="12" t="n">
        <v>164.4</v>
      </c>
      <c r="H159" s="13" t="n">
        <v>0.06850000000000001</v>
      </c>
      <c r="I159" s="13" t="n">
        <v>0.06950000000000001</v>
      </c>
    </row>
    <row r="160">
      <c r="A160" s="10" t="inlineStr">
        <is>
          <t>PJ-2019-A</t>
        </is>
      </c>
      <c r="B160" s="10" t="inlineStr">
        <is>
          <t>位置合わせ(MS指定)</t>
        </is>
      </c>
      <c r="C160" s="10" t="inlineStr">
        <is>
          <t>2019-09</t>
        </is>
      </c>
      <c r="D160" s="10" t="n">
        <v>6</v>
      </c>
      <c r="E160" s="12" t="n">
        <v>7931</v>
      </c>
      <c r="F160" s="12" t="n">
        <v>8015.3</v>
      </c>
      <c r="G160" s="12" t="n">
        <v>-84.3</v>
      </c>
      <c r="H160" s="13" t="n">
        <v>0.0892</v>
      </c>
      <c r="I160" s="13" t="n">
        <v>0.09039999999999999</v>
      </c>
    </row>
    <row r="161">
      <c r="A161" s="10" t="inlineStr">
        <is>
          <t>PJ-2019-A</t>
        </is>
      </c>
      <c r="B161" s="10" t="inlineStr">
        <is>
          <t>位置合わせ(MS指定)</t>
        </is>
      </c>
      <c r="C161" s="10" t="inlineStr">
        <is>
          <t>2019-10</t>
        </is>
      </c>
      <c r="D161" s="10" t="n">
        <v>7</v>
      </c>
      <c r="E161" s="12" t="n">
        <v>8719.700000000001</v>
      </c>
      <c r="F161" s="12" t="n">
        <v>8202.700000000001</v>
      </c>
      <c r="G161" s="12" t="n">
        <v>517</v>
      </c>
      <c r="H161" s="13" t="n">
        <v>0.1119</v>
      </c>
      <c r="I161" s="13" t="n">
        <v>0.1117</v>
      </c>
    </row>
    <row r="162">
      <c r="A162" s="10" t="inlineStr">
        <is>
          <t>PJ-2019-A</t>
        </is>
      </c>
      <c r="B162" s="10" t="inlineStr">
        <is>
          <t>位置合わせ(MS指定)</t>
        </is>
      </c>
      <c r="C162" s="10" t="inlineStr">
        <is>
          <t>2019-11</t>
        </is>
      </c>
      <c r="D162" s="10" t="n">
        <v>8</v>
      </c>
      <c r="E162" s="12" t="n">
        <v>9233.9</v>
      </c>
      <c r="F162" s="12" t="n">
        <v>10316.2</v>
      </c>
      <c r="G162" s="12" t="n">
        <v>-1082.3</v>
      </c>
      <c r="H162" s="13" t="n">
        <v>0.136</v>
      </c>
      <c r="I162" s="13" t="n">
        <v>0.1386</v>
      </c>
    </row>
    <row r="163">
      <c r="A163" s="10" t="inlineStr">
        <is>
          <t>PJ-2019-A</t>
        </is>
      </c>
      <c r="B163" s="10" t="inlineStr">
        <is>
          <t>位置合わせ(MS指定)</t>
        </is>
      </c>
      <c r="C163" s="10" t="inlineStr">
        <is>
          <t>2019-12</t>
        </is>
      </c>
      <c r="D163" s="10" t="n">
        <v>9</v>
      </c>
      <c r="E163" s="12" t="n">
        <v>10827</v>
      </c>
      <c r="F163" s="12" t="n">
        <v>11922.2</v>
      </c>
      <c r="G163" s="12" t="n">
        <v>-1095.2</v>
      </c>
      <c r="H163" s="13" t="n">
        <v>0.1642</v>
      </c>
      <c r="I163" s="13" t="n">
        <v>0.1697</v>
      </c>
    </row>
    <row r="164">
      <c r="A164" s="10" t="inlineStr">
        <is>
          <t>PJ-2019-A</t>
        </is>
      </c>
      <c r="B164" s="10" t="inlineStr">
        <is>
          <t>位置合わせ(MS指定)</t>
        </is>
      </c>
      <c r="C164" s="10" t="inlineStr">
        <is>
          <t>2020-01</t>
        </is>
      </c>
      <c r="D164" s="10" t="n">
        <v>10</v>
      </c>
      <c r="E164" s="12" t="n">
        <v>11936.5</v>
      </c>
      <c r="F164" s="12" t="n">
        <v>12237.3</v>
      </c>
      <c r="G164" s="12" t="n">
        <v>-300.8</v>
      </c>
      <c r="H164" s="13" t="n">
        <v>0.1952</v>
      </c>
      <c r="I164" s="13" t="n">
        <v>0.2015</v>
      </c>
    </row>
    <row r="165">
      <c r="A165" s="10" t="inlineStr">
        <is>
          <t>PJ-2019-A</t>
        </is>
      </c>
      <c r="B165" s="10" t="inlineStr">
        <is>
          <t>位置合わせ(MS指定)</t>
        </is>
      </c>
      <c r="C165" s="10" t="inlineStr">
        <is>
          <t>2020-02</t>
        </is>
      </c>
      <c r="D165" s="10" t="n">
        <v>11</v>
      </c>
      <c r="E165" s="12" t="n">
        <v>12545.2</v>
      </c>
      <c r="F165" s="12" t="n">
        <v>12381.9</v>
      </c>
      <c r="G165" s="12" t="n">
        <v>163.3</v>
      </c>
      <c r="H165" s="13" t="n">
        <v>0.2279</v>
      </c>
      <c r="I165" s="13" t="n">
        <v>0.2338</v>
      </c>
    </row>
    <row r="166">
      <c r="A166" s="10" t="inlineStr">
        <is>
          <t>PJ-2019-A</t>
        </is>
      </c>
      <c r="B166" s="10" t="inlineStr">
        <is>
          <t>位置合わせ(MS指定)</t>
        </is>
      </c>
      <c r="C166" s="10" t="inlineStr">
        <is>
          <t>2020-03</t>
        </is>
      </c>
      <c r="D166" s="10" t="n">
        <v>12</v>
      </c>
      <c r="E166" s="12" t="n">
        <v>14071.5</v>
      </c>
      <c r="F166" s="12" t="n">
        <v>14033.9</v>
      </c>
      <c r="G166" s="12" t="n">
        <v>37.6</v>
      </c>
      <c r="H166" s="13" t="n">
        <v>0.2646</v>
      </c>
      <c r="I166" s="13" t="n">
        <v>0.2703</v>
      </c>
    </row>
    <row r="167">
      <c r="A167" s="10" t="inlineStr">
        <is>
          <t>PJ-2019-A</t>
        </is>
      </c>
      <c r="B167" s="10" t="inlineStr">
        <is>
          <t>位置合わせ(MS指定)</t>
        </is>
      </c>
      <c r="C167" s="10" t="inlineStr">
        <is>
          <t>2020-04</t>
        </is>
      </c>
      <c r="D167" s="10" t="n">
        <v>13</v>
      </c>
      <c r="E167" s="12" t="n">
        <v>15154.8</v>
      </c>
      <c r="F167" s="12" t="n">
        <v>14602.6</v>
      </c>
      <c r="G167" s="12" t="n">
        <v>552.2</v>
      </c>
      <c r="H167" s="13" t="n">
        <v>0.304</v>
      </c>
      <c r="I167" s="13" t="n">
        <v>0.3083</v>
      </c>
    </row>
    <row r="168">
      <c r="A168" s="10" t="inlineStr">
        <is>
          <t>PJ-2019-A</t>
        </is>
      </c>
      <c r="B168" s="10" t="inlineStr">
        <is>
          <t>位置合わせ(MS指定)</t>
        </is>
      </c>
      <c r="C168" s="10" t="inlineStr">
        <is>
          <t>2020-05</t>
        </is>
      </c>
      <c r="D168" s="10" t="n">
        <v>14</v>
      </c>
      <c r="E168" s="12" t="n">
        <v>17740</v>
      </c>
      <c r="F168" s="12" t="n">
        <v>18329.3</v>
      </c>
      <c r="G168" s="12" t="n">
        <v>-589.3</v>
      </c>
      <c r="H168" s="13" t="n">
        <v>0.3502</v>
      </c>
      <c r="I168" s="13" t="n">
        <v>0.3561</v>
      </c>
    </row>
    <row r="169">
      <c r="A169" s="10" t="inlineStr">
        <is>
          <t>PJ-2019-A</t>
        </is>
      </c>
      <c r="B169" s="10" t="inlineStr">
        <is>
          <t>位置合わせ(MS指定)</t>
        </is>
      </c>
      <c r="C169" s="10" t="inlineStr">
        <is>
          <t>2020-06</t>
        </is>
      </c>
      <c r="D169" s="10" t="n">
        <v>15</v>
      </c>
      <c r="E169" s="12" t="n">
        <v>19467.4</v>
      </c>
      <c r="F169" s="12" t="n">
        <v>20412.9</v>
      </c>
      <c r="G169" s="12" t="n">
        <v>-945.5</v>
      </c>
      <c r="H169" s="13" t="n">
        <v>0.4009</v>
      </c>
      <c r="I169" s="13" t="n">
        <v>0.4092</v>
      </c>
    </row>
    <row r="170">
      <c r="A170" s="10" t="inlineStr">
        <is>
          <t>PJ-2019-A</t>
        </is>
      </c>
      <c r="B170" s="10" t="inlineStr">
        <is>
          <t>位置合わせ(MS指定)</t>
        </is>
      </c>
      <c r="C170" s="10" t="inlineStr">
        <is>
          <t>2020-07</t>
        </is>
      </c>
      <c r="D170" s="10" t="n">
        <v>16</v>
      </c>
      <c r="E170" s="12" t="n">
        <v>15948.4</v>
      </c>
      <c r="F170" s="12" t="n">
        <v>15170.4</v>
      </c>
      <c r="G170" s="12" t="n">
        <v>778</v>
      </c>
      <c r="H170" s="13" t="n">
        <v>0.4425</v>
      </c>
      <c r="I170" s="13" t="n">
        <v>0.4487</v>
      </c>
    </row>
    <row r="171">
      <c r="A171" s="10" t="inlineStr">
        <is>
          <t>PJ-2019-A</t>
        </is>
      </c>
      <c r="B171" s="10" t="inlineStr">
        <is>
          <t>位置合わせ(MS指定)</t>
        </is>
      </c>
      <c r="C171" s="10" t="inlineStr">
        <is>
          <t>2020-08</t>
        </is>
      </c>
      <c r="D171" s="10" t="n">
        <v>17</v>
      </c>
      <c r="E171" s="12" t="n">
        <v>12196.2</v>
      </c>
      <c r="F171" s="12" t="n">
        <v>12908.3</v>
      </c>
      <c r="G171" s="12" t="n">
        <v>-712.1</v>
      </c>
      <c r="H171" s="13" t="n">
        <v>0.4742</v>
      </c>
      <c r="I171" s="13" t="n">
        <v>0.4824</v>
      </c>
    </row>
    <row r="172">
      <c r="A172" s="10" t="inlineStr">
        <is>
          <t>PJ-2019-A</t>
        </is>
      </c>
      <c r="B172" s="10" t="inlineStr">
        <is>
          <t>位置合わせ(MS指定)</t>
        </is>
      </c>
      <c r="C172" s="10" t="inlineStr">
        <is>
          <t>2020-09</t>
        </is>
      </c>
      <c r="D172" s="10" t="n">
        <v>18</v>
      </c>
      <c r="E172" s="12" t="n">
        <v>11430.6</v>
      </c>
      <c r="F172" s="12" t="n">
        <v>10478.9</v>
      </c>
      <c r="G172" s="12" t="n">
        <v>951.7</v>
      </c>
      <c r="H172" s="13" t="n">
        <v>0.504</v>
      </c>
      <c r="I172" s="13" t="n">
        <v>0.5097</v>
      </c>
    </row>
    <row r="173">
      <c r="A173" s="10" t="inlineStr">
        <is>
          <t>PJ-2019-A</t>
        </is>
      </c>
      <c r="B173" s="10" t="inlineStr">
        <is>
          <t>位置合わせ(MS指定)</t>
        </is>
      </c>
      <c r="C173" s="10" t="inlineStr">
        <is>
          <t>2020-10</t>
        </is>
      </c>
      <c r="D173" s="10" t="n">
        <v>19</v>
      </c>
      <c r="E173" s="12" t="n">
        <v>11543.3</v>
      </c>
      <c r="F173" s="12" t="n">
        <v>11317.1</v>
      </c>
      <c r="G173" s="12" t="n">
        <v>226.2</v>
      </c>
      <c r="H173" s="13" t="n">
        <v>0.5341</v>
      </c>
      <c r="I173" s="13" t="n">
        <v>0.5391</v>
      </c>
    </row>
    <row r="174">
      <c r="A174" s="10" t="inlineStr">
        <is>
          <t>PJ-2019-A</t>
        </is>
      </c>
      <c r="B174" s="10" t="inlineStr">
        <is>
          <t>位置合わせ(MS指定)</t>
        </is>
      </c>
      <c r="C174" s="10" t="inlineStr">
        <is>
          <t>2020-11</t>
        </is>
      </c>
      <c r="D174" s="10" t="n">
        <v>20</v>
      </c>
      <c r="E174" s="12" t="n">
        <v>10336.9</v>
      </c>
      <c r="F174" s="12" t="n">
        <v>10450.6</v>
      </c>
      <c r="G174" s="12" t="n">
        <v>-113.7</v>
      </c>
      <c r="H174" s="13" t="n">
        <v>0.5610000000000001</v>
      </c>
      <c r="I174" s="13" t="n">
        <v>0.5663</v>
      </c>
    </row>
    <row r="175">
      <c r="A175" s="10" t="inlineStr">
        <is>
          <t>PJ-2019-A</t>
        </is>
      </c>
      <c r="B175" s="10" t="inlineStr">
        <is>
          <t>位置合わせ(MS指定)</t>
        </is>
      </c>
      <c r="C175" s="10" t="inlineStr">
        <is>
          <t>2020-12</t>
        </is>
      </c>
      <c r="D175" s="10" t="n">
        <v>21</v>
      </c>
      <c r="E175" s="12" t="n">
        <v>10299.6</v>
      </c>
      <c r="F175" s="12" t="n">
        <v>9897.5</v>
      </c>
      <c r="G175" s="12" t="n">
        <v>402.1</v>
      </c>
      <c r="H175" s="13" t="n">
        <v>0.5878</v>
      </c>
      <c r="I175" s="13" t="n">
        <v>0.5921</v>
      </c>
    </row>
    <row r="176">
      <c r="A176" s="10" t="inlineStr">
        <is>
          <t>PJ-2019-A</t>
        </is>
      </c>
      <c r="B176" s="10" t="inlineStr">
        <is>
          <t>位置合わせ(MS指定)</t>
        </is>
      </c>
      <c r="C176" s="10" t="inlineStr">
        <is>
          <t>2021-01</t>
        </is>
      </c>
      <c r="D176" s="10" t="n">
        <v>22</v>
      </c>
      <c r="E176" s="12" t="n">
        <v>10125.2</v>
      </c>
      <c r="F176" s="12" t="n">
        <v>10620.7</v>
      </c>
      <c r="G176" s="12" t="n">
        <v>-495.5</v>
      </c>
      <c r="H176" s="13" t="n">
        <v>0.6142</v>
      </c>
      <c r="I176" s="13" t="n">
        <v>0.6198</v>
      </c>
    </row>
    <row r="177">
      <c r="A177" s="10" t="inlineStr">
        <is>
          <t>PJ-2019-A</t>
        </is>
      </c>
      <c r="B177" s="10" t="inlineStr">
        <is>
          <t>位置合わせ(MS指定)</t>
        </is>
      </c>
      <c r="C177" s="10" t="inlineStr">
        <is>
          <t>2021-02</t>
        </is>
      </c>
      <c r="D177" s="10" t="n">
        <v>23</v>
      </c>
      <c r="E177" s="12" t="n">
        <v>9187.700000000001</v>
      </c>
      <c r="F177" s="12" t="n">
        <v>8526.5</v>
      </c>
      <c r="G177" s="12" t="n">
        <v>661.2</v>
      </c>
      <c r="H177" s="13" t="n">
        <v>0.6381</v>
      </c>
      <c r="I177" s="13" t="n">
        <v>0.642</v>
      </c>
    </row>
    <row r="178">
      <c r="A178" s="10" t="inlineStr">
        <is>
          <t>PJ-2019-A</t>
        </is>
      </c>
      <c r="B178" s="10" t="inlineStr">
        <is>
          <t>位置合わせ(MS指定)</t>
        </is>
      </c>
      <c r="C178" s="10" t="inlineStr">
        <is>
          <t>2021-03</t>
        </is>
      </c>
      <c r="D178" s="10" t="n">
        <v>24</v>
      </c>
      <c r="E178" s="12" t="n">
        <v>10352.4</v>
      </c>
      <c r="F178" s="12" t="n">
        <v>10289.3</v>
      </c>
      <c r="G178" s="12" t="n">
        <v>63.1</v>
      </c>
      <c r="H178" s="13" t="n">
        <v>0.6651</v>
      </c>
      <c r="I178" s="13" t="n">
        <v>0.6688</v>
      </c>
    </row>
    <row r="179">
      <c r="A179" s="10" t="inlineStr">
        <is>
          <t>PJ-2019-A</t>
        </is>
      </c>
      <c r="B179" s="10" t="inlineStr">
        <is>
          <t>位置合わせ(MS指定)</t>
        </is>
      </c>
      <c r="C179" s="10" t="inlineStr">
        <is>
          <t>2021-04</t>
        </is>
      </c>
      <c r="D179" s="10" t="n">
        <v>25</v>
      </c>
      <c r="E179" s="12" t="n">
        <v>10568</v>
      </c>
      <c r="F179" s="12" t="n">
        <v>11054.3</v>
      </c>
      <c r="G179" s="12" t="n">
        <v>-486.3</v>
      </c>
      <c r="H179" s="13" t="n">
        <v>0.6926</v>
      </c>
      <c r="I179" s="13" t="n">
        <v>0.6976</v>
      </c>
    </row>
    <row r="180">
      <c r="A180" s="10" t="inlineStr">
        <is>
          <t>PJ-2019-A</t>
        </is>
      </c>
      <c r="B180" s="10" t="inlineStr">
        <is>
          <t>位置合わせ(MS指定)</t>
        </is>
      </c>
      <c r="C180" s="10" t="inlineStr">
        <is>
          <t>2021-05</t>
        </is>
      </c>
      <c r="D180" s="10" t="n">
        <v>26</v>
      </c>
      <c r="E180" s="12" t="n">
        <v>11494.9</v>
      </c>
      <c r="F180" s="12" t="n">
        <v>11631.2</v>
      </c>
      <c r="G180" s="12" t="n">
        <v>-136.3</v>
      </c>
      <c r="H180" s="13" t="n">
        <v>0.7225</v>
      </c>
      <c r="I180" s="13" t="n">
        <v>0.7279</v>
      </c>
    </row>
    <row r="181">
      <c r="A181" s="10" t="inlineStr">
        <is>
          <t>PJ-2019-A</t>
        </is>
      </c>
      <c r="B181" s="10" t="inlineStr">
        <is>
          <t>位置合わせ(MS指定)</t>
        </is>
      </c>
      <c r="C181" s="10" t="inlineStr">
        <is>
          <t>2021-06</t>
        </is>
      </c>
      <c r="D181" s="10" t="n">
        <v>27</v>
      </c>
      <c r="E181" s="12" t="n">
        <v>12258.2</v>
      </c>
      <c r="F181" s="12" t="n">
        <v>12670.7</v>
      </c>
      <c r="G181" s="12" t="n">
        <v>-412.5</v>
      </c>
      <c r="H181" s="13" t="n">
        <v>0.7544</v>
      </c>
      <c r="I181" s="13" t="n">
        <v>0.7609</v>
      </c>
    </row>
    <row r="182">
      <c r="A182" s="10" t="inlineStr">
        <is>
          <t>PJ-2019-A</t>
        </is>
      </c>
      <c r="B182" s="10" t="inlineStr">
        <is>
          <t>位置合わせ(MS指定)</t>
        </is>
      </c>
      <c r="C182" s="10" t="inlineStr">
        <is>
          <t>2021-07</t>
        </is>
      </c>
      <c r="D182" s="10" t="n">
        <v>28</v>
      </c>
      <c r="E182" s="12" t="n">
        <v>13292.6</v>
      </c>
      <c r="F182" s="12" t="n">
        <v>13739.3</v>
      </c>
      <c r="G182" s="12" t="n">
        <v>-446.7</v>
      </c>
      <c r="H182" s="13" t="n">
        <v>0.7891</v>
      </c>
      <c r="I182" s="13" t="n">
        <v>0.7966</v>
      </c>
    </row>
    <row r="183">
      <c r="A183" s="10" t="inlineStr">
        <is>
          <t>PJ-2019-A</t>
        </is>
      </c>
      <c r="B183" s="10" t="inlineStr">
        <is>
          <t>位置合わせ(MS指定)</t>
        </is>
      </c>
      <c r="C183" s="10" t="inlineStr">
        <is>
          <t>2021-08</t>
        </is>
      </c>
      <c r="D183" s="10" t="n">
        <v>29</v>
      </c>
      <c r="E183" s="12" t="n">
        <v>18601</v>
      </c>
      <c r="F183" s="12" t="n">
        <v>18292.4</v>
      </c>
      <c r="G183" s="12" t="n">
        <v>308.6</v>
      </c>
      <c r="H183" s="13" t="n">
        <v>0.8375</v>
      </c>
      <c r="I183" s="13" t="n">
        <v>0.8443000000000001</v>
      </c>
    </row>
    <row r="184">
      <c r="A184" s="10" t="inlineStr">
        <is>
          <t>PJ-2019-A</t>
        </is>
      </c>
      <c r="B184" s="10" t="inlineStr">
        <is>
          <t>位置合わせ(MS指定)</t>
        </is>
      </c>
      <c r="C184" s="10" t="inlineStr">
        <is>
          <t>2021-09</t>
        </is>
      </c>
      <c r="D184" s="10" t="n">
        <v>30</v>
      </c>
      <c r="E184" s="12" t="n">
        <v>16845.2</v>
      </c>
      <c r="F184" s="12" t="n">
        <v>16151.9</v>
      </c>
      <c r="G184" s="12" t="n">
        <v>693.3</v>
      </c>
      <c r="H184" s="13" t="n">
        <v>0.8814</v>
      </c>
      <c r="I184" s="13" t="n">
        <v>0.8863</v>
      </c>
    </row>
    <row r="185">
      <c r="A185" s="10" t="inlineStr">
        <is>
          <t>PJ-2019-A</t>
        </is>
      </c>
      <c r="B185" s="10" t="inlineStr">
        <is>
          <t>位置合わせ(MS指定)</t>
        </is>
      </c>
      <c r="C185" s="10" t="inlineStr">
        <is>
          <t>2021-10</t>
        </is>
      </c>
      <c r="D185" s="10" t="n">
        <v>31</v>
      </c>
      <c r="E185" s="12" t="n">
        <v>12731.8</v>
      </c>
      <c r="F185" s="12" t="n">
        <v>12735.1</v>
      </c>
      <c r="G185" s="12" t="n">
        <v>-3.3</v>
      </c>
      <c r="H185" s="13" t="n">
        <v>0.9145</v>
      </c>
      <c r="I185" s="13" t="n">
        <v>0.9195</v>
      </c>
    </row>
    <row r="186">
      <c r="A186" s="10" t="inlineStr">
        <is>
          <t>PJ-2019-A</t>
        </is>
      </c>
      <c r="B186" s="10" t="inlineStr">
        <is>
          <t>位置合わせ(MS指定)</t>
        </is>
      </c>
      <c r="C186" s="10" t="inlineStr">
        <is>
          <t>2021-11</t>
        </is>
      </c>
      <c r="D186" s="10" t="n">
        <v>32</v>
      </c>
      <c r="E186" s="12" t="n">
        <v>10074.6</v>
      </c>
      <c r="F186" s="12" t="n">
        <v>9755.299999999999</v>
      </c>
      <c r="G186" s="12" t="n">
        <v>319.3</v>
      </c>
      <c r="H186" s="13" t="n">
        <v>0.9408</v>
      </c>
      <c r="I186" s="13" t="n">
        <v>0.9449</v>
      </c>
    </row>
    <row r="187">
      <c r="A187" s="10" t="inlineStr">
        <is>
          <t>PJ-2019-A</t>
        </is>
      </c>
      <c r="B187" s="10" t="inlineStr">
        <is>
          <t>位置合わせ(MS指定)</t>
        </is>
      </c>
      <c r="C187" s="10" t="inlineStr">
        <is>
          <t>2021-12</t>
        </is>
      </c>
      <c r="D187" s="10" t="n">
        <v>33</v>
      </c>
      <c r="E187" s="12" t="n">
        <v>9012.6</v>
      </c>
      <c r="F187" s="12" t="n">
        <v>8390.6</v>
      </c>
      <c r="G187" s="12" t="n">
        <v>622</v>
      </c>
      <c r="H187" s="13" t="n">
        <v>0.9641999999999999</v>
      </c>
      <c r="I187" s="13" t="n">
        <v>0.9668</v>
      </c>
    </row>
    <row r="188">
      <c r="A188" s="10" t="inlineStr">
        <is>
          <t>PJ-2019-A</t>
        </is>
      </c>
      <c r="B188" s="10" t="inlineStr">
        <is>
          <t>位置合わせ(MS指定)</t>
        </is>
      </c>
      <c r="C188" s="10" t="inlineStr">
        <is>
          <t>2022-01</t>
        </is>
      </c>
      <c r="D188" s="10" t="n">
        <v>34</v>
      </c>
      <c r="E188" s="12" t="n">
        <v>7547.2</v>
      </c>
      <c r="F188" s="12" t="n">
        <v>7700</v>
      </c>
      <c r="G188" s="12" t="n">
        <v>-152.8</v>
      </c>
      <c r="H188" s="13" t="n">
        <v>0.9839</v>
      </c>
      <c r="I188" s="13" t="n">
        <v>0.9868</v>
      </c>
    </row>
    <row r="189">
      <c r="A189" s="10" t="inlineStr">
        <is>
          <t>PJ-2019-A</t>
        </is>
      </c>
      <c r="B189" s="10" t="inlineStr">
        <is>
          <t>位置合わせ(MS指定)</t>
        </is>
      </c>
      <c r="C189" s="10" t="inlineStr">
        <is>
          <t>2022-02</t>
        </is>
      </c>
      <c r="D189" s="10" t="n">
        <v>35</v>
      </c>
      <c r="E189" s="12" t="n">
        <v>3800.1</v>
      </c>
      <c r="F189" s="12" t="n">
        <v>3740.9</v>
      </c>
      <c r="G189" s="12" t="n">
        <v>59.2</v>
      </c>
      <c r="H189" s="13" t="n">
        <v>0.9938</v>
      </c>
      <c r="I189" s="13" t="n">
        <v>0.9966</v>
      </c>
    </row>
    <row r="190">
      <c r="A190" s="10" t="inlineStr">
        <is>
          <t>PJ-2019-A</t>
        </is>
      </c>
      <c r="B190" s="10" t="inlineStr">
        <is>
          <t>位置合わせ(MS指定)</t>
        </is>
      </c>
      <c r="C190" s="10" t="inlineStr">
        <is>
          <t>2022-03</t>
        </is>
      </c>
      <c r="D190" s="10" t="n">
        <v>36</v>
      </c>
      <c r="E190" s="12" t="n">
        <v>2385.7</v>
      </c>
      <c r="F190" s="12" t="n">
        <v>1319.2</v>
      </c>
      <c r="G190" s="12" t="n">
        <v>1066.5</v>
      </c>
      <c r="H190" s="13" t="n">
        <v>1</v>
      </c>
      <c r="I190" s="13" t="n">
        <v>1</v>
      </c>
    </row>
    <row r="191">
      <c r="A191" s="10" t="inlineStr">
        <is>
          <t>PJ-2020-B</t>
        </is>
      </c>
      <c r="B191" s="10" t="inlineStr">
        <is>
          <t>素朴版</t>
        </is>
      </c>
      <c r="C191" s="10" t="inlineStr">
        <is>
          <t>2020-01</t>
        </is>
      </c>
      <c r="D191" s="10" t="n">
        <v>1</v>
      </c>
      <c r="E191" s="12" t="n">
        <v>2219.9</v>
      </c>
      <c r="F191" s="12" t="n">
        <v>1775</v>
      </c>
      <c r="G191" s="12" t="n">
        <v>444.9</v>
      </c>
      <c r="H191" s="13" t="n">
        <v>0.0221</v>
      </c>
      <c r="I191" s="13" t="n">
        <v>0.0176</v>
      </c>
    </row>
    <row r="192">
      <c r="A192" s="10" t="inlineStr">
        <is>
          <t>PJ-2020-B</t>
        </is>
      </c>
      <c r="B192" s="10" t="inlineStr">
        <is>
          <t>素朴版</t>
        </is>
      </c>
      <c r="C192" s="10" t="inlineStr">
        <is>
          <t>2020-02</t>
        </is>
      </c>
      <c r="D192" s="10" t="n">
        <v>2</v>
      </c>
      <c r="E192" s="12" t="n">
        <v>3647.7</v>
      </c>
      <c r="F192" s="12" t="n">
        <v>2922.7</v>
      </c>
      <c r="G192" s="12" t="n">
        <v>725</v>
      </c>
      <c r="H192" s="13" t="n">
        <v>0.0583</v>
      </c>
      <c r="I192" s="13" t="n">
        <v>0.0467</v>
      </c>
    </row>
    <row r="193">
      <c r="A193" s="10" t="inlineStr">
        <is>
          <t>PJ-2020-B</t>
        </is>
      </c>
      <c r="B193" s="10" t="inlineStr">
        <is>
          <t>素朴版</t>
        </is>
      </c>
      <c r="C193" s="10" t="inlineStr">
        <is>
          <t>2020-03</t>
        </is>
      </c>
      <c r="D193" s="10" t="n">
        <v>3</v>
      </c>
      <c r="E193" s="12" t="n">
        <v>4964.8</v>
      </c>
      <c r="F193" s="12" t="n">
        <v>4302.6</v>
      </c>
      <c r="G193" s="12" t="n">
        <v>662.2</v>
      </c>
      <c r="H193" s="13" t="n">
        <v>0.1077</v>
      </c>
      <c r="I193" s="13" t="n">
        <v>0.0895</v>
      </c>
    </row>
    <row r="194">
      <c r="A194" s="10" t="inlineStr">
        <is>
          <t>PJ-2020-B</t>
        </is>
      </c>
      <c r="B194" s="10" t="inlineStr">
        <is>
          <t>素朴版</t>
        </is>
      </c>
      <c r="C194" s="10" t="inlineStr">
        <is>
          <t>2020-04</t>
        </is>
      </c>
      <c r="D194" s="10" t="n">
        <v>4</v>
      </c>
      <c r="E194" s="12" t="n">
        <v>6129</v>
      </c>
      <c r="F194" s="12" t="n">
        <v>4934.5</v>
      </c>
      <c r="G194" s="12" t="n">
        <v>1194.5</v>
      </c>
      <c r="H194" s="13" t="n">
        <v>0.1686</v>
      </c>
      <c r="I194" s="13" t="n">
        <v>0.1385</v>
      </c>
    </row>
    <row r="195">
      <c r="A195" s="10" t="inlineStr">
        <is>
          <t>PJ-2020-B</t>
        </is>
      </c>
      <c r="B195" s="10" t="inlineStr">
        <is>
          <t>素朴版</t>
        </is>
      </c>
      <c r="C195" s="10" t="inlineStr">
        <is>
          <t>2020-05</t>
        </is>
      </c>
      <c r="D195" s="10" t="n">
        <v>5</v>
      </c>
      <c r="E195" s="12" t="n">
        <v>8057.8</v>
      </c>
      <c r="F195" s="12" t="n">
        <v>5876.2</v>
      </c>
      <c r="G195" s="12" t="n">
        <v>2181.6</v>
      </c>
      <c r="H195" s="13" t="n">
        <v>0.2487</v>
      </c>
      <c r="I195" s="13" t="n">
        <v>0.1969</v>
      </c>
    </row>
    <row r="196">
      <c r="A196" s="10" t="inlineStr">
        <is>
          <t>PJ-2020-B</t>
        </is>
      </c>
      <c r="B196" s="10" t="inlineStr">
        <is>
          <t>素朴版</t>
        </is>
      </c>
      <c r="C196" s="10" t="inlineStr">
        <is>
          <t>2020-06</t>
        </is>
      </c>
      <c r="D196" s="10" t="n">
        <v>6</v>
      </c>
      <c r="E196" s="12" t="n">
        <v>9488.6</v>
      </c>
      <c r="F196" s="12" t="n">
        <v>6361.8</v>
      </c>
      <c r="G196" s="12" t="n">
        <v>3126.8</v>
      </c>
      <c r="H196" s="13" t="n">
        <v>0.3431</v>
      </c>
      <c r="I196" s="13" t="n">
        <v>0.2602</v>
      </c>
    </row>
    <row r="197">
      <c r="A197" s="10" t="inlineStr">
        <is>
          <t>PJ-2020-B</t>
        </is>
      </c>
      <c r="B197" s="10" t="inlineStr">
        <is>
          <t>素朴版</t>
        </is>
      </c>
      <c r="C197" s="10" t="inlineStr">
        <is>
          <t>2020-07</t>
        </is>
      </c>
      <c r="D197" s="10" t="n">
        <v>7</v>
      </c>
      <c r="E197" s="12" t="n">
        <v>9624.700000000001</v>
      </c>
      <c r="F197" s="12" t="n">
        <v>8178.4</v>
      </c>
      <c r="G197" s="12" t="n">
        <v>1446.3</v>
      </c>
      <c r="H197" s="13" t="n">
        <v>0.4387</v>
      </c>
      <c r="I197" s="13" t="n">
        <v>0.3415</v>
      </c>
    </row>
    <row r="198">
      <c r="A198" s="10" t="inlineStr">
        <is>
          <t>PJ-2020-B</t>
        </is>
      </c>
      <c r="B198" s="10" t="inlineStr">
        <is>
          <t>素朴版</t>
        </is>
      </c>
      <c r="C198" s="10" t="inlineStr">
        <is>
          <t>2020-08</t>
        </is>
      </c>
      <c r="D198" s="10" t="n">
        <v>8</v>
      </c>
      <c r="E198" s="12" t="n">
        <v>8742.700000000001</v>
      </c>
      <c r="F198" s="12" t="n">
        <v>12113.2</v>
      </c>
      <c r="G198" s="12" t="n">
        <v>-3370.5</v>
      </c>
      <c r="H198" s="13" t="n">
        <v>0.5256</v>
      </c>
      <c r="I198" s="13" t="n">
        <v>0.4619</v>
      </c>
    </row>
    <row r="199">
      <c r="A199" s="10" t="inlineStr">
        <is>
          <t>PJ-2020-B</t>
        </is>
      </c>
      <c r="B199" s="10" t="inlineStr">
        <is>
          <t>素朴版</t>
        </is>
      </c>
      <c r="C199" s="10" t="inlineStr">
        <is>
          <t>2020-09</t>
        </is>
      </c>
      <c r="D199" s="10" t="n">
        <v>9</v>
      </c>
      <c r="E199" s="12" t="n">
        <v>9001</v>
      </c>
      <c r="F199" s="12" t="n">
        <v>14657.2</v>
      </c>
      <c r="G199" s="12" t="n">
        <v>-5656.2</v>
      </c>
      <c r="H199" s="13" t="n">
        <v>0.6151</v>
      </c>
      <c r="I199" s="13" t="n">
        <v>0.6076</v>
      </c>
    </row>
    <row r="200">
      <c r="A200" s="10" t="inlineStr">
        <is>
          <t>PJ-2020-B</t>
        </is>
      </c>
      <c r="B200" s="10" t="inlineStr">
        <is>
          <t>素朴版</t>
        </is>
      </c>
      <c r="C200" s="10" t="inlineStr">
        <is>
          <t>2020-10</t>
        </is>
      </c>
      <c r="D200" s="10" t="n">
        <v>10</v>
      </c>
      <c r="E200" s="12" t="n">
        <v>10243.4</v>
      </c>
      <c r="F200" s="12" t="n">
        <v>15647</v>
      </c>
      <c r="G200" s="12" t="n">
        <v>-5403.6</v>
      </c>
      <c r="H200" s="13" t="n">
        <v>0.717</v>
      </c>
      <c r="I200" s="13" t="n">
        <v>0.7632</v>
      </c>
    </row>
    <row r="201">
      <c r="A201" s="10" t="inlineStr">
        <is>
          <t>PJ-2020-B</t>
        </is>
      </c>
      <c r="B201" s="10" t="inlineStr">
        <is>
          <t>素朴版</t>
        </is>
      </c>
      <c r="C201" s="10" t="inlineStr">
        <is>
          <t>2020-11</t>
        </is>
      </c>
      <c r="D201" s="10" t="n">
        <v>11</v>
      </c>
      <c r="E201" s="12" t="n">
        <v>11029.2</v>
      </c>
      <c r="F201" s="12" t="n">
        <v>12214.2</v>
      </c>
      <c r="G201" s="12" t="n">
        <v>-1185</v>
      </c>
      <c r="H201" s="13" t="n">
        <v>0.8266</v>
      </c>
      <c r="I201" s="13" t="n">
        <v>0.8846000000000001</v>
      </c>
    </row>
    <row r="202">
      <c r="A202" s="10" t="inlineStr">
        <is>
          <t>PJ-2020-B</t>
        </is>
      </c>
      <c r="B202" s="10" t="inlineStr">
        <is>
          <t>素朴版</t>
        </is>
      </c>
      <c r="C202" s="10" t="inlineStr">
        <is>
          <t>2020-12</t>
        </is>
      </c>
      <c r="D202" s="10" t="n">
        <v>12</v>
      </c>
      <c r="E202" s="12" t="n">
        <v>9345</v>
      </c>
      <c r="F202" s="12" t="n">
        <v>6476.8</v>
      </c>
      <c r="G202" s="12" t="n">
        <v>2868.2</v>
      </c>
      <c r="H202" s="13" t="n">
        <v>0.9195</v>
      </c>
      <c r="I202" s="13" t="n">
        <v>0.949</v>
      </c>
    </row>
    <row r="203">
      <c r="A203" s="10" t="inlineStr">
        <is>
          <t>PJ-2020-B</t>
        </is>
      </c>
      <c r="B203" s="10" t="inlineStr">
        <is>
          <t>素朴版</t>
        </is>
      </c>
      <c r="C203" s="10" t="inlineStr">
        <is>
          <t>2021-01</t>
        </is>
      </c>
      <c r="D203" s="10" t="n">
        <v>13</v>
      </c>
      <c r="E203" s="12" t="n">
        <v>5880.8</v>
      </c>
      <c r="F203" s="12" t="n">
        <v>4063</v>
      </c>
      <c r="G203" s="12" t="n">
        <v>1817.8</v>
      </c>
      <c r="H203" s="13" t="n">
        <v>0.978</v>
      </c>
      <c r="I203" s="13" t="n">
        <v>0.9893999999999999</v>
      </c>
    </row>
    <row r="204">
      <c r="A204" s="10" t="inlineStr">
        <is>
          <t>PJ-2020-B</t>
        </is>
      </c>
      <c r="B204" s="10" t="inlineStr">
        <is>
          <t>素朴版</t>
        </is>
      </c>
      <c r="C204" s="10" t="inlineStr">
        <is>
          <t>2021-02</t>
        </is>
      </c>
      <c r="D204" s="10" t="n">
        <v>14</v>
      </c>
      <c r="E204" s="12" t="n">
        <v>2216.3</v>
      </c>
      <c r="F204" s="12" t="n">
        <v>1068.2</v>
      </c>
      <c r="G204" s="12" t="n">
        <v>1148.1</v>
      </c>
      <c r="H204" s="13" t="n">
        <v>1</v>
      </c>
      <c r="I204" s="13" t="n">
        <v>1</v>
      </c>
    </row>
    <row r="205">
      <c r="A205" s="10" t="inlineStr">
        <is>
          <t>PJ-2020-B</t>
        </is>
      </c>
      <c r="B205" s="10" t="inlineStr">
        <is>
          <t>位置合わせ(MS学習値)</t>
        </is>
      </c>
      <c r="C205" s="10" t="inlineStr">
        <is>
          <t>2020-01</t>
        </is>
      </c>
      <c r="D205" s="10" t="n">
        <v>1</v>
      </c>
      <c r="E205" s="12" t="n">
        <v>2161</v>
      </c>
      <c r="F205" s="12" t="n">
        <v>1775</v>
      </c>
      <c r="G205" s="12" t="n">
        <v>386</v>
      </c>
      <c r="H205" s="13" t="n">
        <v>0.0215</v>
      </c>
      <c r="I205" s="13" t="n">
        <v>0.0176</v>
      </c>
    </row>
    <row r="206">
      <c r="A206" s="10" t="inlineStr">
        <is>
          <t>PJ-2020-B</t>
        </is>
      </c>
      <c r="B206" s="10" t="inlineStr">
        <is>
          <t>位置合わせ(MS学習値)</t>
        </is>
      </c>
      <c r="C206" s="10" t="inlineStr">
        <is>
          <t>2020-02</t>
        </is>
      </c>
      <c r="D206" s="10" t="n">
        <v>2</v>
      </c>
      <c r="E206" s="12" t="n">
        <v>3559.8</v>
      </c>
      <c r="F206" s="12" t="n">
        <v>2922.7</v>
      </c>
      <c r="G206" s="12" t="n">
        <v>637.1</v>
      </c>
      <c r="H206" s="13" t="n">
        <v>0.0569</v>
      </c>
      <c r="I206" s="13" t="n">
        <v>0.0467</v>
      </c>
    </row>
    <row r="207">
      <c r="A207" s="10" t="inlineStr">
        <is>
          <t>PJ-2020-B</t>
        </is>
      </c>
      <c r="B207" s="10" t="inlineStr">
        <is>
          <t>位置合わせ(MS学習値)</t>
        </is>
      </c>
      <c r="C207" s="10" t="inlineStr">
        <is>
          <t>2020-03</t>
        </is>
      </c>
      <c r="D207" s="10" t="n">
        <v>3</v>
      </c>
      <c r="E207" s="12" t="n">
        <v>4797.8</v>
      </c>
      <c r="F207" s="12" t="n">
        <v>4302.6</v>
      </c>
      <c r="G207" s="12" t="n">
        <v>495.2</v>
      </c>
      <c r="H207" s="13" t="n">
        <v>0.1046</v>
      </c>
      <c r="I207" s="13" t="n">
        <v>0.0895</v>
      </c>
    </row>
    <row r="208">
      <c r="A208" s="10" t="inlineStr">
        <is>
          <t>PJ-2020-B</t>
        </is>
      </c>
      <c r="B208" s="10" t="inlineStr">
        <is>
          <t>位置合わせ(MS学習値)</t>
        </is>
      </c>
      <c r="C208" s="10" t="inlineStr">
        <is>
          <t>2020-04</t>
        </is>
      </c>
      <c r="D208" s="10" t="n">
        <v>4</v>
      </c>
      <c r="E208" s="12" t="n">
        <v>5730.4</v>
      </c>
      <c r="F208" s="12" t="n">
        <v>4934.5</v>
      </c>
      <c r="G208" s="12" t="n">
        <v>795.9</v>
      </c>
      <c r="H208" s="13" t="n">
        <v>0.1615</v>
      </c>
      <c r="I208" s="13" t="n">
        <v>0.1385</v>
      </c>
    </row>
    <row r="209">
      <c r="A209" s="10" t="inlineStr">
        <is>
          <t>PJ-2020-B</t>
        </is>
      </c>
      <c r="B209" s="10" t="inlineStr">
        <is>
          <t>位置合わせ(MS学習値)</t>
        </is>
      </c>
      <c r="C209" s="10" t="inlineStr">
        <is>
          <t>2020-05</t>
        </is>
      </c>
      <c r="D209" s="10" t="n">
        <v>5</v>
      </c>
      <c r="E209" s="12" t="n">
        <v>7544.6</v>
      </c>
      <c r="F209" s="12" t="n">
        <v>5876.2</v>
      </c>
      <c r="G209" s="12" t="n">
        <v>1668.4</v>
      </c>
      <c r="H209" s="13" t="n">
        <v>0.2365</v>
      </c>
      <c r="I209" s="13" t="n">
        <v>0.1969</v>
      </c>
    </row>
    <row r="210">
      <c r="A210" s="10" t="inlineStr">
        <is>
          <t>PJ-2020-B</t>
        </is>
      </c>
      <c r="B210" s="10" t="inlineStr">
        <is>
          <t>位置合わせ(MS学習値)</t>
        </is>
      </c>
      <c r="C210" s="10" t="inlineStr">
        <is>
          <t>2020-06</t>
        </is>
      </c>
      <c r="D210" s="10" t="n">
        <v>6</v>
      </c>
      <c r="E210" s="12" t="n">
        <v>8876.6</v>
      </c>
      <c r="F210" s="12" t="n">
        <v>6361.8</v>
      </c>
      <c r="G210" s="12" t="n">
        <v>2514.8</v>
      </c>
      <c r="H210" s="13" t="n">
        <v>0.3248</v>
      </c>
      <c r="I210" s="13" t="n">
        <v>0.2602</v>
      </c>
    </row>
    <row r="211">
      <c r="A211" s="10" t="inlineStr">
        <is>
          <t>PJ-2020-B</t>
        </is>
      </c>
      <c r="B211" s="10" t="inlineStr">
        <is>
          <t>位置合わせ(MS学習値)</t>
        </is>
      </c>
      <c r="C211" s="10" t="inlineStr">
        <is>
          <t>2020-07</t>
        </is>
      </c>
      <c r="D211" s="10" t="n">
        <v>7</v>
      </c>
      <c r="E211" s="12" t="n">
        <v>11556.5</v>
      </c>
      <c r="F211" s="12" t="n">
        <v>8178.4</v>
      </c>
      <c r="G211" s="12" t="n">
        <v>3378.1</v>
      </c>
      <c r="H211" s="13" t="n">
        <v>0.4397</v>
      </c>
      <c r="I211" s="13" t="n">
        <v>0.3415</v>
      </c>
    </row>
    <row r="212">
      <c r="A212" s="10" t="inlineStr">
        <is>
          <t>PJ-2020-B</t>
        </is>
      </c>
      <c r="B212" s="10" t="inlineStr">
        <is>
          <t>位置合わせ(MS学習値)</t>
        </is>
      </c>
      <c r="C212" s="10" t="inlineStr">
        <is>
          <t>2020-08</t>
        </is>
      </c>
      <c r="D212" s="10" t="n">
        <v>8</v>
      </c>
      <c r="E212" s="12" t="n">
        <v>10362</v>
      </c>
      <c r="F212" s="12" t="n">
        <v>12113.2</v>
      </c>
      <c r="G212" s="12" t="n">
        <v>-1751.2</v>
      </c>
      <c r="H212" s="13" t="n">
        <v>0.5427</v>
      </c>
      <c r="I212" s="13" t="n">
        <v>0.4619</v>
      </c>
    </row>
    <row r="213">
      <c r="A213" s="10" t="inlineStr">
        <is>
          <t>PJ-2020-B</t>
        </is>
      </c>
      <c r="B213" s="10" t="inlineStr">
        <is>
          <t>位置合わせ(MS学習値)</t>
        </is>
      </c>
      <c r="C213" s="10" t="inlineStr">
        <is>
          <t>2020-09</t>
        </is>
      </c>
      <c r="D213" s="10" t="n">
        <v>9</v>
      </c>
      <c r="E213" s="12" t="n">
        <v>8473.5</v>
      </c>
      <c r="F213" s="12" t="n">
        <v>14657.2</v>
      </c>
      <c r="G213" s="12" t="n">
        <v>-6183.7</v>
      </c>
      <c r="H213" s="13" t="n">
        <v>0.6269</v>
      </c>
      <c r="I213" s="13" t="n">
        <v>0.6076</v>
      </c>
    </row>
    <row r="214">
      <c r="A214" s="10" t="inlineStr">
        <is>
          <t>PJ-2020-B</t>
        </is>
      </c>
      <c r="B214" s="10" t="inlineStr">
        <is>
          <t>位置合わせ(MS学習値)</t>
        </is>
      </c>
      <c r="C214" s="10" t="inlineStr">
        <is>
          <t>2020-10</t>
        </is>
      </c>
      <c r="D214" s="10" t="n">
        <v>10</v>
      </c>
      <c r="E214" s="12" t="n">
        <v>9188.5</v>
      </c>
      <c r="F214" s="12" t="n">
        <v>15647</v>
      </c>
      <c r="G214" s="12" t="n">
        <v>-6458.5</v>
      </c>
      <c r="H214" s="13" t="n">
        <v>0.7183</v>
      </c>
      <c r="I214" s="13" t="n">
        <v>0.7632</v>
      </c>
    </row>
    <row r="215">
      <c r="A215" s="10" t="inlineStr">
        <is>
          <t>PJ-2020-B</t>
        </is>
      </c>
      <c r="B215" s="10" t="inlineStr">
        <is>
          <t>位置合わせ(MS学習値)</t>
        </is>
      </c>
      <c r="C215" s="10" t="inlineStr">
        <is>
          <t>2020-11</t>
        </is>
      </c>
      <c r="D215" s="10" t="n">
        <v>11</v>
      </c>
      <c r="E215" s="12" t="n">
        <v>11272.5</v>
      </c>
      <c r="F215" s="12" t="n">
        <v>12214.2</v>
      </c>
      <c r="G215" s="12" t="n">
        <v>-941.7</v>
      </c>
      <c r="H215" s="13" t="n">
        <v>0.8303</v>
      </c>
      <c r="I215" s="13" t="n">
        <v>0.8846000000000001</v>
      </c>
    </row>
    <row r="216">
      <c r="A216" s="10" t="inlineStr">
        <is>
          <t>PJ-2020-B</t>
        </is>
      </c>
      <c r="B216" s="10" t="inlineStr">
        <is>
          <t>位置合わせ(MS学習値)</t>
        </is>
      </c>
      <c r="C216" s="10" t="inlineStr">
        <is>
          <t>2020-12</t>
        </is>
      </c>
      <c r="D216" s="10" t="n">
        <v>12</v>
      </c>
      <c r="E216" s="12" t="n">
        <v>9337.700000000001</v>
      </c>
      <c r="F216" s="12" t="n">
        <v>6476.8</v>
      </c>
      <c r="G216" s="12" t="n">
        <v>2860.9</v>
      </c>
      <c r="H216" s="13" t="n">
        <v>0.9232</v>
      </c>
      <c r="I216" s="13" t="n">
        <v>0.949</v>
      </c>
    </row>
    <row r="217">
      <c r="A217" s="10" t="inlineStr">
        <is>
          <t>PJ-2020-B</t>
        </is>
      </c>
      <c r="B217" s="10" t="inlineStr">
        <is>
          <t>位置合わせ(MS学習値)</t>
        </is>
      </c>
      <c r="C217" s="10" t="inlineStr">
        <is>
          <t>2021-01</t>
        </is>
      </c>
      <c r="D217" s="10" t="n">
        <v>13</v>
      </c>
      <c r="E217" s="12" t="n">
        <v>5688.4</v>
      </c>
      <c r="F217" s="12" t="n">
        <v>4063</v>
      </c>
      <c r="G217" s="12" t="n">
        <v>1625.4</v>
      </c>
      <c r="H217" s="13" t="n">
        <v>0.9797</v>
      </c>
      <c r="I217" s="13" t="n">
        <v>0.9893999999999999</v>
      </c>
    </row>
    <row r="218">
      <c r="A218" s="10" t="inlineStr">
        <is>
          <t>PJ-2020-B</t>
        </is>
      </c>
      <c r="B218" s="10" t="inlineStr">
        <is>
          <t>位置合わせ(MS学習値)</t>
        </is>
      </c>
      <c r="C218" s="10" t="inlineStr">
        <is>
          <t>2021-02</t>
        </is>
      </c>
      <c r="D218" s="10" t="n">
        <v>14</v>
      </c>
      <c r="E218" s="12" t="n">
        <v>2041.4</v>
      </c>
      <c r="F218" s="12" t="n">
        <v>1068.2</v>
      </c>
      <c r="G218" s="12" t="n">
        <v>973.2</v>
      </c>
      <c r="H218" s="13" t="n">
        <v>1</v>
      </c>
      <c r="I218" s="13" t="n">
        <v>1</v>
      </c>
    </row>
    <row r="219">
      <c r="A219" s="10" t="inlineStr">
        <is>
          <t>PJ-2020-B</t>
        </is>
      </c>
      <c r="B219" s="10" t="inlineStr">
        <is>
          <t>位置合わせ(MS指定)</t>
        </is>
      </c>
      <c r="C219" s="10" t="inlineStr">
        <is>
          <t>2020-01</t>
        </is>
      </c>
      <c r="D219" s="10" t="n">
        <v>1</v>
      </c>
      <c r="E219" s="12" t="n">
        <v>1827.3</v>
      </c>
      <c r="F219" s="12" t="n">
        <v>1775</v>
      </c>
      <c r="G219" s="12" t="n">
        <v>52.3</v>
      </c>
      <c r="H219" s="13" t="n">
        <v>0.0182</v>
      </c>
      <c r="I219" s="13" t="n">
        <v>0.0176</v>
      </c>
    </row>
    <row r="220">
      <c r="A220" s="10" t="inlineStr">
        <is>
          <t>PJ-2020-B</t>
        </is>
      </c>
      <c r="B220" s="10" t="inlineStr">
        <is>
          <t>位置合わせ(MS指定)</t>
        </is>
      </c>
      <c r="C220" s="10" t="inlineStr">
        <is>
          <t>2020-02</t>
        </is>
      </c>
      <c r="D220" s="10" t="n">
        <v>2</v>
      </c>
      <c r="E220" s="12" t="n">
        <v>2960</v>
      </c>
      <c r="F220" s="12" t="n">
        <v>2922.7</v>
      </c>
      <c r="G220" s="12" t="n">
        <v>37.3</v>
      </c>
      <c r="H220" s="13" t="n">
        <v>0.0476</v>
      </c>
      <c r="I220" s="13" t="n">
        <v>0.0467</v>
      </c>
    </row>
    <row r="221">
      <c r="A221" s="10" t="inlineStr">
        <is>
          <t>PJ-2020-B</t>
        </is>
      </c>
      <c r="B221" s="10" t="inlineStr">
        <is>
          <t>位置合わせ(MS指定)</t>
        </is>
      </c>
      <c r="C221" s="10" t="inlineStr">
        <is>
          <t>2020-03</t>
        </is>
      </c>
      <c r="D221" s="10" t="n">
        <v>3</v>
      </c>
      <c r="E221" s="12" t="n">
        <v>4077.7</v>
      </c>
      <c r="F221" s="12" t="n">
        <v>4302.6</v>
      </c>
      <c r="G221" s="12" t="n">
        <v>-224.9</v>
      </c>
      <c r="H221" s="13" t="n">
        <v>0.0881</v>
      </c>
      <c r="I221" s="13" t="n">
        <v>0.0895</v>
      </c>
    </row>
    <row r="222">
      <c r="A222" s="10" t="inlineStr">
        <is>
          <t>PJ-2020-B</t>
        </is>
      </c>
      <c r="B222" s="10" t="inlineStr">
        <is>
          <t>位置合わせ(MS指定)</t>
        </is>
      </c>
      <c r="C222" s="10" t="inlineStr">
        <is>
          <t>2020-04</t>
        </is>
      </c>
      <c r="D222" s="10" t="n">
        <v>4</v>
      </c>
      <c r="E222" s="12" t="n">
        <v>4572.2</v>
      </c>
      <c r="F222" s="12" t="n">
        <v>4934.5</v>
      </c>
      <c r="G222" s="12" t="n">
        <v>-362.3</v>
      </c>
      <c r="H222" s="13" t="n">
        <v>0.1336</v>
      </c>
      <c r="I222" s="13" t="n">
        <v>0.1385</v>
      </c>
    </row>
    <row r="223">
      <c r="A223" s="10" t="inlineStr">
        <is>
          <t>PJ-2020-B</t>
        </is>
      </c>
      <c r="B223" s="10" t="inlineStr">
        <is>
          <t>位置合わせ(MS指定)</t>
        </is>
      </c>
      <c r="C223" s="10" t="inlineStr">
        <is>
          <t>2020-05</t>
        </is>
      </c>
      <c r="D223" s="10" t="n">
        <v>5</v>
      </c>
      <c r="E223" s="12" t="n">
        <v>5948.1</v>
      </c>
      <c r="F223" s="12" t="n">
        <v>5876.2</v>
      </c>
      <c r="G223" s="12" t="n">
        <v>71.90000000000001</v>
      </c>
      <c r="H223" s="13" t="n">
        <v>0.1927</v>
      </c>
      <c r="I223" s="13" t="n">
        <v>0.1969</v>
      </c>
    </row>
    <row r="224">
      <c r="A224" s="10" t="inlineStr">
        <is>
          <t>PJ-2020-B</t>
        </is>
      </c>
      <c r="B224" s="10" t="inlineStr">
        <is>
          <t>位置合わせ(MS指定)</t>
        </is>
      </c>
      <c r="C224" s="10" t="inlineStr">
        <is>
          <t>2020-06</t>
        </is>
      </c>
      <c r="D224" s="10" t="n">
        <v>6</v>
      </c>
      <c r="E224" s="12" t="n">
        <v>6955</v>
      </c>
      <c r="F224" s="12" t="n">
        <v>6361.8</v>
      </c>
      <c r="G224" s="12" t="n">
        <v>593.2</v>
      </c>
      <c r="H224" s="13" t="n">
        <v>0.2619</v>
      </c>
      <c r="I224" s="13" t="n">
        <v>0.2602</v>
      </c>
    </row>
    <row r="225">
      <c r="A225" s="10" t="inlineStr">
        <is>
          <t>PJ-2020-B</t>
        </is>
      </c>
      <c r="B225" s="10" t="inlineStr">
        <is>
          <t>位置合わせ(MS指定)</t>
        </is>
      </c>
      <c r="C225" s="10" t="inlineStr">
        <is>
          <t>2020-07</t>
        </is>
      </c>
      <c r="D225" s="10" t="n">
        <v>7</v>
      </c>
      <c r="E225" s="12" t="n">
        <v>8728.1</v>
      </c>
      <c r="F225" s="12" t="n">
        <v>8178.4</v>
      </c>
      <c r="G225" s="12" t="n">
        <v>549.7</v>
      </c>
      <c r="H225" s="13" t="n">
        <v>0.3486</v>
      </c>
      <c r="I225" s="13" t="n">
        <v>0.3415</v>
      </c>
    </row>
    <row r="226">
      <c r="A226" s="10" t="inlineStr">
        <is>
          <t>PJ-2020-B</t>
        </is>
      </c>
      <c r="B226" s="10" t="inlineStr">
        <is>
          <t>位置合わせ(MS指定)</t>
        </is>
      </c>
      <c r="C226" s="10" t="inlineStr">
        <is>
          <t>2020-08</t>
        </is>
      </c>
      <c r="D226" s="10" t="n">
        <v>8</v>
      </c>
      <c r="E226" s="12" t="n">
        <v>12887.6</v>
      </c>
      <c r="F226" s="12" t="n">
        <v>12113.2</v>
      </c>
      <c r="G226" s="12" t="n">
        <v>774.4</v>
      </c>
      <c r="H226" s="13" t="n">
        <v>0.4767</v>
      </c>
      <c r="I226" s="13" t="n">
        <v>0.4619</v>
      </c>
    </row>
    <row r="227">
      <c r="A227" s="10" t="inlineStr">
        <is>
          <t>PJ-2020-B</t>
        </is>
      </c>
      <c r="B227" s="10" t="inlineStr">
        <is>
          <t>位置合わせ(MS指定)</t>
        </is>
      </c>
      <c r="C227" s="10" t="inlineStr">
        <is>
          <t>2020-09</t>
        </is>
      </c>
      <c r="D227" s="10" t="n">
        <v>9</v>
      </c>
      <c r="E227" s="12" t="n">
        <v>14345.1</v>
      </c>
      <c r="F227" s="12" t="n">
        <v>14657.2</v>
      </c>
      <c r="G227" s="12" t="n">
        <v>-312.1</v>
      </c>
      <c r="H227" s="13" t="n">
        <v>0.6194</v>
      </c>
      <c r="I227" s="13" t="n">
        <v>0.6076</v>
      </c>
    </row>
    <row r="228">
      <c r="A228" s="10" t="inlineStr">
        <is>
          <t>PJ-2020-B</t>
        </is>
      </c>
      <c r="B228" s="10" t="inlineStr">
        <is>
          <t>位置合わせ(MS指定)</t>
        </is>
      </c>
      <c r="C228" s="10" t="inlineStr">
        <is>
          <t>2020-10</t>
        </is>
      </c>
      <c r="D228" s="10" t="n">
        <v>10</v>
      </c>
      <c r="E228" s="12" t="n">
        <v>15585.2</v>
      </c>
      <c r="F228" s="12" t="n">
        <v>15647</v>
      </c>
      <c r="G228" s="12" t="n">
        <v>-61.8</v>
      </c>
      <c r="H228" s="13" t="n">
        <v>0.7743</v>
      </c>
      <c r="I228" s="13" t="n">
        <v>0.7632</v>
      </c>
    </row>
    <row r="229">
      <c r="A229" s="10" t="inlineStr">
        <is>
          <t>PJ-2020-B</t>
        </is>
      </c>
      <c r="B229" s="10" t="inlineStr">
        <is>
          <t>位置合わせ(MS指定)</t>
        </is>
      </c>
      <c r="C229" s="10" t="inlineStr">
        <is>
          <t>2020-11</t>
        </is>
      </c>
      <c r="D229" s="10" t="n">
        <v>11</v>
      </c>
      <c r="E229" s="12" t="n">
        <v>11071.1</v>
      </c>
      <c r="F229" s="12" t="n">
        <v>12214.2</v>
      </c>
      <c r="G229" s="12" t="n">
        <v>-1143.1</v>
      </c>
      <c r="H229" s="13" t="n">
        <v>0.8843</v>
      </c>
      <c r="I229" s="13" t="n">
        <v>0.8846000000000001</v>
      </c>
    </row>
    <row r="230">
      <c r="A230" s="10" t="inlineStr">
        <is>
          <t>PJ-2020-B</t>
        </is>
      </c>
      <c r="B230" s="10" t="inlineStr">
        <is>
          <t>位置合わせ(MS指定)</t>
        </is>
      </c>
      <c r="C230" s="10" t="inlineStr">
        <is>
          <t>2020-12</t>
        </is>
      </c>
      <c r="D230" s="10" t="n">
        <v>12</v>
      </c>
      <c r="E230" s="12" t="n">
        <v>6431.2</v>
      </c>
      <c r="F230" s="12" t="n">
        <v>6476.8</v>
      </c>
      <c r="G230" s="12" t="n">
        <v>-45.6</v>
      </c>
      <c r="H230" s="13" t="n">
        <v>0.9483</v>
      </c>
      <c r="I230" s="13" t="n">
        <v>0.949</v>
      </c>
    </row>
    <row r="231">
      <c r="A231" s="10" t="inlineStr">
        <is>
          <t>PJ-2020-B</t>
        </is>
      </c>
      <c r="B231" s="10" t="inlineStr">
        <is>
          <t>位置合わせ(MS指定)</t>
        </is>
      </c>
      <c r="C231" s="10" t="inlineStr">
        <is>
          <t>2021-01</t>
        </is>
      </c>
      <c r="D231" s="10" t="n">
        <v>13</v>
      </c>
      <c r="E231" s="12" t="n">
        <v>4017</v>
      </c>
      <c r="F231" s="12" t="n">
        <v>4063</v>
      </c>
      <c r="G231" s="12" t="n">
        <v>-46</v>
      </c>
      <c r="H231" s="13" t="n">
        <v>0.9882</v>
      </c>
      <c r="I231" s="13" t="n">
        <v>0.9893999999999999</v>
      </c>
    </row>
    <row r="232">
      <c r="A232" s="10" t="inlineStr">
        <is>
          <t>PJ-2020-B</t>
        </is>
      </c>
      <c r="B232" s="10" t="inlineStr">
        <is>
          <t>位置合わせ(MS指定)</t>
        </is>
      </c>
      <c r="C232" s="10" t="inlineStr">
        <is>
          <t>2021-02</t>
        </is>
      </c>
      <c r="D232" s="10" t="n">
        <v>14</v>
      </c>
      <c r="E232" s="12" t="n">
        <v>1185.1</v>
      </c>
      <c r="F232" s="12" t="n">
        <v>1068.2</v>
      </c>
      <c r="G232" s="12" t="n">
        <v>116.9</v>
      </c>
      <c r="H232" s="13" t="n">
        <v>1</v>
      </c>
      <c r="I232" s="13" t="n">
        <v>1</v>
      </c>
    </row>
    <row r="233">
      <c r="A233" s="10" t="inlineStr">
        <is>
          <t>PJ-2020-C</t>
        </is>
      </c>
      <c r="B233" s="10" t="inlineStr">
        <is>
          <t>素朴版</t>
        </is>
      </c>
      <c r="C233" s="10" t="inlineStr">
        <is>
          <t>2020-07</t>
        </is>
      </c>
      <c r="D233" s="10" t="n">
        <v>1</v>
      </c>
      <c r="E233" s="12" t="n">
        <v>2412.6</v>
      </c>
      <c r="F233" s="12" t="n">
        <v>1612.2</v>
      </c>
      <c r="G233" s="12" t="n">
        <v>800.4</v>
      </c>
      <c r="H233" s="13" t="n">
        <v>0.008399999999999999</v>
      </c>
      <c r="I233" s="13" t="n">
        <v>0.0056</v>
      </c>
    </row>
    <row r="234">
      <c r="A234" s="10" t="inlineStr">
        <is>
          <t>PJ-2020-C</t>
        </is>
      </c>
      <c r="B234" s="10" t="inlineStr">
        <is>
          <t>素朴版</t>
        </is>
      </c>
      <c r="C234" s="10" t="inlineStr">
        <is>
          <t>2020-08</t>
        </is>
      </c>
      <c r="D234" s="10" t="n">
        <v>2</v>
      </c>
      <c r="E234" s="12" t="n">
        <v>3296.8</v>
      </c>
      <c r="F234" s="12" t="n">
        <v>2706.9</v>
      </c>
      <c r="G234" s="12" t="n">
        <v>589.9</v>
      </c>
      <c r="H234" s="13" t="n">
        <v>0.0199</v>
      </c>
      <c r="I234" s="13" t="n">
        <v>0.0151</v>
      </c>
    </row>
    <row r="235">
      <c r="A235" s="10" t="inlineStr">
        <is>
          <t>PJ-2020-C</t>
        </is>
      </c>
      <c r="B235" s="10" t="inlineStr">
        <is>
          <t>素朴版</t>
        </is>
      </c>
      <c r="C235" s="10" t="inlineStr">
        <is>
          <t>2020-09</t>
        </is>
      </c>
      <c r="D235" s="10" t="n">
        <v>3</v>
      </c>
      <c r="E235" s="12" t="n">
        <v>4402.1</v>
      </c>
      <c r="F235" s="12" t="n">
        <v>3213.5</v>
      </c>
      <c r="G235" s="12" t="n">
        <v>1188.6</v>
      </c>
      <c r="H235" s="13" t="n">
        <v>0.0353</v>
      </c>
      <c r="I235" s="13" t="n">
        <v>0.0263</v>
      </c>
    </row>
    <row r="236">
      <c r="A236" s="10" t="inlineStr">
        <is>
          <t>PJ-2020-C</t>
        </is>
      </c>
      <c r="B236" s="10" t="inlineStr">
        <is>
          <t>素朴版</t>
        </is>
      </c>
      <c r="C236" s="10" t="inlineStr">
        <is>
          <t>2020-10</t>
        </is>
      </c>
      <c r="D236" s="10" t="n">
        <v>4</v>
      </c>
      <c r="E236" s="12" t="n">
        <v>5490.8</v>
      </c>
      <c r="F236" s="12" t="n">
        <v>3772.6</v>
      </c>
      <c r="G236" s="12" t="n">
        <v>1718.2</v>
      </c>
      <c r="H236" s="13" t="n">
        <v>0.0545</v>
      </c>
      <c r="I236" s="13" t="n">
        <v>0.0395</v>
      </c>
    </row>
    <row r="237">
      <c r="A237" s="10" t="inlineStr">
        <is>
          <t>PJ-2020-C</t>
        </is>
      </c>
      <c r="B237" s="10" t="inlineStr">
        <is>
          <t>素朴版</t>
        </is>
      </c>
      <c r="C237" s="10" t="inlineStr">
        <is>
          <t>2020-11</t>
        </is>
      </c>
      <c r="D237" s="10" t="n">
        <v>5</v>
      </c>
      <c r="E237" s="12" t="n">
        <v>6092.1</v>
      </c>
      <c r="F237" s="12" t="n">
        <v>3838.1</v>
      </c>
      <c r="G237" s="12" t="n">
        <v>2254</v>
      </c>
      <c r="H237" s="13" t="n">
        <v>0.07580000000000001</v>
      </c>
      <c r="I237" s="13" t="n">
        <v>0.0529</v>
      </c>
    </row>
    <row r="238">
      <c r="A238" s="10" t="inlineStr">
        <is>
          <t>PJ-2020-C</t>
        </is>
      </c>
      <c r="B238" s="10" t="inlineStr">
        <is>
          <t>素朴版</t>
        </is>
      </c>
      <c r="C238" s="10" t="inlineStr">
        <is>
          <t>2020-12</t>
        </is>
      </c>
      <c r="D238" s="10" t="n">
        <v>6</v>
      </c>
      <c r="E238" s="12" t="n">
        <v>6665.4</v>
      </c>
      <c r="F238" s="12" t="n">
        <v>4586.7</v>
      </c>
      <c r="G238" s="12" t="n">
        <v>2078.7</v>
      </c>
      <c r="H238" s="13" t="n">
        <v>0.09909999999999999</v>
      </c>
      <c r="I238" s="13" t="n">
        <v>0.0689</v>
      </c>
    </row>
    <row r="239">
      <c r="A239" s="10" t="inlineStr">
        <is>
          <t>PJ-2020-C</t>
        </is>
      </c>
      <c r="B239" s="10" t="inlineStr">
        <is>
          <t>素朴版</t>
        </is>
      </c>
      <c r="C239" s="10" t="inlineStr">
        <is>
          <t>2021-01</t>
        </is>
      </c>
      <c r="D239" s="10" t="n">
        <v>7</v>
      </c>
      <c r="E239" s="12" t="n">
        <v>7730.3</v>
      </c>
      <c r="F239" s="12" t="n">
        <v>5381.8</v>
      </c>
      <c r="G239" s="12" t="n">
        <v>2348.5</v>
      </c>
      <c r="H239" s="13" t="n">
        <v>0.1261</v>
      </c>
      <c r="I239" s="13" t="n">
        <v>0.0877</v>
      </c>
    </row>
    <row r="240">
      <c r="A240" s="10" t="inlineStr">
        <is>
          <t>PJ-2020-C</t>
        </is>
      </c>
      <c r="B240" s="10" t="inlineStr">
        <is>
          <t>素朴版</t>
        </is>
      </c>
      <c r="C240" s="10" t="inlineStr">
        <is>
          <t>2021-02</t>
        </is>
      </c>
      <c r="D240" s="10" t="n">
        <v>8</v>
      </c>
      <c r="E240" s="12" t="n">
        <v>7629.3</v>
      </c>
      <c r="F240" s="12" t="n">
        <v>4542.7</v>
      </c>
      <c r="G240" s="12" t="n">
        <v>3086.6</v>
      </c>
      <c r="H240" s="13" t="n">
        <v>0.1528</v>
      </c>
      <c r="I240" s="13" t="n">
        <v>0.1036</v>
      </c>
    </row>
    <row r="241">
      <c r="A241" s="10" t="inlineStr">
        <is>
          <t>PJ-2020-C</t>
        </is>
      </c>
      <c r="B241" s="10" t="inlineStr">
        <is>
          <t>素朴版</t>
        </is>
      </c>
      <c r="C241" s="10" t="inlineStr">
        <is>
          <t>2021-03</t>
        </is>
      </c>
      <c r="D241" s="10" t="n">
        <v>9</v>
      </c>
      <c r="E241" s="12" t="n">
        <v>9208.299999999999</v>
      </c>
      <c r="F241" s="12" t="n">
        <v>7859.7</v>
      </c>
      <c r="G241" s="12" t="n">
        <v>1348.6</v>
      </c>
      <c r="H241" s="13" t="n">
        <v>0.1849</v>
      </c>
      <c r="I241" s="13" t="n">
        <v>0.1311</v>
      </c>
    </row>
    <row r="242">
      <c r="A242" s="10" t="inlineStr">
        <is>
          <t>PJ-2020-C</t>
        </is>
      </c>
      <c r="B242" s="10" t="inlineStr">
        <is>
          <t>素朴版</t>
        </is>
      </c>
      <c r="C242" s="10" t="inlineStr">
        <is>
          <t>2021-04</t>
        </is>
      </c>
      <c r="D242" s="10" t="n">
        <v>10</v>
      </c>
      <c r="E242" s="12" t="n">
        <v>9578.200000000001</v>
      </c>
      <c r="F242" s="12" t="n">
        <v>12717.7</v>
      </c>
      <c r="G242" s="12" t="n">
        <v>-3139.5</v>
      </c>
      <c r="H242" s="13" t="n">
        <v>0.2184</v>
      </c>
      <c r="I242" s="13" t="n">
        <v>0.1755</v>
      </c>
    </row>
    <row r="243">
      <c r="A243" s="10" t="inlineStr">
        <is>
          <t>PJ-2020-C</t>
        </is>
      </c>
      <c r="B243" s="10" t="inlineStr">
        <is>
          <t>素朴版</t>
        </is>
      </c>
      <c r="C243" s="10" t="inlineStr">
        <is>
          <t>2021-05</t>
        </is>
      </c>
      <c r="D243" s="10" t="n">
        <v>11</v>
      </c>
      <c r="E243" s="12" t="n">
        <v>11096</v>
      </c>
      <c r="F243" s="12" t="n">
        <v>13948.9</v>
      </c>
      <c r="G243" s="12" t="n">
        <v>-2852.9</v>
      </c>
      <c r="H243" s="13" t="n">
        <v>0.2572</v>
      </c>
      <c r="I243" s="13" t="n">
        <v>0.2243</v>
      </c>
    </row>
    <row r="244">
      <c r="A244" s="10" t="inlineStr">
        <is>
          <t>PJ-2020-C</t>
        </is>
      </c>
      <c r="B244" s="10" t="inlineStr">
        <is>
          <t>素朴版</t>
        </is>
      </c>
      <c r="C244" s="10" t="inlineStr">
        <is>
          <t>2021-06</t>
        </is>
      </c>
      <c r="D244" s="10" t="n">
        <v>12</v>
      </c>
      <c r="E244" s="12" t="n">
        <v>11628</v>
      </c>
      <c r="F244" s="12" t="n">
        <v>14213.1</v>
      </c>
      <c r="G244" s="12" t="n">
        <v>-2585.1</v>
      </c>
      <c r="H244" s="13" t="n">
        <v>0.2978</v>
      </c>
      <c r="I244" s="13" t="n">
        <v>0.2739</v>
      </c>
    </row>
    <row r="245">
      <c r="A245" s="10" t="inlineStr">
        <is>
          <t>PJ-2020-C</t>
        </is>
      </c>
      <c r="B245" s="10" t="inlineStr">
        <is>
          <t>素朴版</t>
        </is>
      </c>
      <c r="C245" s="10" t="inlineStr">
        <is>
          <t>2021-07</t>
        </is>
      </c>
      <c r="D245" s="10" t="n">
        <v>13</v>
      </c>
      <c r="E245" s="12" t="n">
        <v>12430.7</v>
      </c>
      <c r="F245" s="12" t="n">
        <v>18246.8</v>
      </c>
      <c r="G245" s="12" t="n">
        <v>-5816.1</v>
      </c>
      <c r="H245" s="13" t="n">
        <v>0.3412</v>
      </c>
      <c r="I245" s="13" t="n">
        <v>0.3377</v>
      </c>
    </row>
    <row r="246">
      <c r="A246" s="10" t="inlineStr">
        <is>
          <t>PJ-2020-C</t>
        </is>
      </c>
      <c r="B246" s="10" t="inlineStr">
        <is>
          <t>素朴版</t>
        </is>
      </c>
      <c r="C246" s="10" t="inlineStr">
        <is>
          <t>2021-08</t>
        </is>
      </c>
      <c r="D246" s="10" t="n">
        <v>14</v>
      </c>
      <c r="E246" s="12" t="n">
        <v>12233.2</v>
      </c>
      <c r="F246" s="12" t="n">
        <v>21174.7</v>
      </c>
      <c r="G246" s="12" t="n">
        <v>-8941.5</v>
      </c>
      <c r="H246" s="13" t="n">
        <v>0.384</v>
      </c>
      <c r="I246" s="13" t="n">
        <v>0.4117</v>
      </c>
    </row>
    <row r="247">
      <c r="A247" s="10" t="inlineStr">
        <is>
          <t>PJ-2020-C</t>
        </is>
      </c>
      <c r="B247" s="10" t="inlineStr">
        <is>
          <t>素朴版</t>
        </is>
      </c>
      <c r="C247" s="10" t="inlineStr">
        <is>
          <t>2021-09</t>
        </is>
      </c>
      <c r="D247" s="10" t="n">
        <v>15</v>
      </c>
      <c r="E247" s="12" t="n">
        <v>11086.7</v>
      </c>
      <c r="F247" s="12" t="n">
        <v>14994.8</v>
      </c>
      <c r="G247" s="12" t="n">
        <v>-3908.1</v>
      </c>
      <c r="H247" s="13" t="n">
        <v>0.4227</v>
      </c>
      <c r="I247" s="13" t="n">
        <v>0.4641</v>
      </c>
    </row>
    <row r="248">
      <c r="A248" s="10" t="inlineStr">
        <is>
          <t>PJ-2020-C</t>
        </is>
      </c>
      <c r="B248" s="10" t="inlineStr">
        <is>
          <t>素朴版</t>
        </is>
      </c>
      <c r="C248" s="10" t="inlineStr">
        <is>
          <t>2021-10</t>
        </is>
      </c>
      <c r="D248" s="10" t="n">
        <v>16</v>
      </c>
      <c r="E248" s="12" t="n">
        <v>12143.5</v>
      </c>
      <c r="F248" s="12" t="n">
        <v>11071.4</v>
      </c>
      <c r="G248" s="12" t="n">
        <v>1072.1</v>
      </c>
      <c r="H248" s="13" t="n">
        <v>0.4652</v>
      </c>
      <c r="I248" s="13" t="n">
        <v>0.5028</v>
      </c>
    </row>
    <row r="249">
      <c r="A249" s="10" t="inlineStr">
        <is>
          <t>PJ-2020-C</t>
        </is>
      </c>
      <c r="B249" s="10" t="inlineStr">
        <is>
          <t>素朴版</t>
        </is>
      </c>
      <c r="C249" s="10" t="inlineStr">
        <is>
          <t>2021-11</t>
        </is>
      </c>
      <c r="D249" s="10" t="n">
        <v>17</v>
      </c>
      <c r="E249" s="12" t="n">
        <v>11687.2</v>
      </c>
      <c r="F249" s="12" t="n">
        <v>10739.1</v>
      </c>
      <c r="G249" s="12" t="n">
        <v>948.1</v>
      </c>
      <c r="H249" s="13" t="n">
        <v>0.506</v>
      </c>
      <c r="I249" s="13" t="n">
        <v>0.5403</v>
      </c>
    </row>
    <row r="250">
      <c r="A250" s="10" t="inlineStr">
        <is>
          <t>PJ-2020-C</t>
        </is>
      </c>
      <c r="B250" s="10" t="inlineStr">
        <is>
          <t>素朴版</t>
        </is>
      </c>
      <c r="C250" s="10" t="inlineStr">
        <is>
          <t>2021-12</t>
        </is>
      </c>
      <c r="D250" s="10" t="n">
        <v>18</v>
      </c>
      <c r="E250" s="12" t="n">
        <v>12193.5</v>
      </c>
      <c r="F250" s="12" t="n">
        <v>9595.799999999999</v>
      </c>
      <c r="G250" s="12" t="n">
        <v>2597.7</v>
      </c>
      <c r="H250" s="13" t="n">
        <v>0.5486</v>
      </c>
      <c r="I250" s="13" t="n">
        <v>0.5738</v>
      </c>
    </row>
    <row r="251">
      <c r="A251" s="10" t="inlineStr">
        <is>
          <t>PJ-2020-C</t>
        </is>
      </c>
      <c r="B251" s="10" t="inlineStr">
        <is>
          <t>素朴版</t>
        </is>
      </c>
      <c r="C251" s="10" t="inlineStr">
        <is>
          <t>2022-01</t>
        </is>
      </c>
      <c r="D251" s="10" t="n">
        <v>19</v>
      </c>
      <c r="E251" s="12" t="n">
        <v>14013.8</v>
      </c>
      <c r="F251" s="12" t="n">
        <v>9687.200000000001</v>
      </c>
      <c r="G251" s="12" t="n">
        <v>4326.6</v>
      </c>
      <c r="H251" s="13" t="n">
        <v>0.5976</v>
      </c>
      <c r="I251" s="13" t="n">
        <v>0.6077</v>
      </c>
    </row>
    <row r="252">
      <c r="A252" s="10" t="inlineStr">
        <is>
          <t>PJ-2020-C</t>
        </is>
      </c>
      <c r="B252" s="10" t="inlineStr">
        <is>
          <t>素朴版</t>
        </is>
      </c>
      <c r="C252" s="10" t="inlineStr">
        <is>
          <t>2022-02</t>
        </is>
      </c>
      <c r="D252" s="10" t="n">
        <v>20</v>
      </c>
      <c r="E252" s="12" t="n">
        <v>13091.3</v>
      </c>
      <c r="F252" s="12" t="n">
        <v>8168.5</v>
      </c>
      <c r="G252" s="12" t="n">
        <v>4922.8</v>
      </c>
      <c r="H252" s="13" t="n">
        <v>0.6433</v>
      </c>
      <c r="I252" s="13" t="n">
        <v>0.6362</v>
      </c>
    </row>
    <row r="253">
      <c r="A253" s="10" t="inlineStr">
        <is>
          <t>PJ-2020-C</t>
        </is>
      </c>
      <c r="B253" s="10" t="inlineStr">
        <is>
          <t>素朴版</t>
        </is>
      </c>
      <c r="C253" s="10" t="inlineStr">
        <is>
          <t>2022-03</t>
        </is>
      </c>
      <c r="D253" s="10" t="n">
        <v>21</v>
      </c>
      <c r="E253" s="12" t="n">
        <v>14761.6</v>
      </c>
      <c r="F253" s="12" t="n">
        <v>9141.200000000001</v>
      </c>
      <c r="G253" s="12" t="n">
        <v>5620.4</v>
      </c>
      <c r="H253" s="13" t="n">
        <v>0.6949</v>
      </c>
      <c r="I253" s="13" t="n">
        <v>0.6681</v>
      </c>
    </row>
    <row r="254">
      <c r="A254" s="10" t="inlineStr">
        <is>
          <t>PJ-2020-C</t>
        </is>
      </c>
      <c r="B254" s="10" t="inlineStr">
        <is>
          <t>素朴版</t>
        </is>
      </c>
      <c r="C254" s="10" t="inlineStr">
        <is>
          <t>2022-04</t>
        </is>
      </c>
      <c r="D254" s="10" t="n">
        <v>22</v>
      </c>
      <c r="E254" s="12" t="n">
        <v>14770.6</v>
      </c>
      <c r="F254" s="12" t="n">
        <v>10300.2</v>
      </c>
      <c r="G254" s="12" t="n">
        <v>4470.4</v>
      </c>
      <c r="H254" s="13" t="n">
        <v>0.7465000000000001</v>
      </c>
      <c r="I254" s="13" t="n">
        <v>0.7040999999999999</v>
      </c>
    </row>
    <row r="255">
      <c r="A255" s="10" t="inlineStr">
        <is>
          <t>PJ-2020-C</t>
        </is>
      </c>
      <c r="B255" s="10" t="inlineStr">
        <is>
          <t>素朴版</t>
        </is>
      </c>
      <c r="C255" s="10" t="inlineStr">
        <is>
          <t>2022-05</t>
        </is>
      </c>
      <c r="D255" s="10" t="n">
        <v>23</v>
      </c>
      <c r="E255" s="12" t="n">
        <v>15683.6</v>
      </c>
      <c r="F255" s="12" t="n">
        <v>11913.8</v>
      </c>
      <c r="G255" s="12" t="n">
        <v>3769.8</v>
      </c>
      <c r="H255" s="13" t="n">
        <v>0.8013</v>
      </c>
      <c r="I255" s="13" t="n">
        <v>0.7458</v>
      </c>
    </row>
    <row r="256">
      <c r="A256" s="10" t="inlineStr">
        <is>
          <t>PJ-2020-C</t>
        </is>
      </c>
      <c r="B256" s="10" t="inlineStr">
        <is>
          <t>素朴版</t>
        </is>
      </c>
      <c r="C256" s="10" t="inlineStr">
        <is>
          <t>2022-06</t>
        </is>
      </c>
      <c r="D256" s="10" t="n">
        <v>24</v>
      </c>
      <c r="E256" s="12" t="n">
        <v>14753.5</v>
      </c>
      <c r="F256" s="12" t="n">
        <v>12526.3</v>
      </c>
      <c r="G256" s="12" t="n">
        <v>2227.2</v>
      </c>
      <c r="H256" s="13" t="n">
        <v>0.8529</v>
      </c>
      <c r="I256" s="13" t="n">
        <v>0.7895</v>
      </c>
    </row>
    <row r="257">
      <c r="A257" s="10" t="inlineStr">
        <is>
          <t>PJ-2020-C</t>
        </is>
      </c>
      <c r="B257" s="10" t="inlineStr">
        <is>
          <t>素朴版</t>
        </is>
      </c>
      <c r="C257" s="10" t="inlineStr">
        <is>
          <t>2022-07</t>
        </is>
      </c>
      <c r="D257" s="10" t="n">
        <v>25</v>
      </c>
      <c r="E257" s="12" t="n">
        <v>11994.1</v>
      </c>
      <c r="F257" s="12" t="n">
        <v>16872.5</v>
      </c>
      <c r="G257" s="12" t="n">
        <v>-4878.4</v>
      </c>
      <c r="H257" s="13" t="n">
        <v>0.8948</v>
      </c>
      <c r="I257" s="13" t="n">
        <v>0.8485</v>
      </c>
    </row>
    <row r="258">
      <c r="A258" s="10" t="inlineStr">
        <is>
          <t>PJ-2020-C</t>
        </is>
      </c>
      <c r="B258" s="10" t="inlineStr">
        <is>
          <t>素朴版</t>
        </is>
      </c>
      <c r="C258" s="10" t="inlineStr">
        <is>
          <t>2022-08</t>
        </is>
      </c>
      <c r="D258" s="10" t="n">
        <v>26</v>
      </c>
      <c r="E258" s="12" t="n">
        <v>10012</v>
      </c>
      <c r="F258" s="12" t="n">
        <v>14638.5</v>
      </c>
      <c r="G258" s="12" t="n">
        <v>-4626.5</v>
      </c>
      <c r="H258" s="13" t="n">
        <v>0.9298</v>
      </c>
      <c r="I258" s="13" t="n">
        <v>0.8996</v>
      </c>
    </row>
    <row r="259">
      <c r="A259" s="10" t="inlineStr">
        <is>
          <t>PJ-2020-C</t>
        </is>
      </c>
      <c r="B259" s="10" t="inlineStr">
        <is>
          <t>素朴版</t>
        </is>
      </c>
      <c r="C259" s="10" t="inlineStr">
        <is>
          <t>2022-09</t>
        </is>
      </c>
      <c r="D259" s="10" t="n">
        <v>27</v>
      </c>
      <c r="E259" s="12" t="n">
        <v>7661.4</v>
      </c>
      <c r="F259" s="12" t="n">
        <v>10326.6</v>
      </c>
      <c r="G259" s="12" t="n">
        <v>-2665.2</v>
      </c>
      <c r="H259" s="13" t="n">
        <v>0.9565</v>
      </c>
      <c r="I259" s="13" t="n">
        <v>0.9357</v>
      </c>
    </row>
    <row r="260">
      <c r="A260" s="10" t="inlineStr">
        <is>
          <t>PJ-2020-C</t>
        </is>
      </c>
      <c r="B260" s="10" t="inlineStr">
        <is>
          <t>素朴版</t>
        </is>
      </c>
      <c r="C260" s="10" t="inlineStr">
        <is>
          <t>2022-10</t>
        </is>
      </c>
      <c r="D260" s="10" t="n">
        <v>28</v>
      </c>
      <c r="E260" s="12" t="n">
        <v>6445.9</v>
      </c>
      <c r="F260" s="12" t="n">
        <v>9038.200000000001</v>
      </c>
      <c r="G260" s="12" t="n">
        <v>-2592.3</v>
      </c>
      <c r="H260" s="13" t="n">
        <v>0.979</v>
      </c>
      <c r="I260" s="13" t="n">
        <v>0.9673</v>
      </c>
    </row>
    <row r="261">
      <c r="A261" s="10" t="inlineStr">
        <is>
          <t>PJ-2020-C</t>
        </is>
      </c>
      <c r="B261" s="10" t="inlineStr">
        <is>
          <t>素朴版</t>
        </is>
      </c>
      <c r="C261" s="10" t="inlineStr">
        <is>
          <t>2022-11</t>
        </is>
      </c>
      <c r="D261" s="10" t="n">
        <v>29</v>
      </c>
      <c r="E261" s="12" t="n">
        <v>3937.3</v>
      </c>
      <c r="F261" s="12" t="n">
        <v>7111.2</v>
      </c>
      <c r="G261" s="12" t="n">
        <v>-3173.9</v>
      </c>
      <c r="H261" s="13" t="n">
        <v>0.9928</v>
      </c>
      <c r="I261" s="13" t="n">
        <v>0.9921</v>
      </c>
    </row>
    <row r="262">
      <c r="A262" s="10" t="inlineStr">
        <is>
          <t>PJ-2020-C</t>
        </is>
      </c>
      <c r="B262" s="10" t="inlineStr">
        <is>
          <t>素朴版</t>
        </is>
      </c>
      <c r="C262" s="10" t="inlineStr">
        <is>
          <t>2022-12</t>
        </is>
      </c>
      <c r="D262" s="10" t="n">
        <v>30</v>
      </c>
      <c r="E262" s="12" t="n">
        <v>2058.7</v>
      </c>
      <c r="F262" s="12" t="n">
        <v>2247.6</v>
      </c>
      <c r="G262" s="12" t="n">
        <v>-188.9</v>
      </c>
      <c r="H262" s="13" t="n">
        <v>1</v>
      </c>
      <c r="I262" s="13" t="n">
        <v>1</v>
      </c>
    </row>
    <row r="263">
      <c r="A263" s="10" t="inlineStr">
        <is>
          <t>PJ-2020-C</t>
        </is>
      </c>
      <c r="B263" s="10" t="inlineStr">
        <is>
          <t>位置合わせ(MS学習値)</t>
        </is>
      </c>
      <c r="C263" s="10" t="inlineStr">
        <is>
          <t>2020-07</t>
        </is>
      </c>
      <c r="D263" s="10" t="n">
        <v>1</v>
      </c>
      <c r="E263" s="12" t="n">
        <v>2353.8</v>
      </c>
      <c r="F263" s="12" t="n">
        <v>1612.2</v>
      </c>
      <c r="G263" s="12" t="n">
        <v>741.6</v>
      </c>
      <c r="H263" s="13" t="n">
        <v>0.008200000000000001</v>
      </c>
      <c r="I263" s="13" t="n">
        <v>0.0056</v>
      </c>
    </row>
    <row r="264">
      <c r="A264" s="10" t="inlineStr">
        <is>
          <t>PJ-2020-C</t>
        </is>
      </c>
      <c r="B264" s="10" t="inlineStr">
        <is>
          <t>位置合わせ(MS学習値)</t>
        </is>
      </c>
      <c r="C264" s="10" t="inlineStr">
        <is>
          <t>2020-08</t>
        </is>
      </c>
      <c r="D264" s="10" t="n">
        <v>2</v>
      </c>
      <c r="E264" s="12" t="n">
        <v>3189.5</v>
      </c>
      <c r="F264" s="12" t="n">
        <v>2706.9</v>
      </c>
      <c r="G264" s="12" t="n">
        <v>482.6</v>
      </c>
      <c r="H264" s="13" t="n">
        <v>0.0194</v>
      </c>
      <c r="I264" s="13" t="n">
        <v>0.0151</v>
      </c>
    </row>
    <row r="265">
      <c r="A265" s="10" t="inlineStr">
        <is>
          <t>PJ-2020-C</t>
        </is>
      </c>
      <c r="B265" s="10" t="inlineStr">
        <is>
          <t>位置合わせ(MS学習値)</t>
        </is>
      </c>
      <c r="C265" s="10" t="inlineStr">
        <is>
          <t>2020-09</t>
        </is>
      </c>
      <c r="D265" s="10" t="n">
        <v>3</v>
      </c>
      <c r="E265" s="12" t="n">
        <v>4307.5</v>
      </c>
      <c r="F265" s="12" t="n">
        <v>3213.5</v>
      </c>
      <c r="G265" s="12" t="n">
        <v>1094</v>
      </c>
      <c r="H265" s="13" t="n">
        <v>0.0344</v>
      </c>
      <c r="I265" s="13" t="n">
        <v>0.0263</v>
      </c>
    </row>
    <row r="266">
      <c r="A266" s="10" t="inlineStr">
        <is>
          <t>PJ-2020-C</t>
        </is>
      </c>
      <c r="B266" s="10" t="inlineStr">
        <is>
          <t>位置合わせ(MS学習値)</t>
        </is>
      </c>
      <c r="C266" s="10" t="inlineStr">
        <is>
          <t>2020-10</t>
        </is>
      </c>
      <c r="D266" s="10" t="n">
        <v>4</v>
      </c>
      <c r="E266" s="12" t="n">
        <v>5292.3</v>
      </c>
      <c r="F266" s="12" t="n">
        <v>3772.6</v>
      </c>
      <c r="G266" s="12" t="n">
        <v>1519.7</v>
      </c>
      <c r="H266" s="13" t="n">
        <v>0.0529</v>
      </c>
      <c r="I266" s="13" t="n">
        <v>0.0395</v>
      </c>
    </row>
    <row r="267">
      <c r="A267" s="10" t="inlineStr">
        <is>
          <t>PJ-2020-C</t>
        </is>
      </c>
      <c r="B267" s="10" t="inlineStr">
        <is>
          <t>位置合わせ(MS学習値)</t>
        </is>
      </c>
      <c r="C267" s="10" t="inlineStr">
        <is>
          <t>2020-11</t>
        </is>
      </c>
      <c r="D267" s="10" t="n">
        <v>5</v>
      </c>
      <c r="E267" s="12" t="n">
        <v>5922</v>
      </c>
      <c r="F267" s="12" t="n">
        <v>3838.1</v>
      </c>
      <c r="G267" s="12" t="n">
        <v>2083.9</v>
      </c>
      <c r="H267" s="13" t="n">
        <v>0.0736</v>
      </c>
      <c r="I267" s="13" t="n">
        <v>0.0529</v>
      </c>
    </row>
    <row r="268">
      <c r="A268" s="10" t="inlineStr">
        <is>
          <t>PJ-2020-C</t>
        </is>
      </c>
      <c r="B268" s="10" t="inlineStr">
        <is>
          <t>位置合わせ(MS学習値)</t>
        </is>
      </c>
      <c r="C268" s="10" t="inlineStr">
        <is>
          <t>2020-12</t>
        </is>
      </c>
      <c r="D268" s="10" t="n">
        <v>6</v>
      </c>
      <c r="E268" s="12" t="n">
        <v>6578.2</v>
      </c>
      <c r="F268" s="12" t="n">
        <v>4586.7</v>
      </c>
      <c r="G268" s="12" t="n">
        <v>1991.5</v>
      </c>
      <c r="H268" s="13" t="n">
        <v>0.09660000000000001</v>
      </c>
      <c r="I268" s="13" t="n">
        <v>0.0689</v>
      </c>
    </row>
    <row r="269">
      <c r="A269" s="10" t="inlineStr">
        <is>
          <t>PJ-2020-C</t>
        </is>
      </c>
      <c r="B269" s="10" t="inlineStr">
        <is>
          <t>位置合わせ(MS学習値)</t>
        </is>
      </c>
      <c r="C269" s="10" t="inlineStr">
        <is>
          <t>2021-01</t>
        </is>
      </c>
      <c r="D269" s="10" t="n">
        <v>7</v>
      </c>
      <c r="E269" s="12" t="n">
        <v>6977.2</v>
      </c>
      <c r="F269" s="12" t="n">
        <v>5381.8</v>
      </c>
      <c r="G269" s="12" t="n">
        <v>1595.4</v>
      </c>
      <c r="H269" s="13" t="n">
        <v>0.121</v>
      </c>
      <c r="I269" s="13" t="n">
        <v>0.0877</v>
      </c>
    </row>
    <row r="270">
      <c r="A270" s="10" t="inlineStr">
        <is>
          <t>PJ-2020-C</t>
        </is>
      </c>
      <c r="B270" s="10" t="inlineStr">
        <is>
          <t>位置合わせ(MS学習値)</t>
        </is>
      </c>
      <c r="C270" s="10" t="inlineStr">
        <is>
          <t>2021-02</t>
        </is>
      </c>
      <c r="D270" s="10" t="n">
        <v>8</v>
      </c>
      <c r="E270" s="12" t="n">
        <v>7100.5</v>
      </c>
      <c r="F270" s="12" t="n">
        <v>4542.7</v>
      </c>
      <c r="G270" s="12" t="n">
        <v>2557.8</v>
      </c>
      <c r="H270" s="13" t="n">
        <v>0.1458</v>
      </c>
      <c r="I270" s="13" t="n">
        <v>0.1036</v>
      </c>
    </row>
    <row r="271">
      <c r="A271" s="10" t="inlineStr">
        <is>
          <t>PJ-2020-C</t>
        </is>
      </c>
      <c r="B271" s="10" t="inlineStr">
        <is>
          <t>位置合わせ(MS学習値)</t>
        </is>
      </c>
      <c r="C271" s="10" t="inlineStr">
        <is>
          <t>2021-03</t>
        </is>
      </c>
      <c r="D271" s="10" t="n">
        <v>9</v>
      </c>
      <c r="E271" s="12" t="n">
        <v>8735.5</v>
      </c>
      <c r="F271" s="12" t="n">
        <v>7859.7</v>
      </c>
      <c r="G271" s="12" t="n">
        <v>875.8</v>
      </c>
      <c r="H271" s="13" t="n">
        <v>0.1763</v>
      </c>
      <c r="I271" s="13" t="n">
        <v>0.1311</v>
      </c>
    </row>
    <row r="272">
      <c r="A272" s="10" t="inlineStr">
        <is>
          <t>PJ-2020-C</t>
        </is>
      </c>
      <c r="B272" s="10" t="inlineStr">
        <is>
          <t>位置合わせ(MS学習値)</t>
        </is>
      </c>
      <c r="C272" s="10" t="inlineStr">
        <is>
          <t>2021-04</t>
        </is>
      </c>
      <c r="D272" s="10" t="n">
        <v>10</v>
      </c>
      <c r="E272" s="12" t="n">
        <v>9105.799999999999</v>
      </c>
      <c r="F272" s="12" t="n">
        <v>12717.7</v>
      </c>
      <c r="G272" s="12" t="n">
        <v>-3611.9</v>
      </c>
      <c r="H272" s="13" t="n">
        <v>0.2081</v>
      </c>
      <c r="I272" s="13" t="n">
        <v>0.1755</v>
      </c>
    </row>
    <row r="273">
      <c r="A273" s="10" t="inlineStr">
        <is>
          <t>PJ-2020-C</t>
        </is>
      </c>
      <c r="B273" s="10" t="inlineStr">
        <is>
          <t>位置合わせ(MS学習値)</t>
        </is>
      </c>
      <c r="C273" s="10" t="inlineStr">
        <is>
          <t>2021-05</t>
        </is>
      </c>
      <c r="D273" s="10" t="n">
        <v>11</v>
      </c>
      <c r="E273" s="12" t="n">
        <v>10073</v>
      </c>
      <c r="F273" s="12" t="n">
        <v>13948.9</v>
      </c>
      <c r="G273" s="12" t="n">
        <v>-3875.9</v>
      </c>
      <c r="H273" s="13" t="n">
        <v>0.2433</v>
      </c>
      <c r="I273" s="13" t="n">
        <v>0.2243</v>
      </c>
    </row>
    <row r="274">
      <c r="A274" s="10" t="inlineStr">
        <is>
          <t>PJ-2020-C</t>
        </is>
      </c>
      <c r="B274" s="10" t="inlineStr">
        <is>
          <t>位置合わせ(MS学習値)</t>
        </is>
      </c>
      <c r="C274" s="10" t="inlineStr">
        <is>
          <t>2021-06</t>
        </is>
      </c>
      <c r="D274" s="10" t="n">
        <v>12</v>
      </c>
      <c r="E274" s="12" t="n">
        <v>10384.9</v>
      </c>
      <c r="F274" s="12" t="n">
        <v>14213.1</v>
      </c>
      <c r="G274" s="12" t="n">
        <v>-3828.2</v>
      </c>
      <c r="H274" s="13" t="n">
        <v>0.2796</v>
      </c>
      <c r="I274" s="13" t="n">
        <v>0.2739</v>
      </c>
    </row>
    <row r="275">
      <c r="A275" s="10" t="inlineStr">
        <is>
          <t>PJ-2020-C</t>
        </is>
      </c>
      <c r="B275" s="10" t="inlineStr">
        <is>
          <t>位置合わせ(MS学習値)</t>
        </is>
      </c>
      <c r="C275" s="10" t="inlineStr">
        <is>
          <t>2021-07</t>
        </is>
      </c>
      <c r="D275" s="10" t="n">
        <v>13</v>
      </c>
      <c r="E275" s="12" t="n">
        <v>12257.8</v>
      </c>
      <c r="F275" s="12" t="n">
        <v>18246.8</v>
      </c>
      <c r="G275" s="12" t="n">
        <v>-5989</v>
      </c>
      <c r="H275" s="13" t="n">
        <v>0.3224</v>
      </c>
      <c r="I275" s="13" t="n">
        <v>0.3377</v>
      </c>
    </row>
    <row r="276">
      <c r="A276" s="10" t="inlineStr">
        <is>
          <t>PJ-2020-C</t>
        </is>
      </c>
      <c r="B276" s="10" t="inlineStr">
        <is>
          <t>位置合わせ(MS学習値)</t>
        </is>
      </c>
      <c r="C276" s="10" t="inlineStr">
        <is>
          <t>2021-08</t>
        </is>
      </c>
      <c r="D276" s="10" t="n">
        <v>14</v>
      </c>
      <c r="E276" s="12" t="n">
        <v>13950</v>
      </c>
      <c r="F276" s="12" t="n">
        <v>21174.7</v>
      </c>
      <c r="G276" s="12" t="n">
        <v>-7224.7</v>
      </c>
      <c r="H276" s="13" t="n">
        <v>0.3712</v>
      </c>
      <c r="I276" s="13" t="n">
        <v>0.4117</v>
      </c>
    </row>
    <row r="277">
      <c r="A277" s="10" t="inlineStr">
        <is>
          <t>PJ-2020-C</t>
        </is>
      </c>
      <c r="B277" s="10" t="inlineStr">
        <is>
          <t>位置合わせ(MS学習値)</t>
        </is>
      </c>
      <c r="C277" s="10" t="inlineStr">
        <is>
          <t>2021-09</t>
        </is>
      </c>
      <c r="D277" s="10" t="n">
        <v>15</v>
      </c>
      <c r="E277" s="12" t="n">
        <v>14775.8</v>
      </c>
      <c r="F277" s="12" t="n">
        <v>14994.8</v>
      </c>
      <c r="G277" s="12" t="n">
        <v>-219</v>
      </c>
      <c r="H277" s="13" t="n">
        <v>0.4228</v>
      </c>
      <c r="I277" s="13" t="n">
        <v>0.4641</v>
      </c>
    </row>
    <row r="278">
      <c r="A278" s="10" t="inlineStr">
        <is>
          <t>PJ-2020-C</t>
        </is>
      </c>
      <c r="B278" s="10" t="inlineStr">
        <is>
          <t>位置合わせ(MS学習値)</t>
        </is>
      </c>
      <c r="C278" s="10" t="inlineStr">
        <is>
          <t>2021-10</t>
        </is>
      </c>
      <c r="D278" s="10" t="n">
        <v>16</v>
      </c>
      <c r="E278" s="12" t="n">
        <v>15270.1</v>
      </c>
      <c r="F278" s="12" t="n">
        <v>11071.4</v>
      </c>
      <c r="G278" s="12" t="n">
        <v>4198.7</v>
      </c>
      <c r="H278" s="13" t="n">
        <v>0.4762</v>
      </c>
      <c r="I278" s="13" t="n">
        <v>0.5028</v>
      </c>
    </row>
    <row r="279">
      <c r="A279" s="10" t="inlineStr">
        <is>
          <t>PJ-2020-C</t>
        </is>
      </c>
      <c r="B279" s="10" t="inlineStr">
        <is>
          <t>位置合わせ(MS学習値)</t>
        </is>
      </c>
      <c r="C279" s="10" t="inlineStr">
        <is>
          <t>2021-11</t>
        </is>
      </c>
      <c r="D279" s="10" t="n">
        <v>17</v>
      </c>
      <c r="E279" s="12" t="n">
        <v>13666.6</v>
      </c>
      <c r="F279" s="12" t="n">
        <v>10739.1</v>
      </c>
      <c r="G279" s="12" t="n">
        <v>2927.5</v>
      </c>
      <c r="H279" s="13" t="n">
        <v>0.5239</v>
      </c>
      <c r="I279" s="13" t="n">
        <v>0.5403</v>
      </c>
    </row>
    <row r="280">
      <c r="A280" s="10" t="inlineStr">
        <is>
          <t>PJ-2020-C</t>
        </is>
      </c>
      <c r="B280" s="10" t="inlineStr">
        <is>
          <t>位置合わせ(MS学習値)</t>
        </is>
      </c>
      <c r="C280" s="10" t="inlineStr">
        <is>
          <t>2021-12</t>
        </is>
      </c>
      <c r="D280" s="10" t="n">
        <v>18</v>
      </c>
      <c r="E280" s="12" t="n">
        <v>13098</v>
      </c>
      <c r="F280" s="12" t="n">
        <v>9595.799999999999</v>
      </c>
      <c r="G280" s="12" t="n">
        <v>3502.2</v>
      </c>
      <c r="H280" s="13" t="n">
        <v>0.5697</v>
      </c>
      <c r="I280" s="13" t="n">
        <v>0.5738</v>
      </c>
    </row>
    <row r="281">
      <c r="A281" s="10" t="inlineStr">
        <is>
          <t>PJ-2020-C</t>
        </is>
      </c>
      <c r="B281" s="10" t="inlineStr">
        <is>
          <t>位置合わせ(MS学習値)</t>
        </is>
      </c>
      <c r="C281" s="10" t="inlineStr">
        <is>
          <t>2022-01</t>
        </is>
      </c>
      <c r="D281" s="10" t="n">
        <v>19</v>
      </c>
      <c r="E281" s="12" t="n">
        <v>12349.6</v>
      </c>
      <c r="F281" s="12" t="n">
        <v>9687.200000000001</v>
      </c>
      <c r="G281" s="12" t="n">
        <v>2662.4</v>
      </c>
      <c r="H281" s="13" t="n">
        <v>0.6128</v>
      </c>
      <c r="I281" s="13" t="n">
        <v>0.6077</v>
      </c>
    </row>
    <row r="282">
      <c r="A282" s="10" t="inlineStr">
        <is>
          <t>PJ-2020-C</t>
        </is>
      </c>
      <c r="B282" s="10" t="inlineStr">
        <is>
          <t>位置合わせ(MS学習値)</t>
        </is>
      </c>
      <c r="C282" s="10" t="inlineStr">
        <is>
          <t>2022-02</t>
        </is>
      </c>
      <c r="D282" s="10" t="n">
        <v>20</v>
      </c>
      <c r="E282" s="12" t="n">
        <v>11249.5</v>
      </c>
      <c r="F282" s="12" t="n">
        <v>8168.5</v>
      </c>
      <c r="G282" s="12" t="n">
        <v>3081</v>
      </c>
      <c r="H282" s="13" t="n">
        <v>0.6521</v>
      </c>
      <c r="I282" s="13" t="n">
        <v>0.6362</v>
      </c>
    </row>
    <row r="283">
      <c r="A283" s="10" t="inlineStr">
        <is>
          <t>PJ-2020-C</t>
        </is>
      </c>
      <c r="B283" s="10" t="inlineStr">
        <is>
          <t>位置合わせ(MS学習値)</t>
        </is>
      </c>
      <c r="C283" s="10" t="inlineStr">
        <is>
          <t>2022-03</t>
        </is>
      </c>
      <c r="D283" s="10" t="n">
        <v>21</v>
      </c>
      <c r="E283" s="12" t="n">
        <v>13192.7</v>
      </c>
      <c r="F283" s="12" t="n">
        <v>9141.200000000001</v>
      </c>
      <c r="G283" s="12" t="n">
        <v>4051.5</v>
      </c>
      <c r="H283" s="13" t="n">
        <v>0.6982</v>
      </c>
      <c r="I283" s="13" t="n">
        <v>0.6681</v>
      </c>
    </row>
    <row r="284">
      <c r="A284" s="10" t="inlineStr">
        <is>
          <t>PJ-2020-C</t>
        </is>
      </c>
      <c r="B284" s="10" t="inlineStr">
        <is>
          <t>位置合わせ(MS学習値)</t>
        </is>
      </c>
      <c r="C284" s="10" t="inlineStr">
        <is>
          <t>2022-04</t>
        </is>
      </c>
      <c r="D284" s="10" t="n">
        <v>22</v>
      </c>
      <c r="E284" s="12" t="n">
        <v>14079.6</v>
      </c>
      <c r="F284" s="12" t="n">
        <v>10300.2</v>
      </c>
      <c r="G284" s="12" t="n">
        <v>3779.4</v>
      </c>
      <c r="H284" s="13" t="n">
        <v>0.7474</v>
      </c>
      <c r="I284" s="13" t="n">
        <v>0.7040999999999999</v>
      </c>
    </row>
    <row r="285">
      <c r="A285" s="10" t="inlineStr">
        <is>
          <t>PJ-2020-C</t>
        </is>
      </c>
      <c r="B285" s="10" t="inlineStr">
        <is>
          <t>位置合わせ(MS学習値)</t>
        </is>
      </c>
      <c r="C285" s="10" t="inlineStr">
        <is>
          <t>2022-05</t>
        </is>
      </c>
      <c r="D285" s="10" t="n">
        <v>23</v>
      </c>
      <c r="E285" s="12" t="n">
        <v>15995.7</v>
      </c>
      <c r="F285" s="12" t="n">
        <v>11913.8</v>
      </c>
      <c r="G285" s="12" t="n">
        <v>4081.9</v>
      </c>
      <c r="H285" s="13" t="n">
        <v>0.8033</v>
      </c>
      <c r="I285" s="13" t="n">
        <v>0.7458</v>
      </c>
    </row>
    <row r="286">
      <c r="A286" s="10" t="inlineStr">
        <is>
          <t>PJ-2020-C</t>
        </is>
      </c>
      <c r="B286" s="10" t="inlineStr">
        <is>
          <t>位置合わせ(MS学習値)</t>
        </is>
      </c>
      <c r="C286" s="10" t="inlineStr">
        <is>
          <t>2022-06</t>
        </is>
      </c>
      <c r="D286" s="10" t="n">
        <v>24</v>
      </c>
      <c r="E286" s="12" t="n">
        <v>15305.7</v>
      </c>
      <c r="F286" s="12" t="n">
        <v>12526.3</v>
      </c>
      <c r="G286" s="12" t="n">
        <v>2779.4</v>
      </c>
      <c r="H286" s="13" t="n">
        <v>0.8568</v>
      </c>
      <c r="I286" s="13" t="n">
        <v>0.7895</v>
      </c>
    </row>
    <row r="287">
      <c r="A287" s="10" t="inlineStr">
        <is>
          <t>PJ-2020-C</t>
        </is>
      </c>
      <c r="B287" s="10" t="inlineStr">
        <is>
          <t>位置合わせ(MS学習値)</t>
        </is>
      </c>
      <c r="C287" s="10" t="inlineStr">
        <is>
          <t>2022-07</t>
        </is>
      </c>
      <c r="D287" s="10" t="n">
        <v>25</v>
      </c>
      <c r="E287" s="12" t="n">
        <v>12441.8</v>
      </c>
      <c r="F287" s="12" t="n">
        <v>16872.5</v>
      </c>
      <c r="G287" s="12" t="n">
        <v>-4430.7</v>
      </c>
      <c r="H287" s="13" t="n">
        <v>0.9003</v>
      </c>
      <c r="I287" s="13" t="n">
        <v>0.8485</v>
      </c>
    </row>
    <row r="288">
      <c r="A288" s="10" t="inlineStr">
        <is>
          <t>PJ-2020-C</t>
        </is>
      </c>
      <c r="B288" s="10" t="inlineStr">
        <is>
          <t>位置合わせ(MS学習値)</t>
        </is>
      </c>
      <c r="C288" s="10" t="inlineStr">
        <is>
          <t>2022-08</t>
        </is>
      </c>
      <c r="D288" s="10" t="n">
        <v>26</v>
      </c>
      <c r="E288" s="12" t="n">
        <v>9105.4</v>
      </c>
      <c r="F288" s="12" t="n">
        <v>14638.5</v>
      </c>
      <c r="G288" s="12" t="n">
        <v>-5533.1</v>
      </c>
      <c r="H288" s="13" t="n">
        <v>0.9321</v>
      </c>
      <c r="I288" s="13" t="n">
        <v>0.8996</v>
      </c>
    </row>
    <row r="289">
      <c r="A289" s="10" t="inlineStr">
        <is>
          <t>PJ-2020-C</t>
        </is>
      </c>
      <c r="B289" s="10" t="inlineStr">
        <is>
          <t>位置合わせ(MS学習値)</t>
        </is>
      </c>
      <c r="C289" s="10" t="inlineStr">
        <is>
          <t>2022-09</t>
        </is>
      </c>
      <c r="D289" s="10" t="n">
        <v>27</v>
      </c>
      <c r="E289" s="12" t="n">
        <v>7358.1</v>
      </c>
      <c r="F289" s="12" t="n">
        <v>10326.6</v>
      </c>
      <c r="G289" s="12" t="n">
        <v>-2968.5</v>
      </c>
      <c r="H289" s="13" t="n">
        <v>0.9578</v>
      </c>
      <c r="I289" s="13" t="n">
        <v>0.9357</v>
      </c>
    </row>
    <row r="290">
      <c r="A290" s="10" t="inlineStr">
        <is>
          <t>PJ-2020-C</t>
        </is>
      </c>
      <c r="B290" s="10" t="inlineStr">
        <is>
          <t>位置合わせ(MS学習値)</t>
        </is>
      </c>
      <c r="C290" s="10" t="inlineStr">
        <is>
          <t>2022-10</t>
        </is>
      </c>
      <c r="D290" s="10" t="n">
        <v>28</v>
      </c>
      <c r="E290" s="12" t="n">
        <v>6517.3</v>
      </c>
      <c r="F290" s="12" t="n">
        <v>9038.200000000001</v>
      </c>
      <c r="G290" s="12" t="n">
        <v>-2520.9</v>
      </c>
      <c r="H290" s="13" t="n">
        <v>0.9806</v>
      </c>
      <c r="I290" s="13" t="n">
        <v>0.9673</v>
      </c>
    </row>
    <row r="291">
      <c r="A291" s="10" t="inlineStr">
        <is>
          <t>PJ-2020-C</t>
        </is>
      </c>
      <c r="B291" s="10" t="inlineStr">
        <is>
          <t>位置合わせ(MS学習値)</t>
        </is>
      </c>
      <c r="C291" s="10" t="inlineStr">
        <is>
          <t>2022-11</t>
        </is>
      </c>
      <c r="D291" s="10" t="n">
        <v>29</v>
      </c>
      <c r="E291" s="12" t="n">
        <v>3663.2</v>
      </c>
      <c r="F291" s="12" t="n">
        <v>7111.2</v>
      </c>
      <c r="G291" s="12" t="n">
        <v>-3448</v>
      </c>
      <c r="H291" s="13" t="n">
        <v>0.9933999999999999</v>
      </c>
      <c r="I291" s="13" t="n">
        <v>0.9921</v>
      </c>
    </row>
    <row r="292">
      <c r="A292" s="10" t="inlineStr">
        <is>
          <t>PJ-2020-C</t>
        </is>
      </c>
      <c r="B292" s="10" t="inlineStr">
        <is>
          <t>位置合わせ(MS学習値)</t>
        </is>
      </c>
      <c r="C292" s="10" t="inlineStr">
        <is>
          <t>2022-12</t>
        </is>
      </c>
      <c r="D292" s="10" t="n">
        <v>30</v>
      </c>
      <c r="E292" s="12" t="n">
        <v>1891</v>
      </c>
      <c r="F292" s="12" t="n">
        <v>2247.6</v>
      </c>
      <c r="G292" s="12" t="n">
        <v>-356.6</v>
      </c>
      <c r="H292" s="13" t="n">
        <v>1</v>
      </c>
      <c r="I292" s="13" t="n">
        <v>1</v>
      </c>
    </row>
    <row r="293">
      <c r="A293" s="10" t="inlineStr">
        <is>
          <t>PJ-2020-C</t>
        </is>
      </c>
      <c r="B293" s="10" t="inlineStr">
        <is>
          <t>位置合わせ(MS指定)</t>
        </is>
      </c>
      <c r="C293" s="10" t="inlineStr">
        <is>
          <t>2020-07</t>
        </is>
      </c>
      <c r="D293" s="10" t="n">
        <v>1</v>
      </c>
      <c r="E293" s="12" t="n">
        <v>2469.8</v>
      </c>
      <c r="F293" s="12" t="n">
        <v>1612.2</v>
      </c>
      <c r="G293" s="12" t="n">
        <v>857.6</v>
      </c>
      <c r="H293" s="13" t="n">
        <v>0.0086</v>
      </c>
      <c r="I293" s="13" t="n">
        <v>0.0056</v>
      </c>
    </row>
    <row r="294">
      <c r="A294" s="10" t="inlineStr">
        <is>
          <t>PJ-2020-C</t>
        </is>
      </c>
      <c r="B294" s="10" t="inlineStr">
        <is>
          <t>位置合わせ(MS指定)</t>
        </is>
      </c>
      <c r="C294" s="10" t="inlineStr">
        <is>
          <t>2020-08</t>
        </is>
      </c>
      <c r="D294" s="10" t="n">
        <v>2</v>
      </c>
      <c r="E294" s="12" t="n">
        <v>3445.9</v>
      </c>
      <c r="F294" s="12" t="n">
        <v>2706.9</v>
      </c>
      <c r="G294" s="12" t="n">
        <v>739</v>
      </c>
      <c r="H294" s="13" t="n">
        <v>0.0207</v>
      </c>
      <c r="I294" s="13" t="n">
        <v>0.0151</v>
      </c>
    </row>
    <row r="295">
      <c r="A295" s="10" t="inlineStr">
        <is>
          <t>PJ-2020-C</t>
        </is>
      </c>
      <c r="B295" s="10" t="inlineStr">
        <is>
          <t>位置合わせ(MS指定)</t>
        </is>
      </c>
      <c r="C295" s="10" t="inlineStr">
        <is>
          <t>2020-09</t>
        </is>
      </c>
      <c r="D295" s="10" t="n">
        <v>3</v>
      </c>
      <c r="E295" s="12" t="n">
        <v>4643.2</v>
      </c>
      <c r="F295" s="12" t="n">
        <v>3213.5</v>
      </c>
      <c r="G295" s="12" t="n">
        <v>1429.7</v>
      </c>
      <c r="H295" s="13" t="n">
        <v>0.0369</v>
      </c>
      <c r="I295" s="13" t="n">
        <v>0.0263</v>
      </c>
    </row>
    <row r="296">
      <c r="A296" s="10" t="inlineStr">
        <is>
          <t>PJ-2020-C</t>
        </is>
      </c>
      <c r="B296" s="10" t="inlineStr">
        <is>
          <t>位置合わせ(MS指定)</t>
        </is>
      </c>
      <c r="C296" s="10" t="inlineStr">
        <is>
          <t>2020-10</t>
        </is>
      </c>
      <c r="D296" s="10" t="n">
        <v>4</v>
      </c>
      <c r="E296" s="12" t="n">
        <v>5673.2</v>
      </c>
      <c r="F296" s="12" t="n">
        <v>3772.6</v>
      </c>
      <c r="G296" s="12" t="n">
        <v>1900.6</v>
      </c>
      <c r="H296" s="13" t="n">
        <v>0.0567</v>
      </c>
      <c r="I296" s="13" t="n">
        <v>0.0395</v>
      </c>
    </row>
    <row r="297">
      <c r="A297" s="10" t="inlineStr">
        <is>
          <t>PJ-2020-C</t>
        </is>
      </c>
      <c r="B297" s="10" t="inlineStr">
        <is>
          <t>位置合わせ(MS指定)</t>
        </is>
      </c>
      <c r="C297" s="10" t="inlineStr">
        <is>
          <t>2020-11</t>
        </is>
      </c>
      <c r="D297" s="10" t="n">
        <v>5</v>
      </c>
      <c r="E297" s="12" t="n">
        <v>6356.3</v>
      </c>
      <c r="F297" s="12" t="n">
        <v>3838.1</v>
      </c>
      <c r="G297" s="12" t="n">
        <v>2518.2</v>
      </c>
      <c r="H297" s="13" t="n">
        <v>0.0789</v>
      </c>
      <c r="I297" s="13" t="n">
        <v>0.0529</v>
      </c>
    </row>
    <row r="298">
      <c r="A298" s="10" t="inlineStr">
        <is>
          <t>PJ-2020-C</t>
        </is>
      </c>
      <c r="B298" s="10" t="inlineStr">
        <is>
          <t>位置合わせ(MS指定)</t>
        </is>
      </c>
      <c r="C298" s="10" t="inlineStr">
        <is>
          <t>2020-12</t>
        </is>
      </c>
      <c r="D298" s="10" t="n">
        <v>6</v>
      </c>
      <c r="E298" s="12" t="n">
        <v>6935</v>
      </c>
      <c r="F298" s="12" t="n">
        <v>4586.7</v>
      </c>
      <c r="G298" s="12" t="n">
        <v>2348.3</v>
      </c>
      <c r="H298" s="13" t="n">
        <v>0.1032</v>
      </c>
      <c r="I298" s="13" t="n">
        <v>0.0689</v>
      </c>
    </row>
    <row r="299">
      <c r="A299" s="10" t="inlineStr">
        <is>
          <t>PJ-2020-C</t>
        </is>
      </c>
      <c r="B299" s="10" t="inlineStr">
        <is>
          <t>位置合わせ(MS指定)</t>
        </is>
      </c>
      <c r="C299" s="10" t="inlineStr">
        <is>
          <t>2021-01</t>
        </is>
      </c>
      <c r="D299" s="10" t="n">
        <v>7</v>
      </c>
      <c r="E299" s="12" t="n">
        <v>7634</v>
      </c>
      <c r="F299" s="12" t="n">
        <v>5381.8</v>
      </c>
      <c r="G299" s="12" t="n">
        <v>2252.2</v>
      </c>
      <c r="H299" s="13" t="n">
        <v>0.1298</v>
      </c>
      <c r="I299" s="13" t="n">
        <v>0.0877</v>
      </c>
    </row>
    <row r="300">
      <c r="A300" s="10" t="inlineStr">
        <is>
          <t>PJ-2020-C</t>
        </is>
      </c>
      <c r="B300" s="10" t="inlineStr">
        <is>
          <t>位置合わせ(MS指定)</t>
        </is>
      </c>
      <c r="C300" s="10" t="inlineStr">
        <is>
          <t>2021-02</t>
        </is>
      </c>
      <c r="D300" s="10" t="n">
        <v>8</v>
      </c>
      <c r="E300" s="12" t="n">
        <v>7684.9</v>
      </c>
      <c r="F300" s="12" t="n">
        <v>4542.7</v>
      </c>
      <c r="G300" s="12" t="n">
        <v>3142.2</v>
      </c>
      <c r="H300" s="13" t="n">
        <v>0.1567</v>
      </c>
      <c r="I300" s="13" t="n">
        <v>0.1036</v>
      </c>
    </row>
    <row r="301">
      <c r="A301" s="10" t="inlineStr">
        <is>
          <t>PJ-2020-C</t>
        </is>
      </c>
      <c r="B301" s="10" t="inlineStr">
        <is>
          <t>位置合わせ(MS指定)</t>
        </is>
      </c>
      <c r="C301" s="10" t="inlineStr">
        <is>
          <t>2021-03</t>
        </is>
      </c>
      <c r="D301" s="10" t="n">
        <v>9</v>
      </c>
      <c r="E301" s="12" t="n">
        <v>9444.700000000001</v>
      </c>
      <c r="F301" s="12" t="n">
        <v>7859.7</v>
      </c>
      <c r="G301" s="12" t="n">
        <v>1585</v>
      </c>
      <c r="H301" s="13" t="n">
        <v>0.1897</v>
      </c>
      <c r="I301" s="13" t="n">
        <v>0.1311</v>
      </c>
    </row>
    <row r="302">
      <c r="A302" s="10" t="inlineStr">
        <is>
          <t>PJ-2020-C</t>
        </is>
      </c>
      <c r="B302" s="10" t="inlineStr">
        <is>
          <t>位置合わせ(MS指定)</t>
        </is>
      </c>
      <c r="C302" s="10" t="inlineStr">
        <is>
          <t>2021-04</t>
        </is>
      </c>
      <c r="D302" s="10" t="n">
        <v>10</v>
      </c>
      <c r="E302" s="12" t="n">
        <v>9909.700000000001</v>
      </c>
      <c r="F302" s="12" t="n">
        <v>12717.7</v>
      </c>
      <c r="G302" s="12" t="n">
        <v>-2808</v>
      </c>
      <c r="H302" s="13" t="n">
        <v>0.2243</v>
      </c>
      <c r="I302" s="13" t="n">
        <v>0.1755</v>
      </c>
    </row>
    <row r="303">
      <c r="A303" s="10" t="inlineStr">
        <is>
          <t>PJ-2020-C</t>
        </is>
      </c>
      <c r="B303" s="10" t="inlineStr">
        <is>
          <t>位置合わせ(MS指定)</t>
        </is>
      </c>
      <c r="C303" s="10" t="inlineStr">
        <is>
          <t>2021-05</t>
        </is>
      </c>
      <c r="D303" s="10" t="n">
        <v>11</v>
      </c>
      <c r="E303" s="12" t="n">
        <v>10801.2</v>
      </c>
      <c r="F303" s="12" t="n">
        <v>13948.9</v>
      </c>
      <c r="G303" s="12" t="n">
        <v>-3147.7</v>
      </c>
      <c r="H303" s="13" t="n">
        <v>0.2621</v>
      </c>
      <c r="I303" s="13" t="n">
        <v>0.2243</v>
      </c>
    </row>
    <row r="304">
      <c r="A304" s="10" t="inlineStr">
        <is>
          <t>PJ-2020-C</t>
        </is>
      </c>
      <c r="B304" s="10" t="inlineStr">
        <is>
          <t>位置合わせ(MS指定)</t>
        </is>
      </c>
      <c r="C304" s="10" t="inlineStr">
        <is>
          <t>2021-06</t>
        </is>
      </c>
      <c r="D304" s="10" t="n">
        <v>12</v>
      </c>
      <c r="E304" s="12" t="n">
        <v>11680.8</v>
      </c>
      <c r="F304" s="12" t="n">
        <v>14213.1</v>
      </c>
      <c r="G304" s="12" t="n">
        <v>-2532.3</v>
      </c>
      <c r="H304" s="13" t="n">
        <v>0.3029</v>
      </c>
      <c r="I304" s="13" t="n">
        <v>0.2739</v>
      </c>
    </row>
    <row r="305">
      <c r="A305" s="10" t="inlineStr">
        <is>
          <t>PJ-2020-C</t>
        </is>
      </c>
      <c r="B305" s="10" t="inlineStr">
        <is>
          <t>位置合わせ(MS指定)</t>
        </is>
      </c>
      <c r="C305" s="10" t="inlineStr">
        <is>
          <t>2021-07</t>
        </is>
      </c>
      <c r="D305" s="10" t="n">
        <v>13</v>
      </c>
      <c r="E305" s="12" t="n">
        <v>13735.3</v>
      </c>
      <c r="F305" s="12" t="n">
        <v>18246.8</v>
      </c>
      <c r="G305" s="12" t="n">
        <v>-4511.5</v>
      </c>
      <c r="H305" s="13" t="n">
        <v>0.3509</v>
      </c>
      <c r="I305" s="13" t="n">
        <v>0.3377</v>
      </c>
    </row>
    <row r="306">
      <c r="A306" s="10" t="inlineStr">
        <is>
          <t>PJ-2020-C</t>
        </is>
      </c>
      <c r="B306" s="10" t="inlineStr">
        <is>
          <t>位置合わせ(MS指定)</t>
        </is>
      </c>
      <c r="C306" s="10" t="inlineStr">
        <is>
          <t>2021-08</t>
        </is>
      </c>
      <c r="D306" s="10" t="n">
        <v>14</v>
      </c>
      <c r="E306" s="12" t="n">
        <v>15690.3</v>
      </c>
      <c r="F306" s="12" t="n">
        <v>21174.7</v>
      </c>
      <c r="G306" s="12" t="n">
        <v>-5484.4</v>
      </c>
      <c r="H306" s="13" t="n">
        <v>0.4057</v>
      </c>
      <c r="I306" s="13" t="n">
        <v>0.4117</v>
      </c>
    </row>
    <row r="307">
      <c r="A307" s="10" t="inlineStr">
        <is>
          <t>PJ-2020-C</t>
        </is>
      </c>
      <c r="B307" s="10" t="inlineStr">
        <is>
          <t>位置合わせ(MS指定)</t>
        </is>
      </c>
      <c r="C307" s="10" t="inlineStr">
        <is>
          <t>2021-09</t>
        </is>
      </c>
      <c r="D307" s="10" t="n">
        <v>15</v>
      </c>
      <c r="E307" s="12" t="n">
        <v>12899.9</v>
      </c>
      <c r="F307" s="12" t="n">
        <v>14994.8</v>
      </c>
      <c r="G307" s="12" t="n">
        <v>-2094.9</v>
      </c>
      <c r="H307" s="13" t="n">
        <v>0.4508</v>
      </c>
      <c r="I307" s="13" t="n">
        <v>0.4641</v>
      </c>
    </row>
    <row r="308">
      <c r="A308" s="10" t="inlineStr">
        <is>
          <t>PJ-2020-C</t>
        </is>
      </c>
      <c r="B308" s="10" t="inlineStr">
        <is>
          <t>位置合わせ(MS指定)</t>
        </is>
      </c>
      <c r="C308" s="10" t="inlineStr">
        <is>
          <t>2021-10</t>
        </is>
      </c>
      <c r="D308" s="10" t="n">
        <v>16</v>
      </c>
      <c r="E308" s="12" t="n">
        <v>11506.5</v>
      </c>
      <c r="F308" s="12" t="n">
        <v>11071.4</v>
      </c>
      <c r="G308" s="12" t="n">
        <v>435.1</v>
      </c>
      <c r="H308" s="13" t="n">
        <v>0.491</v>
      </c>
      <c r="I308" s="13" t="n">
        <v>0.5028</v>
      </c>
    </row>
    <row r="309">
      <c r="A309" s="10" t="inlineStr">
        <is>
          <t>PJ-2020-C</t>
        </is>
      </c>
      <c r="B309" s="10" t="inlineStr">
        <is>
          <t>位置合わせ(MS指定)</t>
        </is>
      </c>
      <c r="C309" s="10" t="inlineStr">
        <is>
          <t>2021-11</t>
        </is>
      </c>
      <c r="D309" s="10" t="n">
        <v>17</v>
      </c>
      <c r="E309" s="12" t="n">
        <v>10766.5</v>
      </c>
      <c r="F309" s="12" t="n">
        <v>10739.1</v>
      </c>
      <c r="G309" s="12" t="n">
        <v>27.4</v>
      </c>
      <c r="H309" s="13" t="n">
        <v>0.5286</v>
      </c>
      <c r="I309" s="13" t="n">
        <v>0.5403</v>
      </c>
    </row>
    <row r="310">
      <c r="A310" s="10" t="inlineStr">
        <is>
          <t>PJ-2020-C</t>
        </is>
      </c>
      <c r="B310" s="10" t="inlineStr">
        <is>
          <t>位置合わせ(MS指定)</t>
        </is>
      </c>
      <c r="C310" s="10" t="inlineStr">
        <is>
          <t>2021-12</t>
        </is>
      </c>
      <c r="D310" s="10" t="n">
        <v>18</v>
      </c>
      <c r="E310" s="12" t="n">
        <v>10278.8</v>
      </c>
      <c r="F310" s="12" t="n">
        <v>9595.799999999999</v>
      </c>
      <c r="G310" s="12" t="n">
        <v>683</v>
      </c>
      <c r="H310" s="13" t="n">
        <v>0.5645</v>
      </c>
      <c r="I310" s="13" t="n">
        <v>0.5738</v>
      </c>
    </row>
    <row r="311">
      <c r="A311" s="10" t="inlineStr">
        <is>
          <t>PJ-2020-C</t>
        </is>
      </c>
      <c r="B311" s="10" t="inlineStr">
        <is>
          <t>位置合わせ(MS指定)</t>
        </is>
      </c>
      <c r="C311" s="10" t="inlineStr">
        <is>
          <t>2022-01</t>
        </is>
      </c>
      <c r="D311" s="10" t="n">
        <v>19</v>
      </c>
      <c r="E311" s="12" t="n">
        <v>9738.200000000001</v>
      </c>
      <c r="F311" s="12" t="n">
        <v>9687.200000000001</v>
      </c>
      <c r="G311" s="12" t="n">
        <v>51</v>
      </c>
      <c r="H311" s="13" t="n">
        <v>0.5985</v>
      </c>
      <c r="I311" s="13" t="n">
        <v>0.6077</v>
      </c>
    </row>
    <row r="312">
      <c r="A312" s="10" t="inlineStr">
        <is>
          <t>PJ-2020-C</t>
        </is>
      </c>
      <c r="B312" s="10" t="inlineStr">
        <is>
          <t>位置合わせ(MS指定)</t>
        </is>
      </c>
      <c r="C312" s="10" t="inlineStr">
        <is>
          <t>2022-02</t>
        </is>
      </c>
      <c r="D312" s="10" t="n">
        <v>20</v>
      </c>
      <c r="E312" s="12" t="n">
        <v>8800.9</v>
      </c>
      <c r="F312" s="12" t="n">
        <v>8168.5</v>
      </c>
      <c r="G312" s="12" t="n">
        <v>632.4</v>
      </c>
      <c r="H312" s="13" t="n">
        <v>0.6293</v>
      </c>
      <c r="I312" s="13" t="n">
        <v>0.6362</v>
      </c>
    </row>
    <row r="313">
      <c r="A313" s="10" t="inlineStr">
        <is>
          <t>PJ-2020-C</t>
        </is>
      </c>
      <c r="B313" s="10" t="inlineStr">
        <is>
          <t>位置合わせ(MS指定)</t>
        </is>
      </c>
      <c r="C313" s="10" t="inlineStr">
        <is>
          <t>2022-03</t>
        </is>
      </c>
      <c r="D313" s="10" t="n">
        <v>21</v>
      </c>
      <c r="E313" s="12" t="n">
        <v>9955.700000000001</v>
      </c>
      <c r="F313" s="12" t="n">
        <v>9141.200000000001</v>
      </c>
      <c r="G313" s="12" t="n">
        <v>814.5</v>
      </c>
      <c r="H313" s="13" t="n">
        <v>0.6641</v>
      </c>
      <c r="I313" s="13" t="n">
        <v>0.6681</v>
      </c>
    </row>
    <row r="314">
      <c r="A314" s="10" t="inlineStr">
        <is>
          <t>PJ-2020-C</t>
        </is>
      </c>
      <c r="B314" s="10" t="inlineStr">
        <is>
          <t>位置合わせ(MS指定)</t>
        </is>
      </c>
      <c r="C314" s="10" t="inlineStr">
        <is>
          <t>2022-04</t>
        </is>
      </c>
      <c r="D314" s="10" t="n">
        <v>22</v>
      </c>
      <c r="E314" s="12" t="n">
        <v>10078.7</v>
      </c>
      <c r="F314" s="12" t="n">
        <v>10300.2</v>
      </c>
      <c r="G314" s="12" t="n">
        <v>-221.5</v>
      </c>
      <c r="H314" s="13" t="n">
        <v>0.6993</v>
      </c>
      <c r="I314" s="13" t="n">
        <v>0.7040999999999999</v>
      </c>
    </row>
    <row r="315">
      <c r="A315" s="10" t="inlineStr">
        <is>
          <t>PJ-2020-C</t>
        </is>
      </c>
      <c r="B315" s="10" t="inlineStr">
        <is>
          <t>位置合わせ(MS指定)</t>
        </is>
      </c>
      <c r="C315" s="10" t="inlineStr">
        <is>
          <t>2022-05</t>
        </is>
      </c>
      <c r="D315" s="10" t="n">
        <v>23</v>
      </c>
      <c r="E315" s="12" t="n">
        <v>11395.5</v>
      </c>
      <c r="F315" s="12" t="n">
        <v>11913.8</v>
      </c>
      <c r="G315" s="12" t="n">
        <v>-518.3</v>
      </c>
      <c r="H315" s="13" t="n">
        <v>0.7391</v>
      </c>
      <c r="I315" s="13" t="n">
        <v>0.7458</v>
      </c>
    </row>
    <row r="316">
      <c r="A316" s="10" t="inlineStr">
        <is>
          <t>PJ-2020-C</t>
        </is>
      </c>
      <c r="B316" s="10" t="inlineStr">
        <is>
          <t>位置合わせ(MS指定)</t>
        </is>
      </c>
      <c r="C316" s="10" t="inlineStr">
        <is>
          <t>2022-06</t>
        </is>
      </c>
      <c r="D316" s="10" t="n">
        <v>24</v>
      </c>
      <c r="E316" s="12" t="n">
        <v>12062.2</v>
      </c>
      <c r="F316" s="12" t="n">
        <v>12526.3</v>
      </c>
      <c r="G316" s="12" t="n">
        <v>-464.1</v>
      </c>
      <c r="H316" s="13" t="n">
        <v>0.7813</v>
      </c>
      <c r="I316" s="13" t="n">
        <v>0.7895</v>
      </c>
    </row>
    <row r="317">
      <c r="A317" s="10" t="inlineStr">
        <is>
          <t>PJ-2020-C</t>
        </is>
      </c>
      <c r="B317" s="10" t="inlineStr">
        <is>
          <t>位置合わせ(MS指定)</t>
        </is>
      </c>
      <c r="C317" s="10" t="inlineStr">
        <is>
          <t>2022-07</t>
        </is>
      </c>
      <c r="D317" s="10" t="n">
        <v>25</v>
      </c>
      <c r="E317" s="12" t="n">
        <v>17126.6</v>
      </c>
      <c r="F317" s="12" t="n">
        <v>16872.5</v>
      </c>
      <c r="G317" s="12" t="n">
        <v>254.1</v>
      </c>
      <c r="H317" s="13" t="n">
        <v>0.8411</v>
      </c>
      <c r="I317" s="13" t="n">
        <v>0.8485</v>
      </c>
    </row>
    <row r="318">
      <c r="A318" s="10" t="inlineStr">
        <is>
          <t>PJ-2020-C</t>
        </is>
      </c>
      <c r="B318" s="10" t="inlineStr">
        <is>
          <t>位置合わせ(MS指定)</t>
        </is>
      </c>
      <c r="C318" s="10" t="inlineStr">
        <is>
          <t>2022-08</t>
        </is>
      </c>
      <c r="D318" s="10" t="n">
        <v>26</v>
      </c>
      <c r="E318" s="12" t="n">
        <v>15751.2</v>
      </c>
      <c r="F318" s="12" t="n">
        <v>14638.5</v>
      </c>
      <c r="G318" s="12" t="n">
        <v>1112.7</v>
      </c>
      <c r="H318" s="13" t="n">
        <v>0.8961</v>
      </c>
      <c r="I318" s="13" t="n">
        <v>0.8996</v>
      </c>
    </row>
    <row r="319">
      <c r="A319" s="10" t="inlineStr">
        <is>
          <t>PJ-2020-C</t>
        </is>
      </c>
      <c r="B319" s="10" t="inlineStr">
        <is>
          <t>位置合わせ(MS指定)</t>
        </is>
      </c>
      <c r="C319" s="10" t="inlineStr">
        <is>
          <t>2022-09</t>
        </is>
      </c>
      <c r="D319" s="10" t="n">
        <v>27</v>
      </c>
      <c r="E319" s="12" t="n">
        <v>10476.7</v>
      </c>
      <c r="F319" s="12" t="n">
        <v>10326.6</v>
      </c>
      <c r="G319" s="12" t="n">
        <v>150.1</v>
      </c>
      <c r="H319" s="13" t="n">
        <v>0.9327</v>
      </c>
      <c r="I319" s="13" t="n">
        <v>0.9357</v>
      </c>
    </row>
    <row r="320">
      <c r="A320" s="10" t="inlineStr">
        <is>
          <t>PJ-2020-C</t>
        </is>
      </c>
      <c r="B320" s="10" t="inlineStr">
        <is>
          <t>位置合わせ(MS指定)</t>
        </is>
      </c>
      <c r="C320" s="10" t="inlineStr">
        <is>
          <t>2022-10</t>
        </is>
      </c>
      <c r="D320" s="10" t="n">
        <v>28</v>
      </c>
      <c r="E320" s="12" t="n">
        <v>8878.200000000001</v>
      </c>
      <c r="F320" s="12" t="n">
        <v>9038.200000000001</v>
      </c>
      <c r="G320" s="12" t="n">
        <v>-160</v>
      </c>
      <c r="H320" s="13" t="n">
        <v>0.9638</v>
      </c>
      <c r="I320" s="13" t="n">
        <v>0.9673</v>
      </c>
    </row>
    <row r="321">
      <c r="A321" s="10" t="inlineStr">
        <is>
          <t>PJ-2020-C</t>
        </is>
      </c>
      <c r="B321" s="10" t="inlineStr">
        <is>
          <t>位置合わせ(MS指定)</t>
        </is>
      </c>
      <c r="C321" s="10" t="inlineStr">
        <is>
          <t>2022-11</t>
        </is>
      </c>
      <c r="D321" s="10" t="n">
        <v>29</v>
      </c>
      <c r="E321" s="12" t="n">
        <v>7261.7</v>
      </c>
      <c r="F321" s="12" t="n">
        <v>7111.2</v>
      </c>
      <c r="G321" s="12" t="n">
        <v>150.5</v>
      </c>
      <c r="H321" s="13" t="n">
        <v>0.9891</v>
      </c>
      <c r="I321" s="13" t="n">
        <v>0.9921</v>
      </c>
    </row>
    <row r="322">
      <c r="A322" s="10" t="inlineStr">
        <is>
          <t>PJ-2020-C</t>
        </is>
      </c>
      <c r="B322" s="10" t="inlineStr">
        <is>
          <t>位置合わせ(MS指定)</t>
        </is>
      </c>
      <c r="C322" s="10" t="inlineStr">
        <is>
          <t>2022-12</t>
        </is>
      </c>
      <c r="D322" s="10" t="n">
        <v>30</v>
      </c>
      <c r="E322" s="12" t="n">
        <v>3106.5</v>
      </c>
      <c r="F322" s="12" t="n">
        <v>2247.6</v>
      </c>
      <c r="G322" s="12" t="n">
        <v>858.9</v>
      </c>
      <c r="H322" s="13" t="n">
        <v>1</v>
      </c>
      <c r="I322" s="13" t="n">
        <v>1</v>
      </c>
    </row>
    <row r="323">
      <c r="A323" s="10" t="inlineStr">
        <is>
          <t>PJ-2021-D</t>
        </is>
      </c>
      <c r="B323" s="10" t="inlineStr">
        <is>
          <t>素朴版</t>
        </is>
      </c>
      <c r="C323" s="10" t="inlineStr">
        <is>
          <t>2021-04</t>
        </is>
      </c>
      <c r="D323" s="10" t="n">
        <v>1</v>
      </c>
      <c r="E323" s="12" t="n">
        <v>1578.2</v>
      </c>
      <c r="F323" s="12" t="n">
        <v>1319.9</v>
      </c>
      <c r="G323" s="12" t="n">
        <v>258.3</v>
      </c>
      <c r="H323" s="13" t="n">
        <v>0.0188</v>
      </c>
      <c r="I323" s="13" t="n">
        <v>0.0157</v>
      </c>
    </row>
    <row r="324">
      <c r="A324" s="10" t="inlineStr">
        <is>
          <t>PJ-2021-D</t>
        </is>
      </c>
      <c r="B324" s="10" t="inlineStr">
        <is>
          <t>素朴版</t>
        </is>
      </c>
      <c r="C324" s="10" t="inlineStr">
        <is>
          <t>2021-05</t>
        </is>
      </c>
      <c r="D324" s="10" t="n">
        <v>2</v>
      </c>
      <c r="E324" s="12" t="n">
        <v>2850</v>
      </c>
      <c r="F324" s="12" t="n">
        <v>2716.7</v>
      </c>
      <c r="G324" s="12" t="n">
        <v>133.3</v>
      </c>
      <c r="H324" s="13" t="n">
        <v>0.0528</v>
      </c>
      <c r="I324" s="13" t="n">
        <v>0.0482</v>
      </c>
    </row>
    <row r="325">
      <c r="A325" s="10" t="inlineStr">
        <is>
          <t>PJ-2021-D</t>
        </is>
      </c>
      <c r="B325" s="10" t="inlineStr">
        <is>
          <t>素朴版</t>
        </is>
      </c>
      <c r="C325" s="10" t="inlineStr">
        <is>
          <t>2021-06</t>
        </is>
      </c>
      <c r="D325" s="10" t="n">
        <v>3</v>
      </c>
      <c r="E325" s="12" t="n">
        <v>3520.5</v>
      </c>
      <c r="F325" s="12" t="n">
        <v>3927.2</v>
      </c>
      <c r="G325" s="12" t="n">
        <v>-406.7</v>
      </c>
      <c r="H325" s="13" t="n">
        <v>0.0948</v>
      </c>
      <c r="I325" s="13" t="n">
        <v>0.095</v>
      </c>
    </row>
    <row r="326">
      <c r="A326" s="10" t="inlineStr">
        <is>
          <t>PJ-2021-D</t>
        </is>
      </c>
      <c r="B326" s="10" t="inlineStr">
        <is>
          <t>素朴版</t>
        </is>
      </c>
      <c r="C326" s="10" t="inlineStr">
        <is>
          <t>2021-07</t>
        </is>
      </c>
      <c r="D326" s="10" t="n">
        <v>4</v>
      </c>
      <c r="E326" s="12" t="n">
        <v>4452.1</v>
      </c>
      <c r="F326" s="12" t="n">
        <v>5518.1</v>
      </c>
      <c r="G326" s="12" t="n">
        <v>-1066</v>
      </c>
      <c r="H326" s="13" t="n">
        <v>0.148</v>
      </c>
      <c r="I326" s="13" t="n">
        <v>0.1609</v>
      </c>
    </row>
    <row r="327">
      <c r="A327" s="10" t="inlineStr">
        <is>
          <t>PJ-2021-D</t>
        </is>
      </c>
      <c r="B327" s="10" t="inlineStr">
        <is>
          <t>素朴版</t>
        </is>
      </c>
      <c r="C327" s="10" t="inlineStr">
        <is>
          <t>2021-08</t>
        </is>
      </c>
      <c r="D327" s="10" t="n">
        <v>5</v>
      </c>
      <c r="E327" s="12" t="n">
        <v>5551.7</v>
      </c>
      <c r="F327" s="12" t="n">
        <v>7112.9</v>
      </c>
      <c r="G327" s="12" t="n">
        <v>-1561.2</v>
      </c>
      <c r="H327" s="13" t="n">
        <v>0.2142</v>
      </c>
      <c r="I327" s="13" t="n">
        <v>0.2457</v>
      </c>
    </row>
    <row r="328">
      <c r="A328" s="10" t="inlineStr">
        <is>
          <t>PJ-2021-D</t>
        </is>
      </c>
      <c r="B328" s="10" t="inlineStr">
        <is>
          <t>素朴版</t>
        </is>
      </c>
      <c r="C328" s="10" t="inlineStr">
        <is>
          <t>2021-09</t>
        </is>
      </c>
      <c r="D328" s="10" t="n">
        <v>6</v>
      </c>
      <c r="E328" s="12" t="n">
        <v>6606</v>
      </c>
      <c r="F328" s="12" t="n">
        <v>8735.9</v>
      </c>
      <c r="G328" s="12" t="n">
        <v>-2129.9</v>
      </c>
      <c r="H328" s="13" t="n">
        <v>0.293</v>
      </c>
      <c r="I328" s="13" t="n">
        <v>0.35</v>
      </c>
    </row>
    <row r="329">
      <c r="A329" s="10" t="inlineStr">
        <is>
          <t>PJ-2021-D</t>
        </is>
      </c>
      <c r="B329" s="10" t="inlineStr">
        <is>
          <t>素朴版</t>
        </is>
      </c>
      <c r="C329" s="10" t="inlineStr">
        <is>
          <t>2021-10</t>
        </is>
      </c>
      <c r="D329" s="10" t="n">
        <v>7</v>
      </c>
      <c r="E329" s="12" t="n">
        <v>7585.3</v>
      </c>
      <c r="F329" s="12" t="n">
        <v>8230.9</v>
      </c>
      <c r="G329" s="12" t="n">
        <v>-645.6</v>
      </c>
      <c r="H329" s="13" t="n">
        <v>0.3835</v>
      </c>
      <c r="I329" s="13" t="n">
        <v>0.4482</v>
      </c>
    </row>
    <row r="330">
      <c r="A330" s="10" t="inlineStr">
        <is>
          <t>PJ-2021-D</t>
        </is>
      </c>
      <c r="B330" s="10" t="inlineStr">
        <is>
          <t>素朴版</t>
        </is>
      </c>
      <c r="C330" s="10" t="inlineStr">
        <is>
          <t>2021-11</t>
        </is>
      </c>
      <c r="D330" s="10" t="n">
        <v>8</v>
      </c>
      <c r="E330" s="12" t="n">
        <v>6830.6</v>
      </c>
      <c r="F330" s="12" t="n">
        <v>6763.6</v>
      </c>
      <c r="G330" s="12" t="n">
        <v>67</v>
      </c>
      <c r="H330" s="13" t="n">
        <v>0.4651</v>
      </c>
      <c r="I330" s="13" t="n">
        <v>0.5289</v>
      </c>
    </row>
    <row r="331">
      <c r="A331" s="10" t="inlineStr">
        <is>
          <t>PJ-2021-D</t>
        </is>
      </c>
      <c r="B331" s="10" t="inlineStr">
        <is>
          <t>素朴版</t>
        </is>
      </c>
      <c r="C331" s="10" t="inlineStr">
        <is>
          <t>2021-12</t>
        </is>
      </c>
      <c r="D331" s="10" t="n">
        <v>9</v>
      </c>
      <c r="E331" s="12" t="n">
        <v>7148.6</v>
      </c>
      <c r="F331" s="12" t="n">
        <v>6250.4</v>
      </c>
      <c r="G331" s="12" t="n">
        <v>898.2</v>
      </c>
      <c r="H331" s="13" t="n">
        <v>0.5504</v>
      </c>
      <c r="I331" s="13" t="n">
        <v>0.6035</v>
      </c>
    </row>
    <row r="332">
      <c r="A332" s="10" t="inlineStr">
        <is>
          <t>PJ-2021-D</t>
        </is>
      </c>
      <c r="B332" s="10" t="inlineStr">
        <is>
          <t>素朴版</t>
        </is>
      </c>
      <c r="C332" s="10" t="inlineStr">
        <is>
          <t>2022-01</t>
        </is>
      </c>
      <c r="D332" s="10" t="n">
        <v>10</v>
      </c>
      <c r="E332" s="12" t="n">
        <v>8261.1</v>
      </c>
      <c r="F332" s="12" t="n">
        <v>6347.5</v>
      </c>
      <c r="G332" s="12" t="n">
        <v>1913.6</v>
      </c>
      <c r="H332" s="13" t="n">
        <v>0.6489</v>
      </c>
      <c r="I332" s="13" t="n">
        <v>0.6792</v>
      </c>
    </row>
    <row r="333">
      <c r="A333" s="10" t="inlineStr">
        <is>
          <t>PJ-2021-D</t>
        </is>
      </c>
      <c r="B333" s="10" t="inlineStr">
        <is>
          <t>素朴版</t>
        </is>
      </c>
      <c r="C333" s="10" t="inlineStr">
        <is>
          <t>2022-02</t>
        </is>
      </c>
      <c r="D333" s="10" t="n">
        <v>11</v>
      </c>
      <c r="E333" s="12" t="n">
        <v>7706.5</v>
      </c>
      <c r="F333" s="12" t="n">
        <v>8307.9</v>
      </c>
      <c r="G333" s="12" t="n">
        <v>-601.4</v>
      </c>
      <c r="H333" s="13" t="n">
        <v>0.7409</v>
      </c>
      <c r="I333" s="13" t="n">
        <v>0.7784</v>
      </c>
    </row>
    <row r="334">
      <c r="A334" s="10" t="inlineStr">
        <is>
          <t>PJ-2021-D</t>
        </is>
      </c>
      <c r="B334" s="10" t="inlineStr">
        <is>
          <t>素朴版</t>
        </is>
      </c>
      <c r="C334" s="10" t="inlineStr">
        <is>
          <t>2022-03</t>
        </is>
      </c>
      <c r="D334" s="10" t="n">
        <v>12</v>
      </c>
      <c r="E334" s="12" t="n">
        <v>8988.6</v>
      </c>
      <c r="F334" s="12" t="n">
        <v>7912.3</v>
      </c>
      <c r="G334" s="12" t="n">
        <v>1076.3</v>
      </c>
      <c r="H334" s="13" t="n">
        <v>0.8481</v>
      </c>
      <c r="I334" s="13" t="n">
        <v>0.8728</v>
      </c>
    </row>
    <row r="335">
      <c r="A335" s="10" t="inlineStr">
        <is>
          <t>PJ-2021-D</t>
        </is>
      </c>
      <c r="B335" s="10" t="inlineStr">
        <is>
          <t>素朴版</t>
        </is>
      </c>
      <c r="C335" s="10" t="inlineStr">
        <is>
          <t>2022-04</t>
        </is>
      </c>
      <c r="D335" s="10" t="n">
        <v>13</v>
      </c>
      <c r="E335" s="12" t="n">
        <v>6661.6</v>
      </c>
      <c r="F335" s="12" t="n">
        <v>4427.7</v>
      </c>
      <c r="G335" s="12" t="n">
        <v>2233.9</v>
      </c>
      <c r="H335" s="13" t="n">
        <v>0.9276</v>
      </c>
      <c r="I335" s="13" t="n">
        <v>0.9256</v>
      </c>
    </row>
    <row r="336">
      <c r="A336" s="10" t="inlineStr">
        <is>
          <t>PJ-2021-D</t>
        </is>
      </c>
      <c r="B336" s="10" t="inlineStr">
        <is>
          <t>素朴版</t>
        </is>
      </c>
      <c r="C336" s="10" t="inlineStr">
        <is>
          <t>2022-05</t>
        </is>
      </c>
      <c r="D336" s="10" t="n">
        <v>14</v>
      </c>
      <c r="E336" s="12" t="n">
        <v>4337.8</v>
      </c>
      <c r="F336" s="12" t="n">
        <v>4297.3</v>
      </c>
      <c r="G336" s="12" t="n">
        <v>40.5</v>
      </c>
      <c r="H336" s="13" t="n">
        <v>0.9794</v>
      </c>
      <c r="I336" s="13" t="n">
        <v>0.9769</v>
      </c>
    </row>
    <row r="337">
      <c r="A337" s="10" t="inlineStr">
        <is>
          <t>PJ-2021-D</t>
        </is>
      </c>
      <c r="B337" s="10" t="inlineStr">
        <is>
          <t>素朴版</t>
        </is>
      </c>
      <c r="C337" s="10" t="inlineStr">
        <is>
          <t>2022-06</t>
        </is>
      </c>
      <c r="D337" s="10" t="n">
        <v>15</v>
      </c>
      <c r="E337" s="12" t="n">
        <v>1727.8</v>
      </c>
      <c r="F337" s="12" t="n">
        <v>1937.9</v>
      </c>
      <c r="G337" s="12" t="n">
        <v>-210.1</v>
      </c>
      <c r="H337" s="13" t="n">
        <v>1</v>
      </c>
      <c r="I337" s="13" t="n">
        <v>1</v>
      </c>
    </row>
    <row r="338">
      <c r="A338" s="10" t="inlineStr">
        <is>
          <t>PJ-2021-D</t>
        </is>
      </c>
      <c r="B338" s="10" t="inlineStr">
        <is>
          <t>位置合わせ(MS学習値)</t>
        </is>
      </c>
      <c r="C338" s="10" t="inlineStr">
        <is>
          <t>2021-04</t>
        </is>
      </c>
      <c r="D338" s="10" t="n">
        <v>1</v>
      </c>
      <c r="E338" s="12" t="n">
        <v>1539.1</v>
      </c>
      <c r="F338" s="12" t="n">
        <v>1319.9</v>
      </c>
      <c r="G338" s="12" t="n">
        <v>219.2</v>
      </c>
      <c r="H338" s="13" t="n">
        <v>0.0184</v>
      </c>
      <c r="I338" s="13" t="n">
        <v>0.0157</v>
      </c>
    </row>
    <row r="339">
      <c r="A339" s="10" t="inlineStr">
        <is>
          <t>PJ-2021-D</t>
        </is>
      </c>
      <c r="B339" s="10" t="inlineStr">
        <is>
          <t>位置合わせ(MS学習値)</t>
        </is>
      </c>
      <c r="C339" s="10" t="inlineStr">
        <is>
          <t>2021-05</t>
        </is>
      </c>
      <c r="D339" s="10" t="n">
        <v>2</v>
      </c>
      <c r="E339" s="12" t="n">
        <v>2781.2</v>
      </c>
      <c r="F339" s="12" t="n">
        <v>2716.7</v>
      </c>
      <c r="G339" s="12" t="n">
        <v>64.5</v>
      </c>
      <c r="H339" s="13" t="n">
        <v>0.0516</v>
      </c>
      <c r="I339" s="13" t="n">
        <v>0.0482</v>
      </c>
    </row>
    <row r="340">
      <c r="A340" s="10" t="inlineStr">
        <is>
          <t>PJ-2021-D</t>
        </is>
      </c>
      <c r="B340" s="10" t="inlineStr">
        <is>
          <t>位置合わせ(MS学習値)</t>
        </is>
      </c>
      <c r="C340" s="10" t="inlineStr">
        <is>
          <t>2021-06</t>
        </is>
      </c>
      <c r="D340" s="10" t="n">
        <v>3</v>
      </c>
      <c r="E340" s="12" t="n">
        <v>3492.2</v>
      </c>
      <c r="F340" s="12" t="n">
        <v>3927.2</v>
      </c>
      <c r="G340" s="12" t="n">
        <v>-435</v>
      </c>
      <c r="H340" s="13" t="n">
        <v>0.09320000000000001</v>
      </c>
      <c r="I340" s="13" t="n">
        <v>0.095</v>
      </c>
    </row>
    <row r="341">
      <c r="A341" s="10" t="inlineStr">
        <is>
          <t>PJ-2021-D</t>
        </is>
      </c>
      <c r="B341" s="10" t="inlineStr">
        <is>
          <t>位置合わせ(MS学習値)</t>
        </is>
      </c>
      <c r="C341" s="10" t="inlineStr">
        <is>
          <t>2021-07</t>
        </is>
      </c>
      <c r="D341" s="10" t="n">
        <v>4</v>
      </c>
      <c r="E341" s="12" t="n">
        <v>4141.1</v>
      </c>
      <c r="F341" s="12" t="n">
        <v>5518.1</v>
      </c>
      <c r="G341" s="12" t="n">
        <v>-1377</v>
      </c>
      <c r="H341" s="13" t="n">
        <v>0.1426</v>
      </c>
      <c r="I341" s="13" t="n">
        <v>0.1609</v>
      </c>
    </row>
    <row r="342">
      <c r="A342" s="10" t="inlineStr">
        <is>
          <t>PJ-2021-D</t>
        </is>
      </c>
      <c r="B342" s="10" t="inlineStr">
        <is>
          <t>位置合わせ(MS学習値)</t>
        </is>
      </c>
      <c r="C342" s="10" t="inlineStr">
        <is>
          <t>2021-08</t>
        </is>
      </c>
      <c r="D342" s="10" t="n">
        <v>5</v>
      </c>
      <c r="E342" s="12" t="n">
        <v>5225.5</v>
      </c>
      <c r="F342" s="12" t="n">
        <v>7112.9</v>
      </c>
      <c r="G342" s="12" t="n">
        <v>-1887.4</v>
      </c>
      <c r="H342" s="13" t="n">
        <v>0.205</v>
      </c>
      <c r="I342" s="13" t="n">
        <v>0.2457</v>
      </c>
    </row>
    <row r="343">
      <c r="A343" s="10" t="inlineStr">
        <is>
          <t>PJ-2021-D</t>
        </is>
      </c>
      <c r="B343" s="10" t="inlineStr">
        <is>
          <t>位置合わせ(MS学習値)</t>
        </is>
      </c>
      <c r="C343" s="10" t="inlineStr">
        <is>
          <t>2021-09</t>
        </is>
      </c>
      <c r="D343" s="10" t="n">
        <v>6</v>
      </c>
      <c r="E343" s="12" t="n">
        <v>6019.8</v>
      </c>
      <c r="F343" s="12" t="n">
        <v>8735.9</v>
      </c>
      <c r="G343" s="12" t="n">
        <v>-2716.1</v>
      </c>
      <c r="H343" s="13" t="n">
        <v>0.2768</v>
      </c>
      <c r="I343" s="13" t="n">
        <v>0.35</v>
      </c>
    </row>
    <row r="344">
      <c r="A344" s="10" t="inlineStr">
        <is>
          <t>PJ-2021-D</t>
        </is>
      </c>
      <c r="B344" s="10" t="inlineStr">
        <is>
          <t>位置合わせ(MS学習値)</t>
        </is>
      </c>
      <c r="C344" s="10" t="inlineStr">
        <is>
          <t>2021-10</t>
        </is>
      </c>
      <c r="D344" s="10" t="n">
        <v>7</v>
      </c>
      <c r="E344" s="12" t="n">
        <v>7741.1</v>
      </c>
      <c r="F344" s="12" t="n">
        <v>8230.9</v>
      </c>
      <c r="G344" s="12" t="n">
        <v>-489.8</v>
      </c>
      <c r="H344" s="13" t="n">
        <v>0.3692</v>
      </c>
      <c r="I344" s="13" t="n">
        <v>0.4482</v>
      </c>
    </row>
    <row r="345">
      <c r="A345" s="10" t="inlineStr">
        <is>
          <t>PJ-2021-D</t>
        </is>
      </c>
      <c r="B345" s="10" t="inlineStr">
        <is>
          <t>位置合わせ(MS学習値)</t>
        </is>
      </c>
      <c r="C345" s="10" t="inlineStr">
        <is>
          <t>2021-11</t>
        </is>
      </c>
      <c r="D345" s="10" t="n">
        <v>8</v>
      </c>
      <c r="E345" s="12" t="n">
        <v>8855.700000000001</v>
      </c>
      <c r="F345" s="12" t="n">
        <v>6763.6</v>
      </c>
      <c r="G345" s="12" t="n">
        <v>2092.1</v>
      </c>
      <c r="H345" s="13" t="n">
        <v>0.4749</v>
      </c>
      <c r="I345" s="13" t="n">
        <v>0.5289</v>
      </c>
    </row>
    <row r="346">
      <c r="A346" s="10" t="inlineStr">
        <is>
          <t>PJ-2021-D</t>
        </is>
      </c>
      <c r="B346" s="10" t="inlineStr">
        <is>
          <t>位置合わせ(MS学習値)</t>
        </is>
      </c>
      <c r="C346" s="10" t="inlineStr">
        <is>
          <t>2021-12</t>
        </is>
      </c>
      <c r="D346" s="10" t="n">
        <v>9</v>
      </c>
      <c r="E346" s="12" t="n">
        <v>7941.3</v>
      </c>
      <c r="F346" s="12" t="n">
        <v>6250.4</v>
      </c>
      <c r="G346" s="12" t="n">
        <v>1690.9</v>
      </c>
      <c r="H346" s="13" t="n">
        <v>0.5696</v>
      </c>
      <c r="I346" s="13" t="n">
        <v>0.6035</v>
      </c>
    </row>
    <row r="347">
      <c r="A347" s="10" t="inlineStr">
        <is>
          <t>PJ-2021-D</t>
        </is>
      </c>
      <c r="B347" s="10" t="inlineStr">
        <is>
          <t>位置合わせ(MS学習値)</t>
        </is>
      </c>
      <c r="C347" s="10" t="inlineStr">
        <is>
          <t>2022-01</t>
        </is>
      </c>
      <c r="D347" s="10" t="n">
        <v>10</v>
      </c>
      <c r="E347" s="12" t="n">
        <v>7128.8</v>
      </c>
      <c r="F347" s="12" t="n">
        <v>6347.5</v>
      </c>
      <c r="G347" s="12" t="n">
        <v>781.3</v>
      </c>
      <c r="H347" s="13" t="n">
        <v>0.6546999999999999</v>
      </c>
      <c r="I347" s="13" t="n">
        <v>0.6792</v>
      </c>
    </row>
    <row r="348">
      <c r="A348" s="10" t="inlineStr">
        <is>
          <t>PJ-2021-D</t>
        </is>
      </c>
      <c r="B348" s="10" t="inlineStr">
        <is>
          <t>位置合わせ(MS学習値)</t>
        </is>
      </c>
      <c r="C348" s="10" t="inlineStr">
        <is>
          <t>2022-02</t>
        </is>
      </c>
      <c r="D348" s="10" t="n">
        <v>11</v>
      </c>
      <c r="E348" s="12" t="n">
        <v>7161.9</v>
      </c>
      <c r="F348" s="12" t="n">
        <v>8307.9</v>
      </c>
      <c r="G348" s="12" t="n">
        <v>-1146</v>
      </c>
      <c r="H348" s="13" t="n">
        <v>0.7401</v>
      </c>
      <c r="I348" s="13" t="n">
        <v>0.7784</v>
      </c>
    </row>
    <row r="349">
      <c r="A349" s="10" t="inlineStr">
        <is>
          <t>PJ-2021-D</t>
        </is>
      </c>
      <c r="B349" s="10" t="inlineStr">
        <is>
          <t>位置合わせ(MS学習値)</t>
        </is>
      </c>
      <c r="C349" s="10" t="inlineStr">
        <is>
          <t>2022-03</t>
        </is>
      </c>
      <c r="D349" s="10" t="n">
        <v>12</v>
      </c>
      <c r="E349" s="12" t="n">
        <v>9406.799999999999</v>
      </c>
      <c r="F349" s="12" t="n">
        <v>7912.3</v>
      </c>
      <c r="G349" s="12" t="n">
        <v>1494.5</v>
      </c>
      <c r="H349" s="13" t="n">
        <v>0.8524</v>
      </c>
      <c r="I349" s="13" t="n">
        <v>0.8728</v>
      </c>
    </row>
    <row r="350">
      <c r="A350" s="10" t="inlineStr">
        <is>
          <t>PJ-2021-D</t>
        </is>
      </c>
      <c r="B350" s="10" t="inlineStr">
        <is>
          <t>位置合わせ(MS学習値)</t>
        </is>
      </c>
      <c r="C350" s="10" t="inlineStr">
        <is>
          <t>2022-04</t>
        </is>
      </c>
      <c r="D350" s="10" t="n">
        <v>13</v>
      </c>
      <c r="E350" s="12" t="n">
        <v>6564.2</v>
      </c>
      <c r="F350" s="12" t="n">
        <v>4427.7</v>
      </c>
      <c r="G350" s="12" t="n">
        <v>2136.5</v>
      </c>
      <c r="H350" s="13" t="n">
        <v>0.9307</v>
      </c>
      <c r="I350" s="13" t="n">
        <v>0.9256</v>
      </c>
    </row>
    <row r="351">
      <c r="A351" s="10" t="inlineStr">
        <is>
          <t>PJ-2021-D</t>
        </is>
      </c>
      <c r="B351" s="10" t="inlineStr">
        <is>
          <t>位置合わせ(MS学習値)</t>
        </is>
      </c>
      <c r="C351" s="10" t="inlineStr">
        <is>
          <t>2022-05</t>
        </is>
      </c>
      <c r="D351" s="10" t="n">
        <v>14</v>
      </c>
      <c r="E351" s="12" t="n">
        <v>4241.7</v>
      </c>
      <c r="F351" s="12" t="n">
        <v>4297.3</v>
      </c>
      <c r="G351" s="12" t="n">
        <v>-55.6</v>
      </c>
      <c r="H351" s="13" t="n">
        <v>0.9813</v>
      </c>
      <c r="I351" s="13" t="n">
        <v>0.9769</v>
      </c>
    </row>
    <row r="352">
      <c r="A352" s="10" t="inlineStr">
        <is>
          <t>PJ-2021-D</t>
        </is>
      </c>
      <c r="B352" s="10" t="inlineStr">
        <is>
          <t>位置合わせ(MS学習値)</t>
        </is>
      </c>
      <c r="C352" s="10" t="inlineStr">
        <is>
          <t>2022-06</t>
        </is>
      </c>
      <c r="D352" s="10" t="n">
        <v>15</v>
      </c>
      <c r="E352" s="12" t="n">
        <v>1565.6</v>
      </c>
      <c r="F352" s="12" t="n">
        <v>1937.9</v>
      </c>
      <c r="G352" s="12" t="n">
        <v>-372.3</v>
      </c>
      <c r="H352" s="13" t="n">
        <v>1</v>
      </c>
      <c r="I352" s="13" t="n">
        <v>1</v>
      </c>
    </row>
    <row r="353">
      <c r="A353" s="10" t="inlineStr">
        <is>
          <t>PJ-2021-D</t>
        </is>
      </c>
      <c r="B353" s="10" t="inlineStr">
        <is>
          <t>位置合わせ(MS指定)</t>
        </is>
      </c>
      <c r="C353" s="10" t="inlineStr">
        <is>
          <t>2021-04</t>
        </is>
      </c>
      <c r="D353" s="10" t="n">
        <v>1</v>
      </c>
      <c r="E353" s="12" t="n">
        <v>2028.3</v>
      </c>
      <c r="F353" s="12" t="n">
        <v>1319.9</v>
      </c>
      <c r="G353" s="12" t="n">
        <v>708.4</v>
      </c>
      <c r="H353" s="13" t="n">
        <v>0.0242</v>
      </c>
      <c r="I353" s="13" t="n">
        <v>0.0157</v>
      </c>
    </row>
    <row r="354">
      <c r="A354" s="10" t="inlineStr">
        <is>
          <t>PJ-2021-D</t>
        </is>
      </c>
      <c r="B354" s="10" t="inlineStr">
        <is>
          <t>位置合わせ(MS指定)</t>
        </is>
      </c>
      <c r="C354" s="10" t="inlineStr">
        <is>
          <t>2021-05</t>
        </is>
      </c>
      <c r="D354" s="10" t="n">
        <v>2</v>
      </c>
      <c r="E354" s="12" t="n">
        <v>3723.5</v>
      </c>
      <c r="F354" s="12" t="n">
        <v>2716.7</v>
      </c>
      <c r="G354" s="12" t="n">
        <v>1006.8</v>
      </c>
      <c r="H354" s="13" t="n">
        <v>0.06859999999999999</v>
      </c>
      <c r="I354" s="13" t="n">
        <v>0.0482</v>
      </c>
    </row>
    <row r="355">
      <c r="A355" s="10" t="inlineStr">
        <is>
          <t>PJ-2021-D</t>
        </is>
      </c>
      <c r="B355" s="10" t="inlineStr">
        <is>
          <t>位置合わせ(MS指定)</t>
        </is>
      </c>
      <c r="C355" s="10" t="inlineStr">
        <is>
          <t>2021-06</t>
        </is>
      </c>
      <c r="D355" s="10" t="n">
        <v>3</v>
      </c>
      <c r="E355" s="12" t="n">
        <v>4492.8</v>
      </c>
      <c r="F355" s="12" t="n">
        <v>3927.2</v>
      </c>
      <c r="G355" s="12" t="n">
        <v>565.6</v>
      </c>
      <c r="H355" s="13" t="n">
        <v>0.1222</v>
      </c>
      <c r="I355" s="13" t="n">
        <v>0.095</v>
      </c>
    </row>
    <row r="356">
      <c r="A356" s="10" t="inlineStr">
        <is>
          <t>PJ-2021-D</t>
        </is>
      </c>
      <c r="B356" s="10" t="inlineStr">
        <is>
          <t>位置合わせ(MS指定)</t>
        </is>
      </c>
      <c r="C356" s="10" t="inlineStr">
        <is>
          <t>2021-07</t>
        </is>
      </c>
      <c r="D356" s="10" t="n">
        <v>4</v>
      </c>
      <c r="E356" s="12" t="n">
        <v>5875.9</v>
      </c>
      <c r="F356" s="12" t="n">
        <v>5518.1</v>
      </c>
      <c r="G356" s="12" t="n">
        <v>357.8</v>
      </c>
      <c r="H356" s="13" t="n">
        <v>0.1924</v>
      </c>
      <c r="I356" s="13" t="n">
        <v>0.1609</v>
      </c>
    </row>
    <row r="357">
      <c r="A357" s="10" t="inlineStr">
        <is>
          <t>PJ-2021-D</t>
        </is>
      </c>
      <c r="B357" s="10" t="inlineStr">
        <is>
          <t>位置合わせ(MS指定)</t>
        </is>
      </c>
      <c r="C357" s="10" t="inlineStr">
        <is>
          <t>2021-08</t>
        </is>
      </c>
      <c r="D357" s="10" t="n">
        <v>5</v>
      </c>
      <c r="E357" s="12" t="n">
        <v>7479.8</v>
      </c>
      <c r="F357" s="12" t="n">
        <v>7112.9</v>
      </c>
      <c r="G357" s="12" t="n">
        <v>366.9</v>
      </c>
      <c r="H357" s="13" t="n">
        <v>0.2816</v>
      </c>
      <c r="I357" s="13" t="n">
        <v>0.2457</v>
      </c>
    </row>
    <row r="358">
      <c r="A358" s="10" t="inlineStr">
        <is>
          <t>PJ-2021-D</t>
        </is>
      </c>
      <c r="B358" s="10" t="inlineStr">
        <is>
          <t>位置合わせ(MS指定)</t>
        </is>
      </c>
      <c r="C358" s="10" t="inlineStr">
        <is>
          <t>2021-09</t>
        </is>
      </c>
      <c r="D358" s="10" t="n">
        <v>6</v>
      </c>
      <c r="E358" s="12" t="n">
        <v>9424.6</v>
      </c>
      <c r="F358" s="12" t="n">
        <v>8735.9</v>
      </c>
      <c r="G358" s="12" t="n">
        <v>688.7</v>
      </c>
      <c r="H358" s="13" t="n">
        <v>0.3941</v>
      </c>
      <c r="I358" s="13" t="n">
        <v>0.35</v>
      </c>
    </row>
    <row r="359">
      <c r="A359" s="10" t="inlineStr">
        <is>
          <t>PJ-2021-D</t>
        </is>
      </c>
      <c r="B359" s="10" t="inlineStr">
        <is>
          <t>位置合わせ(MS指定)</t>
        </is>
      </c>
      <c r="C359" s="10" t="inlineStr">
        <is>
          <t>2021-10</t>
        </is>
      </c>
      <c r="D359" s="10" t="n">
        <v>7</v>
      </c>
      <c r="E359" s="12" t="n">
        <v>8394.1</v>
      </c>
      <c r="F359" s="12" t="n">
        <v>8230.9</v>
      </c>
      <c r="G359" s="12" t="n">
        <v>163.2</v>
      </c>
      <c r="H359" s="13" t="n">
        <v>0.4942</v>
      </c>
      <c r="I359" s="13" t="n">
        <v>0.4482</v>
      </c>
    </row>
    <row r="360">
      <c r="A360" s="10" t="inlineStr">
        <is>
          <t>PJ-2021-D</t>
        </is>
      </c>
      <c r="B360" s="10" t="inlineStr">
        <is>
          <t>位置合わせ(MS指定)</t>
        </is>
      </c>
      <c r="C360" s="10" t="inlineStr">
        <is>
          <t>2021-11</t>
        </is>
      </c>
      <c r="D360" s="10" t="n">
        <v>8</v>
      </c>
      <c r="E360" s="12" t="n">
        <v>6450.1</v>
      </c>
      <c r="F360" s="12" t="n">
        <v>6763.6</v>
      </c>
      <c r="G360" s="12" t="n">
        <v>-313.5</v>
      </c>
      <c r="H360" s="13" t="n">
        <v>0.5712</v>
      </c>
      <c r="I360" s="13" t="n">
        <v>0.5289</v>
      </c>
    </row>
    <row r="361">
      <c r="A361" s="10" t="inlineStr">
        <is>
          <t>PJ-2021-D</t>
        </is>
      </c>
      <c r="B361" s="10" t="inlineStr">
        <is>
          <t>位置合わせ(MS指定)</t>
        </is>
      </c>
      <c r="C361" s="10" t="inlineStr">
        <is>
          <t>2021-12</t>
        </is>
      </c>
      <c r="D361" s="10" t="n">
        <v>9</v>
      </c>
      <c r="E361" s="12" t="n">
        <v>6094.9</v>
      </c>
      <c r="F361" s="12" t="n">
        <v>6250.4</v>
      </c>
      <c r="G361" s="12" t="n">
        <v>-155.5</v>
      </c>
      <c r="H361" s="13" t="n">
        <v>0.6439</v>
      </c>
      <c r="I361" s="13" t="n">
        <v>0.6035</v>
      </c>
    </row>
    <row r="362">
      <c r="A362" s="10" t="inlineStr">
        <is>
          <t>PJ-2021-D</t>
        </is>
      </c>
      <c r="B362" s="10" t="inlineStr">
        <is>
          <t>位置合わせ(MS指定)</t>
        </is>
      </c>
      <c r="C362" s="10" t="inlineStr">
        <is>
          <t>2022-01</t>
        </is>
      </c>
      <c r="D362" s="10" t="n">
        <v>10</v>
      </c>
      <c r="E362" s="12" t="n">
        <v>6575.5</v>
      </c>
      <c r="F362" s="12" t="n">
        <v>6347.5</v>
      </c>
      <c r="G362" s="12" t="n">
        <v>228</v>
      </c>
      <c r="H362" s="13" t="n">
        <v>0.7224</v>
      </c>
      <c r="I362" s="13" t="n">
        <v>0.6792</v>
      </c>
    </row>
    <row r="363">
      <c r="A363" s="10" t="inlineStr">
        <is>
          <t>PJ-2021-D</t>
        </is>
      </c>
      <c r="B363" s="10" t="inlineStr">
        <is>
          <t>位置合わせ(MS指定)</t>
        </is>
      </c>
      <c r="C363" s="10" t="inlineStr">
        <is>
          <t>2022-02</t>
        </is>
      </c>
      <c r="D363" s="10" t="n">
        <v>11</v>
      </c>
      <c r="E363" s="12" t="n">
        <v>6966</v>
      </c>
      <c r="F363" s="12" t="n">
        <v>8307.9</v>
      </c>
      <c r="G363" s="12" t="n">
        <v>-1341.9</v>
      </c>
      <c r="H363" s="13" t="n">
        <v>0.8055</v>
      </c>
      <c r="I363" s="13" t="n">
        <v>0.7784</v>
      </c>
    </row>
    <row r="364">
      <c r="A364" s="10" t="inlineStr">
        <is>
          <t>PJ-2021-D</t>
        </is>
      </c>
      <c r="B364" s="10" t="inlineStr">
        <is>
          <t>位置合わせ(MS指定)</t>
        </is>
      </c>
      <c r="C364" s="10" t="inlineStr">
        <is>
          <t>2022-03</t>
        </is>
      </c>
      <c r="D364" s="10" t="n">
        <v>12</v>
      </c>
      <c r="E364" s="12" t="n">
        <v>6886.5</v>
      </c>
      <c r="F364" s="12" t="n">
        <v>7912.3</v>
      </c>
      <c r="G364" s="12" t="n">
        <v>-1025.8</v>
      </c>
      <c r="H364" s="13" t="n">
        <v>0.8877</v>
      </c>
      <c r="I364" s="13" t="n">
        <v>0.8728</v>
      </c>
    </row>
    <row r="365">
      <c r="A365" s="10" t="inlineStr">
        <is>
          <t>PJ-2021-D</t>
        </is>
      </c>
      <c r="B365" s="10" t="inlineStr">
        <is>
          <t>位置合わせ(MS指定)</t>
        </is>
      </c>
      <c r="C365" s="10" t="inlineStr">
        <is>
          <t>2022-04</t>
        </is>
      </c>
      <c r="D365" s="10" t="n">
        <v>13</v>
      </c>
      <c r="E365" s="12" t="n">
        <v>4310.6</v>
      </c>
      <c r="F365" s="12" t="n">
        <v>4427.7</v>
      </c>
      <c r="G365" s="12" t="n">
        <v>-117.1</v>
      </c>
      <c r="H365" s="13" t="n">
        <v>0.9391</v>
      </c>
      <c r="I365" s="13" t="n">
        <v>0.9256</v>
      </c>
    </row>
    <row r="366">
      <c r="A366" s="10" t="inlineStr">
        <is>
          <t>PJ-2021-D</t>
        </is>
      </c>
      <c r="B366" s="10" t="inlineStr">
        <is>
          <t>位置合わせ(MS指定)</t>
        </is>
      </c>
      <c r="C366" s="10" t="inlineStr">
        <is>
          <t>2022-05</t>
        </is>
      </c>
      <c r="D366" s="10" t="n">
        <v>14</v>
      </c>
      <c r="E366" s="12" t="n">
        <v>3399</v>
      </c>
      <c r="F366" s="12" t="n">
        <v>4297.3</v>
      </c>
      <c r="G366" s="12" t="n">
        <v>-898.3</v>
      </c>
      <c r="H366" s="13" t="n">
        <v>0.9797</v>
      </c>
      <c r="I366" s="13" t="n">
        <v>0.9769</v>
      </c>
    </row>
    <row r="367">
      <c r="A367" s="10" t="inlineStr">
        <is>
          <t>PJ-2021-D</t>
        </is>
      </c>
      <c r="B367" s="10" t="inlineStr">
        <is>
          <t>位置合わせ(MS指定)</t>
        </is>
      </c>
      <c r="C367" s="10" t="inlineStr">
        <is>
          <t>2022-06</t>
        </is>
      </c>
      <c r="D367" s="10" t="n">
        <v>15</v>
      </c>
      <c r="E367" s="12" t="n">
        <v>1704.5</v>
      </c>
      <c r="F367" s="12" t="n">
        <v>1937.9</v>
      </c>
      <c r="G367" s="12" t="n">
        <v>-233.4</v>
      </c>
      <c r="H367" s="13" t="n">
        <v>1</v>
      </c>
      <c r="I367" s="13" t="n">
        <v>1</v>
      </c>
    </row>
    <row r="368">
      <c r="A368" s="10" t="inlineStr">
        <is>
          <t>PJ-2021-E</t>
        </is>
      </c>
      <c r="B368" s="10" t="inlineStr">
        <is>
          <t>素朴版</t>
        </is>
      </c>
      <c r="C368" s="10" t="inlineStr">
        <is>
          <t>2021-01</t>
        </is>
      </c>
      <c r="D368" s="10" t="n">
        <v>1</v>
      </c>
      <c r="E368" s="12" t="n">
        <v>3239.2</v>
      </c>
      <c r="F368" s="12" t="n">
        <v>2475.8</v>
      </c>
      <c r="G368" s="12" t="n">
        <v>763.4</v>
      </c>
      <c r="H368" s="13" t="n">
        <v>0.0068</v>
      </c>
      <c r="I368" s="13" t="n">
        <v>0.0052</v>
      </c>
    </row>
    <row r="369">
      <c r="A369" s="10" t="inlineStr">
        <is>
          <t>PJ-2021-E</t>
        </is>
      </c>
      <c r="B369" s="10" t="inlineStr">
        <is>
          <t>素朴版</t>
        </is>
      </c>
      <c r="C369" s="10" t="inlineStr">
        <is>
          <t>2021-02</t>
        </is>
      </c>
      <c r="D369" s="10" t="n">
        <v>2</v>
      </c>
      <c r="E369" s="12" t="n">
        <v>3628.9</v>
      </c>
      <c r="F369" s="12" t="n">
        <v>3632.9</v>
      </c>
      <c r="G369" s="12" t="n">
        <v>-4</v>
      </c>
      <c r="H369" s="13" t="n">
        <v>0.0144</v>
      </c>
      <c r="I369" s="13" t="n">
        <v>0.0128</v>
      </c>
    </row>
    <row r="370">
      <c r="A370" s="10" t="inlineStr">
        <is>
          <t>PJ-2021-E</t>
        </is>
      </c>
      <c r="B370" s="10" t="inlineStr">
        <is>
          <t>素朴版</t>
        </is>
      </c>
      <c r="C370" s="10" t="inlineStr">
        <is>
          <t>2021-03</t>
        </is>
      </c>
      <c r="D370" s="10" t="n">
        <v>3</v>
      </c>
      <c r="E370" s="12" t="n">
        <v>5530.8</v>
      </c>
      <c r="F370" s="12" t="n">
        <v>4939.8</v>
      </c>
      <c r="G370" s="12" t="n">
        <v>591</v>
      </c>
      <c r="H370" s="13" t="n">
        <v>0.026</v>
      </c>
      <c r="I370" s="13" t="n">
        <v>0.0232</v>
      </c>
    </row>
    <row r="371">
      <c r="A371" s="10" t="inlineStr">
        <is>
          <t>PJ-2021-E</t>
        </is>
      </c>
      <c r="B371" s="10" t="inlineStr">
        <is>
          <t>素朴版</t>
        </is>
      </c>
      <c r="C371" s="10" t="inlineStr">
        <is>
          <t>2021-04</t>
        </is>
      </c>
      <c r="D371" s="10" t="n">
        <v>4</v>
      </c>
      <c r="E371" s="12" t="n">
        <v>6392.8</v>
      </c>
      <c r="F371" s="12" t="n">
        <v>5681.4</v>
      </c>
      <c r="G371" s="12" t="n">
        <v>711.4</v>
      </c>
      <c r="H371" s="13" t="n">
        <v>0.0394</v>
      </c>
      <c r="I371" s="13" t="n">
        <v>0.0351</v>
      </c>
    </row>
    <row r="372">
      <c r="A372" s="10" t="inlineStr">
        <is>
          <t>PJ-2021-E</t>
        </is>
      </c>
      <c r="B372" s="10" t="inlineStr">
        <is>
          <t>素朴版</t>
        </is>
      </c>
      <c r="C372" s="10" t="inlineStr">
        <is>
          <t>2021-05</t>
        </is>
      </c>
      <c r="D372" s="10" t="n">
        <v>5</v>
      </c>
      <c r="E372" s="12" t="n">
        <v>7647.9</v>
      </c>
      <c r="F372" s="12" t="n">
        <v>7621.1</v>
      </c>
      <c r="G372" s="12" t="n">
        <v>26.8</v>
      </c>
      <c r="H372" s="13" t="n">
        <v>0.0554</v>
      </c>
      <c r="I372" s="13" t="n">
        <v>0.0511</v>
      </c>
    </row>
    <row r="373">
      <c r="A373" s="10" t="inlineStr">
        <is>
          <t>PJ-2021-E</t>
        </is>
      </c>
      <c r="B373" s="10" t="inlineStr">
        <is>
          <t>素朴版</t>
        </is>
      </c>
      <c r="C373" s="10" t="inlineStr">
        <is>
          <t>2021-06</t>
        </is>
      </c>
      <c r="D373" s="10" t="n">
        <v>6</v>
      </c>
      <c r="E373" s="12" t="n">
        <v>8359</v>
      </c>
      <c r="F373" s="12" t="n">
        <v>7313.3</v>
      </c>
      <c r="G373" s="12" t="n">
        <v>1045.7</v>
      </c>
      <c r="H373" s="13" t="n">
        <v>0.073</v>
      </c>
      <c r="I373" s="13" t="n">
        <v>0.0664</v>
      </c>
    </row>
    <row r="374">
      <c r="A374" s="10" t="inlineStr">
        <is>
          <t>PJ-2021-E</t>
        </is>
      </c>
      <c r="B374" s="10" t="inlineStr">
        <is>
          <t>素朴版</t>
        </is>
      </c>
      <c r="C374" s="10" t="inlineStr">
        <is>
          <t>2021-07</t>
        </is>
      </c>
      <c r="D374" s="10" t="n">
        <v>7</v>
      </c>
      <c r="E374" s="12" t="n">
        <v>8927</v>
      </c>
      <c r="F374" s="12" t="n">
        <v>8228.4</v>
      </c>
      <c r="G374" s="12" t="n">
        <v>698.6</v>
      </c>
      <c r="H374" s="13" t="n">
        <v>0.0917</v>
      </c>
      <c r="I374" s="13" t="n">
        <v>0.08359999999999999</v>
      </c>
    </row>
    <row r="375">
      <c r="A375" s="10" t="inlineStr">
        <is>
          <t>PJ-2021-E</t>
        </is>
      </c>
      <c r="B375" s="10" t="inlineStr">
        <is>
          <t>素朴版</t>
        </is>
      </c>
      <c r="C375" s="10" t="inlineStr">
        <is>
          <t>2021-08</t>
        </is>
      </c>
      <c r="D375" s="10" t="n">
        <v>8</v>
      </c>
      <c r="E375" s="12" t="n">
        <v>9982</v>
      </c>
      <c r="F375" s="12" t="n">
        <v>8643.700000000001</v>
      </c>
      <c r="G375" s="12" t="n">
        <v>1338.3</v>
      </c>
      <c r="H375" s="13" t="n">
        <v>0.1126</v>
      </c>
      <c r="I375" s="13" t="n">
        <v>0.1018</v>
      </c>
    </row>
    <row r="376">
      <c r="A376" s="10" t="inlineStr">
        <is>
          <t>PJ-2021-E</t>
        </is>
      </c>
      <c r="B376" s="10" t="inlineStr">
        <is>
          <t>素朴版</t>
        </is>
      </c>
      <c r="C376" s="10" t="inlineStr">
        <is>
          <t>2021-09</t>
        </is>
      </c>
      <c r="D376" s="10" t="n">
        <v>9</v>
      </c>
      <c r="E376" s="12" t="n">
        <v>10745</v>
      </c>
      <c r="F376" s="12" t="n">
        <v>9278.700000000001</v>
      </c>
      <c r="G376" s="12" t="n">
        <v>1466.3</v>
      </c>
      <c r="H376" s="13" t="n">
        <v>0.1351</v>
      </c>
      <c r="I376" s="13" t="n">
        <v>0.1212</v>
      </c>
    </row>
    <row r="377">
      <c r="A377" s="10" t="inlineStr">
        <is>
          <t>PJ-2021-E</t>
        </is>
      </c>
      <c r="B377" s="10" t="inlineStr">
        <is>
          <t>素朴版</t>
        </is>
      </c>
      <c r="C377" s="10" t="inlineStr">
        <is>
          <t>2021-10</t>
        </is>
      </c>
      <c r="D377" s="10" t="n">
        <v>10</v>
      </c>
      <c r="E377" s="12" t="n">
        <v>12178.2</v>
      </c>
      <c r="F377" s="12" t="n">
        <v>8406.1</v>
      </c>
      <c r="G377" s="12" t="n">
        <v>3772.1</v>
      </c>
      <c r="H377" s="13" t="n">
        <v>0.1607</v>
      </c>
      <c r="I377" s="13" t="n">
        <v>0.1388</v>
      </c>
    </row>
    <row r="378">
      <c r="A378" s="10" t="inlineStr">
        <is>
          <t>PJ-2021-E</t>
        </is>
      </c>
      <c r="B378" s="10" t="inlineStr">
        <is>
          <t>素朴版</t>
        </is>
      </c>
      <c r="C378" s="10" t="inlineStr">
        <is>
          <t>2021-11</t>
        </is>
      </c>
      <c r="D378" s="10" t="n">
        <v>11</v>
      </c>
      <c r="E378" s="12" t="n">
        <v>13058.2</v>
      </c>
      <c r="F378" s="12" t="n">
        <v>8915.4</v>
      </c>
      <c r="G378" s="12" t="n">
        <v>4142.8</v>
      </c>
      <c r="H378" s="13" t="n">
        <v>0.1881</v>
      </c>
      <c r="I378" s="13" t="n">
        <v>0.1575</v>
      </c>
    </row>
    <row r="379">
      <c r="A379" s="10" t="inlineStr">
        <is>
          <t>PJ-2021-E</t>
        </is>
      </c>
      <c r="B379" s="10" t="inlineStr">
        <is>
          <t>素朴版</t>
        </is>
      </c>
      <c r="C379" s="10" t="inlineStr">
        <is>
          <t>2021-12</t>
        </is>
      </c>
      <c r="D379" s="10" t="n">
        <v>12</v>
      </c>
      <c r="E379" s="12" t="n">
        <v>14796.8</v>
      </c>
      <c r="F379" s="12" t="n">
        <v>9352.6</v>
      </c>
      <c r="G379" s="12" t="n">
        <v>5444.2</v>
      </c>
      <c r="H379" s="13" t="n">
        <v>0.2191</v>
      </c>
      <c r="I379" s="13" t="n">
        <v>0.1771</v>
      </c>
    </row>
    <row r="380">
      <c r="A380" s="10" t="inlineStr">
        <is>
          <t>PJ-2021-E</t>
        </is>
      </c>
      <c r="B380" s="10" t="inlineStr">
        <is>
          <t>素朴版</t>
        </is>
      </c>
      <c r="C380" s="10" t="inlineStr">
        <is>
          <t>2022-01</t>
        </is>
      </c>
      <c r="D380" s="10" t="n">
        <v>13</v>
      </c>
      <c r="E380" s="12" t="n">
        <v>16282.8</v>
      </c>
      <c r="F380" s="12" t="n">
        <v>9765.299999999999</v>
      </c>
      <c r="G380" s="12" t="n">
        <v>6517.5</v>
      </c>
      <c r="H380" s="13" t="n">
        <v>0.2532</v>
      </c>
      <c r="I380" s="13" t="n">
        <v>0.1976</v>
      </c>
    </row>
    <row r="381">
      <c r="A381" s="10" t="inlineStr">
        <is>
          <t>PJ-2021-E</t>
        </is>
      </c>
      <c r="B381" s="10" t="inlineStr">
        <is>
          <t>素朴版</t>
        </is>
      </c>
      <c r="C381" s="10" t="inlineStr">
        <is>
          <t>2022-02</t>
        </is>
      </c>
      <c r="D381" s="10" t="n">
        <v>14</v>
      </c>
      <c r="E381" s="12" t="n">
        <v>15715.7</v>
      </c>
      <c r="F381" s="12" t="n">
        <v>9457.200000000001</v>
      </c>
      <c r="G381" s="12" t="n">
        <v>6258.5</v>
      </c>
      <c r="H381" s="13" t="n">
        <v>0.2862</v>
      </c>
      <c r="I381" s="13" t="n">
        <v>0.2175</v>
      </c>
    </row>
    <row r="382">
      <c r="A382" s="10" t="inlineStr">
        <is>
          <t>PJ-2021-E</t>
        </is>
      </c>
      <c r="B382" s="10" t="inlineStr">
        <is>
          <t>素朴版</t>
        </is>
      </c>
      <c r="C382" s="10" t="inlineStr">
        <is>
          <t>2022-03</t>
        </is>
      </c>
      <c r="D382" s="10" t="n">
        <v>15</v>
      </c>
      <c r="E382" s="12" t="n">
        <v>18846</v>
      </c>
      <c r="F382" s="12" t="n">
        <v>11177.6</v>
      </c>
      <c r="G382" s="12" t="n">
        <v>7668.4</v>
      </c>
      <c r="H382" s="13" t="n">
        <v>0.3257</v>
      </c>
      <c r="I382" s="13" t="n">
        <v>0.2409</v>
      </c>
    </row>
    <row r="383">
      <c r="A383" s="10" t="inlineStr">
        <is>
          <t>PJ-2021-E</t>
        </is>
      </c>
      <c r="B383" s="10" t="inlineStr">
        <is>
          <t>素朴版</t>
        </is>
      </c>
      <c r="C383" s="10" t="inlineStr">
        <is>
          <t>2022-04</t>
        </is>
      </c>
      <c r="D383" s="10" t="n">
        <v>16</v>
      </c>
      <c r="E383" s="12" t="n">
        <v>18201.3</v>
      </c>
      <c r="F383" s="12" t="n">
        <v>10673.6</v>
      </c>
      <c r="G383" s="12" t="n">
        <v>7527.7</v>
      </c>
      <c r="H383" s="13" t="n">
        <v>0.3638</v>
      </c>
      <c r="I383" s="13" t="n">
        <v>0.2633</v>
      </c>
    </row>
    <row r="384">
      <c r="A384" s="10" t="inlineStr">
        <is>
          <t>PJ-2021-E</t>
        </is>
      </c>
      <c r="B384" s="10" t="inlineStr">
        <is>
          <t>素朴版</t>
        </is>
      </c>
      <c r="C384" s="10" t="inlineStr">
        <is>
          <t>2022-05</t>
        </is>
      </c>
      <c r="D384" s="10" t="n">
        <v>17</v>
      </c>
      <c r="E384" s="12" t="n">
        <v>18833.4</v>
      </c>
      <c r="F384" s="12" t="n">
        <v>11006.6</v>
      </c>
      <c r="G384" s="12" t="n">
        <v>7826.8</v>
      </c>
      <c r="H384" s="13" t="n">
        <v>0.4033</v>
      </c>
      <c r="I384" s="13" t="n">
        <v>0.2863</v>
      </c>
    </row>
    <row r="385">
      <c r="A385" s="10" t="inlineStr">
        <is>
          <t>PJ-2021-E</t>
        </is>
      </c>
      <c r="B385" s="10" t="inlineStr">
        <is>
          <t>素朴版</t>
        </is>
      </c>
      <c r="C385" s="10" t="inlineStr">
        <is>
          <t>2022-06</t>
        </is>
      </c>
      <c r="D385" s="10" t="n">
        <v>18</v>
      </c>
      <c r="E385" s="12" t="n">
        <v>16417.5</v>
      </c>
      <c r="F385" s="12" t="n">
        <v>11318.6</v>
      </c>
      <c r="G385" s="12" t="n">
        <v>5098.9</v>
      </c>
      <c r="H385" s="13" t="n">
        <v>0.4378</v>
      </c>
      <c r="I385" s="13" t="n">
        <v>0.3101</v>
      </c>
    </row>
    <row r="386">
      <c r="A386" s="10" t="inlineStr">
        <is>
          <t>PJ-2021-E</t>
        </is>
      </c>
      <c r="B386" s="10" t="inlineStr">
        <is>
          <t>素朴版</t>
        </is>
      </c>
      <c r="C386" s="10" t="inlineStr">
        <is>
          <t>2022-07</t>
        </is>
      </c>
      <c r="D386" s="10" t="n">
        <v>19</v>
      </c>
      <c r="E386" s="12" t="n">
        <v>17217.8</v>
      </c>
      <c r="F386" s="12" t="n">
        <v>13079</v>
      </c>
      <c r="G386" s="12" t="n">
        <v>4138.8</v>
      </c>
      <c r="H386" s="13" t="n">
        <v>0.4739</v>
      </c>
      <c r="I386" s="13" t="n">
        <v>0.3375</v>
      </c>
    </row>
    <row r="387">
      <c r="A387" s="10" t="inlineStr">
        <is>
          <t>PJ-2021-E</t>
        </is>
      </c>
      <c r="B387" s="10" t="inlineStr">
        <is>
          <t>素朴版</t>
        </is>
      </c>
      <c r="C387" s="10" t="inlineStr">
        <is>
          <t>2022-08</t>
        </is>
      </c>
      <c r="D387" s="10" t="n">
        <v>20</v>
      </c>
      <c r="E387" s="12" t="n">
        <v>16930.7</v>
      </c>
      <c r="F387" s="12" t="n">
        <v>15087.9</v>
      </c>
      <c r="G387" s="12" t="n">
        <v>1842.8</v>
      </c>
      <c r="H387" s="13" t="n">
        <v>0.5094</v>
      </c>
      <c r="I387" s="13" t="n">
        <v>0.3691</v>
      </c>
    </row>
    <row r="388">
      <c r="A388" s="10" t="inlineStr">
        <is>
          <t>PJ-2021-E</t>
        </is>
      </c>
      <c r="B388" s="10" t="inlineStr">
        <is>
          <t>素朴版</t>
        </is>
      </c>
      <c r="C388" s="10" t="inlineStr">
        <is>
          <t>2022-09</t>
        </is>
      </c>
      <c r="D388" s="10" t="n">
        <v>21</v>
      </c>
      <c r="E388" s="12" t="n">
        <v>16156.5</v>
      </c>
      <c r="F388" s="12" t="n">
        <v>14662.9</v>
      </c>
      <c r="G388" s="12" t="n">
        <v>1493.6</v>
      </c>
      <c r="H388" s="13" t="n">
        <v>0.5432</v>
      </c>
      <c r="I388" s="13" t="n">
        <v>0.3999</v>
      </c>
    </row>
    <row r="389">
      <c r="A389" s="10" t="inlineStr">
        <is>
          <t>PJ-2021-E</t>
        </is>
      </c>
      <c r="B389" s="10" t="inlineStr">
        <is>
          <t>素朴版</t>
        </is>
      </c>
      <c r="C389" s="10" t="inlineStr">
        <is>
          <t>2022-10</t>
        </is>
      </c>
      <c r="D389" s="10" t="n">
        <v>22</v>
      </c>
      <c r="E389" s="12" t="n">
        <v>17264.1</v>
      </c>
      <c r="F389" s="12" t="n">
        <v>15763.5</v>
      </c>
      <c r="G389" s="12" t="n">
        <v>1500.6</v>
      </c>
      <c r="H389" s="13" t="n">
        <v>0.5794</v>
      </c>
      <c r="I389" s="13" t="n">
        <v>0.4329</v>
      </c>
    </row>
    <row r="390">
      <c r="A390" s="10" t="inlineStr">
        <is>
          <t>PJ-2021-E</t>
        </is>
      </c>
      <c r="B390" s="10" t="inlineStr">
        <is>
          <t>素朴版</t>
        </is>
      </c>
      <c r="C390" s="10" t="inlineStr">
        <is>
          <t>2022-11</t>
        </is>
      </c>
      <c r="D390" s="10" t="n">
        <v>23</v>
      </c>
      <c r="E390" s="12" t="n">
        <v>17479.3</v>
      </c>
      <c r="F390" s="12" t="n">
        <v>29175.9</v>
      </c>
      <c r="G390" s="12" t="n">
        <v>-11696.6</v>
      </c>
      <c r="H390" s="13" t="n">
        <v>0.6161</v>
      </c>
      <c r="I390" s="13" t="n">
        <v>0.4941</v>
      </c>
    </row>
    <row r="391">
      <c r="A391" s="10" t="inlineStr">
        <is>
          <t>PJ-2021-E</t>
        </is>
      </c>
      <c r="B391" s="10" t="inlineStr">
        <is>
          <t>素朴版</t>
        </is>
      </c>
      <c r="C391" s="10" t="inlineStr">
        <is>
          <t>2022-12</t>
        </is>
      </c>
      <c r="D391" s="10" t="n">
        <v>24</v>
      </c>
      <c r="E391" s="12" t="n">
        <v>17758.5</v>
      </c>
      <c r="F391" s="12" t="n">
        <v>33812.8</v>
      </c>
      <c r="G391" s="12" t="n">
        <v>-16054.3</v>
      </c>
      <c r="H391" s="13" t="n">
        <v>0.6533</v>
      </c>
      <c r="I391" s="13" t="n">
        <v>0.5649999999999999</v>
      </c>
    </row>
    <row r="392">
      <c r="A392" s="10" t="inlineStr">
        <is>
          <t>PJ-2021-E</t>
        </is>
      </c>
      <c r="B392" s="10" t="inlineStr">
        <is>
          <t>素朴版</t>
        </is>
      </c>
      <c r="C392" s="10" t="inlineStr">
        <is>
          <t>2023-01</t>
        </is>
      </c>
      <c r="D392" s="10" t="n">
        <v>25</v>
      </c>
      <c r="E392" s="12" t="n">
        <v>18831.1</v>
      </c>
      <c r="F392" s="12" t="n">
        <v>26701.2</v>
      </c>
      <c r="G392" s="12" t="n">
        <v>-7870.1</v>
      </c>
      <c r="H392" s="13" t="n">
        <v>0.6928</v>
      </c>
      <c r="I392" s="13" t="n">
        <v>0.621</v>
      </c>
    </row>
    <row r="393">
      <c r="A393" s="10" t="inlineStr">
        <is>
          <t>PJ-2021-E</t>
        </is>
      </c>
      <c r="B393" s="10" t="inlineStr">
        <is>
          <t>素朴版</t>
        </is>
      </c>
      <c r="C393" s="10" t="inlineStr">
        <is>
          <t>2023-02</t>
        </is>
      </c>
      <c r="D393" s="10" t="n">
        <v>26</v>
      </c>
      <c r="E393" s="12" t="n">
        <v>18092.4</v>
      </c>
      <c r="F393" s="12" t="n">
        <v>23819.8</v>
      </c>
      <c r="G393" s="12" t="n">
        <v>-5727.4</v>
      </c>
      <c r="H393" s="13" t="n">
        <v>0.7307</v>
      </c>
      <c r="I393" s="13" t="n">
        <v>0.6709000000000001</v>
      </c>
    </row>
    <row r="394">
      <c r="A394" s="10" t="inlineStr">
        <is>
          <t>PJ-2021-E</t>
        </is>
      </c>
      <c r="B394" s="10" t="inlineStr">
        <is>
          <t>素朴版</t>
        </is>
      </c>
      <c r="C394" s="10" t="inlineStr">
        <is>
          <t>2023-03</t>
        </is>
      </c>
      <c r="D394" s="10" t="n">
        <v>27</v>
      </c>
      <c r="E394" s="12" t="n">
        <v>19723.4</v>
      </c>
      <c r="F394" s="12" t="n">
        <v>29164.3</v>
      </c>
      <c r="G394" s="12" t="n">
        <v>-9440.9</v>
      </c>
      <c r="H394" s="13" t="n">
        <v>0.7721</v>
      </c>
      <c r="I394" s="13" t="n">
        <v>0.7321</v>
      </c>
    </row>
    <row r="395">
      <c r="A395" s="10" t="inlineStr">
        <is>
          <t>PJ-2021-E</t>
        </is>
      </c>
      <c r="B395" s="10" t="inlineStr">
        <is>
          <t>素朴版</t>
        </is>
      </c>
      <c r="C395" s="10" t="inlineStr">
        <is>
          <t>2023-04</t>
        </is>
      </c>
      <c r="D395" s="10" t="n">
        <v>28</v>
      </c>
      <c r="E395" s="12" t="n">
        <v>19896.1</v>
      </c>
      <c r="F395" s="12" t="n">
        <v>32359.3</v>
      </c>
      <c r="G395" s="12" t="n">
        <v>-12463.2</v>
      </c>
      <c r="H395" s="13" t="n">
        <v>0.8138</v>
      </c>
      <c r="I395" s="13" t="n">
        <v>0.7999000000000001</v>
      </c>
    </row>
    <row r="396">
      <c r="A396" s="10" t="inlineStr">
        <is>
          <t>PJ-2021-E</t>
        </is>
      </c>
      <c r="B396" s="10" t="inlineStr">
        <is>
          <t>素朴版</t>
        </is>
      </c>
      <c r="C396" s="10" t="inlineStr">
        <is>
          <t>2023-05</t>
        </is>
      </c>
      <c r="D396" s="10" t="n">
        <v>29</v>
      </c>
      <c r="E396" s="12" t="n">
        <v>19309.7</v>
      </c>
      <c r="F396" s="12" t="n">
        <v>25679.3</v>
      </c>
      <c r="G396" s="12" t="n">
        <v>-6369.6</v>
      </c>
      <c r="H396" s="13" t="n">
        <v>0.8542999999999999</v>
      </c>
      <c r="I396" s="13" t="n">
        <v>0.8538</v>
      </c>
    </row>
    <row r="397">
      <c r="A397" s="10" t="inlineStr">
        <is>
          <t>PJ-2021-E</t>
        </is>
      </c>
      <c r="B397" s="10" t="inlineStr">
        <is>
          <t>素朴版</t>
        </is>
      </c>
      <c r="C397" s="10" t="inlineStr">
        <is>
          <t>2023-06</t>
        </is>
      </c>
      <c r="D397" s="10" t="n">
        <v>30</v>
      </c>
      <c r="E397" s="12" t="n">
        <v>16354.8</v>
      </c>
      <c r="F397" s="12" t="n">
        <v>19503.4</v>
      </c>
      <c r="G397" s="12" t="n">
        <v>-3148.6</v>
      </c>
      <c r="H397" s="13" t="n">
        <v>0.8885999999999999</v>
      </c>
      <c r="I397" s="13" t="n">
        <v>0.8947000000000001</v>
      </c>
    </row>
    <row r="398">
      <c r="A398" s="10" t="inlineStr">
        <is>
          <t>PJ-2021-E</t>
        </is>
      </c>
      <c r="B398" s="10" t="inlineStr">
        <is>
          <t>素朴版</t>
        </is>
      </c>
      <c r="C398" s="10" t="inlineStr">
        <is>
          <t>2023-07</t>
        </is>
      </c>
      <c r="D398" s="10" t="n">
        <v>31</v>
      </c>
      <c r="E398" s="12" t="n">
        <v>14859.5</v>
      </c>
      <c r="F398" s="12" t="n">
        <v>14233.9</v>
      </c>
      <c r="G398" s="12" t="n">
        <v>625.6</v>
      </c>
      <c r="H398" s="13" t="n">
        <v>0.9197</v>
      </c>
      <c r="I398" s="13" t="n">
        <v>0.9245</v>
      </c>
    </row>
    <row r="399">
      <c r="A399" s="10" t="inlineStr">
        <is>
          <t>PJ-2021-E</t>
        </is>
      </c>
      <c r="B399" s="10" t="inlineStr">
        <is>
          <t>素朴版</t>
        </is>
      </c>
      <c r="C399" s="10" t="inlineStr">
        <is>
          <t>2023-08</t>
        </is>
      </c>
      <c r="D399" s="10" t="n">
        <v>32</v>
      </c>
      <c r="E399" s="12" t="n">
        <v>12218</v>
      </c>
      <c r="F399" s="12" t="n">
        <v>11762.7</v>
      </c>
      <c r="G399" s="12" t="n">
        <v>455.3</v>
      </c>
      <c r="H399" s="13" t="n">
        <v>0.9454</v>
      </c>
      <c r="I399" s="13" t="n">
        <v>0.9492</v>
      </c>
    </row>
    <row r="400">
      <c r="A400" s="10" t="inlineStr">
        <is>
          <t>PJ-2021-E</t>
        </is>
      </c>
      <c r="B400" s="10" t="inlineStr">
        <is>
          <t>素朴版</t>
        </is>
      </c>
      <c r="C400" s="10" t="inlineStr">
        <is>
          <t>2023-09</t>
        </is>
      </c>
      <c r="D400" s="10" t="n">
        <v>33</v>
      </c>
      <c r="E400" s="12" t="n">
        <v>9698.5</v>
      </c>
      <c r="F400" s="12" t="n">
        <v>9820.700000000001</v>
      </c>
      <c r="G400" s="12" t="n">
        <v>-122.2</v>
      </c>
      <c r="H400" s="13" t="n">
        <v>0.9657</v>
      </c>
      <c r="I400" s="13" t="n">
        <v>0.9698</v>
      </c>
    </row>
    <row r="401">
      <c r="A401" s="10" t="inlineStr">
        <is>
          <t>PJ-2021-E</t>
        </is>
      </c>
      <c r="B401" s="10" t="inlineStr">
        <is>
          <t>素朴版</t>
        </is>
      </c>
      <c r="C401" s="10" t="inlineStr">
        <is>
          <t>2023-10</t>
        </is>
      </c>
      <c r="D401" s="10" t="n">
        <v>34</v>
      </c>
      <c r="E401" s="12" t="n">
        <v>8595.299999999999</v>
      </c>
      <c r="F401" s="12" t="n">
        <v>8322.9</v>
      </c>
      <c r="G401" s="12" t="n">
        <v>272.4</v>
      </c>
      <c r="H401" s="13" t="n">
        <v>0.9837</v>
      </c>
      <c r="I401" s="13" t="n">
        <v>0.9872</v>
      </c>
    </row>
    <row r="402">
      <c r="A402" s="10" t="inlineStr">
        <is>
          <t>PJ-2021-E</t>
        </is>
      </c>
      <c r="B402" s="10" t="inlineStr">
        <is>
          <t>素朴版</t>
        </is>
      </c>
      <c r="C402" s="10" t="inlineStr">
        <is>
          <t>2023-11</t>
        </is>
      </c>
      <c r="D402" s="10" t="n">
        <v>35</v>
      </c>
      <c r="E402" s="12" t="n">
        <v>4809.1</v>
      </c>
      <c r="F402" s="12" t="n">
        <v>4643.9</v>
      </c>
      <c r="G402" s="12" t="n">
        <v>165.2</v>
      </c>
      <c r="H402" s="13" t="n">
        <v>0.9938</v>
      </c>
      <c r="I402" s="13" t="n">
        <v>0.9969</v>
      </c>
    </row>
    <row r="403">
      <c r="A403" s="10" t="inlineStr">
        <is>
          <t>PJ-2021-E</t>
        </is>
      </c>
      <c r="B403" s="10" t="inlineStr">
        <is>
          <t>素朴版</t>
        </is>
      </c>
      <c r="C403" s="10" t="inlineStr">
        <is>
          <t>2023-12</t>
        </is>
      </c>
      <c r="D403" s="10" t="n">
        <v>36</v>
      </c>
      <c r="E403" s="12" t="n">
        <v>2961.4</v>
      </c>
      <c r="F403" s="12" t="n">
        <v>1457.2</v>
      </c>
      <c r="G403" s="12" t="n">
        <v>1504.2</v>
      </c>
      <c r="H403" s="13" t="n">
        <v>1</v>
      </c>
      <c r="I403" s="13" t="n">
        <v>1</v>
      </c>
    </row>
    <row r="404">
      <c r="A404" s="10" t="inlineStr">
        <is>
          <t>PJ-2021-E</t>
        </is>
      </c>
      <c r="B404" s="10" t="inlineStr">
        <is>
          <t>位置合わせ(MS学習値)</t>
        </is>
      </c>
      <c r="C404" s="10" t="inlineStr">
        <is>
          <t>2021-01</t>
        </is>
      </c>
      <c r="D404" s="10" t="n">
        <v>1</v>
      </c>
      <c r="E404" s="12" t="n">
        <v>3173.6</v>
      </c>
      <c r="F404" s="12" t="n">
        <v>2475.8</v>
      </c>
      <c r="G404" s="12" t="n">
        <v>697.8</v>
      </c>
      <c r="H404" s="13" t="n">
        <v>0.0067</v>
      </c>
      <c r="I404" s="13" t="n">
        <v>0.0052</v>
      </c>
    </row>
    <row r="405">
      <c r="A405" s="10" t="inlineStr">
        <is>
          <t>PJ-2021-E</t>
        </is>
      </c>
      <c r="B405" s="10" t="inlineStr">
        <is>
          <t>位置合わせ(MS学習値)</t>
        </is>
      </c>
      <c r="C405" s="10" t="inlineStr">
        <is>
          <t>2021-02</t>
        </is>
      </c>
      <c r="D405" s="10" t="n">
        <v>2</v>
      </c>
      <c r="E405" s="12" t="n">
        <v>3598.5</v>
      </c>
      <c r="F405" s="12" t="n">
        <v>3632.9</v>
      </c>
      <c r="G405" s="12" t="n">
        <v>-34.4</v>
      </c>
      <c r="H405" s="13" t="n">
        <v>0.0142</v>
      </c>
      <c r="I405" s="13" t="n">
        <v>0.0128</v>
      </c>
    </row>
    <row r="406">
      <c r="A406" s="10" t="inlineStr">
        <is>
          <t>PJ-2021-E</t>
        </is>
      </c>
      <c r="B406" s="10" t="inlineStr">
        <is>
          <t>位置合わせ(MS学習値)</t>
        </is>
      </c>
      <c r="C406" s="10" t="inlineStr">
        <is>
          <t>2021-03</t>
        </is>
      </c>
      <c r="D406" s="10" t="n">
        <v>3</v>
      </c>
      <c r="E406" s="12" t="n">
        <v>5341.6</v>
      </c>
      <c r="F406" s="12" t="n">
        <v>4939.8</v>
      </c>
      <c r="G406" s="12" t="n">
        <v>401.8</v>
      </c>
      <c r="H406" s="13" t="n">
        <v>0.0254</v>
      </c>
      <c r="I406" s="13" t="n">
        <v>0.0232</v>
      </c>
    </row>
    <row r="407">
      <c r="A407" s="10" t="inlineStr">
        <is>
          <t>PJ-2021-E</t>
        </is>
      </c>
      <c r="B407" s="10" t="inlineStr">
        <is>
          <t>位置合わせ(MS学習値)</t>
        </is>
      </c>
      <c r="C407" s="10" t="inlineStr">
        <is>
          <t>2021-04</t>
        </is>
      </c>
      <c r="D407" s="10" t="n">
        <v>4</v>
      </c>
      <c r="E407" s="12" t="n">
        <v>6338.4</v>
      </c>
      <c r="F407" s="12" t="n">
        <v>5681.4</v>
      </c>
      <c r="G407" s="12" t="n">
        <v>657</v>
      </c>
      <c r="H407" s="13" t="n">
        <v>0.0387</v>
      </c>
      <c r="I407" s="13" t="n">
        <v>0.0351</v>
      </c>
    </row>
    <row r="408">
      <c r="A408" s="10" t="inlineStr">
        <is>
          <t>PJ-2021-E</t>
        </is>
      </c>
      <c r="B408" s="10" t="inlineStr">
        <is>
          <t>位置合わせ(MS学習値)</t>
        </is>
      </c>
      <c r="C408" s="10" t="inlineStr">
        <is>
          <t>2021-05</t>
        </is>
      </c>
      <c r="D408" s="10" t="n">
        <v>5</v>
      </c>
      <c r="E408" s="12" t="n">
        <v>7438</v>
      </c>
      <c r="F408" s="12" t="n">
        <v>7621.1</v>
      </c>
      <c r="G408" s="12" t="n">
        <v>-183.1</v>
      </c>
      <c r="H408" s="13" t="n">
        <v>0.0543</v>
      </c>
      <c r="I408" s="13" t="n">
        <v>0.0511</v>
      </c>
    </row>
    <row r="409">
      <c r="A409" s="10" t="inlineStr">
        <is>
          <t>PJ-2021-E</t>
        </is>
      </c>
      <c r="B409" s="10" t="inlineStr">
        <is>
          <t>位置合わせ(MS学習値)</t>
        </is>
      </c>
      <c r="C409" s="10" t="inlineStr">
        <is>
          <t>2021-06</t>
        </is>
      </c>
      <c r="D409" s="10" t="n">
        <v>6</v>
      </c>
      <c r="E409" s="12" t="n">
        <v>8108.5</v>
      </c>
      <c r="F409" s="12" t="n">
        <v>7313.3</v>
      </c>
      <c r="G409" s="12" t="n">
        <v>795.2</v>
      </c>
      <c r="H409" s="13" t="n">
        <v>0.0713</v>
      </c>
      <c r="I409" s="13" t="n">
        <v>0.0664</v>
      </c>
    </row>
    <row r="410">
      <c r="A410" s="10" t="inlineStr">
        <is>
          <t>PJ-2021-E</t>
        </is>
      </c>
      <c r="B410" s="10" t="inlineStr">
        <is>
          <t>位置合わせ(MS学習値)</t>
        </is>
      </c>
      <c r="C410" s="10" t="inlineStr">
        <is>
          <t>2021-07</t>
        </is>
      </c>
      <c r="D410" s="10" t="n">
        <v>7</v>
      </c>
      <c r="E410" s="12" t="n">
        <v>8801.9</v>
      </c>
      <c r="F410" s="12" t="n">
        <v>8228.4</v>
      </c>
      <c r="G410" s="12" t="n">
        <v>573.5</v>
      </c>
      <c r="H410" s="13" t="n">
        <v>0.0897</v>
      </c>
      <c r="I410" s="13" t="n">
        <v>0.08359999999999999</v>
      </c>
    </row>
    <row r="411">
      <c r="A411" s="10" t="inlineStr">
        <is>
          <t>PJ-2021-E</t>
        </is>
      </c>
      <c r="B411" s="10" t="inlineStr">
        <is>
          <t>位置合わせ(MS学習値)</t>
        </is>
      </c>
      <c r="C411" s="10" t="inlineStr">
        <is>
          <t>2021-08</t>
        </is>
      </c>
      <c r="D411" s="10" t="n">
        <v>8</v>
      </c>
      <c r="E411" s="12" t="n">
        <v>9378.799999999999</v>
      </c>
      <c r="F411" s="12" t="n">
        <v>8643.700000000001</v>
      </c>
      <c r="G411" s="12" t="n">
        <v>735.1</v>
      </c>
      <c r="H411" s="13" t="n">
        <v>0.1094</v>
      </c>
      <c r="I411" s="13" t="n">
        <v>0.1018</v>
      </c>
    </row>
    <row r="412">
      <c r="A412" s="10" t="inlineStr">
        <is>
          <t>PJ-2021-E</t>
        </is>
      </c>
      <c r="B412" s="10" t="inlineStr">
        <is>
          <t>位置合わせ(MS学習値)</t>
        </is>
      </c>
      <c r="C412" s="10" t="inlineStr">
        <is>
          <t>2021-09</t>
        </is>
      </c>
      <c r="D412" s="10" t="n">
        <v>9</v>
      </c>
      <c r="E412" s="12" t="n">
        <v>10148.5</v>
      </c>
      <c r="F412" s="12" t="n">
        <v>9278.700000000001</v>
      </c>
      <c r="G412" s="12" t="n">
        <v>869.8</v>
      </c>
      <c r="H412" s="13" t="n">
        <v>0.1307</v>
      </c>
      <c r="I412" s="13" t="n">
        <v>0.1212</v>
      </c>
    </row>
    <row r="413">
      <c r="A413" s="10" t="inlineStr">
        <is>
          <t>PJ-2021-E</t>
        </is>
      </c>
      <c r="B413" s="10" t="inlineStr">
        <is>
          <t>位置合わせ(MS学習値)</t>
        </is>
      </c>
      <c r="C413" s="10" t="inlineStr">
        <is>
          <t>2021-10</t>
        </is>
      </c>
      <c r="D413" s="10" t="n">
        <v>10</v>
      </c>
      <c r="E413" s="12" t="n">
        <v>11746.5</v>
      </c>
      <c r="F413" s="12" t="n">
        <v>8406.1</v>
      </c>
      <c r="G413" s="12" t="n">
        <v>3340.4</v>
      </c>
      <c r="H413" s="13" t="n">
        <v>0.1553</v>
      </c>
      <c r="I413" s="13" t="n">
        <v>0.1388</v>
      </c>
    </row>
    <row r="414">
      <c r="A414" s="10" t="inlineStr">
        <is>
          <t>PJ-2021-E</t>
        </is>
      </c>
      <c r="B414" s="10" t="inlineStr">
        <is>
          <t>位置合わせ(MS学習値)</t>
        </is>
      </c>
      <c r="C414" s="10" t="inlineStr">
        <is>
          <t>2021-11</t>
        </is>
      </c>
      <c r="D414" s="10" t="n">
        <v>11</v>
      </c>
      <c r="E414" s="12" t="n">
        <v>12353.9</v>
      </c>
      <c r="F414" s="12" t="n">
        <v>8915.4</v>
      </c>
      <c r="G414" s="12" t="n">
        <v>3438.5</v>
      </c>
      <c r="H414" s="13" t="n">
        <v>0.1812</v>
      </c>
      <c r="I414" s="13" t="n">
        <v>0.1575</v>
      </c>
    </row>
    <row r="415">
      <c r="A415" s="10" t="inlineStr">
        <is>
          <t>PJ-2021-E</t>
        </is>
      </c>
      <c r="B415" s="10" t="inlineStr">
        <is>
          <t>位置合わせ(MS学習値)</t>
        </is>
      </c>
      <c r="C415" s="10" t="inlineStr">
        <is>
          <t>2021-12</t>
        </is>
      </c>
      <c r="D415" s="10" t="n">
        <v>12</v>
      </c>
      <c r="E415" s="12" t="n">
        <v>14397.8</v>
      </c>
      <c r="F415" s="12" t="n">
        <v>9352.6</v>
      </c>
      <c r="G415" s="12" t="n">
        <v>5045.2</v>
      </c>
      <c r="H415" s="13" t="n">
        <v>0.2114</v>
      </c>
      <c r="I415" s="13" t="n">
        <v>0.1771</v>
      </c>
    </row>
    <row r="416">
      <c r="A416" s="10" t="inlineStr">
        <is>
          <t>PJ-2021-E</t>
        </is>
      </c>
      <c r="B416" s="10" t="inlineStr">
        <is>
          <t>位置合わせ(MS学習値)</t>
        </is>
      </c>
      <c r="C416" s="10" t="inlineStr">
        <is>
          <t>2022-01</t>
        </is>
      </c>
      <c r="D416" s="10" t="n">
        <v>13</v>
      </c>
      <c r="E416" s="12" t="n">
        <v>15035.5</v>
      </c>
      <c r="F416" s="12" t="n">
        <v>9765.299999999999</v>
      </c>
      <c r="G416" s="12" t="n">
        <v>5270.2</v>
      </c>
      <c r="H416" s="13" t="n">
        <v>0.2429</v>
      </c>
      <c r="I416" s="13" t="n">
        <v>0.1976</v>
      </c>
    </row>
    <row r="417">
      <c r="A417" s="10" t="inlineStr">
        <is>
          <t>PJ-2021-E</t>
        </is>
      </c>
      <c r="B417" s="10" t="inlineStr">
        <is>
          <t>位置合わせ(MS学習値)</t>
        </is>
      </c>
      <c r="C417" s="10" t="inlineStr">
        <is>
          <t>2022-02</t>
        </is>
      </c>
      <c r="D417" s="10" t="n">
        <v>14</v>
      </c>
      <c r="E417" s="12" t="n">
        <v>14586.5</v>
      </c>
      <c r="F417" s="12" t="n">
        <v>9457.200000000001</v>
      </c>
      <c r="G417" s="12" t="n">
        <v>5129.3</v>
      </c>
      <c r="H417" s="13" t="n">
        <v>0.2735</v>
      </c>
      <c r="I417" s="13" t="n">
        <v>0.2175</v>
      </c>
    </row>
    <row r="418">
      <c r="A418" s="10" t="inlineStr">
        <is>
          <t>PJ-2021-E</t>
        </is>
      </c>
      <c r="B418" s="10" t="inlineStr">
        <is>
          <t>位置合わせ(MS学習値)</t>
        </is>
      </c>
      <c r="C418" s="10" t="inlineStr">
        <is>
          <t>2022-03</t>
        </is>
      </c>
      <c r="D418" s="10" t="n">
        <v>15</v>
      </c>
      <c r="E418" s="12" t="n">
        <v>18068</v>
      </c>
      <c r="F418" s="12" t="n">
        <v>11177.6</v>
      </c>
      <c r="G418" s="12" t="n">
        <v>6890.4</v>
      </c>
      <c r="H418" s="13" t="n">
        <v>0.3114</v>
      </c>
      <c r="I418" s="13" t="n">
        <v>0.2409</v>
      </c>
    </row>
    <row r="419">
      <c r="A419" s="10" t="inlineStr">
        <is>
          <t>PJ-2021-E</t>
        </is>
      </c>
      <c r="B419" s="10" t="inlineStr">
        <is>
          <t>位置合わせ(MS学習値)</t>
        </is>
      </c>
      <c r="C419" s="10" t="inlineStr">
        <is>
          <t>2022-04</t>
        </is>
      </c>
      <c r="D419" s="10" t="n">
        <v>16</v>
      </c>
      <c r="E419" s="12" t="n">
        <v>19211.4</v>
      </c>
      <c r="F419" s="12" t="n">
        <v>10673.6</v>
      </c>
      <c r="G419" s="12" t="n">
        <v>8537.799999999999</v>
      </c>
      <c r="H419" s="13" t="n">
        <v>0.3517</v>
      </c>
      <c r="I419" s="13" t="n">
        <v>0.2633</v>
      </c>
    </row>
    <row r="420">
      <c r="A420" s="10" t="inlineStr">
        <is>
          <t>PJ-2021-E</t>
        </is>
      </c>
      <c r="B420" s="10" t="inlineStr">
        <is>
          <t>位置合わせ(MS学習値)</t>
        </is>
      </c>
      <c r="C420" s="10" t="inlineStr">
        <is>
          <t>2022-05</t>
        </is>
      </c>
      <c r="D420" s="10" t="n">
        <v>17</v>
      </c>
      <c r="E420" s="12" t="n">
        <v>22620.7</v>
      </c>
      <c r="F420" s="12" t="n">
        <v>11006.6</v>
      </c>
      <c r="G420" s="12" t="n">
        <v>11614.1</v>
      </c>
      <c r="H420" s="13" t="n">
        <v>0.3991</v>
      </c>
      <c r="I420" s="13" t="n">
        <v>0.2863</v>
      </c>
    </row>
    <row r="421">
      <c r="A421" s="10" t="inlineStr">
        <is>
          <t>PJ-2021-E</t>
        </is>
      </c>
      <c r="B421" s="10" t="inlineStr">
        <is>
          <t>位置合わせ(MS学習値)</t>
        </is>
      </c>
      <c r="C421" s="10" t="inlineStr">
        <is>
          <t>2022-06</t>
        </is>
      </c>
      <c r="D421" s="10" t="n">
        <v>18</v>
      </c>
      <c r="E421" s="12" t="n">
        <v>20919</v>
      </c>
      <c r="F421" s="12" t="n">
        <v>11318.6</v>
      </c>
      <c r="G421" s="12" t="n">
        <v>9600.4</v>
      </c>
      <c r="H421" s="13" t="n">
        <v>0.443</v>
      </c>
      <c r="I421" s="13" t="n">
        <v>0.3101</v>
      </c>
    </row>
    <row r="422">
      <c r="A422" s="10" t="inlineStr">
        <is>
          <t>PJ-2021-E</t>
        </is>
      </c>
      <c r="B422" s="10" t="inlineStr">
        <is>
          <t>位置合わせ(MS学習値)</t>
        </is>
      </c>
      <c r="C422" s="10" t="inlineStr">
        <is>
          <t>2022-07</t>
        </is>
      </c>
      <c r="D422" s="10" t="n">
        <v>19</v>
      </c>
      <c r="E422" s="12" t="n">
        <v>19463</v>
      </c>
      <c r="F422" s="12" t="n">
        <v>13079</v>
      </c>
      <c r="G422" s="12" t="n">
        <v>6384</v>
      </c>
      <c r="H422" s="13" t="n">
        <v>0.4838</v>
      </c>
      <c r="I422" s="13" t="n">
        <v>0.3375</v>
      </c>
    </row>
    <row r="423">
      <c r="A423" s="10" t="inlineStr">
        <is>
          <t>PJ-2021-E</t>
        </is>
      </c>
      <c r="B423" s="10" t="inlineStr">
        <is>
          <t>位置合わせ(MS学習値)</t>
        </is>
      </c>
      <c r="C423" s="10" t="inlineStr">
        <is>
          <t>2022-08</t>
        </is>
      </c>
      <c r="D423" s="10" t="n">
        <v>20</v>
      </c>
      <c r="E423" s="12" t="n">
        <v>18023.4</v>
      </c>
      <c r="F423" s="12" t="n">
        <v>15087.9</v>
      </c>
      <c r="G423" s="12" t="n">
        <v>2935.5</v>
      </c>
      <c r="H423" s="13" t="n">
        <v>0.5216</v>
      </c>
      <c r="I423" s="13" t="n">
        <v>0.3691</v>
      </c>
    </row>
    <row r="424">
      <c r="A424" s="10" t="inlineStr">
        <is>
          <t>PJ-2021-E</t>
        </is>
      </c>
      <c r="B424" s="10" t="inlineStr">
        <is>
          <t>位置合わせ(MS学習値)</t>
        </is>
      </c>
      <c r="C424" s="10" t="inlineStr">
        <is>
          <t>2022-09</t>
        </is>
      </c>
      <c r="D424" s="10" t="n">
        <v>21</v>
      </c>
      <c r="E424" s="12" t="n">
        <v>16568.7</v>
      </c>
      <c r="F424" s="12" t="n">
        <v>14662.9</v>
      </c>
      <c r="G424" s="12" t="n">
        <v>1905.8</v>
      </c>
      <c r="H424" s="13" t="n">
        <v>0.5563</v>
      </c>
      <c r="I424" s="13" t="n">
        <v>0.3999</v>
      </c>
    </row>
    <row r="425">
      <c r="A425" s="10" t="inlineStr">
        <is>
          <t>PJ-2021-E</t>
        </is>
      </c>
      <c r="B425" s="10" t="inlineStr">
        <is>
          <t>位置合わせ(MS学習値)</t>
        </is>
      </c>
      <c r="C425" s="10" t="inlineStr">
        <is>
          <t>2022-10</t>
        </is>
      </c>
      <c r="D425" s="10" t="n">
        <v>22</v>
      </c>
      <c r="E425" s="12" t="n">
        <v>16089.5</v>
      </c>
      <c r="F425" s="12" t="n">
        <v>15763.5</v>
      </c>
      <c r="G425" s="12" t="n">
        <v>326</v>
      </c>
      <c r="H425" s="13" t="n">
        <v>0.59</v>
      </c>
      <c r="I425" s="13" t="n">
        <v>0.4329</v>
      </c>
    </row>
    <row r="426">
      <c r="A426" s="10" t="inlineStr">
        <is>
          <t>PJ-2021-E</t>
        </is>
      </c>
      <c r="B426" s="10" t="inlineStr">
        <is>
          <t>位置合わせ(MS学習値)</t>
        </is>
      </c>
      <c r="C426" s="10" t="inlineStr">
        <is>
          <t>2022-11</t>
        </is>
      </c>
      <c r="D426" s="10" t="n">
        <v>23</v>
      </c>
      <c r="E426" s="12" t="n">
        <v>15525.2</v>
      </c>
      <c r="F426" s="12" t="n">
        <v>29175.9</v>
      </c>
      <c r="G426" s="12" t="n">
        <v>-13650.7</v>
      </c>
      <c r="H426" s="13" t="n">
        <v>0.6226</v>
      </c>
      <c r="I426" s="13" t="n">
        <v>0.4941</v>
      </c>
    </row>
    <row r="427">
      <c r="A427" s="10" t="inlineStr">
        <is>
          <t>PJ-2021-E</t>
        </is>
      </c>
      <c r="B427" s="10" t="inlineStr">
        <is>
          <t>位置合わせ(MS学習値)</t>
        </is>
      </c>
      <c r="C427" s="10" t="inlineStr">
        <is>
          <t>2022-12</t>
        </is>
      </c>
      <c r="D427" s="10" t="n">
        <v>24</v>
      </c>
      <c r="E427" s="12" t="n">
        <v>16126.6</v>
      </c>
      <c r="F427" s="12" t="n">
        <v>33812.8</v>
      </c>
      <c r="G427" s="12" t="n">
        <v>-17686.2</v>
      </c>
      <c r="H427" s="13" t="n">
        <v>0.6564</v>
      </c>
      <c r="I427" s="13" t="n">
        <v>0.5649999999999999</v>
      </c>
    </row>
    <row r="428">
      <c r="A428" s="10" t="inlineStr">
        <is>
          <t>PJ-2021-E</t>
        </is>
      </c>
      <c r="B428" s="10" t="inlineStr">
        <is>
          <t>位置合わせ(MS学習値)</t>
        </is>
      </c>
      <c r="C428" s="10" t="inlineStr">
        <is>
          <t>2023-01</t>
        </is>
      </c>
      <c r="D428" s="10" t="n">
        <v>25</v>
      </c>
      <c r="E428" s="12" t="n">
        <v>17104.3</v>
      </c>
      <c r="F428" s="12" t="n">
        <v>26701.2</v>
      </c>
      <c r="G428" s="12" t="n">
        <v>-9596.9</v>
      </c>
      <c r="H428" s="13" t="n">
        <v>0.6923</v>
      </c>
      <c r="I428" s="13" t="n">
        <v>0.621</v>
      </c>
    </row>
    <row r="429">
      <c r="A429" s="10" t="inlineStr">
        <is>
          <t>PJ-2021-E</t>
        </is>
      </c>
      <c r="B429" s="10" t="inlineStr">
        <is>
          <t>位置合わせ(MS学習値)</t>
        </is>
      </c>
      <c r="C429" s="10" t="inlineStr">
        <is>
          <t>2023-02</t>
        </is>
      </c>
      <c r="D429" s="10" t="n">
        <v>26</v>
      </c>
      <c r="E429" s="12" t="n">
        <v>16718.6</v>
      </c>
      <c r="F429" s="12" t="n">
        <v>23819.8</v>
      </c>
      <c r="G429" s="12" t="n">
        <v>-7101.2</v>
      </c>
      <c r="H429" s="13" t="n">
        <v>0.7272999999999999</v>
      </c>
      <c r="I429" s="13" t="n">
        <v>0.6709000000000001</v>
      </c>
    </row>
    <row r="430">
      <c r="A430" s="10" t="inlineStr">
        <is>
          <t>PJ-2021-E</t>
        </is>
      </c>
      <c r="B430" s="10" t="inlineStr">
        <is>
          <t>位置合わせ(MS学習値)</t>
        </is>
      </c>
      <c r="C430" s="10" t="inlineStr">
        <is>
          <t>2023-03</t>
        </is>
      </c>
      <c r="D430" s="10" t="n">
        <v>27</v>
      </c>
      <c r="E430" s="12" t="n">
        <v>20375.1</v>
      </c>
      <c r="F430" s="12" t="n">
        <v>29164.3</v>
      </c>
      <c r="G430" s="12" t="n">
        <v>-8789.200000000001</v>
      </c>
      <c r="H430" s="13" t="n">
        <v>0.77</v>
      </c>
      <c r="I430" s="13" t="n">
        <v>0.7321</v>
      </c>
    </row>
    <row r="431">
      <c r="A431" s="10" t="inlineStr">
        <is>
          <t>PJ-2021-E</t>
        </is>
      </c>
      <c r="B431" s="10" t="inlineStr">
        <is>
          <t>位置合わせ(MS学習値)</t>
        </is>
      </c>
      <c r="C431" s="10" t="inlineStr">
        <is>
          <t>2023-04</t>
        </is>
      </c>
      <c r="D431" s="10" t="n">
        <v>28</v>
      </c>
      <c r="E431" s="12" t="n">
        <v>21398.1</v>
      </c>
      <c r="F431" s="12" t="n">
        <v>32359.3</v>
      </c>
      <c r="G431" s="12" t="n">
        <v>-10961.2</v>
      </c>
      <c r="H431" s="13" t="n">
        <v>0.8149</v>
      </c>
      <c r="I431" s="13" t="n">
        <v>0.7999000000000001</v>
      </c>
    </row>
    <row r="432">
      <c r="A432" s="10" t="inlineStr">
        <is>
          <t>PJ-2021-E</t>
        </is>
      </c>
      <c r="B432" s="10" t="inlineStr">
        <is>
          <t>位置合わせ(MS学習値)</t>
        </is>
      </c>
      <c r="C432" s="10" t="inlineStr">
        <is>
          <t>2023-05</t>
        </is>
      </c>
      <c r="D432" s="10" t="n">
        <v>29</v>
      </c>
      <c r="E432" s="12" t="n">
        <v>21486.6</v>
      </c>
      <c r="F432" s="12" t="n">
        <v>25679.3</v>
      </c>
      <c r="G432" s="12" t="n">
        <v>-4192.7</v>
      </c>
      <c r="H432" s="13" t="n">
        <v>0.86</v>
      </c>
      <c r="I432" s="13" t="n">
        <v>0.8538</v>
      </c>
    </row>
    <row r="433">
      <c r="A433" s="10" t="inlineStr">
        <is>
          <t>PJ-2021-E</t>
        </is>
      </c>
      <c r="B433" s="10" t="inlineStr">
        <is>
          <t>位置合わせ(MS学習値)</t>
        </is>
      </c>
      <c r="C433" s="10" t="inlineStr">
        <is>
          <t>2023-06</t>
        </is>
      </c>
      <c r="D433" s="10" t="n">
        <v>30</v>
      </c>
      <c r="E433" s="12" t="n">
        <v>17118.8</v>
      </c>
      <c r="F433" s="12" t="n">
        <v>19503.4</v>
      </c>
      <c r="G433" s="12" t="n">
        <v>-2384.6</v>
      </c>
      <c r="H433" s="13" t="n">
        <v>0.8958</v>
      </c>
      <c r="I433" s="13" t="n">
        <v>0.8947000000000001</v>
      </c>
    </row>
    <row r="434">
      <c r="A434" s="10" t="inlineStr">
        <is>
          <t>PJ-2021-E</t>
        </is>
      </c>
      <c r="B434" s="10" t="inlineStr">
        <is>
          <t>位置合わせ(MS学習値)</t>
        </is>
      </c>
      <c r="C434" s="10" t="inlineStr">
        <is>
          <t>2023-07</t>
        </is>
      </c>
      <c r="D434" s="10" t="n">
        <v>31</v>
      </c>
      <c r="E434" s="12" t="n">
        <v>13307.5</v>
      </c>
      <c r="F434" s="12" t="n">
        <v>14233.9</v>
      </c>
      <c r="G434" s="12" t="n">
        <v>-926.4</v>
      </c>
      <c r="H434" s="13" t="n">
        <v>0.9238</v>
      </c>
      <c r="I434" s="13" t="n">
        <v>0.9245</v>
      </c>
    </row>
    <row r="435">
      <c r="A435" s="10" t="inlineStr">
        <is>
          <t>PJ-2021-E</t>
        </is>
      </c>
      <c r="B435" s="10" t="inlineStr">
        <is>
          <t>位置合わせ(MS学習値)</t>
        </is>
      </c>
      <c r="C435" s="10" t="inlineStr">
        <is>
          <t>2023-08</t>
        </is>
      </c>
      <c r="D435" s="10" t="n">
        <v>32</v>
      </c>
      <c r="E435" s="12" t="n">
        <v>11464</v>
      </c>
      <c r="F435" s="12" t="n">
        <v>11762.7</v>
      </c>
      <c r="G435" s="12" t="n">
        <v>-298.7</v>
      </c>
      <c r="H435" s="13" t="n">
        <v>0.9478</v>
      </c>
      <c r="I435" s="13" t="n">
        <v>0.9492</v>
      </c>
    </row>
    <row r="436">
      <c r="A436" s="10" t="inlineStr">
        <is>
          <t>PJ-2021-E</t>
        </is>
      </c>
      <c r="B436" s="10" t="inlineStr">
        <is>
          <t>位置合わせ(MS学習値)</t>
        </is>
      </c>
      <c r="C436" s="10" t="inlineStr">
        <is>
          <t>2023-09</t>
        </is>
      </c>
      <c r="D436" s="10" t="n">
        <v>33</v>
      </c>
      <c r="E436" s="12" t="n">
        <v>9662</v>
      </c>
      <c r="F436" s="12" t="n">
        <v>9820.700000000001</v>
      </c>
      <c r="G436" s="12" t="n">
        <v>-158.7</v>
      </c>
      <c r="H436" s="13" t="n">
        <v>0.968</v>
      </c>
      <c r="I436" s="13" t="n">
        <v>0.9698</v>
      </c>
    </row>
    <row r="437">
      <c r="A437" s="10" t="inlineStr">
        <is>
          <t>PJ-2021-E</t>
        </is>
      </c>
      <c r="B437" s="10" t="inlineStr">
        <is>
          <t>位置合わせ(MS学習値)</t>
        </is>
      </c>
      <c r="C437" s="10" t="inlineStr">
        <is>
          <t>2023-10</t>
        </is>
      </c>
      <c r="D437" s="10" t="n">
        <v>34</v>
      </c>
      <c r="E437" s="12" t="n">
        <v>8300.799999999999</v>
      </c>
      <c r="F437" s="12" t="n">
        <v>8322.9</v>
      </c>
      <c r="G437" s="12" t="n">
        <v>-22.1</v>
      </c>
      <c r="H437" s="13" t="n">
        <v>0.9855</v>
      </c>
      <c r="I437" s="13" t="n">
        <v>0.9872</v>
      </c>
    </row>
    <row r="438">
      <c r="A438" s="10" t="inlineStr">
        <is>
          <t>PJ-2021-E</t>
        </is>
      </c>
      <c r="B438" s="10" t="inlineStr">
        <is>
          <t>位置合わせ(MS学習値)</t>
        </is>
      </c>
      <c r="C438" s="10" t="inlineStr">
        <is>
          <t>2023-11</t>
        </is>
      </c>
      <c r="D438" s="10" t="n">
        <v>35</v>
      </c>
      <c r="E438" s="12" t="n">
        <v>4221.7</v>
      </c>
      <c r="F438" s="12" t="n">
        <v>4643.9</v>
      </c>
      <c r="G438" s="12" t="n">
        <v>-422.2</v>
      </c>
      <c r="H438" s="13" t="n">
        <v>0.9943</v>
      </c>
      <c r="I438" s="13" t="n">
        <v>0.9969</v>
      </c>
    </row>
    <row r="439">
      <c r="A439" s="10" t="inlineStr">
        <is>
          <t>PJ-2021-E</t>
        </is>
      </c>
      <c r="B439" s="10" t="inlineStr">
        <is>
          <t>位置合わせ(MS学習値)</t>
        </is>
      </c>
      <c r="C439" s="10" t="inlineStr">
        <is>
          <t>2023-12</t>
        </is>
      </c>
      <c r="D439" s="10" t="n">
        <v>36</v>
      </c>
      <c r="E439" s="12" t="n">
        <v>2717.8</v>
      </c>
      <c r="F439" s="12" t="n">
        <v>1457.2</v>
      </c>
      <c r="G439" s="12" t="n">
        <v>1260.6</v>
      </c>
      <c r="H439" s="13" t="n">
        <v>1</v>
      </c>
      <c r="I439" s="13" t="n">
        <v>1</v>
      </c>
    </row>
    <row r="440">
      <c r="A440" s="10" t="inlineStr">
        <is>
          <t>PJ-2021-E</t>
        </is>
      </c>
      <c r="B440" s="10" t="inlineStr">
        <is>
          <t>位置合わせ(MS指定)</t>
        </is>
      </c>
      <c r="C440" s="10" t="inlineStr">
        <is>
          <t>2021-01</t>
        </is>
      </c>
      <c r="D440" s="10" t="n">
        <v>1</v>
      </c>
      <c r="E440" s="12" t="n">
        <v>2502.1</v>
      </c>
      <c r="F440" s="12" t="n">
        <v>2475.8</v>
      </c>
      <c r="G440" s="12" t="n">
        <v>26.3</v>
      </c>
      <c r="H440" s="13" t="n">
        <v>0.0052</v>
      </c>
      <c r="I440" s="13" t="n">
        <v>0.0052</v>
      </c>
    </row>
    <row r="441">
      <c r="A441" s="10" t="inlineStr">
        <is>
          <t>PJ-2021-E</t>
        </is>
      </c>
      <c r="B441" s="10" t="inlineStr">
        <is>
          <t>位置合わせ(MS指定)</t>
        </is>
      </c>
      <c r="C441" s="10" t="inlineStr">
        <is>
          <t>2021-02</t>
        </is>
      </c>
      <c r="D441" s="10" t="n">
        <v>2</v>
      </c>
      <c r="E441" s="12" t="n">
        <v>2481.3</v>
      </c>
      <c r="F441" s="12" t="n">
        <v>3632.9</v>
      </c>
      <c r="G441" s="12" t="n">
        <v>-1151.6</v>
      </c>
      <c r="H441" s="13" t="n">
        <v>0.0104</v>
      </c>
      <c r="I441" s="13" t="n">
        <v>0.0128</v>
      </c>
    </row>
    <row r="442">
      <c r="A442" s="10" t="inlineStr">
        <is>
          <t>PJ-2021-E</t>
        </is>
      </c>
      <c r="B442" s="10" t="inlineStr">
        <is>
          <t>位置合わせ(MS指定)</t>
        </is>
      </c>
      <c r="C442" s="10" t="inlineStr">
        <is>
          <t>2021-03</t>
        </is>
      </c>
      <c r="D442" s="10" t="n">
        <v>3</v>
      </c>
      <c r="E442" s="12" t="n">
        <v>3564.1</v>
      </c>
      <c r="F442" s="12" t="n">
        <v>4939.8</v>
      </c>
      <c r="G442" s="12" t="n">
        <v>-1375.7</v>
      </c>
      <c r="H442" s="13" t="n">
        <v>0.0179</v>
      </c>
      <c r="I442" s="13" t="n">
        <v>0.0232</v>
      </c>
    </row>
    <row r="443">
      <c r="A443" s="10" t="inlineStr">
        <is>
          <t>PJ-2021-E</t>
        </is>
      </c>
      <c r="B443" s="10" t="inlineStr">
        <is>
          <t>位置合わせ(MS指定)</t>
        </is>
      </c>
      <c r="C443" s="10" t="inlineStr">
        <is>
          <t>2021-04</t>
        </is>
      </c>
      <c r="D443" s="10" t="n">
        <v>4</v>
      </c>
      <c r="E443" s="12" t="n">
        <v>4332.8</v>
      </c>
      <c r="F443" s="12" t="n">
        <v>5681.4</v>
      </c>
      <c r="G443" s="12" t="n">
        <v>-1348.6</v>
      </c>
      <c r="H443" s="13" t="n">
        <v>0.027</v>
      </c>
      <c r="I443" s="13" t="n">
        <v>0.0351</v>
      </c>
    </row>
    <row r="444">
      <c r="A444" s="10" t="inlineStr">
        <is>
          <t>PJ-2021-E</t>
        </is>
      </c>
      <c r="B444" s="10" t="inlineStr">
        <is>
          <t>位置合わせ(MS指定)</t>
        </is>
      </c>
      <c r="C444" s="10" t="inlineStr">
        <is>
          <t>2021-05</t>
        </is>
      </c>
      <c r="D444" s="10" t="n">
        <v>5</v>
      </c>
      <c r="E444" s="12" t="n">
        <v>5145.3</v>
      </c>
      <c r="F444" s="12" t="n">
        <v>7621.1</v>
      </c>
      <c r="G444" s="12" t="n">
        <v>-2475.8</v>
      </c>
      <c r="H444" s="13" t="n">
        <v>0.0378</v>
      </c>
      <c r="I444" s="13" t="n">
        <v>0.0511</v>
      </c>
    </row>
    <row r="445">
      <c r="A445" s="10" t="inlineStr">
        <is>
          <t>PJ-2021-E</t>
        </is>
      </c>
      <c r="B445" s="10" t="inlineStr">
        <is>
          <t>位置合わせ(MS指定)</t>
        </is>
      </c>
      <c r="C445" s="10" t="inlineStr">
        <is>
          <t>2021-06</t>
        </is>
      </c>
      <c r="D445" s="10" t="n">
        <v>6</v>
      </c>
      <c r="E445" s="12" t="n">
        <v>5440.6</v>
      </c>
      <c r="F445" s="12" t="n">
        <v>7313.3</v>
      </c>
      <c r="G445" s="12" t="n">
        <v>-1872.7</v>
      </c>
      <c r="H445" s="13" t="n">
        <v>0.0492</v>
      </c>
      <c r="I445" s="13" t="n">
        <v>0.0664</v>
      </c>
    </row>
    <row r="446">
      <c r="A446" s="10" t="inlineStr">
        <is>
          <t>PJ-2021-E</t>
        </is>
      </c>
      <c r="B446" s="10" t="inlineStr">
        <is>
          <t>位置合わせ(MS指定)</t>
        </is>
      </c>
      <c r="C446" s="10" t="inlineStr">
        <is>
          <t>2021-07</t>
        </is>
      </c>
      <c r="D446" s="10" t="n">
        <v>7</v>
      </c>
      <c r="E446" s="12" t="n">
        <v>6389.6</v>
      </c>
      <c r="F446" s="12" t="n">
        <v>8228.4</v>
      </c>
      <c r="G446" s="12" t="n">
        <v>-1838.8</v>
      </c>
      <c r="H446" s="13" t="n">
        <v>0.0626</v>
      </c>
      <c r="I446" s="13" t="n">
        <v>0.08359999999999999</v>
      </c>
    </row>
    <row r="447">
      <c r="A447" s="10" t="inlineStr">
        <is>
          <t>PJ-2021-E</t>
        </is>
      </c>
      <c r="B447" s="10" t="inlineStr">
        <is>
          <t>位置合わせ(MS指定)</t>
        </is>
      </c>
      <c r="C447" s="10" t="inlineStr">
        <is>
          <t>2021-08</t>
        </is>
      </c>
      <c r="D447" s="10" t="n">
        <v>8</v>
      </c>
      <c r="E447" s="12" t="n">
        <v>6770</v>
      </c>
      <c r="F447" s="12" t="n">
        <v>8643.700000000001</v>
      </c>
      <c r="G447" s="12" t="n">
        <v>-1873.7</v>
      </c>
      <c r="H447" s="13" t="n">
        <v>0.07679999999999999</v>
      </c>
      <c r="I447" s="13" t="n">
        <v>0.1018</v>
      </c>
    </row>
    <row r="448">
      <c r="A448" s="10" t="inlineStr">
        <is>
          <t>PJ-2021-E</t>
        </is>
      </c>
      <c r="B448" s="10" t="inlineStr">
        <is>
          <t>位置合わせ(MS指定)</t>
        </is>
      </c>
      <c r="C448" s="10" t="inlineStr">
        <is>
          <t>2021-09</t>
        </is>
      </c>
      <c r="D448" s="10" t="n">
        <v>9</v>
      </c>
      <c r="E448" s="12" t="n">
        <v>6655.5</v>
      </c>
      <c r="F448" s="12" t="n">
        <v>9278.700000000001</v>
      </c>
      <c r="G448" s="12" t="n">
        <v>-2623.2</v>
      </c>
      <c r="H448" s="13" t="n">
        <v>0.0907</v>
      </c>
      <c r="I448" s="13" t="n">
        <v>0.1212</v>
      </c>
    </row>
    <row r="449">
      <c r="A449" s="10" t="inlineStr">
        <is>
          <t>PJ-2021-E</t>
        </is>
      </c>
      <c r="B449" s="10" t="inlineStr">
        <is>
          <t>位置合わせ(MS指定)</t>
        </is>
      </c>
      <c r="C449" s="10" t="inlineStr">
        <is>
          <t>2021-10</t>
        </is>
      </c>
      <c r="D449" s="10" t="n">
        <v>10</v>
      </c>
      <c r="E449" s="12" t="n">
        <v>7340.1</v>
      </c>
      <c r="F449" s="12" t="n">
        <v>8406.1</v>
      </c>
      <c r="G449" s="12" t="n">
        <v>-1066</v>
      </c>
      <c r="H449" s="13" t="n">
        <v>0.1061</v>
      </c>
      <c r="I449" s="13" t="n">
        <v>0.1388</v>
      </c>
    </row>
    <row r="450">
      <c r="A450" s="10" t="inlineStr">
        <is>
          <t>PJ-2021-E</t>
        </is>
      </c>
      <c r="B450" s="10" t="inlineStr">
        <is>
          <t>位置合わせ(MS指定)</t>
        </is>
      </c>
      <c r="C450" s="10" t="inlineStr">
        <is>
          <t>2021-11</t>
        </is>
      </c>
      <c r="D450" s="10" t="n">
        <v>11</v>
      </c>
      <c r="E450" s="12" t="n">
        <v>7752.5</v>
      </c>
      <c r="F450" s="12" t="n">
        <v>8915.4</v>
      </c>
      <c r="G450" s="12" t="n">
        <v>-1162.9</v>
      </c>
      <c r="H450" s="13" t="n">
        <v>0.1224</v>
      </c>
      <c r="I450" s="13" t="n">
        <v>0.1575</v>
      </c>
    </row>
    <row r="451">
      <c r="A451" s="10" t="inlineStr">
        <is>
          <t>PJ-2021-E</t>
        </is>
      </c>
      <c r="B451" s="10" t="inlineStr">
        <is>
          <t>位置合わせ(MS指定)</t>
        </is>
      </c>
      <c r="C451" s="10" t="inlineStr">
        <is>
          <t>2021-12</t>
        </is>
      </c>
      <c r="D451" s="10" t="n">
        <v>12</v>
      </c>
      <c r="E451" s="12" t="n">
        <v>8578</v>
      </c>
      <c r="F451" s="12" t="n">
        <v>9352.6</v>
      </c>
      <c r="G451" s="12" t="n">
        <v>-774.6</v>
      </c>
      <c r="H451" s="13" t="n">
        <v>0.1404</v>
      </c>
      <c r="I451" s="13" t="n">
        <v>0.1771</v>
      </c>
    </row>
    <row r="452">
      <c r="A452" s="10" t="inlineStr">
        <is>
          <t>PJ-2021-E</t>
        </is>
      </c>
      <c r="B452" s="10" t="inlineStr">
        <is>
          <t>位置合わせ(MS指定)</t>
        </is>
      </c>
      <c r="C452" s="10" t="inlineStr">
        <is>
          <t>2022-01</t>
        </is>
      </c>
      <c r="D452" s="10" t="n">
        <v>13</v>
      </c>
      <c r="E452" s="12" t="n">
        <v>9474.5</v>
      </c>
      <c r="F452" s="12" t="n">
        <v>9765.299999999999</v>
      </c>
      <c r="G452" s="12" t="n">
        <v>-290.8</v>
      </c>
      <c r="H452" s="13" t="n">
        <v>0.1602</v>
      </c>
      <c r="I452" s="13" t="n">
        <v>0.1976</v>
      </c>
    </row>
    <row r="453">
      <c r="A453" s="10" t="inlineStr">
        <is>
          <t>PJ-2021-E</t>
        </is>
      </c>
      <c r="B453" s="10" t="inlineStr">
        <is>
          <t>位置合わせ(MS指定)</t>
        </is>
      </c>
      <c r="C453" s="10" t="inlineStr">
        <is>
          <t>2022-02</t>
        </is>
      </c>
      <c r="D453" s="10" t="n">
        <v>14</v>
      </c>
      <c r="E453" s="12" t="n">
        <v>9190.200000000001</v>
      </c>
      <c r="F453" s="12" t="n">
        <v>9457.200000000001</v>
      </c>
      <c r="G453" s="12" t="n">
        <v>-267</v>
      </c>
      <c r="H453" s="13" t="n">
        <v>0.1795</v>
      </c>
      <c r="I453" s="13" t="n">
        <v>0.2175</v>
      </c>
    </row>
    <row r="454">
      <c r="A454" s="10" t="inlineStr">
        <is>
          <t>PJ-2021-E</t>
        </is>
      </c>
      <c r="B454" s="10" t="inlineStr">
        <is>
          <t>位置合わせ(MS指定)</t>
        </is>
      </c>
      <c r="C454" s="10" t="inlineStr">
        <is>
          <t>2022-03</t>
        </is>
      </c>
      <c r="D454" s="10" t="n">
        <v>15</v>
      </c>
      <c r="E454" s="12" t="n">
        <v>10904.4</v>
      </c>
      <c r="F454" s="12" t="n">
        <v>11177.6</v>
      </c>
      <c r="G454" s="12" t="n">
        <v>-273.2</v>
      </c>
      <c r="H454" s="13" t="n">
        <v>0.2024</v>
      </c>
      <c r="I454" s="13" t="n">
        <v>0.2409</v>
      </c>
    </row>
    <row r="455">
      <c r="A455" s="10" t="inlineStr">
        <is>
          <t>PJ-2021-E</t>
        </is>
      </c>
      <c r="B455" s="10" t="inlineStr">
        <is>
          <t>位置合わせ(MS指定)</t>
        </is>
      </c>
      <c r="C455" s="10" t="inlineStr">
        <is>
          <t>2022-04</t>
        </is>
      </c>
      <c r="D455" s="10" t="n">
        <v>16</v>
      </c>
      <c r="E455" s="12" t="n">
        <v>11294.5</v>
      </c>
      <c r="F455" s="12" t="n">
        <v>10673.6</v>
      </c>
      <c r="G455" s="12" t="n">
        <v>620.9</v>
      </c>
      <c r="H455" s="13" t="n">
        <v>0.2261</v>
      </c>
      <c r="I455" s="13" t="n">
        <v>0.2633</v>
      </c>
    </row>
    <row r="456">
      <c r="A456" s="10" t="inlineStr">
        <is>
          <t>PJ-2021-E</t>
        </is>
      </c>
      <c r="B456" s="10" t="inlineStr">
        <is>
          <t>位置合わせ(MS指定)</t>
        </is>
      </c>
      <c r="C456" s="10" t="inlineStr">
        <is>
          <t>2022-05</t>
        </is>
      </c>
      <c r="D456" s="10" t="n">
        <v>17</v>
      </c>
      <c r="E456" s="12" t="n">
        <v>12074.1</v>
      </c>
      <c r="F456" s="12" t="n">
        <v>11006.6</v>
      </c>
      <c r="G456" s="12" t="n">
        <v>1067.5</v>
      </c>
      <c r="H456" s="13" t="n">
        <v>0.2514</v>
      </c>
      <c r="I456" s="13" t="n">
        <v>0.2863</v>
      </c>
    </row>
    <row r="457">
      <c r="A457" s="10" t="inlineStr">
        <is>
          <t>PJ-2021-E</t>
        </is>
      </c>
      <c r="B457" s="10" t="inlineStr">
        <is>
          <t>位置合わせ(MS指定)</t>
        </is>
      </c>
      <c r="C457" s="10" t="inlineStr">
        <is>
          <t>2022-06</t>
        </is>
      </c>
      <c r="D457" s="10" t="n">
        <v>18</v>
      </c>
      <c r="E457" s="12" t="n">
        <v>12494.4</v>
      </c>
      <c r="F457" s="12" t="n">
        <v>11318.6</v>
      </c>
      <c r="G457" s="12" t="n">
        <v>1175.8</v>
      </c>
      <c r="H457" s="13" t="n">
        <v>0.2776</v>
      </c>
      <c r="I457" s="13" t="n">
        <v>0.3101</v>
      </c>
    </row>
    <row r="458">
      <c r="A458" s="10" t="inlineStr">
        <is>
          <t>PJ-2021-E</t>
        </is>
      </c>
      <c r="B458" s="10" t="inlineStr">
        <is>
          <t>位置合わせ(MS指定)</t>
        </is>
      </c>
      <c r="C458" s="10" t="inlineStr">
        <is>
          <t>2022-07</t>
        </is>
      </c>
      <c r="D458" s="10" t="n">
        <v>19</v>
      </c>
      <c r="E458" s="12" t="n">
        <v>14095.3</v>
      </c>
      <c r="F458" s="12" t="n">
        <v>13079</v>
      </c>
      <c r="G458" s="12" t="n">
        <v>1016.3</v>
      </c>
      <c r="H458" s="13" t="n">
        <v>0.3071</v>
      </c>
      <c r="I458" s="13" t="n">
        <v>0.3375</v>
      </c>
    </row>
    <row r="459">
      <c r="A459" s="10" t="inlineStr">
        <is>
          <t>PJ-2021-E</t>
        </is>
      </c>
      <c r="B459" s="10" t="inlineStr">
        <is>
          <t>位置合わせ(MS指定)</t>
        </is>
      </c>
      <c r="C459" s="10" t="inlineStr">
        <is>
          <t>2022-08</t>
        </is>
      </c>
      <c r="D459" s="10" t="n">
        <v>20</v>
      </c>
      <c r="E459" s="12" t="n">
        <v>15172.1</v>
      </c>
      <c r="F459" s="12" t="n">
        <v>15087.9</v>
      </c>
      <c r="G459" s="12" t="n">
        <v>84.2</v>
      </c>
      <c r="H459" s="13" t="n">
        <v>0.3389</v>
      </c>
      <c r="I459" s="13" t="n">
        <v>0.3691</v>
      </c>
    </row>
    <row r="460">
      <c r="A460" s="10" t="inlineStr">
        <is>
          <t>PJ-2021-E</t>
        </is>
      </c>
      <c r="B460" s="10" t="inlineStr">
        <is>
          <t>位置合わせ(MS指定)</t>
        </is>
      </c>
      <c r="C460" s="10" t="inlineStr">
        <is>
          <t>2022-09</t>
        </is>
      </c>
      <c r="D460" s="10" t="n">
        <v>21</v>
      </c>
      <c r="E460" s="12" t="n">
        <v>16532</v>
      </c>
      <c r="F460" s="12" t="n">
        <v>14662.9</v>
      </c>
      <c r="G460" s="12" t="n">
        <v>1869.1</v>
      </c>
      <c r="H460" s="13" t="n">
        <v>0.3736</v>
      </c>
      <c r="I460" s="13" t="n">
        <v>0.3999</v>
      </c>
    </row>
    <row r="461">
      <c r="A461" s="10" t="inlineStr">
        <is>
          <t>PJ-2021-E</t>
        </is>
      </c>
      <c r="B461" s="10" t="inlineStr">
        <is>
          <t>位置合わせ(MS指定)</t>
        </is>
      </c>
      <c r="C461" s="10" t="inlineStr">
        <is>
          <t>2022-10</t>
        </is>
      </c>
      <c r="D461" s="10" t="n">
        <v>22</v>
      </c>
      <c r="E461" s="12" t="n">
        <v>17605.1</v>
      </c>
      <c r="F461" s="12" t="n">
        <v>15763.5</v>
      </c>
      <c r="G461" s="12" t="n">
        <v>1841.6</v>
      </c>
      <c r="H461" s="13" t="n">
        <v>0.4105</v>
      </c>
      <c r="I461" s="13" t="n">
        <v>0.4329</v>
      </c>
    </row>
    <row r="462">
      <c r="A462" s="10" t="inlineStr">
        <is>
          <t>PJ-2021-E</t>
        </is>
      </c>
      <c r="B462" s="10" t="inlineStr">
        <is>
          <t>位置合わせ(MS指定)</t>
        </is>
      </c>
      <c r="C462" s="10" t="inlineStr">
        <is>
          <t>2022-11</t>
        </is>
      </c>
      <c r="D462" s="10" t="n">
        <v>23</v>
      </c>
      <c r="E462" s="12" t="n">
        <v>30813.3</v>
      </c>
      <c r="F462" s="12" t="n">
        <v>29175.9</v>
      </c>
      <c r="G462" s="12" t="n">
        <v>1637.4</v>
      </c>
      <c r="H462" s="13" t="n">
        <v>0.4751</v>
      </c>
      <c r="I462" s="13" t="n">
        <v>0.4941</v>
      </c>
    </row>
    <row r="463">
      <c r="A463" s="10" t="inlineStr">
        <is>
          <t>PJ-2021-E</t>
        </is>
      </c>
      <c r="B463" s="10" t="inlineStr">
        <is>
          <t>位置合わせ(MS指定)</t>
        </is>
      </c>
      <c r="C463" s="10" t="inlineStr">
        <is>
          <t>2022-12</t>
        </is>
      </c>
      <c r="D463" s="10" t="n">
        <v>24</v>
      </c>
      <c r="E463" s="12" t="n">
        <v>30456</v>
      </c>
      <c r="F463" s="12" t="n">
        <v>33812.8</v>
      </c>
      <c r="G463" s="12" t="n">
        <v>-3356.8</v>
      </c>
      <c r="H463" s="13" t="n">
        <v>0.539</v>
      </c>
      <c r="I463" s="13" t="n">
        <v>0.5649999999999999</v>
      </c>
    </row>
    <row r="464">
      <c r="A464" s="10" t="inlineStr">
        <is>
          <t>PJ-2021-E</t>
        </is>
      </c>
      <c r="B464" s="10" t="inlineStr">
        <is>
          <t>位置合わせ(MS指定)</t>
        </is>
      </c>
      <c r="C464" s="10" t="inlineStr">
        <is>
          <t>2023-01</t>
        </is>
      </c>
      <c r="D464" s="10" t="n">
        <v>25</v>
      </c>
      <c r="E464" s="12" t="n">
        <v>27785</v>
      </c>
      <c r="F464" s="12" t="n">
        <v>26701.2</v>
      </c>
      <c r="G464" s="12" t="n">
        <v>1083.8</v>
      </c>
      <c r="H464" s="13" t="n">
        <v>0.5972</v>
      </c>
      <c r="I464" s="13" t="n">
        <v>0.621</v>
      </c>
    </row>
    <row r="465">
      <c r="A465" s="10" t="inlineStr">
        <is>
          <t>PJ-2021-E</t>
        </is>
      </c>
      <c r="B465" s="10" t="inlineStr">
        <is>
          <t>位置合わせ(MS指定)</t>
        </is>
      </c>
      <c r="C465" s="10" t="inlineStr">
        <is>
          <t>2023-02</t>
        </is>
      </c>
      <c r="D465" s="10" t="n">
        <v>26</v>
      </c>
      <c r="E465" s="12" t="n">
        <v>24586.4</v>
      </c>
      <c r="F465" s="12" t="n">
        <v>23819.8</v>
      </c>
      <c r="G465" s="12" t="n">
        <v>766.6</v>
      </c>
      <c r="H465" s="13" t="n">
        <v>0.6488</v>
      </c>
      <c r="I465" s="13" t="n">
        <v>0.6709000000000001</v>
      </c>
    </row>
    <row r="466">
      <c r="A466" s="10" t="inlineStr">
        <is>
          <t>PJ-2021-E</t>
        </is>
      </c>
      <c r="B466" s="10" t="inlineStr">
        <is>
          <t>位置合わせ(MS指定)</t>
        </is>
      </c>
      <c r="C466" s="10" t="inlineStr">
        <is>
          <t>2023-03</t>
        </is>
      </c>
      <c r="D466" s="10" t="n">
        <v>27</v>
      </c>
      <c r="E466" s="12" t="n">
        <v>29387.1</v>
      </c>
      <c r="F466" s="12" t="n">
        <v>29164.3</v>
      </c>
      <c r="G466" s="12" t="n">
        <v>222.8</v>
      </c>
      <c r="H466" s="13" t="n">
        <v>0.7104</v>
      </c>
      <c r="I466" s="13" t="n">
        <v>0.7321</v>
      </c>
    </row>
    <row r="467">
      <c r="A467" s="10" t="inlineStr">
        <is>
          <t>PJ-2021-E</t>
        </is>
      </c>
      <c r="B467" s="10" t="inlineStr">
        <is>
          <t>位置合わせ(MS指定)</t>
        </is>
      </c>
      <c r="C467" s="10" t="inlineStr">
        <is>
          <t>2023-04</t>
        </is>
      </c>
      <c r="D467" s="10" t="n">
        <v>28</v>
      </c>
      <c r="E467" s="12" t="n">
        <v>33310.3</v>
      </c>
      <c r="F467" s="12" t="n">
        <v>32359.3</v>
      </c>
      <c r="G467" s="12" t="n">
        <v>951</v>
      </c>
      <c r="H467" s="13" t="n">
        <v>0.7802</v>
      </c>
      <c r="I467" s="13" t="n">
        <v>0.7999000000000001</v>
      </c>
    </row>
    <row r="468">
      <c r="A468" s="10" t="inlineStr">
        <is>
          <t>PJ-2021-E</t>
        </is>
      </c>
      <c r="B468" s="10" t="inlineStr">
        <is>
          <t>位置合わせ(MS指定)</t>
        </is>
      </c>
      <c r="C468" s="10" t="inlineStr">
        <is>
          <t>2023-05</t>
        </is>
      </c>
      <c r="D468" s="10" t="n">
        <v>29</v>
      </c>
      <c r="E468" s="12" t="n">
        <v>27258.6</v>
      </c>
      <c r="F468" s="12" t="n">
        <v>25679.3</v>
      </c>
      <c r="G468" s="12" t="n">
        <v>1579.3</v>
      </c>
      <c r="H468" s="13" t="n">
        <v>0.8374</v>
      </c>
      <c r="I468" s="13" t="n">
        <v>0.8538</v>
      </c>
    </row>
    <row r="469">
      <c r="A469" s="10" t="inlineStr">
        <is>
          <t>PJ-2021-E</t>
        </is>
      </c>
      <c r="B469" s="10" t="inlineStr">
        <is>
          <t>位置合わせ(MS指定)</t>
        </is>
      </c>
      <c r="C469" s="10" t="inlineStr">
        <is>
          <t>2023-06</t>
        </is>
      </c>
      <c r="D469" s="10" t="n">
        <v>30</v>
      </c>
      <c r="E469" s="12" t="n">
        <v>21275.7</v>
      </c>
      <c r="F469" s="12" t="n">
        <v>19503.4</v>
      </c>
      <c r="G469" s="12" t="n">
        <v>1772.3</v>
      </c>
      <c r="H469" s="13" t="n">
        <v>0.882</v>
      </c>
      <c r="I469" s="13" t="n">
        <v>0.8947000000000001</v>
      </c>
    </row>
    <row r="470">
      <c r="A470" s="10" t="inlineStr">
        <is>
          <t>PJ-2021-E</t>
        </is>
      </c>
      <c r="B470" s="10" t="inlineStr">
        <is>
          <t>位置合わせ(MS指定)</t>
        </is>
      </c>
      <c r="C470" s="10" t="inlineStr">
        <is>
          <t>2023-07</t>
        </is>
      </c>
      <c r="D470" s="10" t="n">
        <v>31</v>
      </c>
      <c r="E470" s="12" t="n">
        <v>16040.9</v>
      </c>
      <c r="F470" s="12" t="n">
        <v>14233.9</v>
      </c>
      <c r="G470" s="12" t="n">
        <v>1807</v>
      </c>
      <c r="H470" s="13" t="n">
        <v>0.9156</v>
      </c>
      <c r="I470" s="13" t="n">
        <v>0.9245</v>
      </c>
    </row>
    <row r="471">
      <c r="A471" s="10" t="inlineStr">
        <is>
          <t>PJ-2021-E</t>
        </is>
      </c>
      <c r="B471" s="10" t="inlineStr">
        <is>
          <t>位置合わせ(MS指定)</t>
        </is>
      </c>
      <c r="C471" s="10" t="inlineStr">
        <is>
          <t>2023-08</t>
        </is>
      </c>
      <c r="D471" s="10" t="n">
        <v>32</v>
      </c>
      <c r="E471" s="12" t="n">
        <v>13144.8</v>
      </c>
      <c r="F471" s="12" t="n">
        <v>11762.7</v>
      </c>
      <c r="G471" s="12" t="n">
        <v>1382.1</v>
      </c>
      <c r="H471" s="13" t="n">
        <v>0.9432</v>
      </c>
      <c r="I471" s="13" t="n">
        <v>0.9492</v>
      </c>
    </row>
    <row r="472">
      <c r="A472" s="10" t="inlineStr">
        <is>
          <t>PJ-2021-E</t>
        </is>
      </c>
      <c r="B472" s="10" t="inlineStr">
        <is>
          <t>位置合わせ(MS指定)</t>
        </is>
      </c>
      <c r="C472" s="10" t="inlineStr">
        <is>
          <t>2023-09</t>
        </is>
      </c>
      <c r="D472" s="10" t="n">
        <v>33</v>
      </c>
      <c r="E472" s="12" t="n">
        <v>11003.5</v>
      </c>
      <c r="F472" s="12" t="n">
        <v>9820.700000000001</v>
      </c>
      <c r="G472" s="12" t="n">
        <v>1182.8</v>
      </c>
      <c r="H472" s="13" t="n">
        <v>0.9663</v>
      </c>
      <c r="I472" s="13" t="n">
        <v>0.9698</v>
      </c>
    </row>
    <row r="473">
      <c r="A473" s="10" t="inlineStr">
        <is>
          <t>PJ-2021-E</t>
        </is>
      </c>
      <c r="B473" s="10" t="inlineStr">
        <is>
          <t>位置合わせ(MS指定)</t>
        </is>
      </c>
      <c r="C473" s="10" t="inlineStr">
        <is>
          <t>2023-10</t>
        </is>
      </c>
      <c r="D473" s="10" t="n">
        <v>34</v>
      </c>
      <c r="E473" s="12" t="n">
        <v>8802.1</v>
      </c>
      <c r="F473" s="12" t="n">
        <v>8322.9</v>
      </c>
      <c r="G473" s="12" t="n">
        <v>479.2</v>
      </c>
      <c r="H473" s="13" t="n">
        <v>0.9847</v>
      </c>
      <c r="I473" s="13" t="n">
        <v>0.9872</v>
      </c>
    </row>
    <row r="474">
      <c r="A474" s="10" t="inlineStr">
        <is>
          <t>PJ-2021-E</t>
        </is>
      </c>
      <c r="B474" s="10" t="inlineStr">
        <is>
          <t>位置合わせ(MS指定)</t>
        </is>
      </c>
      <c r="C474" s="10" t="inlineStr">
        <is>
          <t>2023-11</t>
        </is>
      </c>
      <c r="D474" s="10" t="n">
        <v>35</v>
      </c>
      <c r="E474" s="12" t="n">
        <v>4519</v>
      </c>
      <c r="F474" s="12" t="n">
        <v>4643.9</v>
      </c>
      <c r="G474" s="12" t="n">
        <v>-124.9</v>
      </c>
      <c r="H474" s="13" t="n">
        <v>0.9942</v>
      </c>
      <c r="I474" s="13" t="n">
        <v>0.9969</v>
      </c>
    </row>
    <row r="475">
      <c r="A475" s="10" t="inlineStr">
        <is>
          <t>PJ-2021-E</t>
        </is>
      </c>
      <c r="B475" s="10" t="inlineStr">
        <is>
          <t>位置合わせ(MS指定)</t>
        </is>
      </c>
      <c r="C475" s="10" t="inlineStr">
        <is>
          <t>2023-12</t>
        </is>
      </c>
      <c r="D475" s="10" t="n">
        <v>36</v>
      </c>
      <c r="E475" s="12" t="n">
        <v>2767.5</v>
      </c>
      <c r="F475" s="12" t="n">
        <v>1457.2</v>
      </c>
      <c r="G475" s="12" t="n">
        <v>1310.3</v>
      </c>
      <c r="H475" s="13" t="n">
        <v>1</v>
      </c>
      <c r="I475" s="13" t="n">
        <v>1</v>
      </c>
    </row>
    <row r="476">
      <c r="A476" s="10" t="inlineStr">
        <is>
          <t>PJ-2022-F</t>
        </is>
      </c>
      <c r="B476" s="10" t="inlineStr">
        <is>
          <t>素朴版</t>
        </is>
      </c>
      <c r="C476" s="10" t="inlineStr">
        <is>
          <t>2022-04</t>
        </is>
      </c>
      <c r="D476" s="10" t="n">
        <v>1</v>
      </c>
      <c r="E476" s="12" t="n">
        <v>2032.9</v>
      </c>
      <c r="F476" s="12" t="n">
        <v>2459.3</v>
      </c>
      <c r="G476" s="12" t="n">
        <v>-426.4</v>
      </c>
      <c r="H476" s="13" t="n">
        <v>0.0142</v>
      </c>
      <c r="I476" s="13" t="n">
        <v>0.0172</v>
      </c>
    </row>
    <row r="477">
      <c r="A477" s="10" t="inlineStr">
        <is>
          <t>PJ-2022-F</t>
        </is>
      </c>
      <c r="B477" s="10" t="inlineStr">
        <is>
          <t>素朴版</t>
        </is>
      </c>
      <c r="C477" s="10" t="inlineStr">
        <is>
          <t>2022-05</t>
        </is>
      </c>
      <c r="D477" s="10" t="n">
        <v>2</v>
      </c>
      <c r="E477" s="12" t="n">
        <v>3531.7</v>
      </c>
      <c r="F477" s="12" t="n">
        <v>4733.1</v>
      </c>
      <c r="G477" s="12" t="n">
        <v>-1201.4</v>
      </c>
      <c r="H477" s="13" t="n">
        <v>0.0388</v>
      </c>
      <c r="I477" s="13" t="n">
        <v>0.0502</v>
      </c>
    </row>
    <row r="478">
      <c r="A478" s="10" t="inlineStr">
        <is>
          <t>PJ-2022-F</t>
        </is>
      </c>
      <c r="B478" s="10" t="inlineStr">
        <is>
          <t>素朴版</t>
        </is>
      </c>
      <c r="C478" s="10" t="inlineStr">
        <is>
          <t>2022-06</t>
        </is>
      </c>
      <c r="D478" s="10" t="n">
        <v>3</v>
      </c>
      <c r="E478" s="12" t="n">
        <v>4536.4</v>
      </c>
      <c r="F478" s="12" t="n">
        <v>6372.9</v>
      </c>
      <c r="G478" s="12" t="n">
        <v>-1836.5</v>
      </c>
      <c r="H478" s="13" t="n">
        <v>0.07049999999999999</v>
      </c>
      <c r="I478" s="13" t="n">
        <v>0.09470000000000001</v>
      </c>
    </row>
    <row r="479">
      <c r="A479" s="10" t="inlineStr">
        <is>
          <t>PJ-2022-F</t>
        </is>
      </c>
      <c r="B479" s="10" t="inlineStr">
        <is>
          <t>素朴版</t>
        </is>
      </c>
      <c r="C479" s="10" t="inlineStr">
        <is>
          <t>2022-07</t>
        </is>
      </c>
      <c r="D479" s="10" t="n">
        <v>4</v>
      </c>
      <c r="E479" s="12" t="n">
        <v>5466.9</v>
      </c>
      <c r="F479" s="12" t="n">
        <v>7428.9</v>
      </c>
      <c r="G479" s="12" t="n">
        <v>-1962</v>
      </c>
      <c r="H479" s="13" t="n">
        <v>0.1086</v>
      </c>
      <c r="I479" s="13" t="n">
        <v>0.1465</v>
      </c>
    </row>
    <row r="480">
      <c r="A480" s="10" t="inlineStr">
        <is>
          <t>PJ-2022-F</t>
        </is>
      </c>
      <c r="B480" s="10" t="inlineStr">
        <is>
          <t>素朴版</t>
        </is>
      </c>
      <c r="C480" s="10" t="inlineStr">
        <is>
          <t>2022-08</t>
        </is>
      </c>
      <c r="D480" s="10" t="n">
        <v>5</v>
      </c>
      <c r="E480" s="12" t="n">
        <v>6592.1</v>
      </c>
      <c r="F480" s="12" t="n">
        <v>9311.799999999999</v>
      </c>
      <c r="G480" s="12" t="n">
        <v>-2719.7</v>
      </c>
      <c r="H480" s="13" t="n">
        <v>0.1546</v>
      </c>
      <c r="I480" s="13" t="n">
        <v>0.2115</v>
      </c>
    </row>
    <row r="481">
      <c r="A481" s="10" t="inlineStr">
        <is>
          <t>PJ-2022-F</t>
        </is>
      </c>
      <c r="B481" s="10" t="inlineStr">
        <is>
          <t>素朴版</t>
        </is>
      </c>
      <c r="C481" s="10" t="inlineStr">
        <is>
          <t>2022-09</t>
        </is>
      </c>
      <c r="D481" s="10" t="n">
        <v>6</v>
      </c>
      <c r="E481" s="12" t="n">
        <v>7768.2</v>
      </c>
      <c r="F481" s="12" t="n">
        <v>9846.799999999999</v>
      </c>
      <c r="G481" s="12" t="n">
        <v>-2078.6</v>
      </c>
      <c r="H481" s="13" t="n">
        <v>0.2088</v>
      </c>
      <c r="I481" s="13" t="n">
        <v>0.2802</v>
      </c>
    </row>
    <row r="482">
      <c r="A482" s="10" t="inlineStr">
        <is>
          <t>PJ-2022-F</t>
        </is>
      </c>
      <c r="B482" s="10" t="inlineStr">
        <is>
          <t>素朴版</t>
        </is>
      </c>
      <c r="C482" s="10" t="inlineStr">
        <is>
          <t>2022-10</t>
        </is>
      </c>
      <c r="D482" s="10" t="n">
        <v>7</v>
      </c>
      <c r="E482" s="12" t="n">
        <v>9480.5</v>
      </c>
      <c r="F482" s="12" t="n">
        <v>12655.8</v>
      </c>
      <c r="G482" s="12" t="n">
        <v>-3175.3</v>
      </c>
      <c r="H482" s="13" t="n">
        <v>0.275</v>
      </c>
      <c r="I482" s="13" t="n">
        <v>0.3685</v>
      </c>
    </row>
    <row r="483">
      <c r="A483" s="10" t="inlineStr">
        <is>
          <t>PJ-2022-F</t>
        </is>
      </c>
      <c r="B483" s="10" t="inlineStr">
        <is>
          <t>素朴版</t>
        </is>
      </c>
      <c r="C483" s="10" t="inlineStr">
        <is>
          <t>2022-11</t>
        </is>
      </c>
      <c r="D483" s="10" t="n">
        <v>8</v>
      </c>
      <c r="E483" s="12" t="n">
        <v>10218.7</v>
      </c>
      <c r="F483" s="12" t="n">
        <v>13234.4</v>
      </c>
      <c r="G483" s="12" t="n">
        <v>-3015.7</v>
      </c>
      <c r="H483" s="13" t="n">
        <v>0.3463</v>
      </c>
      <c r="I483" s="13" t="n">
        <v>0.4608</v>
      </c>
    </row>
    <row r="484">
      <c r="A484" s="10" t="inlineStr">
        <is>
          <t>PJ-2022-F</t>
        </is>
      </c>
      <c r="B484" s="10" t="inlineStr">
        <is>
          <t>素朴版</t>
        </is>
      </c>
      <c r="C484" s="10" t="inlineStr">
        <is>
          <t>2022-12</t>
        </is>
      </c>
      <c r="D484" s="10" t="n">
        <v>9</v>
      </c>
      <c r="E484" s="12" t="n">
        <v>10275.1</v>
      </c>
      <c r="F484" s="12" t="n">
        <v>10515.8</v>
      </c>
      <c r="G484" s="12" t="n">
        <v>-240.7</v>
      </c>
      <c r="H484" s="13" t="n">
        <v>0.418</v>
      </c>
      <c r="I484" s="13" t="n">
        <v>0.5342</v>
      </c>
    </row>
    <row r="485">
      <c r="A485" s="10" t="inlineStr">
        <is>
          <t>PJ-2022-F</t>
        </is>
      </c>
      <c r="B485" s="10" t="inlineStr">
        <is>
          <t>素朴版</t>
        </is>
      </c>
      <c r="C485" s="10" t="inlineStr">
        <is>
          <t>2023-01</t>
        </is>
      </c>
      <c r="D485" s="10" t="n">
        <v>10</v>
      </c>
      <c r="E485" s="12" t="n">
        <v>10172.5</v>
      </c>
      <c r="F485" s="12" t="n">
        <v>9232.5</v>
      </c>
      <c r="G485" s="12" t="n">
        <v>940</v>
      </c>
      <c r="H485" s="13" t="n">
        <v>0.4889</v>
      </c>
      <c r="I485" s="13" t="n">
        <v>0.5986</v>
      </c>
    </row>
    <row r="486">
      <c r="A486" s="10" t="inlineStr">
        <is>
          <t>PJ-2022-F</t>
        </is>
      </c>
      <c r="B486" s="10" t="inlineStr">
        <is>
          <t>素朴版</t>
        </is>
      </c>
      <c r="C486" s="10" t="inlineStr">
        <is>
          <t>2023-02</t>
        </is>
      </c>
      <c r="D486" s="10" t="n">
        <v>11</v>
      </c>
      <c r="E486" s="12" t="n">
        <v>9187</v>
      </c>
      <c r="F486" s="12" t="n">
        <v>8331.9</v>
      </c>
      <c r="G486" s="12" t="n">
        <v>855.1</v>
      </c>
      <c r="H486" s="13" t="n">
        <v>0.553</v>
      </c>
      <c r="I486" s="13" t="n">
        <v>0.6567</v>
      </c>
    </row>
    <row r="487">
      <c r="A487" s="10" t="inlineStr">
        <is>
          <t>PJ-2022-F</t>
        </is>
      </c>
      <c r="B487" s="10" t="inlineStr">
        <is>
          <t>素朴版</t>
        </is>
      </c>
      <c r="C487" s="10" t="inlineStr">
        <is>
          <t>2023-03</t>
        </is>
      </c>
      <c r="D487" s="10" t="n">
        <v>12</v>
      </c>
      <c r="E487" s="12" t="n">
        <v>11815.5</v>
      </c>
      <c r="F487" s="12" t="n">
        <v>9498.700000000001</v>
      </c>
      <c r="G487" s="12" t="n">
        <v>2316.8</v>
      </c>
      <c r="H487" s="13" t="n">
        <v>0.6355</v>
      </c>
      <c r="I487" s="13" t="n">
        <v>0.723</v>
      </c>
    </row>
    <row r="488">
      <c r="A488" s="10" t="inlineStr">
        <is>
          <t>PJ-2022-F</t>
        </is>
      </c>
      <c r="B488" s="10" t="inlineStr">
        <is>
          <t>素朴版</t>
        </is>
      </c>
      <c r="C488" s="10" t="inlineStr">
        <is>
          <t>2023-04</t>
        </is>
      </c>
      <c r="D488" s="10" t="n">
        <v>13</v>
      </c>
      <c r="E488" s="12" t="n">
        <v>11698.9</v>
      </c>
      <c r="F488" s="12" t="n">
        <v>11636.8</v>
      </c>
      <c r="G488" s="12" t="n">
        <v>62.1</v>
      </c>
      <c r="H488" s="13" t="n">
        <v>0.7171</v>
      </c>
      <c r="I488" s="13" t="n">
        <v>0.8042</v>
      </c>
    </row>
    <row r="489">
      <c r="A489" s="10" t="inlineStr">
        <is>
          <t>PJ-2022-F</t>
        </is>
      </c>
      <c r="B489" s="10" t="inlineStr">
        <is>
          <t>素朴版</t>
        </is>
      </c>
      <c r="C489" s="10" t="inlineStr">
        <is>
          <t>2023-05</t>
        </is>
      </c>
      <c r="D489" s="10" t="n">
        <v>14</v>
      </c>
      <c r="E489" s="12" t="n">
        <v>13108.5</v>
      </c>
      <c r="F489" s="12" t="n">
        <v>9937.1</v>
      </c>
      <c r="G489" s="12" t="n">
        <v>3171.4</v>
      </c>
      <c r="H489" s="13" t="n">
        <v>0.8086</v>
      </c>
      <c r="I489" s="13" t="n">
        <v>0.8735000000000001</v>
      </c>
    </row>
    <row r="490">
      <c r="A490" s="10" t="inlineStr">
        <is>
          <t>PJ-2022-F</t>
        </is>
      </c>
      <c r="B490" s="10" t="inlineStr">
        <is>
          <t>素朴版</t>
        </is>
      </c>
      <c r="C490" s="10" t="inlineStr">
        <is>
          <t>2023-06</t>
        </is>
      </c>
      <c r="D490" s="10" t="n">
        <v>15</v>
      </c>
      <c r="E490" s="12" t="n">
        <v>11244.8</v>
      </c>
      <c r="F490" s="12" t="n">
        <v>6594.8</v>
      </c>
      <c r="G490" s="12" t="n">
        <v>4650</v>
      </c>
      <c r="H490" s="13" t="n">
        <v>0.887</v>
      </c>
      <c r="I490" s="13" t="n">
        <v>0.9196</v>
      </c>
    </row>
    <row r="491">
      <c r="A491" s="10" t="inlineStr">
        <is>
          <t>PJ-2022-F</t>
        </is>
      </c>
      <c r="B491" s="10" t="inlineStr">
        <is>
          <t>素朴版</t>
        </is>
      </c>
      <c r="C491" s="10" t="inlineStr">
        <is>
          <t>2023-07</t>
        </is>
      </c>
      <c r="D491" s="10" t="n">
        <v>16</v>
      </c>
      <c r="E491" s="12" t="n">
        <v>8368.799999999999</v>
      </c>
      <c r="F491" s="12" t="n">
        <v>4982.3</v>
      </c>
      <c r="G491" s="12" t="n">
        <v>3386.5</v>
      </c>
      <c r="H491" s="13" t="n">
        <v>0.9454</v>
      </c>
      <c r="I491" s="13" t="n">
        <v>0.9543</v>
      </c>
    </row>
    <row r="492">
      <c r="A492" s="10" t="inlineStr">
        <is>
          <t>PJ-2022-F</t>
        </is>
      </c>
      <c r="B492" s="10" t="inlineStr">
        <is>
          <t>素朴版</t>
        </is>
      </c>
      <c r="C492" s="10" t="inlineStr">
        <is>
          <t>2023-08</t>
        </is>
      </c>
      <c r="D492" s="10" t="n">
        <v>17</v>
      </c>
      <c r="E492" s="12" t="n">
        <v>5606.5</v>
      </c>
      <c r="F492" s="12" t="n">
        <v>4934</v>
      </c>
      <c r="G492" s="12" t="n">
        <v>672.5</v>
      </c>
      <c r="H492" s="13" t="n">
        <v>0.9845</v>
      </c>
      <c r="I492" s="13" t="n">
        <v>0.9887</v>
      </c>
    </row>
    <row r="493">
      <c r="A493" s="10" t="inlineStr">
        <is>
          <t>PJ-2022-F</t>
        </is>
      </c>
      <c r="B493" s="10" t="inlineStr">
        <is>
          <t>素朴版</t>
        </is>
      </c>
      <c r="C493" s="10" t="inlineStr">
        <is>
          <t>2023-09</t>
        </is>
      </c>
      <c r="D493" s="10" t="n">
        <v>18</v>
      </c>
      <c r="E493" s="12" t="n">
        <v>2214.5</v>
      </c>
      <c r="F493" s="12" t="n">
        <v>1612.7</v>
      </c>
      <c r="G493" s="12" t="n">
        <v>601.8</v>
      </c>
      <c r="H493" s="13" t="n">
        <v>1</v>
      </c>
      <c r="I493" s="13" t="n">
        <v>1</v>
      </c>
    </row>
    <row r="494">
      <c r="A494" s="10" t="inlineStr">
        <is>
          <t>PJ-2022-F</t>
        </is>
      </c>
      <c r="B494" s="10" t="inlineStr">
        <is>
          <t>位置合わせ(MS学習値)</t>
        </is>
      </c>
      <c r="C494" s="10" t="inlineStr">
        <is>
          <t>2022-04</t>
        </is>
      </c>
      <c r="D494" s="10" t="n">
        <v>1</v>
      </c>
      <c r="E494" s="12" t="n">
        <v>2006.4</v>
      </c>
      <c r="F494" s="12" t="n">
        <v>2459.3</v>
      </c>
      <c r="G494" s="12" t="n">
        <v>-452.9</v>
      </c>
      <c r="H494" s="13" t="n">
        <v>0.014</v>
      </c>
      <c r="I494" s="13" t="n">
        <v>0.0172</v>
      </c>
    </row>
    <row r="495">
      <c r="A495" s="10" t="inlineStr">
        <is>
          <t>PJ-2022-F</t>
        </is>
      </c>
      <c r="B495" s="10" t="inlineStr">
        <is>
          <t>位置合わせ(MS学習値)</t>
        </is>
      </c>
      <c r="C495" s="10" t="inlineStr">
        <is>
          <t>2022-05</t>
        </is>
      </c>
      <c r="D495" s="10" t="n">
        <v>2</v>
      </c>
      <c r="E495" s="12" t="n">
        <v>3465.9</v>
      </c>
      <c r="F495" s="12" t="n">
        <v>4733.1</v>
      </c>
      <c r="G495" s="12" t="n">
        <v>-1267.2</v>
      </c>
      <c r="H495" s="13" t="n">
        <v>0.0382</v>
      </c>
      <c r="I495" s="13" t="n">
        <v>0.0502</v>
      </c>
    </row>
    <row r="496">
      <c r="A496" s="10" t="inlineStr">
        <is>
          <t>PJ-2022-F</t>
        </is>
      </c>
      <c r="B496" s="10" t="inlineStr">
        <is>
          <t>位置合わせ(MS学習値)</t>
        </is>
      </c>
      <c r="C496" s="10" t="inlineStr">
        <is>
          <t>2022-06</t>
        </is>
      </c>
      <c r="D496" s="10" t="n">
        <v>3</v>
      </c>
      <c r="E496" s="12" t="n">
        <v>4417.5</v>
      </c>
      <c r="F496" s="12" t="n">
        <v>6372.9</v>
      </c>
      <c r="G496" s="12" t="n">
        <v>-1955.4</v>
      </c>
      <c r="H496" s="13" t="n">
        <v>0.06900000000000001</v>
      </c>
      <c r="I496" s="13" t="n">
        <v>0.09470000000000001</v>
      </c>
    </row>
    <row r="497">
      <c r="A497" s="10" t="inlineStr">
        <is>
          <t>PJ-2022-F</t>
        </is>
      </c>
      <c r="B497" s="10" t="inlineStr">
        <is>
          <t>位置合わせ(MS学習値)</t>
        </is>
      </c>
      <c r="C497" s="10" t="inlineStr">
        <is>
          <t>2022-07</t>
        </is>
      </c>
      <c r="D497" s="10" t="n">
        <v>4</v>
      </c>
      <c r="E497" s="12" t="n">
        <v>5255.4</v>
      </c>
      <c r="F497" s="12" t="n">
        <v>7428.9</v>
      </c>
      <c r="G497" s="12" t="n">
        <v>-2173.5</v>
      </c>
      <c r="H497" s="13" t="n">
        <v>0.1057</v>
      </c>
      <c r="I497" s="13" t="n">
        <v>0.1465</v>
      </c>
    </row>
    <row r="498">
      <c r="A498" s="10" t="inlineStr">
        <is>
          <t>PJ-2022-F</t>
        </is>
      </c>
      <c r="B498" s="10" t="inlineStr">
        <is>
          <t>位置合わせ(MS学習値)</t>
        </is>
      </c>
      <c r="C498" s="10" t="inlineStr">
        <is>
          <t>2022-08</t>
        </is>
      </c>
      <c r="D498" s="10" t="n">
        <v>5</v>
      </c>
      <c r="E498" s="12" t="n">
        <v>6141.2</v>
      </c>
      <c r="F498" s="12" t="n">
        <v>9311.799999999999</v>
      </c>
      <c r="G498" s="12" t="n">
        <v>-3170.6</v>
      </c>
      <c r="H498" s="13" t="n">
        <v>0.1485</v>
      </c>
      <c r="I498" s="13" t="n">
        <v>0.2115</v>
      </c>
    </row>
    <row r="499">
      <c r="A499" s="10" t="inlineStr">
        <is>
          <t>PJ-2022-F</t>
        </is>
      </c>
      <c r="B499" s="10" t="inlineStr">
        <is>
          <t>位置合わせ(MS学習値)</t>
        </is>
      </c>
      <c r="C499" s="10" t="inlineStr">
        <is>
          <t>2022-09</t>
        </is>
      </c>
      <c r="D499" s="10" t="n">
        <v>6</v>
      </c>
      <c r="E499" s="12" t="n">
        <v>7257.6</v>
      </c>
      <c r="F499" s="12" t="n">
        <v>9846.799999999999</v>
      </c>
      <c r="G499" s="12" t="n">
        <v>-2589.2</v>
      </c>
      <c r="H499" s="13" t="n">
        <v>0.1992</v>
      </c>
      <c r="I499" s="13" t="n">
        <v>0.2802</v>
      </c>
    </row>
    <row r="500">
      <c r="A500" s="10" t="inlineStr">
        <is>
          <t>PJ-2022-F</t>
        </is>
      </c>
      <c r="B500" s="10" t="inlineStr">
        <is>
          <t>位置合わせ(MS学習値)</t>
        </is>
      </c>
      <c r="C500" s="10" t="inlineStr">
        <is>
          <t>2022-10</t>
        </is>
      </c>
      <c r="D500" s="10" t="n">
        <v>7</v>
      </c>
      <c r="E500" s="12" t="n">
        <v>8706</v>
      </c>
      <c r="F500" s="12" t="n">
        <v>12655.8</v>
      </c>
      <c r="G500" s="12" t="n">
        <v>-3949.8</v>
      </c>
      <c r="H500" s="13" t="n">
        <v>0.2599</v>
      </c>
      <c r="I500" s="13" t="n">
        <v>0.3685</v>
      </c>
    </row>
    <row r="501">
      <c r="A501" s="10" t="inlineStr">
        <is>
          <t>PJ-2022-F</t>
        </is>
      </c>
      <c r="B501" s="10" t="inlineStr">
        <is>
          <t>位置合わせ(MS学習値)</t>
        </is>
      </c>
      <c r="C501" s="10" t="inlineStr">
        <is>
          <t>2022-11</t>
        </is>
      </c>
      <c r="D501" s="10" t="n">
        <v>8</v>
      </c>
      <c r="E501" s="12" t="n">
        <v>9896</v>
      </c>
      <c r="F501" s="12" t="n">
        <v>13234.4</v>
      </c>
      <c r="G501" s="12" t="n">
        <v>-3338.4</v>
      </c>
      <c r="H501" s="13" t="n">
        <v>0.329</v>
      </c>
      <c r="I501" s="13" t="n">
        <v>0.4608</v>
      </c>
    </row>
    <row r="502">
      <c r="A502" s="10" t="inlineStr">
        <is>
          <t>PJ-2022-F</t>
        </is>
      </c>
      <c r="B502" s="10" t="inlineStr">
        <is>
          <t>位置合わせ(MS学習値)</t>
        </is>
      </c>
      <c r="C502" s="10" t="inlineStr">
        <is>
          <t>2022-12</t>
        </is>
      </c>
      <c r="D502" s="10" t="n">
        <v>9</v>
      </c>
      <c r="E502" s="12" t="n">
        <v>12625.6</v>
      </c>
      <c r="F502" s="12" t="n">
        <v>10515.8</v>
      </c>
      <c r="G502" s="12" t="n">
        <v>2109.8</v>
      </c>
      <c r="H502" s="13" t="n">
        <v>0.4171</v>
      </c>
      <c r="I502" s="13" t="n">
        <v>0.5342</v>
      </c>
    </row>
    <row r="503">
      <c r="A503" s="10" t="inlineStr">
        <is>
          <t>PJ-2022-F</t>
        </is>
      </c>
      <c r="B503" s="10" t="inlineStr">
        <is>
          <t>位置合わせ(MS学習値)</t>
        </is>
      </c>
      <c r="C503" s="10" t="inlineStr">
        <is>
          <t>2023-01</t>
        </is>
      </c>
      <c r="D503" s="10" t="n">
        <v>10</v>
      </c>
      <c r="E503" s="12" t="n">
        <v>12378.4</v>
      </c>
      <c r="F503" s="12" t="n">
        <v>9232.5</v>
      </c>
      <c r="G503" s="12" t="n">
        <v>3145.9</v>
      </c>
      <c r="H503" s="13" t="n">
        <v>0.5034</v>
      </c>
      <c r="I503" s="13" t="n">
        <v>0.5986</v>
      </c>
    </row>
    <row r="504">
      <c r="A504" s="10" t="inlineStr">
        <is>
          <t>PJ-2022-F</t>
        </is>
      </c>
      <c r="B504" s="10" t="inlineStr">
        <is>
          <t>位置合わせ(MS学習値)</t>
        </is>
      </c>
      <c r="C504" s="10" t="inlineStr">
        <is>
          <t>2023-02</t>
        </is>
      </c>
      <c r="D504" s="10" t="n">
        <v>11</v>
      </c>
      <c r="E504" s="12" t="n">
        <v>9864.6</v>
      </c>
      <c r="F504" s="12" t="n">
        <v>8331.9</v>
      </c>
      <c r="G504" s="12" t="n">
        <v>1532.7</v>
      </c>
      <c r="H504" s="13" t="n">
        <v>0.5723</v>
      </c>
      <c r="I504" s="13" t="n">
        <v>0.6567</v>
      </c>
    </row>
    <row r="505">
      <c r="A505" s="10" t="inlineStr">
        <is>
          <t>PJ-2022-F</t>
        </is>
      </c>
      <c r="B505" s="10" t="inlineStr">
        <is>
          <t>位置合わせ(MS学習値)</t>
        </is>
      </c>
      <c r="C505" s="10" t="inlineStr">
        <is>
          <t>2023-03</t>
        </is>
      </c>
      <c r="D505" s="10" t="n">
        <v>12</v>
      </c>
      <c r="E505" s="12" t="n">
        <v>10098.1</v>
      </c>
      <c r="F505" s="12" t="n">
        <v>9498.700000000001</v>
      </c>
      <c r="G505" s="12" t="n">
        <v>599.4</v>
      </c>
      <c r="H505" s="13" t="n">
        <v>0.6427</v>
      </c>
      <c r="I505" s="13" t="n">
        <v>0.723</v>
      </c>
    </row>
    <row r="506">
      <c r="A506" s="10" t="inlineStr">
        <is>
          <t>PJ-2022-F</t>
        </is>
      </c>
      <c r="B506" s="10" t="inlineStr">
        <is>
          <t>位置合わせ(MS学習値)</t>
        </is>
      </c>
      <c r="C506" s="10" t="inlineStr">
        <is>
          <t>2023-04</t>
        </is>
      </c>
      <c r="D506" s="10" t="n">
        <v>13</v>
      </c>
      <c r="E506" s="12" t="n">
        <v>10574.8</v>
      </c>
      <c r="F506" s="12" t="n">
        <v>11636.8</v>
      </c>
      <c r="G506" s="12" t="n">
        <v>-1062</v>
      </c>
      <c r="H506" s="13" t="n">
        <v>0.7165</v>
      </c>
      <c r="I506" s="13" t="n">
        <v>0.8042</v>
      </c>
    </row>
    <row r="507">
      <c r="A507" s="10" t="inlineStr">
        <is>
          <t>PJ-2022-F</t>
        </is>
      </c>
      <c r="B507" s="10" t="inlineStr">
        <is>
          <t>位置合わせ(MS学習値)</t>
        </is>
      </c>
      <c r="C507" s="10" t="inlineStr">
        <is>
          <t>2023-05</t>
        </is>
      </c>
      <c r="D507" s="10" t="n">
        <v>14</v>
      </c>
      <c r="E507" s="12" t="n">
        <v>13098.9</v>
      </c>
      <c r="F507" s="12" t="n">
        <v>9937.1</v>
      </c>
      <c r="G507" s="12" t="n">
        <v>3161.8</v>
      </c>
      <c r="H507" s="13" t="n">
        <v>0.8079</v>
      </c>
      <c r="I507" s="13" t="n">
        <v>0.8735000000000001</v>
      </c>
    </row>
    <row r="508">
      <c r="A508" s="10" t="inlineStr">
        <is>
          <t>PJ-2022-F</t>
        </is>
      </c>
      <c r="B508" s="10" t="inlineStr">
        <is>
          <t>位置合わせ(MS学習値)</t>
        </is>
      </c>
      <c r="C508" s="10" t="inlineStr">
        <is>
          <t>2023-06</t>
        </is>
      </c>
      <c r="D508" s="10" t="n">
        <v>15</v>
      </c>
      <c r="E508" s="12" t="n">
        <v>12238.8</v>
      </c>
      <c r="F508" s="12" t="n">
        <v>6594.8</v>
      </c>
      <c r="G508" s="12" t="n">
        <v>5644</v>
      </c>
      <c r="H508" s="13" t="n">
        <v>0.8933</v>
      </c>
      <c r="I508" s="13" t="n">
        <v>0.9196</v>
      </c>
    </row>
    <row r="509">
      <c r="A509" s="10" t="inlineStr">
        <is>
          <t>PJ-2022-F</t>
        </is>
      </c>
      <c r="B509" s="10" t="inlineStr">
        <is>
          <t>位置合わせ(MS学習値)</t>
        </is>
      </c>
      <c r="C509" s="10" t="inlineStr">
        <is>
          <t>2023-07</t>
        </is>
      </c>
      <c r="D509" s="10" t="n">
        <v>16</v>
      </c>
      <c r="E509" s="12" t="n">
        <v>7789.4</v>
      </c>
      <c r="F509" s="12" t="n">
        <v>4982.3</v>
      </c>
      <c r="G509" s="12" t="n">
        <v>2807.1</v>
      </c>
      <c r="H509" s="13" t="n">
        <v>0.9476</v>
      </c>
      <c r="I509" s="13" t="n">
        <v>0.9543</v>
      </c>
    </row>
    <row r="510">
      <c r="A510" s="10" t="inlineStr">
        <is>
          <t>PJ-2022-F</t>
        </is>
      </c>
      <c r="B510" s="10" t="inlineStr">
        <is>
          <t>位置合わせ(MS学習値)</t>
        </is>
      </c>
      <c r="C510" s="10" t="inlineStr">
        <is>
          <t>2023-08</t>
        </is>
      </c>
      <c r="D510" s="10" t="n">
        <v>17</v>
      </c>
      <c r="E510" s="12" t="n">
        <v>5532</v>
      </c>
      <c r="F510" s="12" t="n">
        <v>4934</v>
      </c>
      <c r="G510" s="12" t="n">
        <v>598</v>
      </c>
      <c r="H510" s="13" t="n">
        <v>0.9862</v>
      </c>
      <c r="I510" s="13" t="n">
        <v>0.9887</v>
      </c>
    </row>
    <row r="511">
      <c r="A511" s="10" t="inlineStr">
        <is>
          <t>PJ-2022-F</t>
        </is>
      </c>
      <c r="B511" s="10" t="inlineStr">
        <is>
          <t>位置合わせ(MS学習値)</t>
        </is>
      </c>
      <c r="C511" s="10" t="inlineStr">
        <is>
          <t>2023-09</t>
        </is>
      </c>
      <c r="D511" s="10" t="n">
        <v>18</v>
      </c>
      <c r="E511" s="12" t="n">
        <v>1973</v>
      </c>
      <c r="F511" s="12" t="n">
        <v>1612.7</v>
      </c>
      <c r="G511" s="12" t="n">
        <v>360.3</v>
      </c>
      <c r="H511" s="13" t="n">
        <v>1</v>
      </c>
      <c r="I511" s="13" t="n">
        <v>1</v>
      </c>
    </row>
    <row r="512">
      <c r="A512" s="10" t="inlineStr">
        <is>
          <t>PJ-2022-F</t>
        </is>
      </c>
      <c r="B512" s="10" t="inlineStr">
        <is>
          <t>位置合わせ(MS指定)</t>
        </is>
      </c>
      <c r="C512" s="10" t="inlineStr">
        <is>
          <t>2022-04</t>
        </is>
      </c>
      <c r="D512" s="10" t="n">
        <v>1</v>
      </c>
      <c r="E512" s="12" t="n">
        <v>2565.6</v>
      </c>
      <c r="F512" s="12" t="n">
        <v>2459.3</v>
      </c>
      <c r="G512" s="12" t="n">
        <v>106.3</v>
      </c>
      <c r="H512" s="13" t="n">
        <v>0.0179</v>
      </c>
      <c r="I512" s="13" t="n">
        <v>0.0172</v>
      </c>
    </row>
    <row r="513">
      <c r="A513" s="10" t="inlineStr">
        <is>
          <t>PJ-2022-F</t>
        </is>
      </c>
      <c r="B513" s="10" t="inlineStr">
        <is>
          <t>位置合わせ(MS指定)</t>
        </is>
      </c>
      <c r="C513" s="10" t="inlineStr">
        <is>
          <t>2022-05</t>
        </is>
      </c>
      <c r="D513" s="10" t="n">
        <v>2</v>
      </c>
      <c r="E513" s="12" t="n">
        <v>4628.6</v>
      </c>
      <c r="F513" s="12" t="n">
        <v>4733.1</v>
      </c>
      <c r="G513" s="12" t="n">
        <v>-104.5</v>
      </c>
      <c r="H513" s="13" t="n">
        <v>0.0502</v>
      </c>
      <c r="I513" s="13" t="n">
        <v>0.0502</v>
      </c>
    </row>
    <row r="514">
      <c r="A514" s="10" t="inlineStr">
        <is>
          <t>PJ-2022-F</t>
        </is>
      </c>
      <c r="B514" s="10" t="inlineStr">
        <is>
          <t>位置合わせ(MS指定)</t>
        </is>
      </c>
      <c r="C514" s="10" t="inlineStr">
        <is>
          <t>2022-06</t>
        </is>
      </c>
      <c r="D514" s="10" t="n">
        <v>3</v>
      </c>
      <c r="E514" s="12" t="n">
        <v>5805.9</v>
      </c>
      <c r="F514" s="12" t="n">
        <v>6372.9</v>
      </c>
      <c r="G514" s="12" t="n">
        <v>-567</v>
      </c>
      <c r="H514" s="13" t="n">
        <v>0.0907</v>
      </c>
      <c r="I514" s="13" t="n">
        <v>0.09470000000000001</v>
      </c>
    </row>
    <row r="515">
      <c r="A515" s="10" t="inlineStr">
        <is>
          <t>PJ-2022-F</t>
        </is>
      </c>
      <c r="B515" s="10" t="inlineStr">
        <is>
          <t>位置合わせ(MS指定)</t>
        </is>
      </c>
      <c r="C515" s="10" t="inlineStr">
        <is>
          <t>2022-07</t>
        </is>
      </c>
      <c r="D515" s="10" t="n">
        <v>4</v>
      </c>
      <c r="E515" s="12" t="n">
        <v>7019.2</v>
      </c>
      <c r="F515" s="12" t="n">
        <v>7428.9</v>
      </c>
      <c r="G515" s="12" t="n">
        <v>-409.7</v>
      </c>
      <c r="H515" s="13" t="n">
        <v>0.1397</v>
      </c>
      <c r="I515" s="13" t="n">
        <v>0.1465</v>
      </c>
    </row>
    <row r="516">
      <c r="A516" s="10" t="inlineStr">
        <is>
          <t>PJ-2022-F</t>
        </is>
      </c>
      <c r="B516" s="10" t="inlineStr">
        <is>
          <t>位置合わせ(MS指定)</t>
        </is>
      </c>
      <c r="C516" s="10" t="inlineStr">
        <is>
          <t>2022-08</t>
        </is>
      </c>
      <c r="D516" s="10" t="n">
        <v>5</v>
      </c>
      <c r="E516" s="12" t="n">
        <v>8896.6</v>
      </c>
      <c r="F516" s="12" t="n">
        <v>9311.799999999999</v>
      </c>
      <c r="G516" s="12" t="n">
        <v>-415.2</v>
      </c>
      <c r="H516" s="13" t="n">
        <v>0.2018</v>
      </c>
      <c r="I516" s="13" t="n">
        <v>0.2115</v>
      </c>
    </row>
    <row r="517">
      <c r="A517" s="10" t="inlineStr">
        <is>
          <t>PJ-2022-F</t>
        </is>
      </c>
      <c r="B517" s="10" t="inlineStr">
        <is>
          <t>位置合わせ(MS指定)</t>
        </is>
      </c>
      <c r="C517" s="10" t="inlineStr">
        <is>
          <t>2022-09</t>
        </is>
      </c>
      <c r="D517" s="10" t="n">
        <v>6</v>
      </c>
      <c r="E517" s="12" t="n">
        <v>10298.9</v>
      </c>
      <c r="F517" s="12" t="n">
        <v>9846.799999999999</v>
      </c>
      <c r="G517" s="12" t="n">
        <v>452.1</v>
      </c>
      <c r="H517" s="13" t="n">
        <v>0.2736</v>
      </c>
      <c r="I517" s="13" t="n">
        <v>0.2802</v>
      </c>
    </row>
    <row r="518">
      <c r="A518" s="10" t="inlineStr">
        <is>
          <t>PJ-2022-F</t>
        </is>
      </c>
      <c r="B518" s="10" t="inlineStr">
        <is>
          <t>位置合わせ(MS指定)</t>
        </is>
      </c>
      <c r="C518" s="10" t="inlineStr">
        <is>
          <t>2022-10</t>
        </is>
      </c>
      <c r="D518" s="10" t="n">
        <v>7</v>
      </c>
      <c r="E518" s="12" t="n">
        <v>13317.4</v>
      </c>
      <c r="F518" s="12" t="n">
        <v>12655.8</v>
      </c>
      <c r="G518" s="12" t="n">
        <v>661.6</v>
      </c>
      <c r="H518" s="13" t="n">
        <v>0.3665</v>
      </c>
      <c r="I518" s="13" t="n">
        <v>0.3685</v>
      </c>
    </row>
    <row r="519">
      <c r="A519" s="10" t="inlineStr">
        <is>
          <t>PJ-2022-F</t>
        </is>
      </c>
      <c r="B519" s="10" t="inlineStr">
        <is>
          <t>位置合わせ(MS指定)</t>
        </is>
      </c>
      <c r="C519" s="10" t="inlineStr">
        <is>
          <t>2022-11</t>
        </is>
      </c>
      <c r="D519" s="10" t="n">
        <v>8</v>
      </c>
      <c r="E519" s="12" t="n">
        <v>13120.9</v>
      </c>
      <c r="F519" s="12" t="n">
        <v>13234.4</v>
      </c>
      <c r="G519" s="12" t="n">
        <v>-113.5</v>
      </c>
      <c r="H519" s="13" t="n">
        <v>0.4581</v>
      </c>
      <c r="I519" s="13" t="n">
        <v>0.4608</v>
      </c>
    </row>
    <row r="520">
      <c r="A520" s="10" t="inlineStr">
        <is>
          <t>PJ-2022-F</t>
        </is>
      </c>
      <c r="B520" s="10" t="inlineStr">
        <is>
          <t>位置合わせ(MS指定)</t>
        </is>
      </c>
      <c r="C520" s="10" t="inlineStr">
        <is>
          <t>2022-12</t>
        </is>
      </c>
      <c r="D520" s="10" t="n">
        <v>9</v>
      </c>
      <c r="E520" s="12" t="n">
        <v>10452</v>
      </c>
      <c r="F520" s="12" t="n">
        <v>10515.8</v>
      </c>
      <c r="G520" s="12" t="n">
        <v>-63.8</v>
      </c>
      <c r="H520" s="13" t="n">
        <v>0.531</v>
      </c>
      <c r="I520" s="13" t="n">
        <v>0.5342</v>
      </c>
    </row>
    <row r="521">
      <c r="A521" s="10" t="inlineStr">
        <is>
          <t>PJ-2022-F</t>
        </is>
      </c>
      <c r="B521" s="10" t="inlineStr">
        <is>
          <t>位置合わせ(MS指定)</t>
        </is>
      </c>
      <c r="C521" s="10" t="inlineStr">
        <is>
          <t>2023-01</t>
        </is>
      </c>
      <c r="D521" s="10" t="n">
        <v>10</v>
      </c>
      <c r="E521" s="12" t="n">
        <v>9257.700000000001</v>
      </c>
      <c r="F521" s="12" t="n">
        <v>9232.5</v>
      </c>
      <c r="G521" s="12" t="n">
        <v>25.2</v>
      </c>
      <c r="H521" s="13" t="n">
        <v>0.5956</v>
      </c>
      <c r="I521" s="13" t="n">
        <v>0.5986</v>
      </c>
    </row>
    <row r="522">
      <c r="A522" s="10" t="inlineStr">
        <is>
          <t>PJ-2022-F</t>
        </is>
      </c>
      <c r="B522" s="10" t="inlineStr">
        <is>
          <t>位置合わせ(MS指定)</t>
        </is>
      </c>
      <c r="C522" s="10" t="inlineStr">
        <is>
          <t>2023-02</t>
        </is>
      </c>
      <c r="D522" s="10" t="n">
        <v>11</v>
      </c>
      <c r="E522" s="12" t="n">
        <v>8116.8</v>
      </c>
      <c r="F522" s="12" t="n">
        <v>8331.9</v>
      </c>
      <c r="G522" s="12" t="n">
        <v>-215.1</v>
      </c>
      <c r="H522" s="13" t="n">
        <v>0.6522</v>
      </c>
      <c r="I522" s="13" t="n">
        <v>0.6567</v>
      </c>
    </row>
    <row r="523">
      <c r="A523" s="10" t="inlineStr">
        <is>
          <t>PJ-2022-F</t>
        </is>
      </c>
      <c r="B523" s="10" t="inlineStr">
        <is>
          <t>位置合わせ(MS指定)</t>
        </is>
      </c>
      <c r="C523" s="10" t="inlineStr">
        <is>
          <t>2023-03</t>
        </is>
      </c>
      <c r="D523" s="10" t="n">
        <v>12</v>
      </c>
      <c r="E523" s="12" t="n">
        <v>9852.700000000001</v>
      </c>
      <c r="F523" s="12" t="n">
        <v>9498.700000000001</v>
      </c>
      <c r="G523" s="12" t="n">
        <v>354</v>
      </c>
      <c r="H523" s="13" t="n">
        <v>0.721</v>
      </c>
      <c r="I523" s="13" t="n">
        <v>0.723</v>
      </c>
    </row>
    <row r="524">
      <c r="A524" s="10" t="inlineStr">
        <is>
          <t>PJ-2022-F</t>
        </is>
      </c>
      <c r="B524" s="10" t="inlineStr">
        <is>
          <t>位置合わせ(MS指定)</t>
        </is>
      </c>
      <c r="C524" s="10" t="inlineStr">
        <is>
          <t>2023-04</t>
        </is>
      </c>
      <c r="D524" s="10" t="n">
        <v>13</v>
      </c>
      <c r="E524" s="12" t="n">
        <v>11139</v>
      </c>
      <c r="F524" s="12" t="n">
        <v>11636.8</v>
      </c>
      <c r="G524" s="12" t="n">
        <v>-497.8</v>
      </c>
      <c r="H524" s="13" t="n">
        <v>0.7987</v>
      </c>
      <c r="I524" s="13" t="n">
        <v>0.8042</v>
      </c>
    </row>
    <row r="525">
      <c r="A525" s="10" t="inlineStr">
        <is>
          <t>PJ-2022-F</t>
        </is>
      </c>
      <c r="B525" s="10" t="inlineStr">
        <is>
          <t>位置合わせ(MS指定)</t>
        </is>
      </c>
      <c r="C525" s="10" t="inlineStr">
        <is>
          <t>2023-05</t>
        </is>
      </c>
      <c r="D525" s="10" t="n">
        <v>14</v>
      </c>
      <c r="E525" s="12" t="n">
        <v>10113.5</v>
      </c>
      <c r="F525" s="12" t="n">
        <v>9937.1</v>
      </c>
      <c r="G525" s="12" t="n">
        <v>176.4</v>
      </c>
      <c r="H525" s="13" t="n">
        <v>0.8693</v>
      </c>
      <c r="I525" s="13" t="n">
        <v>0.8735000000000001</v>
      </c>
    </row>
    <row r="526">
      <c r="A526" s="10" t="inlineStr">
        <is>
          <t>PJ-2022-F</t>
        </is>
      </c>
      <c r="B526" s="10" t="inlineStr">
        <is>
          <t>位置合わせ(MS指定)</t>
        </is>
      </c>
      <c r="C526" s="10" t="inlineStr">
        <is>
          <t>2023-06</t>
        </is>
      </c>
      <c r="D526" s="10" t="n">
        <v>15</v>
      </c>
      <c r="E526" s="12" t="n">
        <v>6957</v>
      </c>
      <c r="F526" s="12" t="n">
        <v>6594.8</v>
      </c>
      <c r="G526" s="12" t="n">
        <v>362.2</v>
      </c>
      <c r="H526" s="13" t="n">
        <v>0.9177999999999999</v>
      </c>
      <c r="I526" s="13" t="n">
        <v>0.9196</v>
      </c>
    </row>
    <row r="527">
      <c r="A527" s="10" t="inlineStr">
        <is>
          <t>PJ-2022-F</t>
        </is>
      </c>
      <c r="B527" s="10" t="inlineStr">
        <is>
          <t>位置合わせ(MS指定)</t>
        </is>
      </c>
      <c r="C527" s="10" t="inlineStr">
        <is>
          <t>2023-07</t>
        </is>
      </c>
      <c r="D527" s="10" t="n">
        <v>16</v>
      </c>
      <c r="E527" s="12" t="n">
        <v>5286</v>
      </c>
      <c r="F527" s="12" t="n">
        <v>4982.3</v>
      </c>
      <c r="G527" s="12" t="n">
        <v>303.7</v>
      </c>
      <c r="H527" s="13" t="n">
        <v>0.9547</v>
      </c>
      <c r="I527" s="13" t="n">
        <v>0.9543</v>
      </c>
    </row>
    <row r="528">
      <c r="A528" s="10" t="inlineStr">
        <is>
          <t>PJ-2022-F</t>
        </is>
      </c>
      <c r="B528" s="10" t="inlineStr">
        <is>
          <t>位置合わせ(MS指定)</t>
        </is>
      </c>
      <c r="C528" s="10" t="inlineStr">
        <is>
          <t>2023-08</t>
        </is>
      </c>
      <c r="D528" s="10" t="n">
        <v>17</v>
      </c>
      <c r="E528" s="12" t="n">
        <v>4570.7</v>
      </c>
      <c r="F528" s="12" t="n">
        <v>4934</v>
      </c>
      <c r="G528" s="12" t="n">
        <v>-363.3</v>
      </c>
      <c r="H528" s="13" t="n">
        <v>0.9866</v>
      </c>
      <c r="I528" s="13" t="n">
        <v>0.9887</v>
      </c>
    </row>
    <row r="529">
      <c r="A529" s="10" t="inlineStr">
        <is>
          <t>PJ-2022-F</t>
        </is>
      </c>
      <c r="B529" s="10" t="inlineStr">
        <is>
          <t>位置合わせ(MS指定)</t>
        </is>
      </c>
      <c r="C529" s="10" t="inlineStr">
        <is>
          <t>2023-09</t>
        </is>
      </c>
      <c r="D529" s="10" t="n">
        <v>18</v>
      </c>
      <c r="E529" s="12" t="n">
        <v>1921.2</v>
      </c>
      <c r="F529" s="12" t="n">
        <v>1612.7</v>
      </c>
      <c r="G529" s="12" t="n">
        <v>308.5</v>
      </c>
      <c r="H529" s="13" t="n">
        <v>1</v>
      </c>
      <c r="I529" s="13" t="n">
        <v>1</v>
      </c>
    </row>
    <row r="530">
      <c r="A530" s="10" t="inlineStr">
        <is>
          <t>PJ-2022-G</t>
        </is>
      </c>
      <c r="B530" s="10" t="inlineStr">
        <is>
          <t>素朴版</t>
        </is>
      </c>
      <c r="C530" s="10" t="inlineStr">
        <is>
          <t>2022-02</t>
        </is>
      </c>
      <c r="D530" s="10" t="n">
        <v>1</v>
      </c>
      <c r="E530" s="12" t="n">
        <v>2186.9</v>
      </c>
      <c r="F530" s="12" t="n">
        <v>1850.2</v>
      </c>
      <c r="G530" s="12" t="n">
        <v>336.7</v>
      </c>
      <c r="H530" s="13" t="n">
        <v>0.009599999999999999</v>
      </c>
      <c r="I530" s="13" t="n">
        <v>0.0081</v>
      </c>
    </row>
    <row r="531">
      <c r="A531" s="10" t="inlineStr">
        <is>
          <t>PJ-2022-G</t>
        </is>
      </c>
      <c r="B531" s="10" t="inlineStr">
        <is>
          <t>素朴版</t>
        </is>
      </c>
      <c r="C531" s="10" t="inlineStr">
        <is>
          <t>2022-03</t>
        </is>
      </c>
      <c r="D531" s="10" t="n">
        <v>2</v>
      </c>
      <c r="E531" s="12" t="n">
        <v>3590.6</v>
      </c>
      <c r="F531" s="12" t="n">
        <v>3586.3</v>
      </c>
      <c r="G531" s="12" t="n">
        <v>4.3</v>
      </c>
      <c r="H531" s="13" t="n">
        <v>0.0253</v>
      </c>
      <c r="I531" s="13" t="n">
        <v>0.0238</v>
      </c>
    </row>
    <row r="532">
      <c r="A532" s="10" t="inlineStr">
        <is>
          <t>PJ-2022-G</t>
        </is>
      </c>
      <c r="B532" s="10" t="inlineStr">
        <is>
          <t>素朴版</t>
        </is>
      </c>
      <c r="C532" s="10" t="inlineStr">
        <is>
          <t>2022-04</t>
        </is>
      </c>
      <c r="D532" s="10" t="n">
        <v>3</v>
      </c>
      <c r="E532" s="12" t="n">
        <v>4733.1</v>
      </c>
      <c r="F532" s="12" t="n">
        <v>4388.3</v>
      </c>
      <c r="G532" s="12" t="n">
        <v>344.8</v>
      </c>
      <c r="H532" s="13" t="n">
        <v>0.0461</v>
      </c>
      <c r="I532" s="13" t="n">
        <v>0.0431</v>
      </c>
    </row>
    <row r="533">
      <c r="A533" s="10" t="inlineStr">
        <is>
          <t>PJ-2022-G</t>
        </is>
      </c>
      <c r="B533" s="10" t="inlineStr">
        <is>
          <t>素朴版</t>
        </is>
      </c>
      <c r="C533" s="10" t="inlineStr">
        <is>
          <t>2022-05</t>
        </is>
      </c>
      <c r="D533" s="10" t="n">
        <v>4</v>
      </c>
      <c r="E533" s="12" t="n">
        <v>5959.2</v>
      </c>
      <c r="F533" s="12" t="n">
        <v>5500.7</v>
      </c>
      <c r="G533" s="12" t="n">
        <v>458.5</v>
      </c>
      <c r="H533" s="13" t="n">
        <v>0.0722</v>
      </c>
      <c r="I533" s="13" t="n">
        <v>0.0672</v>
      </c>
    </row>
    <row r="534">
      <c r="A534" s="10" t="inlineStr">
        <is>
          <t>PJ-2022-G</t>
        </is>
      </c>
      <c r="B534" s="10" t="inlineStr">
        <is>
          <t>素朴版</t>
        </is>
      </c>
      <c r="C534" s="10" t="inlineStr">
        <is>
          <t>2022-06</t>
        </is>
      </c>
      <c r="D534" s="10" t="n">
        <v>5</v>
      </c>
      <c r="E534" s="12" t="n">
        <v>6333.3</v>
      </c>
      <c r="F534" s="12" t="n">
        <v>5922.1</v>
      </c>
      <c r="G534" s="12" t="n">
        <v>411.2</v>
      </c>
      <c r="H534" s="13" t="n">
        <v>0.1</v>
      </c>
      <c r="I534" s="13" t="n">
        <v>0.09320000000000001</v>
      </c>
    </row>
    <row r="535">
      <c r="A535" s="10" t="inlineStr">
        <is>
          <t>PJ-2022-G</t>
        </is>
      </c>
      <c r="B535" s="10" t="inlineStr">
        <is>
          <t>素朴版</t>
        </is>
      </c>
      <c r="C535" s="10" t="inlineStr">
        <is>
          <t>2022-07</t>
        </is>
      </c>
      <c r="D535" s="10" t="n">
        <v>6</v>
      </c>
      <c r="E535" s="12" t="n">
        <v>7573.9</v>
      </c>
      <c r="F535" s="12" t="n">
        <v>8077.6</v>
      </c>
      <c r="G535" s="12" t="n">
        <v>-503.7</v>
      </c>
      <c r="H535" s="13" t="n">
        <v>0.1332</v>
      </c>
      <c r="I535" s="13" t="n">
        <v>0.1286</v>
      </c>
    </row>
    <row r="536">
      <c r="A536" s="10" t="inlineStr">
        <is>
          <t>PJ-2022-G</t>
        </is>
      </c>
      <c r="B536" s="10" t="inlineStr">
        <is>
          <t>素朴版</t>
        </is>
      </c>
      <c r="C536" s="10" t="inlineStr">
        <is>
          <t>2022-08</t>
        </is>
      </c>
      <c r="D536" s="10" t="n">
        <v>7</v>
      </c>
      <c r="E536" s="12" t="n">
        <v>8378.299999999999</v>
      </c>
      <c r="F536" s="12" t="n">
        <v>11013.9</v>
      </c>
      <c r="G536" s="12" t="n">
        <v>-2635.6</v>
      </c>
      <c r="H536" s="13" t="n">
        <v>0.17</v>
      </c>
      <c r="I536" s="13" t="n">
        <v>0.1769</v>
      </c>
    </row>
    <row r="537">
      <c r="A537" s="10" t="inlineStr">
        <is>
          <t>PJ-2022-G</t>
        </is>
      </c>
      <c r="B537" s="10" t="inlineStr">
        <is>
          <t>素朴版</t>
        </is>
      </c>
      <c r="C537" s="10" t="inlineStr">
        <is>
          <t>2022-09</t>
        </is>
      </c>
      <c r="D537" s="10" t="n">
        <v>8</v>
      </c>
      <c r="E537" s="12" t="n">
        <v>9374.6</v>
      </c>
      <c r="F537" s="12" t="n">
        <v>12343.8</v>
      </c>
      <c r="G537" s="12" t="n">
        <v>-2969.2</v>
      </c>
      <c r="H537" s="13" t="n">
        <v>0.2111</v>
      </c>
      <c r="I537" s="13" t="n">
        <v>0.2311</v>
      </c>
    </row>
    <row r="538">
      <c r="A538" s="10" t="inlineStr">
        <is>
          <t>PJ-2022-G</t>
        </is>
      </c>
      <c r="B538" s="10" t="inlineStr">
        <is>
          <t>素朴版</t>
        </is>
      </c>
      <c r="C538" s="10" t="inlineStr">
        <is>
          <t>2022-10</t>
        </is>
      </c>
      <c r="D538" s="10" t="n">
        <v>9</v>
      </c>
      <c r="E538" s="12" t="n">
        <v>11025</v>
      </c>
      <c r="F538" s="12" t="n">
        <v>14998.9</v>
      </c>
      <c r="G538" s="12" t="n">
        <v>-3973.9</v>
      </c>
      <c r="H538" s="13" t="n">
        <v>0.2594</v>
      </c>
      <c r="I538" s="13" t="n">
        <v>0.2968</v>
      </c>
    </row>
    <row r="539">
      <c r="A539" s="10" t="inlineStr">
        <is>
          <t>PJ-2022-G</t>
        </is>
      </c>
      <c r="B539" s="10" t="inlineStr">
        <is>
          <t>素朴版</t>
        </is>
      </c>
      <c r="C539" s="10" t="inlineStr">
        <is>
          <t>2022-11</t>
        </is>
      </c>
      <c r="D539" s="10" t="n">
        <v>10</v>
      </c>
      <c r="E539" s="12" t="n">
        <v>11849.5</v>
      </c>
      <c r="F539" s="12" t="n">
        <v>16010.8</v>
      </c>
      <c r="G539" s="12" t="n">
        <v>-4161.3</v>
      </c>
      <c r="H539" s="13" t="n">
        <v>0.3114</v>
      </c>
      <c r="I539" s="13" t="n">
        <v>0.3671</v>
      </c>
    </row>
    <row r="540">
      <c r="A540" s="10" t="inlineStr">
        <is>
          <t>PJ-2022-G</t>
        </is>
      </c>
      <c r="B540" s="10" t="inlineStr">
        <is>
          <t>素朴版</t>
        </is>
      </c>
      <c r="C540" s="10" t="inlineStr">
        <is>
          <t>2022-12</t>
        </is>
      </c>
      <c r="D540" s="10" t="n">
        <v>11</v>
      </c>
      <c r="E540" s="12" t="n">
        <v>12551.4</v>
      </c>
      <c r="F540" s="12" t="n">
        <v>17888.5</v>
      </c>
      <c r="G540" s="12" t="n">
        <v>-5337.1</v>
      </c>
      <c r="H540" s="13" t="n">
        <v>0.3665</v>
      </c>
      <c r="I540" s="13" t="n">
        <v>0.4455</v>
      </c>
    </row>
    <row r="541">
      <c r="A541" s="10" t="inlineStr">
        <is>
          <t>PJ-2022-G</t>
        </is>
      </c>
      <c r="B541" s="10" t="inlineStr">
        <is>
          <t>素朴版</t>
        </is>
      </c>
      <c r="C541" s="10" t="inlineStr">
        <is>
          <t>2023-01</t>
        </is>
      </c>
      <c r="D541" s="10" t="n">
        <v>12</v>
      </c>
      <c r="E541" s="12" t="n">
        <v>12130.7</v>
      </c>
      <c r="F541" s="12" t="n">
        <v>11066.8</v>
      </c>
      <c r="G541" s="12" t="n">
        <v>1063.9</v>
      </c>
      <c r="H541" s="13" t="n">
        <v>0.4197</v>
      </c>
      <c r="I541" s="13" t="n">
        <v>0.4941</v>
      </c>
    </row>
    <row r="542">
      <c r="A542" s="10" t="inlineStr">
        <is>
          <t>PJ-2022-G</t>
        </is>
      </c>
      <c r="B542" s="10" t="inlineStr">
        <is>
          <t>素朴版</t>
        </is>
      </c>
      <c r="C542" s="10" t="inlineStr">
        <is>
          <t>2023-02</t>
        </is>
      </c>
      <c r="D542" s="10" t="n">
        <v>13</v>
      </c>
      <c r="E542" s="12" t="n">
        <v>11052.8</v>
      </c>
      <c r="F542" s="12" t="n">
        <v>8526.299999999999</v>
      </c>
      <c r="G542" s="12" t="n">
        <v>2526.5</v>
      </c>
      <c r="H542" s="13" t="n">
        <v>0.4682</v>
      </c>
      <c r="I542" s="13" t="n">
        <v>0.5315</v>
      </c>
    </row>
    <row r="543">
      <c r="A543" s="10" t="inlineStr">
        <is>
          <t>PJ-2022-G</t>
        </is>
      </c>
      <c r="B543" s="10" t="inlineStr">
        <is>
          <t>素朴版</t>
        </is>
      </c>
      <c r="C543" s="10" t="inlineStr">
        <is>
          <t>2023-03</t>
        </is>
      </c>
      <c r="D543" s="10" t="n">
        <v>14</v>
      </c>
      <c r="E543" s="12" t="n">
        <v>12175.7</v>
      </c>
      <c r="F543" s="12" t="n">
        <v>9402.200000000001</v>
      </c>
      <c r="G543" s="12" t="n">
        <v>2773.5</v>
      </c>
      <c r="H543" s="13" t="n">
        <v>0.5216</v>
      </c>
      <c r="I543" s="13" t="n">
        <v>0.5727</v>
      </c>
    </row>
    <row r="544">
      <c r="A544" s="10" t="inlineStr">
        <is>
          <t>PJ-2022-G</t>
        </is>
      </c>
      <c r="B544" s="10" t="inlineStr">
        <is>
          <t>素朴版</t>
        </is>
      </c>
      <c r="C544" s="10" t="inlineStr">
        <is>
          <t>2023-04</t>
        </is>
      </c>
      <c r="D544" s="10" t="n">
        <v>15</v>
      </c>
      <c r="E544" s="12" t="n">
        <v>12825.3</v>
      </c>
      <c r="F544" s="12" t="n">
        <v>7806.1</v>
      </c>
      <c r="G544" s="12" t="n">
        <v>5019.2</v>
      </c>
      <c r="H544" s="13" t="n">
        <v>0.5778</v>
      </c>
      <c r="I544" s="13" t="n">
        <v>0.6069</v>
      </c>
    </row>
    <row r="545">
      <c r="A545" s="10" t="inlineStr">
        <is>
          <t>PJ-2022-G</t>
        </is>
      </c>
      <c r="B545" s="10" t="inlineStr">
        <is>
          <t>素朴版</t>
        </is>
      </c>
      <c r="C545" s="10" t="inlineStr">
        <is>
          <t>2023-05</t>
        </is>
      </c>
      <c r="D545" s="10" t="n">
        <v>16</v>
      </c>
      <c r="E545" s="12" t="n">
        <v>14470.7</v>
      </c>
      <c r="F545" s="12" t="n">
        <v>8319.200000000001</v>
      </c>
      <c r="G545" s="12" t="n">
        <v>6151.5</v>
      </c>
      <c r="H545" s="13" t="n">
        <v>0.6413</v>
      </c>
      <c r="I545" s="13" t="n">
        <v>0.6434</v>
      </c>
    </row>
    <row r="546">
      <c r="A546" s="10" t="inlineStr">
        <is>
          <t>PJ-2022-G</t>
        </is>
      </c>
      <c r="B546" s="10" t="inlineStr">
        <is>
          <t>素朴版</t>
        </is>
      </c>
      <c r="C546" s="10" t="inlineStr">
        <is>
          <t>2023-06</t>
        </is>
      </c>
      <c r="D546" s="10" t="n">
        <v>17</v>
      </c>
      <c r="E546" s="12" t="n">
        <v>14430.4</v>
      </c>
      <c r="F546" s="12" t="n">
        <v>8271.9</v>
      </c>
      <c r="G546" s="12" t="n">
        <v>6158.5</v>
      </c>
      <c r="H546" s="13" t="n">
        <v>0.7046</v>
      </c>
      <c r="I546" s="13" t="n">
        <v>0.6797</v>
      </c>
    </row>
    <row r="547">
      <c r="A547" s="10" t="inlineStr">
        <is>
          <t>PJ-2022-G</t>
        </is>
      </c>
      <c r="B547" s="10" t="inlineStr">
        <is>
          <t>素朴版</t>
        </is>
      </c>
      <c r="C547" s="10" t="inlineStr">
        <is>
          <t>2023-07</t>
        </is>
      </c>
      <c r="D547" s="10" t="n">
        <v>18</v>
      </c>
      <c r="E547" s="12" t="n">
        <v>15467.3</v>
      </c>
      <c r="F547" s="12" t="n">
        <v>9377.200000000001</v>
      </c>
      <c r="G547" s="12" t="n">
        <v>6090.1</v>
      </c>
      <c r="H547" s="13" t="n">
        <v>0.7724</v>
      </c>
      <c r="I547" s="13" t="n">
        <v>0.7208</v>
      </c>
    </row>
    <row r="548">
      <c r="A548" s="10" t="inlineStr">
        <is>
          <t>PJ-2022-G</t>
        </is>
      </c>
      <c r="B548" s="10" t="inlineStr">
        <is>
          <t>素朴版</t>
        </is>
      </c>
      <c r="C548" s="10" t="inlineStr">
        <is>
          <t>2023-08</t>
        </is>
      </c>
      <c r="D548" s="10" t="n">
        <v>19</v>
      </c>
      <c r="E548" s="12" t="n">
        <v>15849.7</v>
      </c>
      <c r="F548" s="12" t="n">
        <v>11215.6</v>
      </c>
      <c r="G548" s="12" t="n">
        <v>4634.1</v>
      </c>
      <c r="H548" s="13" t="n">
        <v>0.8419</v>
      </c>
      <c r="I548" s="13" t="n">
        <v>0.77</v>
      </c>
    </row>
    <row r="549">
      <c r="A549" s="10" t="inlineStr">
        <is>
          <t>PJ-2022-G</t>
        </is>
      </c>
      <c r="B549" s="10" t="inlineStr">
        <is>
          <t>素朴版</t>
        </is>
      </c>
      <c r="C549" s="10" t="inlineStr">
        <is>
          <t>2023-09</t>
        </is>
      </c>
      <c r="D549" s="10" t="n">
        <v>20</v>
      </c>
      <c r="E549" s="12" t="n">
        <v>12323.2</v>
      </c>
      <c r="F549" s="12" t="n">
        <v>13182.2</v>
      </c>
      <c r="G549" s="12" t="n">
        <v>-859</v>
      </c>
      <c r="H549" s="13" t="n">
        <v>0.896</v>
      </c>
      <c r="I549" s="13" t="n">
        <v>0.8278</v>
      </c>
    </row>
    <row r="550">
      <c r="A550" s="10" t="inlineStr">
        <is>
          <t>PJ-2022-G</t>
        </is>
      </c>
      <c r="B550" s="10" t="inlineStr">
        <is>
          <t>素朴版</t>
        </is>
      </c>
      <c r="C550" s="10" t="inlineStr">
        <is>
          <t>2023-10</t>
        </is>
      </c>
      <c r="D550" s="10" t="n">
        <v>21</v>
      </c>
      <c r="E550" s="12" t="n">
        <v>9462.1</v>
      </c>
      <c r="F550" s="12" t="n">
        <v>16797.9</v>
      </c>
      <c r="G550" s="12" t="n">
        <v>-7335.8</v>
      </c>
      <c r="H550" s="13" t="n">
        <v>0.9375</v>
      </c>
      <c r="I550" s="13" t="n">
        <v>0.9015</v>
      </c>
    </row>
    <row r="551">
      <c r="A551" s="10" t="inlineStr">
        <is>
          <t>PJ-2022-G</t>
        </is>
      </c>
      <c r="B551" s="10" t="inlineStr">
        <is>
          <t>素朴版</t>
        </is>
      </c>
      <c r="C551" s="10" t="inlineStr">
        <is>
          <t>2023-11</t>
        </is>
      </c>
      <c r="D551" s="10" t="n">
        <v>22</v>
      </c>
      <c r="E551" s="12" t="n">
        <v>7011.5</v>
      </c>
      <c r="F551" s="12" t="n">
        <v>9812.1</v>
      </c>
      <c r="G551" s="12" t="n">
        <v>-2800.6</v>
      </c>
      <c r="H551" s="13" t="n">
        <v>0.9681999999999999</v>
      </c>
      <c r="I551" s="13" t="n">
        <v>0.9446</v>
      </c>
    </row>
    <row r="552">
      <c r="A552" s="10" t="inlineStr">
        <is>
          <t>PJ-2022-G</t>
        </is>
      </c>
      <c r="B552" s="10" t="inlineStr">
        <is>
          <t>素朴版</t>
        </is>
      </c>
      <c r="C552" s="10" t="inlineStr">
        <is>
          <t>2023-12</t>
        </is>
      </c>
      <c r="D552" s="10" t="n">
        <v>23</v>
      </c>
      <c r="E552" s="12" t="n">
        <v>5142.2</v>
      </c>
      <c r="F552" s="12" t="n">
        <v>8521.299999999999</v>
      </c>
      <c r="G552" s="12" t="n">
        <v>-3379.1</v>
      </c>
      <c r="H552" s="13" t="n">
        <v>0.9908</v>
      </c>
      <c r="I552" s="13" t="n">
        <v>0.9819</v>
      </c>
    </row>
    <row r="553">
      <c r="A553" s="10" t="inlineStr">
        <is>
          <t>PJ-2022-G</t>
        </is>
      </c>
      <c r="B553" s="10" t="inlineStr">
        <is>
          <t>素朴版</t>
        </is>
      </c>
      <c r="C553" s="10" t="inlineStr">
        <is>
          <t>2024-01</t>
        </is>
      </c>
      <c r="D553" s="10" t="n">
        <v>24</v>
      </c>
      <c r="E553" s="12" t="n">
        <v>2103.8</v>
      </c>
      <c r="F553" s="12" t="n">
        <v>4120.9</v>
      </c>
      <c r="G553" s="12" t="n">
        <v>-2017.1</v>
      </c>
      <c r="H553" s="13" t="n">
        <v>1</v>
      </c>
      <c r="I553" s="13" t="n">
        <v>1</v>
      </c>
    </row>
    <row r="554">
      <c r="A554" s="10" t="inlineStr">
        <is>
          <t>PJ-2022-G</t>
        </is>
      </c>
      <c r="B554" s="10" t="inlineStr">
        <is>
          <t>位置合わせ(MS学習値)</t>
        </is>
      </c>
      <c r="C554" s="10" t="inlineStr">
        <is>
          <t>2022-02</t>
        </is>
      </c>
      <c r="D554" s="10" t="n">
        <v>1</v>
      </c>
      <c r="E554" s="12" t="n">
        <v>2122.7</v>
      </c>
      <c r="F554" s="12" t="n">
        <v>1850.2</v>
      </c>
      <c r="G554" s="12" t="n">
        <v>272.5</v>
      </c>
      <c r="H554" s="13" t="n">
        <v>0.009299999999999999</v>
      </c>
      <c r="I554" s="13" t="n">
        <v>0.0081</v>
      </c>
    </row>
    <row r="555">
      <c r="A555" s="10" t="inlineStr">
        <is>
          <t>PJ-2022-G</t>
        </is>
      </c>
      <c r="B555" s="10" t="inlineStr">
        <is>
          <t>位置合わせ(MS学習値)</t>
        </is>
      </c>
      <c r="C555" s="10" t="inlineStr">
        <is>
          <t>2022-03</t>
        </is>
      </c>
      <c r="D555" s="10" t="n">
        <v>2</v>
      </c>
      <c r="E555" s="12" t="n">
        <v>3461</v>
      </c>
      <c r="F555" s="12" t="n">
        <v>3586.3</v>
      </c>
      <c r="G555" s="12" t="n">
        <v>-125.3</v>
      </c>
      <c r="H555" s="13" t="n">
        <v>0.0245</v>
      </c>
      <c r="I555" s="13" t="n">
        <v>0.0238</v>
      </c>
    </row>
    <row r="556">
      <c r="A556" s="10" t="inlineStr">
        <is>
          <t>PJ-2022-G</t>
        </is>
      </c>
      <c r="B556" s="10" t="inlineStr">
        <is>
          <t>位置合わせ(MS学習値)</t>
        </is>
      </c>
      <c r="C556" s="10" t="inlineStr">
        <is>
          <t>2022-04</t>
        </is>
      </c>
      <c r="D556" s="10" t="n">
        <v>3</v>
      </c>
      <c r="E556" s="12" t="n">
        <v>4637.9</v>
      </c>
      <c r="F556" s="12" t="n">
        <v>4388.3</v>
      </c>
      <c r="G556" s="12" t="n">
        <v>249.6</v>
      </c>
      <c r="H556" s="13" t="n">
        <v>0.0448</v>
      </c>
      <c r="I556" s="13" t="n">
        <v>0.0431</v>
      </c>
    </row>
    <row r="557">
      <c r="A557" s="10" t="inlineStr">
        <is>
          <t>PJ-2022-G</t>
        </is>
      </c>
      <c r="B557" s="10" t="inlineStr">
        <is>
          <t>位置合わせ(MS学習値)</t>
        </is>
      </c>
      <c r="C557" s="10" t="inlineStr">
        <is>
          <t>2022-05</t>
        </is>
      </c>
      <c r="D557" s="10" t="n">
        <v>4</v>
      </c>
      <c r="E557" s="12" t="n">
        <v>5749.6</v>
      </c>
      <c r="F557" s="12" t="n">
        <v>5500.7</v>
      </c>
      <c r="G557" s="12" t="n">
        <v>248.9</v>
      </c>
      <c r="H557" s="13" t="n">
        <v>0.07000000000000001</v>
      </c>
      <c r="I557" s="13" t="n">
        <v>0.0672</v>
      </c>
    </row>
    <row r="558">
      <c r="A558" s="10" t="inlineStr">
        <is>
          <t>PJ-2022-G</t>
        </is>
      </c>
      <c r="B558" s="10" t="inlineStr">
        <is>
          <t>位置合わせ(MS学習値)</t>
        </is>
      </c>
      <c r="C558" s="10" t="inlineStr">
        <is>
          <t>2022-06</t>
        </is>
      </c>
      <c r="D558" s="10" t="n">
        <v>5</v>
      </c>
      <c r="E558" s="12" t="n">
        <v>6212.5</v>
      </c>
      <c r="F558" s="12" t="n">
        <v>5922.1</v>
      </c>
      <c r="G558" s="12" t="n">
        <v>290.4</v>
      </c>
      <c r="H558" s="13" t="n">
        <v>0.0973</v>
      </c>
      <c r="I558" s="13" t="n">
        <v>0.09320000000000001</v>
      </c>
    </row>
    <row r="559">
      <c r="A559" s="10" t="inlineStr">
        <is>
          <t>PJ-2022-G</t>
        </is>
      </c>
      <c r="B559" s="10" t="inlineStr">
        <is>
          <t>位置合わせ(MS学習値)</t>
        </is>
      </c>
      <c r="C559" s="10" t="inlineStr">
        <is>
          <t>2022-07</t>
        </is>
      </c>
      <c r="D559" s="10" t="n">
        <v>6</v>
      </c>
      <c r="E559" s="12" t="n">
        <v>6962.8</v>
      </c>
      <c r="F559" s="12" t="n">
        <v>8077.6</v>
      </c>
      <c r="G559" s="12" t="n">
        <v>-1114.8</v>
      </c>
      <c r="H559" s="13" t="n">
        <v>0.1278</v>
      </c>
      <c r="I559" s="13" t="n">
        <v>0.1286</v>
      </c>
    </row>
    <row r="560">
      <c r="A560" s="10" t="inlineStr">
        <is>
          <t>PJ-2022-G</t>
        </is>
      </c>
      <c r="B560" s="10" t="inlineStr">
        <is>
          <t>位置合わせ(MS学習値)</t>
        </is>
      </c>
      <c r="C560" s="10" t="inlineStr">
        <is>
          <t>2022-08</t>
        </is>
      </c>
      <c r="D560" s="10" t="n">
        <v>7</v>
      </c>
      <c r="E560" s="12" t="n">
        <v>7972.6</v>
      </c>
      <c r="F560" s="12" t="n">
        <v>11013.9</v>
      </c>
      <c r="G560" s="12" t="n">
        <v>-3041.3</v>
      </c>
      <c r="H560" s="13" t="n">
        <v>0.1628</v>
      </c>
      <c r="I560" s="13" t="n">
        <v>0.1769</v>
      </c>
    </row>
    <row r="561">
      <c r="A561" s="10" t="inlineStr">
        <is>
          <t>PJ-2022-G</t>
        </is>
      </c>
      <c r="B561" s="10" t="inlineStr">
        <is>
          <t>位置合わせ(MS学習値)</t>
        </is>
      </c>
      <c r="C561" s="10" t="inlineStr">
        <is>
          <t>2022-09</t>
        </is>
      </c>
      <c r="D561" s="10" t="n">
        <v>8</v>
      </c>
      <c r="E561" s="12" t="n">
        <v>8799.4</v>
      </c>
      <c r="F561" s="12" t="n">
        <v>12343.8</v>
      </c>
      <c r="G561" s="12" t="n">
        <v>-3544.4</v>
      </c>
      <c r="H561" s="13" t="n">
        <v>0.2014</v>
      </c>
      <c r="I561" s="13" t="n">
        <v>0.2311</v>
      </c>
    </row>
    <row r="562">
      <c r="A562" s="10" t="inlineStr">
        <is>
          <t>PJ-2022-G</t>
        </is>
      </c>
      <c r="B562" s="10" t="inlineStr">
        <is>
          <t>位置合わせ(MS学習値)</t>
        </is>
      </c>
      <c r="C562" s="10" t="inlineStr">
        <is>
          <t>2022-10</t>
        </is>
      </c>
      <c r="D562" s="10" t="n">
        <v>9</v>
      </c>
      <c r="E562" s="12" t="n">
        <v>10132.7</v>
      </c>
      <c r="F562" s="12" t="n">
        <v>14998.9</v>
      </c>
      <c r="G562" s="12" t="n">
        <v>-4866.2</v>
      </c>
      <c r="H562" s="13" t="n">
        <v>0.2458</v>
      </c>
      <c r="I562" s="13" t="n">
        <v>0.2968</v>
      </c>
    </row>
    <row r="563">
      <c r="A563" s="10" t="inlineStr">
        <is>
          <t>PJ-2022-G</t>
        </is>
      </c>
      <c r="B563" s="10" t="inlineStr">
        <is>
          <t>位置合わせ(MS学習値)</t>
        </is>
      </c>
      <c r="C563" s="10" t="inlineStr">
        <is>
          <t>2022-11</t>
        </is>
      </c>
      <c r="D563" s="10" t="n">
        <v>10</v>
      </c>
      <c r="E563" s="12" t="n">
        <v>10749.9</v>
      </c>
      <c r="F563" s="12" t="n">
        <v>16010.8</v>
      </c>
      <c r="G563" s="12" t="n">
        <v>-5260.9</v>
      </c>
      <c r="H563" s="13" t="n">
        <v>0.293</v>
      </c>
      <c r="I563" s="13" t="n">
        <v>0.3671</v>
      </c>
    </row>
    <row r="564">
      <c r="A564" s="10" t="inlineStr">
        <is>
          <t>PJ-2022-G</t>
        </is>
      </c>
      <c r="B564" s="10" t="inlineStr">
        <is>
          <t>位置合わせ(MS学習値)</t>
        </is>
      </c>
      <c r="C564" s="10" t="inlineStr">
        <is>
          <t>2022-12</t>
        </is>
      </c>
      <c r="D564" s="10" t="n">
        <v>11</v>
      </c>
      <c r="E564" s="12" t="n">
        <v>13154.4</v>
      </c>
      <c r="F564" s="12" t="n">
        <v>17888.5</v>
      </c>
      <c r="G564" s="12" t="n">
        <v>-4734.1</v>
      </c>
      <c r="H564" s="13" t="n">
        <v>0.3507</v>
      </c>
      <c r="I564" s="13" t="n">
        <v>0.4455</v>
      </c>
    </row>
    <row r="565">
      <c r="A565" s="10" t="inlineStr">
        <is>
          <t>PJ-2022-G</t>
        </is>
      </c>
      <c r="B565" s="10" t="inlineStr">
        <is>
          <t>位置合わせ(MS学習値)</t>
        </is>
      </c>
      <c r="C565" s="10" t="inlineStr">
        <is>
          <t>2023-01</t>
        </is>
      </c>
      <c r="D565" s="10" t="n">
        <v>12</v>
      </c>
      <c r="E565" s="12" t="n">
        <v>15292.1</v>
      </c>
      <c r="F565" s="12" t="n">
        <v>11066.8</v>
      </c>
      <c r="G565" s="12" t="n">
        <v>4225.3</v>
      </c>
      <c r="H565" s="13" t="n">
        <v>0.4178</v>
      </c>
      <c r="I565" s="13" t="n">
        <v>0.4941</v>
      </c>
    </row>
    <row r="566">
      <c r="A566" s="10" t="inlineStr">
        <is>
          <t>PJ-2022-G</t>
        </is>
      </c>
      <c r="B566" s="10" t="inlineStr">
        <is>
          <t>位置合わせ(MS学習値)</t>
        </is>
      </c>
      <c r="C566" s="10" t="inlineStr">
        <is>
          <t>2023-02</t>
        </is>
      </c>
      <c r="D566" s="10" t="n">
        <v>13</v>
      </c>
      <c r="E566" s="12" t="n">
        <v>13921.6</v>
      </c>
      <c r="F566" s="12" t="n">
        <v>8526.299999999999</v>
      </c>
      <c r="G566" s="12" t="n">
        <v>5395.3</v>
      </c>
      <c r="H566" s="13" t="n">
        <v>0.4788</v>
      </c>
      <c r="I566" s="13" t="n">
        <v>0.5315</v>
      </c>
    </row>
    <row r="567">
      <c r="A567" s="10" t="inlineStr">
        <is>
          <t>PJ-2022-G</t>
        </is>
      </c>
      <c r="B567" s="10" t="inlineStr">
        <is>
          <t>位置合わせ(MS学習値)</t>
        </is>
      </c>
      <c r="C567" s="10" t="inlineStr">
        <is>
          <t>2023-03</t>
        </is>
      </c>
      <c r="D567" s="10" t="n">
        <v>14</v>
      </c>
      <c r="E567" s="12" t="n">
        <v>14178.4</v>
      </c>
      <c r="F567" s="12" t="n">
        <v>9402.200000000001</v>
      </c>
      <c r="G567" s="12" t="n">
        <v>4776.2</v>
      </c>
      <c r="H567" s="13" t="n">
        <v>0.541</v>
      </c>
      <c r="I567" s="13" t="n">
        <v>0.5727</v>
      </c>
    </row>
    <row r="568">
      <c r="A568" s="10" t="inlineStr">
        <is>
          <t>PJ-2022-G</t>
        </is>
      </c>
      <c r="B568" s="10" t="inlineStr">
        <is>
          <t>位置合わせ(MS学習値)</t>
        </is>
      </c>
      <c r="C568" s="10" t="inlineStr">
        <is>
          <t>2023-04</t>
        </is>
      </c>
      <c r="D568" s="10" t="n">
        <v>15</v>
      </c>
      <c r="E568" s="12" t="n">
        <v>12383.5</v>
      </c>
      <c r="F568" s="12" t="n">
        <v>7806.1</v>
      </c>
      <c r="G568" s="12" t="n">
        <v>4577.4</v>
      </c>
      <c r="H568" s="13" t="n">
        <v>0.5953000000000001</v>
      </c>
      <c r="I568" s="13" t="n">
        <v>0.6069</v>
      </c>
    </row>
    <row r="569">
      <c r="A569" s="10" t="inlineStr">
        <is>
          <t>PJ-2022-G</t>
        </is>
      </c>
      <c r="B569" s="10" t="inlineStr">
        <is>
          <t>位置合わせ(MS学習値)</t>
        </is>
      </c>
      <c r="C569" s="10" t="inlineStr">
        <is>
          <t>2023-05</t>
        </is>
      </c>
      <c r="D569" s="10" t="n">
        <v>16</v>
      </c>
      <c r="E569" s="12" t="n">
        <v>12507.4</v>
      </c>
      <c r="F569" s="12" t="n">
        <v>8319.200000000001</v>
      </c>
      <c r="G569" s="12" t="n">
        <v>4188.2</v>
      </c>
      <c r="H569" s="13" t="n">
        <v>0.6502</v>
      </c>
      <c r="I569" s="13" t="n">
        <v>0.6434</v>
      </c>
    </row>
    <row r="570">
      <c r="A570" s="10" t="inlineStr">
        <is>
          <t>PJ-2022-G</t>
        </is>
      </c>
      <c r="B570" s="10" t="inlineStr">
        <is>
          <t>位置合わせ(MS学習値)</t>
        </is>
      </c>
      <c r="C570" s="10" t="inlineStr">
        <is>
          <t>2023-06</t>
        </is>
      </c>
      <c r="D570" s="10" t="n">
        <v>17</v>
      </c>
      <c r="E570" s="12" t="n">
        <v>13080.4</v>
      </c>
      <c r="F570" s="12" t="n">
        <v>8271.9</v>
      </c>
      <c r="G570" s="12" t="n">
        <v>4808.5</v>
      </c>
      <c r="H570" s="13" t="n">
        <v>0.7075</v>
      </c>
      <c r="I570" s="13" t="n">
        <v>0.6797</v>
      </c>
    </row>
    <row r="571">
      <c r="A571" s="10" t="inlineStr">
        <is>
          <t>PJ-2022-G</t>
        </is>
      </c>
      <c r="B571" s="10" t="inlineStr">
        <is>
          <t>位置合わせ(MS学習値)</t>
        </is>
      </c>
      <c r="C571" s="10" t="inlineStr">
        <is>
          <t>2023-07</t>
        </is>
      </c>
      <c r="D571" s="10" t="n">
        <v>18</v>
      </c>
      <c r="E571" s="12" t="n">
        <v>15401.1</v>
      </c>
      <c r="F571" s="12" t="n">
        <v>9377.200000000001</v>
      </c>
      <c r="G571" s="12" t="n">
        <v>6023.9</v>
      </c>
      <c r="H571" s="13" t="n">
        <v>0.7751</v>
      </c>
      <c r="I571" s="13" t="n">
        <v>0.7208</v>
      </c>
    </row>
    <row r="572">
      <c r="A572" s="10" t="inlineStr">
        <is>
          <t>PJ-2022-G</t>
        </is>
      </c>
      <c r="B572" s="10" t="inlineStr">
        <is>
          <t>位置合わせ(MS学習値)</t>
        </is>
      </c>
      <c r="C572" s="10" t="inlineStr">
        <is>
          <t>2023-08</t>
        </is>
      </c>
      <c r="D572" s="10" t="n">
        <v>19</v>
      </c>
      <c r="E572" s="12" t="n">
        <v>16260.5</v>
      </c>
      <c r="F572" s="12" t="n">
        <v>11215.6</v>
      </c>
      <c r="G572" s="12" t="n">
        <v>5044.9</v>
      </c>
      <c r="H572" s="13" t="n">
        <v>0.8464</v>
      </c>
      <c r="I572" s="13" t="n">
        <v>0.77</v>
      </c>
    </row>
    <row r="573">
      <c r="A573" s="10" t="inlineStr">
        <is>
          <t>PJ-2022-G</t>
        </is>
      </c>
      <c r="B573" s="10" t="inlineStr">
        <is>
          <t>位置合わせ(MS学習値)</t>
        </is>
      </c>
      <c r="C573" s="10" t="inlineStr">
        <is>
          <t>2023-09</t>
        </is>
      </c>
      <c r="D573" s="10" t="n">
        <v>20</v>
      </c>
      <c r="E573" s="12" t="n">
        <v>12267.1</v>
      </c>
      <c r="F573" s="12" t="n">
        <v>13182.2</v>
      </c>
      <c r="G573" s="12" t="n">
        <v>-915.1</v>
      </c>
      <c r="H573" s="13" t="n">
        <v>0.9002</v>
      </c>
      <c r="I573" s="13" t="n">
        <v>0.8278</v>
      </c>
    </row>
    <row r="574">
      <c r="A574" s="10" t="inlineStr">
        <is>
          <t>PJ-2022-G</t>
        </is>
      </c>
      <c r="B574" s="10" t="inlineStr">
        <is>
          <t>位置合わせ(MS学習値)</t>
        </is>
      </c>
      <c r="C574" s="10" t="inlineStr">
        <is>
          <t>2023-10</t>
        </is>
      </c>
      <c r="D574" s="10" t="n">
        <v>21</v>
      </c>
      <c r="E574" s="12" t="n">
        <v>8899.200000000001</v>
      </c>
      <c r="F574" s="12" t="n">
        <v>16797.9</v>
      </c>
      <c r="G574" s="12" t="n">
        <v>-7898.7</v>
      </c>
      <c r="H574" s="13" t="n">
        <v>0.9392</v>
      </c>
      <c r="I574" s="13" t="n">
        <v>0.9015</v>
      </c>
    </row>
    <row r="575">
      <c r="A575" s="10" t="inlineStr">
        <is>
          <t>PJ-2022-G</t>
        </is>
      </c>
      <c r="B575" s="10" t="inlineStr">
        <is>
          <t>位置合わせ(MS学習値)</t>
        </is>
      </c>
      <c r="C575" s="10" t="inlineStr">
        <is>
          <t>2023-11</t>
        </is>
      </c>
      <c r="D575" s="10" t="n">
        <v>22</v>
      </c>
      <c r="E575" s="12" t="n">
        <v>6957</v>
      </c>
      <c r="F575" s="12" t="n">
        <v>9812.1</v>
      </c>
      <c r="G575" s="12" t="n">
        <v>-2855.1</v>
      </c>
      <c r="H575" s="13" t="n">
        <v>0.9697</v>
      </c>
      <c r="I575" s="13" t="n">
        <v>0.9446</v>
      </c>
    </row>
    <row r="576">
      <c r="A576" s="10" t="inlineStr">
        <is>
          <t>PJ-2022-G</t>
        </is>
      </c>
      <c r="B576" s="10" t="inlineStr">
        <is>
          <t>位置合わせ(MS学習値)</t>
        </is>
      </c>
      <c r="C576" s="10" t="inlineStr">
        <is>
          <t>2023-12</t>
        </is>
      </c>
      <c r="D576" s="10" t="n">
        <v>23</v>
      </c>
      <c r="E576" s="12" t="n">
        <v>4973.9</v>
      </c>
      <c r="F576" s="12" t="n">
        <v>8521.299999999999</v>
      </c>
      <c r="G576" s="12" t="n">
        <v>-3547.4</v>
      </c>
      <c r="H576" s="13" t="n">
        <v>0.9916</v>
      </c>
      <c r="I576" s="13" t="n">
        <v>0.9819</v>
      </c>
    </row>
    <row r="577">
      <c r="A577" s="10" t="inlineStr">
        <is>
          <t>PJ-2022-G</t>
        </is>
      </c>
      <c r="B577" s="10" t="inlineStr">
        <is>
          <t>位置合わせ(MS学習値)</t>
        </is>
      </c>
      <c r="C577" s="10" t="inlineStr">
        <is>
          <t>2024-01</t>
        </is>
      </c>
      <c r="D577" s="10" t="n">
        <v>24</v>
      </c>
      <c r="E577" s="12" t="n">
        <v>1923.1</v>
      </c>
      <c r="F577" s="12" t="n">
        <v>4120.9</v>
      </c>
      <c r="G577" s="12" t="n">
        <v>-2197.8</v>
      </c>
      <c r="H577" s="13" t="n">
        <v>1</v>
      </c>
      <c r="I577" s="13" t="n">
        <v>1</v>
      </c>
    </row>
    <row r="578">
      <c r="A578" s="10" t="inlineStr">
        <is>
          <t>PJ-2022-G</t>
        </is>
      </c>
      <c r="B578" s="10" t="inlineStr">
        <is>
          <t>位置合わせ(MS指定)</t>
        </is>
      </c>
      <c r="C578" s="10" t="inlineStr">
        <is>
          <t>2022-02</t>
        </is>
      </c>
      <c r="D578" s="10" t="n">
        <v>1</v>
      </c>
      <c r="E578" s="12" t="n">
        <v>2425.6</v>
      </c>
      <c r="F578" s="12" t="n">
        <v>1850.2</v>
      </c>
      <c r="G578" s="12" t="n">
        <v>575.4</v>
      </c>
      <c r="H578" s="13" t="n">
        <v>0.0106</v>
      </c>
      <c r="I578" s="13" t="n">
        <v>0.0081</v>
      </c>
    </row>
    <row r="579">
      <c r="A579" s="10" t="inlineStr">
        <is>
          <t>PJ-2022-G</t>
        </is>
      </c>
      <c r="B579" s="10" t="inlineStr">
        <is>
          <t>位置合わせ(MS指定)</t>
        </is>
      </c>
      <c r="C579" s="10" t="inlineStr">
        <is>
          <t>2022-03</t>
        </is>
      </c>
      <c r="D579" s="10" t="n">
        <v>2</v>
      </c>
      <c r="E579" s="12" t="n">
        <v>4156.5</v>
      </c>
      <c r="F579" s="12" t="n">
        <v>3586.3</v>
      </c>
      <c r="G579" s="12" t="n">
        <v>570.2</v>
      </c>
      <c r="H579" s="13" t="n">
        <v>0.0289</v>
      </c>
      <c r="I579" s="13" t="n">
        <v>0.0238</v>
      </c>
    </row>
    <row r="580">
      <c r="A580" s="10" t="inlineStr">
        <is>
          <t>PJ-2022-G</t>
        </is>
      </c>
      <c r="B580" s="10" t="inlineStr">
        <is>
          <t>位置合わせ(MS指定)</t>
        </is>
      </c>
      <c r="C580" s="10" t="inlineStr">
        <is>
          <t>2022-04</t>
        </is>
      </c>
      <c r="D580" s="10" t="n">
        <v>3</v>
      </c>
      <c r="E580" s="12" t="n">
        <v>5454.2</v>
      </c>
      <c r="F580" s="12" t="n">
        <v>4388.3</v>
      </c>
      <c r="G580" s="12" t="n">
        <v>1065.9</v>
      </c>
      <c r="H580" s="13" t="n">
        <v>0.0528</v>
      </c>
      <c r="I580" s="13" t="n">
        <v>0.0431</v>
      </c>
    </row>
    <row r="581">
      <c r="A581" s="10" t="inlineStr">
        <is>
          <t>PJ-2022-G</t>
        </is>
      </c>
      <c r="B581" s="10" t="inlineStr">
        <is>
          <t>位置合わせ(MS指定)</t>
        </is>
      </c>
      <c r="C581" s="10" t="inlineStr">
        <is>
          <t>2022-05</t>
        </is>
      </c>
      <c r="D581" s="10" t="n">
        <v>4</v>
      </c>
      <c r="E581" s="12" t="n">
        <v>6801</v>
      </c>
      <c r="F581" s="12" t="n">
        <v>5500.7</v>
      </c>
      <c r="G581" s="12" t="n">
        <v>1300.3</v>
      </c>
      <c r="H581" s="13" t="n">
        <v>0.08260000000000001</v>
      </c>
      <c r="I581" s="13" t="n">
        <v>0.0672</v>
      </c>
    </row>
    <row r="582">
      <c r="A582" s="10" t="inlineStr">
        <is>
          <t>PJ-2022-G</t>
        </is>
      </c>
      <c r="B582" s="10" t="inlineStr">
        <is>
          <t>位置合わせ(MS指定)</t>
        </is>
      </c>
      <c r="C582" s="10" t="inlineStr">
        <is>
          <t>2022-06</t>
        </is>
      </c>
      <c r="D582" s="10" t="n">
        <v>5</v>
      </c>
      <c r="E582" s="12" t="n">
        <v>7157.3</v>
      </c>
      <c r="F582" s="12" t="n">
        <v>5922.1</v>
      </c>
      <c r="G582" s="12" t="n">
        <v>1235.2</v>
      </c>
      <c r="H582" s="13" t="n">
        <v>0.114</v>
      </c>
      <c r="I582" s="13" t="n">
        <v>0.09320000000000001</v>
      </c>
    </row>
    <row r="583">
      <c r="A583" s="10" t="inlineStr">
        <is>
          <t>PJ-2022-G</t>
        </is>
      </c>
      <c r="B583" s="10" t="inlineStr">
        <is>
          <t>位置合わせ(MS指定)</t>
        </is>
      </c>
      <c r="C583" s="10" t="inlineStr">
        <is>
          <t>2022-07</t>
        </is>
      </c>
      <c r="D583" s="10" t="n">
        <v>6</v>
      </c>
      <c r="E583" s="12" t="n">
        <v>8444.200000000001</v>
      </c>
      <c r="F583" s="12" t="n">
        <v>8077.6</v>
      </c>
      <c r="G583" s="12" t="n">
        <v>366.6</v>
      </c>
      <c r="H583" s="13" t="n">
        <v>0.151</v>
      </c>
      <c r="I583" s="13" t="n">
        <v>0.1286</v>
      </c>
    </row>
    <row r="584">
      <c r="A584" s="10" t="inlineStr">
        <is>
          <t>PJ-2022-G</t>
        </is>
      </c>
      <c r="B584" s="10" t="inlineStr">
        <is>
          <t>位置合わせ(MS指定)</t>
        </is>
      </c>
      <c r="C584" s="10" t="inlineStr">
        <is>
          <t>2022-08</t>
        </is>
      </c>
      <c r="D584" s="10" t="n">
        <v>7</v>
      </c>
      <c r="E584" s="12" t="n">
        <v>9825.700000000001</v>
      </c>
      <c r="F584" s="12" t="n">
        <v>11013.9</v>
      </c>
      <c r="G584" s="12" t="n">
        <v>-1188.2</v>
      </c>
      <c r="H584" s="13" t="n">
        <v>0.1941</v>
      </c>
      <c r="I584" s="13" t="n">
        <v>0.1769</v>
      </c>
    </row>
    <row r="585">
      <c r="A585" s="10" t="inlineStr">
        <is>
          <t>PJ-2022-G</t>
        </is>
      </c>
      <c r="B585" s="10" t="inlineStr">
        <is>
          <t>位置合わせ(MS指定)</t>
        </is>
      </c>
      <c r="C585" s="10" t="inlineStr">
        <is>
          <t>2022-09</t>
        </is>
      </c>
      <c r="D585" s="10" t="n">
        <v>8</v>
      </c>
      <c r="E585" s="12" t="n">
        <v>10881.7</v>
      </c>
      <c r="F585" s="12" t="n">
        <v>12343.8</v>
      </c>
      <c r="G585" s="12" t="n">
        <v>-1462.1</v>
      </c>
      <c r="H585" s="13" t="n">
        <v>0.2419</v>
      </c>
      <c r="I585" s="13" t="n">
        <v>0.2311</v>
      </c>
    </row>
    <row r="586">
      <c r="A586" s="10" t="inlineStr">
        <is>
          <t>PJ-2022-G</t>
        </is>
      </c>
      <c r="B586" s="10" t="inlineStr">
        <is>
          <t>位置合わせ(MS指定)</t>
        </is>
      </c>
      <c r="C586" s="10" t="inlineStr">
        <is>
          <t>2022-10</t>
        </is>
      </c>
      <c r="D586" s="10" t="n">
        <v>9</v>
      </c>
      <c r="E586" s="12" t="n">
        <v>12351.2</v>
      </c>
      <c r="F586" s="12" t="n">
        <v>14998.9</v>
      </c>
      <c r="G586" s="12" t="n">
        <v>-2647.7</v>
      </c>
      <c r="H586" s="13" t="n">
        <v>0.296</v>
      </c>
      <c r="I586" s="13" t="n">
        <v>0.2968</v>
      </c>
    </row>
    <row r="587">
      <c r="A587" s="10" t="inlineStr">
        <is>
          <t>PJ-2022-G</t>
        </is>
      </c>
      <c r="B587" s="10" t="inlineStr">
        <is>
          <t>位置合わせ(MS指定)</t>
        </is>
      </c>
      <c r="C587" s="10" t="inlineStr">
        <is>
          <t>2022-11</t>
        </is>
      </c>
      <c r="D587" s="10" t="n">
        <v>10</v>
      </c>
      <c r="E587" s="12" t="n">
        <v>14555.8</v>
      </c>
      <c r="F587" s="12" t="n">
        <v>16010.8</v>
      </c>
      <c r="G587" s="12" t="n">
        <v>-1455</v>
      </c>
      <c r="H587" s="13" t="n">
        <v>0.3599</v>
      </c>
      <c r="I587" s="13" t="n">
        <v>0.3671</v>
      </c>
    </row>
    <row r="588">
      <c r="A588" s="10" t="inlineStr">
        <is>
          <t>PJ-2022-G</t>
        </is>
      </c>
      <c r="B588" s="10" t="inlineStr">
        <is>
          <t>位置合わせ(MS指定)</t>
        </is>
      </c>
      <c r="C588" s="10" t="inlineStr">
        <is>
          <t>2022-12</t>
        </is>
      </c>
      <c r="D588" s="10" t="n">
        <v>11</v>
      </c>
      <c r="E588" s="12" t="n">
        <v>15781.7</v>
      </c>
      <c r="F588" s="12" t="n">
        <v>17888.5</v>
      </c>
      <c r="G588" s="12" t="n">
        <v>-2106.8</v>
      </c>
      <c r="H588" s="13" t="n">
        <v>0.4291</v>
      </c>
      <c r="I588" s="13" t="n">
        <v>0.4455</v>
      </c>
    </row>
    <row r="589">
      <c r="A589" s="10" t="inlineStr">
        <is>
          <t>PJ-2022-G</t>
        </is>
      </c>
      <c r="B589" s="10" t="inlineStr">
        <is>
          <t>位置合わせ(MS指定)</t>
        </is>
      </c>
      <c r="C589" s="10" t="inlineStr">
        <is>
          <t>2023-01</t>
        </is>
      </c>
      <c r="D589" s="10" t="n">
        <v>12</v>
      </c>
      <c r="E589" s="12" t="n">
        <v>10817.7</v>
      </c>
      <c r="F589" s="12" t="n">
        <v>11066.8</v>
      </c>
      <c r="G589" s="12" t="n">
        <v>-249.1</v>
      </c>
      <c r="H589" s="13" t="n">
        <v>0.4765</v>
      </c>
      <c r="I589" s="13" t="n">
        <v>0.4941</v>
      </c>
    </row>
    <row r="590">
      <c r="A590" s="10" t="inlineStr">
        <is>
          <t>PJ-2022-G</t>
        </is>
      </c>
      <c r="B590" s="10" t="inlineStr">
        <is>
          <t>位置合わせ(MS指定)</t>
        </is>
      </c>
      <c r="C590" s="10" t="inlineStr">
        <is>
          <t>2023-02</t>
        </is>
      </c>
      <c r="D590" s="10" t="n">
        <v>13</v>
      </c>
      <c r="E590" s="12" t="n">
        <v>9056.299999999999</v>
      </c>
      <c r="F590" s="12" t="n">
        <v>8526.299999999999</v>
      </c>
      <c r="G590" s="12" t="n">
        <v>530</v>
      </c>
      <c r="H590" s="13" t="n">
        <v>0.5163</v>
      </c>
      <c r="I590" s="13" t="n">
        <v>0.5315</v>
      </c>
    </row>
    <row r="591">
      <c r="A591" s="10" t="inlineStr">
        <is>
          <t>PJ-2022-G</t>
        </is>
      </c>
      <c r="B591" s="10" t="inlineStr">
        <is>
          <t>位置合わせ(MS指定)</t>
        </is>
      </c>
      <c r="C591" s="10" t="inlineStr">
        <is>
          <t>2023-03</t>
        </is>
      </c>
      <c r="D591" s="10" t="n">
        <v>14</v>
      </c>
      <c r="E591" s="12" t="n">
        <v>9455.5</v>
      </c>
      <c r="F591" s="12" t="n">
        <v>9402.200000000001</v>
      </c>
      <c r="G591" s="12" t="n">
        <v>53.3</v>
      </c>
      <c r="H591" s="13" t="n">
        <v>0.5577</v>
      </c>
      <c r="I591" s="13" t="n">
        <v>0.5727</v>
      </c>
    </row>
    <row r="592">
      <c r="A592" s="10" t="inlineStr">
        <is>
          <t>PJ-2022-G</t>
        </is>
      </c>
      <c r="B592" s="10" t="inlineStr">
        <is>
          <t>位置合わせ(MS指定)</t>
        </is>
      </c>
      <c r="C592" s="10" t="inlineStr">
        <is>
          <t>2023-04</t>
        </is>
      </c>
      <c r="D592" s="10" t="n">
        <v>15</v>
      </c>
      <c r="E592" s="12" t="n">
        <v>8566.799999999999</v>
      </c>
      <c r="F592" s="12" t="n">
        <v>7806.1</v>
      </c>
      <c r="G592" s="12" t="n">
        <v>760.7</v>
      </c>
      <c r="H592" s="13" t="n">
        <v>0.5953000000000001</v>
      </c>
      <c r="I592" s="13" t="n">
        <v>0.6069</v>
      </c>
    </row>
    <row r="593">
      <c r="A593" s="10" t="inlineStr">
        <is>
          <t>PJ-2022-G</t>
        </is>
      </c>
      <c r="B593" s="10" t="inlineStr">
        <is>
          <t>位置合わせ(MS指定)</t>
        </is>
      </c>
      <c r="C593" s="10" t="inlineStr">
        <is>
          <t>2023-05</t>
        </is>
      </c>
      <c r="D593" s="10" t="n">
        <v>16</v>
      </c>
      <c r="E593" s="12" t="n">
        <v>8717.299999999999</v>
      </c>
      <c r="F593" s="12" t="n">
        <v>8319.200000000001</v>
      </c>
      <c r="G593" s="12" t="n">
        <v>398.1</v>
      </c>
      <c r="H593" s="13" t="n">
        <v>0.6335</v>
      </c>
      <c r="I593" s="13" t="n">
        <v>0.6434</v>
      </c>
    </row>
    <row r="594">
      <c r="A594" s="10" t="inlineStr">
        <is>
          <t>PJ-2022-G</t>
        </is>
      </c>
      <c r="B594" s="10" t="inlineStr">
        <is>
          <t>位置合わせ(MS指定)</t>
        </is>
      </c>
      <c r="C594" s="10" t="inlineStr">
        <is>
          <t>2023-06</t>
        </is>
      </c>
      <c r="D594" s="10" t="n">
        <v>17</v>
      </c>
      <c r="E594" s="12" t="n">
        <v>8822.6</v>
      </c>
      <c r="F594" s="12" t="n">
        <v>8271.9</v>
      </c>
      <c r="G594" s="12" t="n">
        <v>550.7</v>
      </c>
      <c r="H594" s="13" t="n">
        <v>0.6722</v>
      </c>
      <c r="I594" s="13" t="n">
        <v>0.6797</v>
      </c>
    </row>
    <row r="595">
      <c r="A595" s="10" t="inlineStr">
        <is>
          <t>PJ-2022-G</t>
        </is>
      </c>
      <c r="B595" s="10" t="inlineStr">
        <is>
          <t>位置合わせ(MS指定)</t>
        </is>
      </c>
      <c r="C595" s="10" t="inlineStr">
        <is>
          <t>2023-07</t>
        </is>
      </c>
      <c r="D595" s="10" t="n">
        <v>18</v>
      </c>
      <c r="E595" s="12" t="n">
        <v>9628.5</v>
      </c>
      <c r="F595" s="12" t="n">
        <v>9377.200000000001</v>
      </c>
      <c r="G595" s="12" t="n">
        <v>251.3</v>
      </c>
      <c r="H595" s="13" t="n">
        <v>0.7145</v>
      </c>
      <c r="I595" s="13" t="n">
        <v>0.7208</v>
      </c>
    </row>
    <row r="596">
      <c r="A596" s="10" t="inlineStr">
        <is>
          <t>PJ-2022-G</t>
        </is>
      </c>
      <c r="B596" s="10" t="inlineStr">
        <is>
          <t>位置合わせ(MS指定)</t>
        </is>
      </c>
      <c r="C596" s="10" t="inlineStr">
        <is>
          <t>2023-08</t>
        </is>
      </c>
      <c r="D596" s="10" t="n">
        <v>19</v>
      </c>
      <c r="E596" s="12" t="n">
        <v>10825.2</v>
      </c>
      <c r="F596" s="12" t="n">
        <v>11215.6</v>
      </c>
      <c r="G596" s="12" t="n">
        <v>-390.4</v>
      </c>
      <c r="H596" s="13" t="n">
        <v>0.7619</v>
      </c>
      <c r="I596" s="13" t="n">
        <v>0.77</v>
      </c>
    </row>
    <row r="597">
      <c r="A597" s="10" t="inlineStr">
        <is>
          <t>PJ-2022-G</t>
        </is>
      </c>
      <c r="B597" s="10" t="inlineStr">
        <is>
          <t>位置合わせ(MS指定)</t>
        </is>
      </c>
      <c r="C597" s="10" t="inlineStr">
        <is>
          <t>2023-09</t>
        </is>
      </c>
      <c r="D597" s="10" t="n">
        <v>20</v>
      </c>
      <c r="E597" s="12" t="n">
        <v>13449.3</v>
      </c>
      <c r="F597" s="12" t="n">
        <v>13182.2</v>
      </c>
      <c r="G597" s="12" t="n">
        <v>267.1</v>
      </c>
      <c r="H597" s="13" t="n">
        <v>0.8209</v>
      </c>
      <c r="I597" s="13" t="n">
        <v>0.8278</v>
      </c>
    </row>
    <row r="598">
      <c r="A598" s="10" t="inlineStr">
        <is>
          <t>PJ-2022-G</t>
        </is>
      </c>
      <c r="B598" s="10" t="inlineStr">
        <is>
          <t>位置合わせ(MS指定)</t>
        </is>
      </c>
      <c r="C598" s="10" t="inlineStr">
        <is>
          <t>2023-10</t>
        </is>
      </c>
      <c r="D598" s="10" t="n">
        <v>21</v>
      </c>
      <c r="E598" s="12" t="n">
        <v>16866.3</v>
      </c>
      <c r="F598" s="12" t="n">
        <v>16797.9</v>
      </c>
      <c r="G598" s="12" t="n">
        <v>68.40000000000001</v>
      </c>
      <c r="H598" s="13" t="n">
        <v>0.8949</v>
      </c>
      <c r="I598" s="13" t="n">
        <v>0.9015</v>
      </c>
    </row>
    <row r="599">
      <c r="A599" s="10" t="inlineStr">
        <is>
          <t>PJ-2022-G</t>
        </is>
      </c>
      <c r="B599" s="10" t="inlineStr">
        <is>
          <t>位置合わせ(MS指定)</t>
        </is>
      </c>
      <c r="C599" s="10" t="inlineStr">
        <is>
          <t>2023-11</t>
        </is>
      </c>
      <c r="D599" s="10" t="n">
        <v>22</v>
      </c>
      <c r="E599" s="12" t="n">
        <v>10572.9</v>
      </c>
      <c r="F599" s="12" t="n">
        <v>9812.1</v>
      </c>
      <c r="G599" s="12" t="n">
        <v>760.8</v>
      </c>
      <c r="H599" s="13" t="n">
        <v>0.9413</v>
      </c>
      <c r="I599" s="13" t="n">
        <v>0.9446</v>
      </c>
    </row>
    <row r="600">
      <c r="A600" s="10" t="inlineStr">
        <is>
          <t>PJ-2022-G</t>
        </is>
      </c>
      <c r="B600" s="10" t="inlineStr">
        <is>
          <t>位置合わせ(MS指定)</t>
        </is>
      </c>
      <c r="C600" s="10" t="inlineStr">
        <is>
          <t>2023-12</t>
        </is>
      </c>
      <c r="D600" s="10" t="n">
        <v>23</v>
      </c>
      <c r="E600" s="12" t="n">
        <v>8862.4</v>
      </c>
      <c r="F600" s="12" t="n">
        <v>8521.299999999999</v>
      </c>
      <c r="G600" s="12" t="n">
        <v>341.1</v>
      </c>
      <c r="H600" s="13" t="n">
        <v>0.9802</v>
      </c>
      <c r="I600" s="13" t="n">
        <v>0.9819</v>
      </c>
    </row>
    <row r="601">
      <c r="A601" s="10" t="inlineStr">
        <is>
          <t>PJ-2022-G</t>
        </is>
      </c>
      <c r="B601" s="10" t="inlineStr">
        <is>
          <t>位置合わせ(MS指定)</t>
        </is>
      </c>
      <c r="C601" s="10" t="inlineStr">
        <is>
          <t>2024-01</t>
        </is>
      </c>
      <c r="D601" s="10" t="n">
        <v>24</v>
      </c>
      <c r="E601" s="12" t="n">
        <v>4525.3</v>
      </c>
      <c r="F601" s="12" t="n">
        <v>4120.9</v>
      </c>
      <c r="G601" s="12" t="n">
        <v>404.4</v>
      </c>
      <c r="H601" s="13" t="n">
        <v>1</v>
      </c>
      <c r="I601" s="13" t="n">
        <v>1</v>
      </c>
    </row>
    <row r="602">
      <c r="A602" s="10" t="inlineStr">
        <is>
          <t>PJ-2023-H</t>
        </is>
      </c>
      <c r="B602" s="10" t="inlineStr">
        <is>
          <t>素朴版</t>
        </is>
      </c>
      <c r="C602" s="10" t="inlineStr">
        <is>
          <t>2023-01</t>
        </is>
      </c>
      <c r="D602" s="10" t="n">
        <v>1</v>
      </c>
      <c r="E602" s="12" t="n">
        <v>2401.8</v>
      </c>
      <c r="F602" s="12" t="n">
        <v>1701.5</v>
      </c>
      <c r="G602" s="12" t="n">
        <v>700.3</v>
      </c>
      <c r="H602" s="13" t="n">
        <v>0.0136</v>
      </c>
      <c r="I602" s="13" t="n">
        <v>0.0097</v>
      </c>
    </row>
    <row r="603">
      <c r="A603" s="10" t="inlineStr">
        <is>
          <t>PJ-2023-H</t>
        </is>
      </c>
      <c r="B603" s="10" t="inlineStr">
        <is>
          <t>素朴版</t>
        </is>
      </c>
      <c r="C603" s="10" t="inlineStr">
        <is>
          <t>2023-02</t>
        </is>
      </c>
      <c r="D603" s="10" t="n">
        <v>2</v>
      </c>
      <c r="E603" s="12" t="n">
        <v>3498.9</v>
      </c>
      <c r="F603" s="12" t="n">
        <v>2718.4</v>
      </c>
      <c r="G603" s="12" t="n">
        <v>780.5</v>
      </c>
      <c r="H603" s="13" t="n">
        <v>0.0335</v>
      </c>
      <c r="I603" s="13" t="n">
        <v>0.0251</v>
      </c>
    </row>
    <row r="604">
      <c r="A604" s="10" t="inlineStr">
        <is>
          <t>PJ-2023-H</t>
        </is>
      </c>
      <c r="B604" s="10" t="inlineStr">
        <is>
          <t>素朴版</t>
        </is>
      </c>
      <c r="C604" s="10" t="inlineStr">
        <is>
          <t>2023-03</t>
        </is>
      </c>
      <c r="D604" s="10" t="n">
        <v>3</v>
      </c>
      <c r="E604" s="12" t="n">
        <v>5151.9</v>
      </c>
      <c r="F604" s="12" t="n">
        <v>3792.6</v>
      </c>
      <c r="G604" s="12" t="n">
        <v>1359.3</v>
      </c>
      <c r="H604" s="13" t="n">
        <v>0.06279999999999999</v>
      </c>
      <c r="I604" s="13" t="n">
        <v>0.0467</v>
      </c>
    </row>
    <row r="605">
      <c r="A605" s="10" t="inlineStr">
        <is>
          <t>PJ-2023-H</t>
        </is>
      </c>
      <c r="B605" s="10" t="inlineStr">
        <is>
          <t>素朴版</t>
        </is>
      </c>
      <c r="C605" s="10" t="inlineStr">
        <is>
          <t>2023-04</t>
        </is>
      </c>
      <c r="D605" s="10" t="n">
        <v>4</v>
      </c>
      <c r="E605" s="12" t="n">
        <v>5774.1</v>
      </c>
      <c r="F605" s="12" t="n">
        <v>4365.9</v>
      </c>
      <c r="G605" s="12" t="n">
        <v>1408.2</v>
      </c>
      <c r="H605" s="13" t="n">
        <v>0.0956</v>
      </c>
      <c r="I605" s="13" t="n">
        <v>0.07149999999999999</v>
      </c>
    </row>
    <row r="606">
      <c r="A606" s="10" t="inlineStr">
        <is>
          <t>PJ-2023-H</t>
        </is>
      </c>
      <c r="B606" s="10" t="inlineStr">
        <is>
          <t>素朴版</t>
        </is>
      </c>
      <c r="C606" s="10" t="inlineStr">
        <is>
          <t>2023-05</t>
        </is>
      </c>
      <c r="D606" s="10" t="n">
        <v>5</v>
      </c>
      <c r="E606" s="12" t="n">
        <v>7133.1</v>
      </c>
      <c r="F606" s="12" t="n">
        <v>5288.9</v>
      </c>
      <c r="G606" s="12" t="n">
        <v>1844.2</v>
      </c>
      <c r="H606" s="13" t="n">
        <v>0.1361</v>
      </c>
      <c r="I606" s="13" t="n">
        <v>0.1015</v>
      </c>
    </row>
    <row r="607">
      <c r="A607" s="10" t="inlineStr">
        <is>
          <t>PJ-2023-H</t>
        </is>
      </c>
      <c r="B607" s="10" t="inlineStr">
        <is>
          <t>素朴版</t>
        </is>
      </c>
      <c r="C607" s="10" t="inlineStr">
        <is>
          <t>2023-06</t>
        </is>
      </c>
      <c r="D607" s="10" t="n">
        <v>6</v>
      </c>
      <c r="E607" s="12" t="n">
        <v>8095.1</v>
      </c>
      <c r="F607" s="12" t="n">
        <v>5740.1</v>
      </c>
      <c r="G607" s="12" t="n">
        <v>2355</v>
      </c>
      <c r="H607" s="13" t="n">
        <v>0.1821</v>
      </c>
      <c r="I607" s="13" t="n">
        <v>0.1341</v>
      </c>
    </row>
    <row r="608">
      <c r="A608" s="10" t="inlineStr">
        <is>
          <t>PJ-2023-H</t>
        </is>
      </c>
      <c r="B608" s="10" t="inlineStr">
        <is>
          <t>素朴版</t>
        </is>
      </c>
      <c r="C608" s="10" t="inlineStr">
        <is>
          <t>2023-07</t>
        </is>
      </c>
      <c r="D608" s="10" t="n">
        <v>7</v>
      </c>
      <c r="E608" s="12" t="n">
        <v>9957.799999999999</v>
      </c>
      <c r="F608" s="12" t="n">
        <v>6639.8</v>
      </c>
      <c r="G608" s="12" t="n">
        <v>3318</v>
      </c>
      <c r="H608" s="13" t="n">
        <v>0.2387</v>
      </c>
      <c r="I608" s="13" t="n">
        <v>0.1718</v>
      </c>
    </row>
    <row r="609">
      <c r="A609" s="10" t="inlineStr">
        <is>
          <t>PJ-2023-H</t>
        </is>
      </c>
      <c r="B609" s="10" t="inlineStr">
        <is>
          <t>素朴版</t>
        </is>
      </c>
      <c r="C609" s="10" t="inlineStr">
        <is>
          <t>2023-08</t>
        </is>
      </c>
      <c r="D609" s="10" t="n">
        <v>8</v>
      </c>
      <c r="E609" s="12" t="n">
        <v>11524.7</v>
      </c>
      <c r="F609" s="12" t="n">
        <v>7683.5</v>
      </c>
      <c r="G609" s="12" t="n">
        <v>3841.2</v>
      </c>
      <c r="H609" s="13" t="n">
        <v>0.3042</v>
      </c>
      <c r="I609" s="13" t="n">
        <v>0.2155</v>
      </c>
    </row>
    <row r="610">
      <c r="A610" s="10" t="inlineStr">
        <is>
          <t>PJ-2023-H</t>
        </is>
      </c>
      <c r="B610" s="10" t="inlineStr">
        <is>
          <t>素朴版</t>
        </is>
      </c>
      <c r="C610" s="10" t="inlineStr">
        <is>
          <t>2023-09</t>
        </is>
      </c>
      <c r="D610" s="10" t="n">
        <v>9</v>
      </c>
      <c r="E610" s="12" t="n">
        <v>12114.5</v>
      </c>
      <c r="F610" s="12" t="n">
        <v>7795.8</v>
      </c>
      <c r="G610" s="12" t="n">
        <v>4318.7</v>
      </c>
      <c r="H610" s="13" t="n">
        <v>0.373</v>
      </c>
      <c r="I610" s="13" t="n">
        <v>0.2598</v>
      </c>
    </row>
    <row r="611">
      <c r="A611" s="10" t="inlineStr">
        <is>
          <t>PJ-2023-H</t>
        </is>
      </c>
      <c r="B611" s="10" t="inlineStr">
        <is>
          <t>素朴版</t>
        </is>
      </c>
      <c r="C611" s="10" t="inlineStr">
        <is>
          <t>2023-10</t>
        </is>
      </c>
      <c r="D611" s="10" t="n">
        <v>10</v>
      </c>
      <c r="E611" s="12" t="n">
        <v>11666.1</v>
      </c>
      <c r="F611" s="12" t="n">
        <v>8582.9</v>
      </c>
      <c r="G611" s="12" t="n">
        <v>3083.2</v>
      </c>
      <c r="H611" s="13" t="n">
        <v>0.4393</v>
      </c>
      <c r="I611" s="13" t="n">
        <v>0.3085</v>
      </c>
    </row>
    <row r="612">
      <c r="A612" s="10" t="inlineStr">
        <is>
          <t>PJ-2023-H</t>
        </is>
      </c>
      <c r="B612" s="10" t="inlineStr">
        <is>
          <t>素朴版</t>
        </is>
      </c>
      <c r="C612" s="10" t="inlineStr">
        <is>
          <t>2023-11</t>
        </is>
      </c>
      <c r="D612" s="10" t="n">
        <v>11</v>
      </c>
      <c r="E612" s="12" t="n">
        <v>10842.9</v>
      </c>
      <c r="F612" s="12" t="n">
        <v>9838.6</v>
      </c>
      <c r="G612" s="12" t="n">
        <v>1004.3</v>
      </c>
      <c r="H612" s="13" t="n">
        <v>0.5009</v>
      </c>
      <c r="I612" s="13" t="n">
        <v>0.3644</v>
      </c>
    </row>
    <row r="613">
      <c r="A613" s="10" t="inlineStr">
        <is>
          <t>PJ-2023-H</t>
        </is>
      </c>
      <c r="B613" s="10" t="inlineStr">
        <is>
          <t>素朴版</t>
        </is>
      </c>
      <c r="C613" s="10" t="inlineStr">
        <is>
          <t>2023-12</t>
        </is>
      </c>
      <c r="D613" s="10" t="n">
        <v>12</v>
      </c>
      <c r="E613" s="12" t="n">
        <v>10884.8</v>
      </c>
      <c r="F613" s="12" t="n">
        <v>12312.3</v>
      </c>
      <c r="G613" s="12" t="n">
        <v>-1427.5</v>
      </c>
      <c r="H613" s="13" t="n">
        <v>0.5627</v>
      </c>
      <c r="I613" s="13" t="n">
        <v>0.4344</v>
      </c>
    </row>
    <row r="614">
      <c r="A614" s="10" t="inlineStr">
        <is>
          <t>PJ-2023-H</t>
        </is>
      </c>
      <c r="B614" s="10" t="inlineStr">
        <is>
          <t>素朴版</t>
        </is>
      </c>
      <c r="C614" s="10" t="inlineStr">
        <is>
          <t>2024-01</t>
        </is>
      </c>
      <c r="D614" s="10" t="n">
        <v>13</v>
      </c>
      <c r="E614" s="12" t="n">
        <v>11677.6</v>
      </c>
      <c r="F614" s="12" t="n">
        <v>21409.1</v>
      </c>
      <c r="G614" s="12" t="n">
        <v>-9731.5</v>
      </c>
      <c r="H614" s="13" t="n">
        <v>0.629</v>
      </c>
      <c r="I614" s="13" t="n">
        <v>0.556</v>
      </c>
    </row>
    <row r="615">
      <c r="A615" s="10" t="inlineStr">
        <is>
          <t>PJ-2023-H</t>
        </is>
      </c>
      <c r="B615" s="10" t="inlineStr">
        <is>
          <t>素朴版</t>
        </is>
      </c>
      <c r="C615" s="10" t="inlineStr">
        <is>
          <t>2024-02</t>
        </is>
      </c>
      <c r="D615" s="10" t="n">
        <v>14</v>
      </c>
      <c r="E615" s="12" t="n">
        <v>11673.3</v>
      </c>
      <c r="F615" s="12" t="n">
        <v>16426.2</v>
      </c>
      <c r="G615" s="12" t="n">
        <v>-4752.9</v>
      </c>
      <c r="H615" s="13" t="n">
        <v>0.6954</v>
      </c>
      <c r="I615" s="13" t="n">
        <v>0.6493</v>
      </c>
    </row>
    <row r="616">
      <c r="A616" s="10" t="inlineStr">
        <is>
          <t>PJ-2023-H</t>
        </is>
      </c>
      <c r="B616" s="10" t="inlineStr">
        <is>
          <t>素朴版</t>
        </is>
      </c>
      <c r="C616" s="10" t="inlineStr">
        <is>
          <t>2024-03</t>
        </is>
      </c>
      <c r="D616" s="10" t="n">
        <v>15</v>
      </c>
      <c r="E616" s="12" t="n">
        <v>13099.5</v>
      </c>
      <c r="F616" s="12" t="n">
        <v>19417.4</v>
      </c>
      <c r="G616" s="12" t="n">
        <v>-6317.9</v>
      </c>
      <c r="H616" s="13" t="n">
        <v>0.7698</v>
      </c>
      <c r="I616" s="13" t="n">
        <v>0.7596000000000001</v>
      </c>
    </row>
    <row r="617">
      <c r="A617" s="10" t="inlineStr">
        <is>
          <t>PJ-2023-H</t>
        </is>
      </c>
      <c r="B617" s="10" t="inlineStr">
        <is>
          <t>素朴版</t>
        </is>
      </c>
      <c r="C617" s="10" t="inlineStr">
        <is>
          <t>2024-04</t>
        </is>
      </c>
      <c r="D617" s="10" t="n">
        <v>16</v>
      </c>
      <c r="E617" s="12" t="n">
        <v>12988</v>
      </c>
      <c r="F617" s="12" t="n">
        <v>19057.6</v>
      </c>
      <c r="G617" s="12" t="n">
        <v>-6069.6</v>
      </c>
      <c r="H617" s="13" t="n">
        <v>0.8436</v>
      </c>
      <c r="I617" s="13" t="n">
        <v>0.8679</v>
      </c>
    </row>
    <row r="618">
      <c r="A618" s="10" t="inlineStr">
        <is>
          <t>PJ-2023-H</t>
        </is>
      </c>
      <c r="B618" s="10" t="inlineStr">
        <is>
          <t>素朴版</t>
        </is>
      </c>
      <c r="C618" s="10" t="inlineStr">
        <is>
          <t>2024-05</t>
        </is>
      </c>
      <c r="D618" s="10" t="n">
        <v>17</v>
      </c>
      <c r="E618" s="12" t="n">
        <v>11032.6</v>
      </c>
      <c r="F618" s="12" t="n">
        <v>11213.5</v>
      </c>
      <c r="G618" s="12" t="n">
        <v>-180.9</v>
      </c>
      <c r="H618" s="13" t="n">
        <v>0.9062</v>
      </c>
      <c r="I618" s="13" t="n">
        <v>0.9316</v>
      </c>
    </row>
    <row r="619">
      <c r="A619" s="10" t="inlineStr">
        <is>
          <t>PJ-2023-H</t>
        </is>
      </c>
      <c r="B619" s="10" t="inlineStr">
        <is>
          <t>素朴版</t>
        </is>
      </c>
      <c r="C619" s="10" t="inlineStr">
        <is>
          <t>2024-06</t>
        </is>
      </c>
      <c r="D619" s="10" t="n">
        <v>18</v>
      </c>
      <c r="E619" s="12" t="n">
        <v>7973.1</v>
      </c>
      <c r="F619" s="12" t="n">
        <v>7670.6</v>
      </c>
      <c r="G619" s="12" t="n">
        <v>302.5</v>
      </c>
      <c r="H619" s="13" t="n">
        <v>0.9515</v>
      </c>
      <c r="I619" s="13" t="n">
        <v>0.9752</v>
      </c>
    </row>
    <row r="620">
      <c r="A620" s="10" t="inlineStr">
        <is>
          <t>PJ-2023-H</t>
        </is>
      </c>
      <c r="B620" s="10" t="inlineStr">
        <is>
          <t>素朴版</t>
        </is>
      </c>
      <c r="C620" s="10" t="inlineStr">
        <is>
          <t>2024-07</t>
        </is>
      </c>
      <c r="D620" s="10" t="n">
        <v>19</v>
      </c>
      <c r="E620" s="12" t="n">
        <v>6042.7</v>
      </c>
      <c r="F620" s="12" t="n">
        <v>3309.1</v>
      </c>
      <c r="G620" s="12" t="n">
        <v>2733.6</v>
      </c>
      <c r="H620" s="13" t="n">
        <v>0.9859</v>
      </c>
      <c r="I620" s="13" t="n">
        <v>0.994</v>
      </c>
    </row>
    <row r="621">
      <c r="A621" s="10" t="inlineStr">
        <is>
          <t>PJ-2023-H</t>
        </is>
      </c>
      <c r="B621" s="10" t="inlineStr">
        <is>
          <t>素朴版</t>
        </is>
      </c>
      <c r="C621" s="10" t="inlineStr">
        <is>
          <t>2024-08</t>
        </is>
      </c>
      <c r="D621" s="10" t="n">
        <v>20</v>
      </c>
      <c r="E621" s="12" t="n">
        <v>2486.7</v>
      </c>
      <c r="F621" s="12" t="n">
        <v>1055.5</v>
      </c>
      <c r="G621" s="12" t="n">
        <v>1431.2</v>
      </c>
      <c r="H621" s="13" t="n">
        <v>1</v>
      </c>
      <c r="I621" s="13" t="n">
        <v>1</v>
      </c>
    </row>
    <row r="622">
      <c r="A622" s="10" t="inlineStr">
        <is>
          <t>PJ-2023-H</t>
        </is>
      </c>
      <c r="B622" s="10" t="inlineStr">
        <is>
          <t>位置合わせ(MS学習値)</t>
        </is>
      </c>
      <c r="C622" s="10" t="inlineStr">
        <is>
          <t>2023-01</t>
        </is>
      </c>
      <c r="D622" s="10" t="n">
        <v>1</v>
      </c>
      <c r="E622" s="12" t="n">
        <v>2368</v>
      </c>
      <c r="F622" s="12" t="n">
        <v>1701.5</v>
      </c>
      <c r="G622" s="12" t="n">
        <v>666.5</v>
      </c>
      <c r="H622" s="13" t="n">
        <v>0.0135</v>
      </c>
      <c r="I622" s="13" t="n">
        <v>0.0097</v>
      </c>
    </row>
    <row r="623">
      <c r="A623" s="10" t="inlineStr">
        <is>
          <t>PJ-2023-H</t>
        </is>
      </c>
      <c r="B623" s="10" t="inlineStr">
        <is>
          <t>位置合わせ(MS学習値)</t>
        </is>
      </c>
      <c r="C623" s="10" t="inlineStr">
        <is>
          <t>2023-02</t>
        </is>
      </c>
      <c r="D623" s="10" t="n">
        <v>2</v>
      </c>
      <c r="E623" s="12" t="n">
        <v>3428.1</v>
      </c>
      <c r="F623" s="12" t="n">
        <v>2718.4</v>
      </c>
      <c r="G623" s="12" t="n">
        <v>709.7</v>
      </c>
      <c r="H623" s="13" t="n">
        <v>0.0329</v>
      </c>
      <c r="I623" s="13" t="n">
        <v>0.0251</v>
      </c>
    </row>
    <row r="624">
      <c r="A624" s="10" t="inlineStr">
        <is>
          <t>PJ-2023-H</t>
        </is>
      </c>
      <c r="B624" s="10" t="inlineStr">
        <is>
          <t>位置合わせ(MS学習値)</t>
        </is>
      </c>
      <c r="C624" s="10" t="inlineStr">
        <is>
          <t>2023-03</t>
        </is>
      </c>
      <c r="D624" s="10" t="n">
        <v>3</v>
      </c>
      <c r="E624" s="12" t="n">
        <v>5050.5</v>
      </c>
      <c r="F624" s="12" t="n">
        <v>3792.6</v>
      </c>
      <c r="G624" s="12" t="n">
        <v>1257.9</v>
      </c>
      <c r="H624" s="13" t="n">
        <v>0.0616</v>
      </c>
      <c r="I624" s="13" t="n">
        <v>0.0467</v>
      </c>
    </row>
    <row r="625">
      <c r="A625" s="10" t="inlineStr">
        <is>
          <t>PJ-2023-H</t>
        </is>
      </c>
      <c r="B625" s="10" t="inlineStr">
        <is>
          <t>位置合わせ(MS学習値)</t>
        </is>
      </c>
      <c r="C625" s="10" t="inlineStr">
        <is>
          <t>2023-04</t>
        </is>
      </c>
      <c r="D625" s="10" t="n">
        <v>4</v>
      </c>
      <c r="E625" s="12" t="n">
        <v>5700.2</v>
      </c>
      <c r="F625" s="12" t="n">
        <v>4365.9</v>
      </c>
      <c r="G625" s="12" t="n">
        <v>1334.3</v>
      </c>
      <c r="H625" s="13" t="n">
        <v>0.094</v>
      </c>
      <c r="I625" s="13" t="n">
        <v>0.07149999999999999</v>
      </c>
    </row>
    <row r="626">
      <c r="A626" s="10" t="inlineStr">
        <is>
          <t>PJ-2023-H</t>
        </is>
      </c>
      <c r="B626" s="10" t="inlineStr">
        <is>
          <t>位置合わせ(MS学習値)</t>
        </is>
      </c>
      <c r="C626" s="10" t="inlineStr">
        <is>
          <t>2023-05</t>
        </is>
      </c>
      <c r="D626" s="10" t="n">
        <v>5</v>
      </c>
      <c r="E626" s="12" t="n">
        <v>6600.8</v>
      </c>
      <c r="F626" s="12" t="n">
        <v>5288.9</v>
      </c>
      <c r="G626" s="12" t="n">
        <v>1311.9</v>
      </c>
      <c r="H626" s="13" t="n">
        <v>0.1315</v>
      </c>
      <c r="I626" s="13" t="n">
        <v>0.1015</v>
      </c>
    </row>
    <row r="627">
      <c r="A627" s="10" t="inlineStr">
        <is>
          <t>PJ-2023-H</t>
        </is>
      </c>
      <c r="B627" s="10" t="inlineStr">
        <is>
          <t>位置合わせ(MS学習値)</t>
        </is>
      </c>
      <c r="C627" s="10" t="inlineStr">
        <is>
          <t>2023-06</t>
        </is>
      </c>
      <c r="D627" s="10" t="n">
        <v>6</v>
      </c>
      <c r="E627" s="12" t="n">
        <v>7703.4</v>
      </c>
      <c r="F627" s="12" t="n">
        <v>5740.1</v>
      </c>
      <c r="G627" s="12" t="n">
        <v>1963.3</v>
      </c>
      <c r="H627" s="13" t="n">
        <v>0.1753</v>
      </c>
      <c r="I627" s="13" t="n">
        <v>0.1341</v>
      </c>
    </row>
    <row r="628">
      <c r="A628" s="10" t="inlineStr">
        <is>
          <t>PJ-2023-H</t>
        </is>
      </c>
      <c r="B628" s="10" t="inlineStr">
        <is>
          <t>位置合わせ(MS学習値)</t>
        </is>
      </c>
      <c r="C628" s="10" t="inlineStr">
        <is>
          <t>2023-07</t>
        </is>
      </c>
      <c r="D628" s="10" t="n">
        <v>7</v>
      </c>
      <c r="E628" s="12" t="n">
        <v>9401.299999999999</v>
      </c>
      <c r="F628" s="12" t="n">
        <v>6639.8</v>
      </c>
      <c r="G628" s="12" t="n">
        <v>2761.5</v>
      </c>
      <c r="H628" s="13" t="n">
        <v>0.2287</v>
      </c>
      <c r="I628" s="13" t="n">
        <v>0.1718</v>
      </c>
    </row>
    <row r="629">
      <c r="A629" s="10" t="inlineStr">
        <is>
          <t>PJ-2023-H</t>
        </is>
      </c>
      <c r="B629" s="10" t="inlineStr">
        <is>
          <t>位置合わせ(MS学習値)</t>
        </is>
      </c>
      <c r="C629" s="10" t="inlineStr">
        <is>
          <t>2023-08</t>
        </is>
      </c>
      <c r="D629" s="10" t="n">
        <v>8</v>
      </c>
      <c r="E629" s="12" t="n">
        <v>10594</v>
      </c>
      <c r="F629" s="12" t="n">
        <v>7683.5</v>
      </c>
      <c r="G629" s="12" t="n">
        <v>2910.5</v>
      </c>
      <c r="H629" s="13" t="n">
        <v>0.2889</v>
      </c>
      <c r="I629" s="13" t="n">
        <v>0.2155</v>
      </c>
    </row>
    <row r="630">
      <c r="A630" s="10" t="inlineStr">
        <is>
          <t>PJ-2023-H</t>
        </is>
      </c>
      <c r="B630" s="10" t="inlineStr">
        <is>
          <t>位置合わせ(MS学習値)</t>
        </is>
      </c>
      <c r="C630" s="10" t="inlineStr">
        <is>
          <t>2023-09</t>
        </is>
      </c>
      <c r="D630" s="10" t="n">
        <v>9</v>
      </c>
      <c r="E630" s="12" t="n">
        <v>12477.6</v>
      </c>
      <c r="F630" s="12" t="n">
        <v>7795.8</v>
      </c>
      <c r="G630" s="12" t="n">
        <v>4681.8</v>
      </c>
      <c r="H630" s="13" t="n">
        <v>0.3598</v>
      </c>
      <c r="I630" s="13" t="n">
        <v>0.2598</v>
      </c>
    </row>
    <row r="631">
      <c r="A631" s="10" t="inlineStr">
        <is>
          <t>PJ-2023-H</t>
        </is>
      </c>
      <c r="B631" s="10" t="inlineStr">
        <is>
          <t>位置合わせ(MS学習値)</t>
        </is>
      </c>
      <c r="C631" s="10" t="inlineStr">
        <is>
          <t>2023-10</t>
        </is>
      </c>
      <c r="D631" s="10" t="n">
        <v>10</v>
      </c>
      <c r="E631" s="12" t="n">
        <v>14618.1</v>
      </c>
      <c r="F631" s="12" t="n">
        <v>8582.9</v>
      </c>
      <c r="G631" s="12" t="n">
        <v>6035.2</v>
      </c>
      <c r="H631" s="13" t="n">
        <v>0.4428</v>
      </c>
      <c r="I631" s="13" t="n">
        <v>0.3085</v>
      </c>
    </row>
    <row r="632">
      <c r="A632" s="10" t="inlineStr">
        <is>
          <t>PJ-2023-H</t>
        </is>
      </c>
      <c r="B632" s="10" t="inlineStr">
        <is>
          <t>位置合わせ(MS学習値)</t>
        </is>
      </c>
      <c r="C632" s="10" t="inlineStr">
        <is>
          <t>2023-11</t>
        </is>
      </c>
      <c r="D632" s="10" t="n">
        <v>11</v>
      </c>
      <c r="E632" s="12" t="n">
        <v>12058.8</v>
      </c>
      <c r="F632" s="12" t="n">
        <v>9838.6</v>
      </c>
      <c r="G632" s="12" t="n">
        <v>2220.2</v>
      </c>
      <c r="H632" s="13" t="n">
        <v>0.5113</v>
      </c>
      <c r="I632" s="13" t="n">
        <v>0.3644</v>
      </c>
    </row>
    <row r="633">
      <c r="A633" s="10" t="inlineStr">
        <is>
          <t>PJ-2023-H</t>
        </is>
      </c>
      <c r="B633" s="10" t="inlineStr">
        <is>
          <t>位置合わせ(MS学習値)</t>
        </is>
      </c>
      <c r="C633" s="10" t="inlineStr">
        <is>
          <t>2023-12</t>
        </is>
      </c>
      <c r="D633" s="10" t="n">
        <v>12</v>
      </c>
      <c r="E633" s="12" t="n">
        <v>11340.5</v>
      </c>
      <c r="F633" s="12" t="n">
        <v>12312.3</v>
      </c>
      <c r="G633" s="12" t="n">
        <v>-971.8</v>
      </c>
      <c r="H633" s="13" t="n">
        <v>0.5757</v>
      </c>
      <c r="I633" s="13" t="n">
        <v>0.4344</v>
      </c>
    </row>
    <row r="634">
      <c r="A634" s="10" t="inlineStr">
        <is>
          <t>PJ-2023-H</t>
        </is>
      </c>
      <c r="B634" s="10" t="inlineStr">
        <is>
          <t>位置合わせ(MS学習値)</t>
        </is>
      </c>
      <c r="C634" s="10" t="inlineStr">
        <is>
          <t>2024-01</t>
        </is>
      </c>
      <c r="D634" s="10" t="n">
        <v>13</v>
      </c>
      <c r="E634" s="12" t="n">
        <v>10603.4</v>
      </c>
      <c r="F634" s="12" t="n">
        <v>21409.1</v>
      </c>
      <c r="G634" s="12" t="n">
        <v>-10805.7</v>
      </c>
      <c r="H634" s="13" t="n">
        <v>0.636</v>
      </c>
      <c r="I634" s="13" t="n">
        <v>0.556</v>
      </c>
    </row>
    <row r="635">
      <c r="A635" s="10" t="inlineStr">
        <is>
          <t>PJ-2023-H</t>
        </is>
      </c>
      <c r="B635" s="10" t="inlineStr">
        <is>
          <t>位置合わせ(MS学習値)</t>
        </is>
      </c>
      <c r="C635" s="10" t="inlineStr">
        <is>
          <t>2024-02</t>
        </is>
      </c>
      <c r="D635" s="10" t="n">
        <v>14</v>
      </c>
      <c r="E635" s="12" t="n">
        <v>10454.5</v>
      </c>
      <c r="F635" s="12" t="n">
        <v>16426.2</v>
      </c>
      <c r="G635" s="12" t="n">
        <v>-5971.7</v>
      </c>
      <c r="H635" s="13" t="n">
        <v>0.6954</v>
      </c>
      <c r="I635" s="13" t="n">
        <v>0.6493</v>
      </c>
    </row>
    <row r="636">
      <c r="A636" s="10" t="inlineStr">
        <is>
          <t>PJ-2023-H</t>
        </is>
      </c>
      <c r="B636" s="10" t="inlineStr">
        <is>
          <t>位置合わせ(MS学習値)</t>
        </is>
      </c>
      <c r="C636" s="10" t="inlineStr">
        <is>
          <t>2024-03</t>
        </is>
      </c>
      <c r="D636" s="10" t="n">
        <v>15</v>
      </c>
      <c r="E636" s="12" t="n">
        <v>13094.3</v>
      </c>
      <c r="F636" s="12" t="n">
        <v>19417.4</v>
      </c>
      <c r="G636" s="12" t="n">
        <v>-6323.1</v>
      </c>
      <c r="H636" s="13" t="n">
        <v>0.7698</v>
      </c>
      <c r="I636" s="13" t="n">
        <v>0.7596000000000001</v>
      </c>
    </row>
    <row r="637">
      <c r="A637" s="10" t="inlineStr">
        <is>
          <t>PJ-2023-H</t>
        </is>
      </c>
      <c r="B637" s="10" t="inlineStr">
        <is>
          <t>位置合わせ(MS学習値)</t>
        </is>
      </c>
      <c r="C637" s="10" t="inlineStr">
        <is>
          <t>2024-04</t>
        </is>
      </c>
      <c r="D637" s="10" t="n">
        <v>16</v>
      </c>
      <c r="E637" s="12" t="n">
        <v>13918.8</v>
      </c>
      <c r="F637" s="12" t="n">
        <v>19057.6</v>
      </c>
      <c r="G637" s="12" t="n">
        <v>-5138.8</v>
      </c>
      <c r="H637" s="13" t="n">
        <v>0.8488</v>
      </c>
      <c r="I637" s="13" t="n">
        <v>0.8679</v>
      </c>
    </row>
    <row r="638">
      <c r="A638" s="10" t="inlineStr">
        <is>
          <t>PJ-2023-H</t>
        </is>
      </c>
      <c r="B638" s="10" t="inlineStr">
        <is>
          <t>位置合わせ(MS学習値)</t>
        </is>
      </c>
      <c r="C638" s="10" t="inlineStr">
        <is>
          <t>2024-05</t>
        </is>
      </c>
      <c r="D638" s="10" t="n">
        <v>17</v>
      </c>
      <c r="E638" s="12" t="n">
        <v>11151.6</v>
      </c>
      <c r="F638" s="12" t="n">
        <v>11213.5</v>
      </c>
      <c r="G638" s="12" t="n">
        <v>-61.9</v>
      </c>
      <c r="H638" s="13" t="n">
        <v>0.9122</v>
      </c>
      <c r="I638" s="13" t="n">
        <v>0.9316</v>
      </c>
    </row>
    <row r="639">
      <c r="A639" s="10" t="inlineStr">
        <is>
          <t>PJ-2023-H</t>
        </is>
      </c>
      <c r="B639" s="10" t="inlineStr">
        <is>
          <t>位置合わせ(MS学習値)</t>
        </is>
      </c>
      <c r="C639" s="10" t="inlineStr">
        <is>
          <t>2024-06</t>
        </is>
      </c>
      <c r="D639" s="10" t="n">
        <v>18</v>
      </c>
      <c r="E639" s="12" t="n">
        <v>7345.3</v>
      </c>
      <c r="F639" s="12" t="n">
        <v>7670.6</v>
      </c>
      <c r="G639" s="12" t="n">
        <v>-325.3</v>
      </c>
      <c r="H639" s="13" t="n">
        <v>0.9539</v>
      </c>
      <c r="I639" s="13" t="n">
        <v>0.9752</v>
      </c>
    </row>
    <row r="640">
      <c r="A640" s="10" t="inlineStr">
        <is>
          <t>PJ-2023-H</t>
        </is>
      </c>
      <c r="B640" s="10" t="inlineStr">
        <is>
          <t>位置合わせ(MS学習値)</t>
        </is>
      </c>
      <c r="C640" s="10" t="inlineStr">
        <is>
          <t>2024-07</t>
        </is>
      </c>
      <c r="D640" s="10" t="n">
        <v>19</v>
      </c>
      <c r="E640" s="12" t="n">
        <v>5894.6</v>
      </c>
      <c r="F640" s="12" t="n">
        <v>3309.1</v>
      </c>
      <c r="G640" s="12" t="n">
        <v>2585.5</v>
      </c>
      <c r="H640" s="13" t="n">
        <v>0.9874000000000001</v>
      </c>
      <c r="I640" s="13" t="n">
        <v>0.994</v>
      </c>
    </row>
    <row r="641">
      <c r="A641" s="10" t="inlineStr">
        <is>
          <t>PJ-2023-H</t>
        </is>
      </c>
      <c r="B641" s="10" t="inlineStr">
        <is>
          <t>位置合わせ(MS学習値)</t>
        </is>
      </c>
      <c r="C641" s="10" t="inlineStr">
        <is>
          <t>2024-08</t>
        </is>
      </c>
      <c r="D641" s="10" t="n">
        <v>20</v>
      </c>
      <c r="E641" s="12" t="n">
        <v>2215.3</v>
      </c>
      <c r="F641" s="12" t="n">
        <v>1055.5</v>
      </c>
      <c r="G641" s="12" t="n">
        <v>1159.8</v>
      </c>
      <c r="H641" s="13" t="n">
        <v>1</v>
      </c>
      <c r="I641" s="13" t="n">
        <v>1</v>
      </c>
    </row>
    <row r="642">
      <c r="A642" s="10" t="inlineStr">
        <is>
          <t>PJ-2023-H</t>
        </is>
      </c>
      <c r="B642" s="10" t="inlineStr">
        <is>
          <t>位置合わせ(MS指定)</t>
        </is>
      </c>
      <c r="C642" s="10" t="inlineStr">
        <is>
          <t>2023-01</t>
        </is>
      </c>
      <c r="D642" s="10" t="n">
        <v>1</v>
      </c>
      <c r="E642" s="12" t="n">
        <v>1809.4</v>
      </c>
      <c r="F642" s="12" t="n">
        <v>1701.5</v>
      </c>
      <c r="G642" s="12" t="n">
        <v>107.9</v>
      </c>
      <c r="H642" s="13" t="n">
        <v>0.0103</v>
      </c>
      <c r="I642" s="13" t="n">
        <v>0.0097</v>
      </c>
    </row>
    <row r="643">
      <c r="A643" s="10" t="inlineStr">
        <is>
          <t>PJ-2023-H</t>
        </is>
      </c>
      <c r="B643" s="10" t="inlineStr">
        <is>
          <t>位置合わせ(MS指定)</t>
        </is>
      </c>
      <c r="C643" s="10" t="inlineStr">
        <is>
          <t>2023-02</t>
        </is>
      </c>
      <c r="D643" s="10" t="n">
        <v>2</v>
      </c>
      <c r="E643" s="12" t="n">
        <v>2422.1</v>
      </c>
      <c r="F643" s="12" t="n">
        <v>2718.4</v>
      </c>
      <c r="G643" s="12" t="n">
        <v>-296.3</v>
      </c>
      <c r="H643" s="13" t="n">
        <v>0.024</v>
      </c>
      <c r="I643" s="13" t="n">
        <v>0.0251</v>
      </c>
    </row>
    <row r="644">
      <c r="A644" s="10" t="inlineStr">
        <is>
          <t>PJ-2023-H</t>
        </is>
      </c>
      <c r="B644" s="10" t="inlineStr">
        <is>
          <t>位置合わせ(MS指定)</t>
        </is>
      </c>
      <c r="C644" s="10" t="inlineStr">
        <is>
          <t>2023-03</t>
        </is>
      </c>
      <c r="D644" s="10" t="n">
        <v>3</v>
      </c>
      <c r="E644" s="12" t="n">
        <v>3624</v>
      </c>
      <c r="F644" s="12" t="n">
        <v>3792.6</v>
      </c>
      <c r="G644" s="12" t="n">
        <v>-168.6</v>
      </c>
      <c r="H644" s="13" t="n">
        <v>0.0446</v>
      </c>
      <c r="I644" s="13" t="n">
        <v>0.0467</v>
      </c>
    </row>
    <row r="645">
      <c r="A645" s="10" t="inlineStr">
        <is>
          <t>PJ-2023-H</t>
        </is>
      </c>
      <c r="B645" s="10" t="inlineStr">
        <is>
          <t>位置合わせ(MS指定)</t>
        </is>
      </c>
      <c r="C645" s="10" t="inlineStr">
        <is>
          <t>2023-04</t>
        </is>
      </c>
      <c r="D645" s="10" t="n">
        <v>4</v>
      </c>
      <c r="E645" s="12" t="n">
        <v>4246.9</v>
      </c>
      <c r="F645" s="12" t="n">
        <v>4365.9</v>
      </c>
      <c r="G645" s="12" t="n">
        <v>-119</v>
      </c>
      <c r="H645" s="13" t="n">
        <v>0.0688</v>
      </c>
      <c r="I645" s="13" t="n">
        <v>0.07149999999999999</v>
      </c>
    </row>
    <row r="646">
      <c r="A646" s="10" t="inlineStr">
        <is>
          <t>PJ-2023-H</t>
        </is>
      </c>
      <c r="B646" s="10" t="inlineStr">
        <is>
          <t>位置合わせ(MS指定)</t>
        </is>
      </c>
      <c r="C646" s="10" t="inlineStr">
        <is>
          <t>2023-05</t>
        </is>
      </c>
      <c r="D646" s="10" t="n">
        <v>5</v>
      </c>
      <c r="E646" s="12" t="n">
        <v>4805.3</v>
      </c>
      <c r="F646" s="12" t="n">
        <v>5288.9</v>
      </c>
      <c r="G646" s="12" t="n">
        <v>-483.6</v>
      </c>
      <c r="H646" s="13" t="n">
        <v>0.0961</v>
      </c>
      <c r="I646" s="13" t="n">
        <v>0.1015</v>
      </c>
    </row>
    <row r="647">
      <c r="A647" s="10" t="inlineStr">
        <is>
          <t>PJ-2023-H</t>
        </is>
      </c>
      <c r="B647" s="10" t="inlineStr">
        <is>
          <t>位置合わせ(MS指定)</t>
        </is>
      </c>
      <c r="C647" s="10" t="inlineStr">
        <is>
          <t>2023-06</t>
        </is>
      </c>
      <c r="D647" s="10" t="n">
        <v>6</v>
      </c>
      <c r="E647" s="12" t="n">
        <v>5095.4</v>
      </c>
      <c r="F647" s="12" t="n">
        <v>5740.1</v>
      </c>
      <c r="G647" s="12" t="n">
        <v>-644.7</v>
      </c>
      <c r="H647" s="13" t="n">
        <v>0.125</v>
      </c>
      <c r="I647" s="13" t="n">
        <v>0.1341</v>
      </c>
    </row>
    <row r="648">
      <c r="A648" s="10" t="inlineStr">
        <is>
          <t>PJ-2023-H</t>
        </is>
      </c>
      <c r="B648" s="10" t="inlineStr">
        <is>
          <t>位置合わせ(MS指定)</t>
        </is>
      </c>
      <c r="C648" s="10" t="inlineStr">
        <is>
          <t>2023-07</t>
        </is>
      </c>
      <c r="D648" s="10" t="n">
        <v>7</v>
      </c>
      <c r="E648" s="12" t="n">
        <v>6144.7</v>
      </c>
      <c r="F648" s="12" t="n">
        <v>6639.8</v>
      </c>
      <c r="G648" s="12" t="n">
        <v>-495.1</v>
      </c>
      <c r="H648" s="13" t="n">
        <v>0.1599</v>
      </c>
      <c r="I648" s="13" t="n">
        <v>0.1718</v>
      </c>
    </row>
    <row r="649">
      <c r="A649" s="10" t="inlineStr">
        <is>
          <t>PJ-2023-H</t>
        </is>
      </c>
      <c r="B649" s="10" t="inlineStr">
        <is>
          <t>位置合わせ(MS指定)</t>
        </is>
      </c>
      <c r="C649" s="10" t="inlineStr">
        <is>
          <t>2023-08</t>
        </is>
      </c>
      <c r="D649" s="10" t="n">
        <v>8</v>
      </c>
      <c r="E649" s="12" t="n">
        <v>7031.8</v>
      </c>
      <c r="F649" s="12" t="n">
        <v>7683.5</v>
      </c>
      <c r="G649" s="12" t="n">
        <v>-651.7</v>
      </c>
      <c r="H649" s="13" t="n">
        <v>0.1999</v>
      </c>
      <c r="I649" s="13" t="n">
        <v>0.2155</v>
      </c>
    </row>
    <row r="650">
      <c r="A650" s="10" t="inlineStr">
        <is>
          <t>PJ-2023-H</t>
        </is>
      </c>
      <c r="B650" s="10" t="inlineStr">
        <is>
          <t>位置合わせ(MS指定)</t>
        </is>
      </c>
      <c r="C650" s="10" t="inlineStr">
        <is>
          <t>2023-09</t>
        </is>
      </c>
      <c r="D650" s="10" t="n">
        <v>9</v>
      </c>
      <c r="E650" s="12" t="n">
        <v>7663.1</v>
      </c>
      <c r="F650" s="12" t="n">
        <v>7795.8</v>
      </c>
      <c r="G650" s="12" t="n">
        <v>-132.7</v>
      </c>
      <c r="H650" s="13" t="n">
        <v>0.2434</v>
      </c>
      <c r="I650" s="13" t="n">
        <v>0.2598</v>
      </c>
    </row>
    <row r="651">
      <c r="A651" s="10" t="inlineStr">
        <is>
          <t>PJ-2023-H</t>
        </is>
      </c>
      <c r="B651" s="10" t="inlineStr">
        <is>
          <t>位置合わせ(MS指定)</t>
        </is>
      </c>
      <c r="C651" s="10" t="inlineStr">
        <is>
          <t>2023-10</t>
        </is>
      </c>
      <c r="D651" s="10" t="n">
        <v>10</v>
      </c>
      <c r="E651" s="12" t="n">
        <v>8814.6</v>
      </c>
      <c r="F651" s="12" t="n">
        <v>8582.9</v>
      </c>
      <c r="G651" s="12" t="n">
        <v>231.7</v>
      </c>
      <c r="H651" s="13" t="n">
        <v>0.2935</v>
      </c>
      <c r="I651" s="13" t="n">
        <v>0.3085</v>
      </c>
    </row>
    <row r="652">
      <c r="A652" s="10" t="inlineStr">
        <is>
          <t>PJ-2023-H</t>
        </is>
      </c>
      <c r="B652" s="10" t="inlineStr">
        <is>
          <t>位置合わせ(MS指定)</t>
        </is>
      </c>
      <c r="C652" s="10" t="inlineStr">
        <is>
          <t>2023-11</t>
        </is>
      </c>
      <c r="D652" s="10" t="n">
        <v>11</v>
      </c>
      <c r="E652" s="12" t="n">
        <v>9979.5</v>
      </c>
      <c r="F652" s="12" t="n">
        <v>9838.6</v>
      </c>
      <c r="G652" s="12" t="n">
        <v>140.9</v>
      </c>
      <c r="H652" s="13" t="n">
        <v>0.3502</v>
      </c>
      <c r="I652" s="13" t="n">
        <v>0.3644</v>
      </c>
    </row>
    <row r="653">
      <c r="A653" s="10" t="inlineStr">
        <is>
          <t>PJ-2023-H</t>
        </is>
      </c>
      <c r="B653" s="10" t="inlineStr">
        <is>
          <t>位置合わせ(MS指定)</t>
        </is>
      </c>
      <c r="C653" s="10" t="inlineStr">
        <is>
          <t>2023-12</t>
        </is>
      </c>
      <c r="D653" s="10" t="n">
        <v>12</v>
      </c>
      <c r="E653" s="12" t="n">
        <v>11782.5</v>
      </c>
      <c r="F653" s="12" t="n">
        <v>12312.3</v>
      </c>
      <c r="G653" s="12" t="n">
        <v>-529.8</v>
      </c>
      <c r="H653" s="13" t="n">
        <v>0.4171</v>
      </c>
      <c r="I653" s="13" t="n">
        <v>0.4344</v>
      </c>
    </row>
    <row r="654">
      <c r="A654" s="10" t="inlineStr">
        <is>
          <t>PJ-2023-H</t>
        </is>
      </c>
      <c r="B654" s="10" t="inlineStr">
        <is>
          <t>位置合わせ(MS指定)</t>
        </is>
      </c>
      <c r="C654" s="10" t="inlineStr">
        <is>
          <t>2024-01</t>
        </is>
      </c>
      <c r="D654" s="10" t="n">
        <v>13</v>
      </c>
      <c r="E654" s="12" t="n">
        <v>21618.5</v>
      </c>
      <c r="F654" s="12" t="n">
        <v>21409.1</v>
      </c>
      <c r="G654" s="12" t="n">
        <v>209.4</v>
      </c>
      <c r="H654" s="13" t="n">
        <v>0.5399</v>
      </c>
      <c r="I654" s="13" t="n">
        <v>0.556</v>
      </c>
    </row>
    <row r="655">
      <c r="A655" s="10" t="inlineStr">
        <is>
          <t>PJ-2023-H</t>
        </is>
      </c>
      <c r="B655" s="10" t="inlineStr">
        <is>
          <t>位置合わせ(MS指定)</t>
        </is>
      </c>
      <c r="C655" s="10" t="inlineStr">
        <is>
          <t>2024-02</t>
        </is>
      </c>
      <c r="D655" s="10" t="n">
        <v>14</v>
      </c>
      <c r="E655" s="12" t="n">
        <v>17115.9</v>
      </c>
      <c r="F655" s="12" t="n">
        <v>16426.2</v>
      </c>
      <c r="G655" s="12" t="n">
        <v>689.7</v>
      </c>
      <c r="H655" s="13" t="n">
        <v>0.6372</v>
      </c>
      <c r="I655" s="13" t="n">
        <v>0.6493</v>
      </c>
    </row>
    <row r="656">
      <c r="A656" s="10" t="inlineStr">
        <is>
          <t>PJ-2023-H</t>
        </is>
      </c>
      <c r="B656" s="10" t="inlineStr">
        <is>
          <t>位置合わせ(MS指定)</t>
        </is>
      </c>
      <c r="C656" s="10" t="inlineStr">
        <is>
          <t>2024-03</t>
        </is>
      </c>
      <c r="D656" s="10" t="n">
        <v>15</v>
      </c>
      <c r="E656" s="12" t="n">
        <v>20296.9</v>
      </c>
      <c r="F656" s="12" t="n">
        <v>19417.4</v>
      </c>
      <c r="G656" s="12" t="n">
        <v>879.5</v>
      </c>
      <c r="H656" s="13" t="n">
        <v>0.7524999999999999</v>
      </c>
      <c r="I656" s="13" t="n">
        <v>0.7596000000000001</v>
      </c>
    </row>
    <row r="657">
      <c r="A657" s="10" t="inlineStr">
        <is>
          <t>PJ-2023-H</t>
        </is>
      </c>
      <c r="B657" s="10" t="inlineStr">
        <is>
          <t>位置合わせ(MS指定)</t>
        </is>
      </c>
      <c r="C657" s="10" t="inlineStr">
        <is>
          <t>2024-04</t>
        </is>
      </c>
      <c r="D657" s="10" t="n">
        <v>16</v>
      </c>
      <c r="E657" s="12" t="n">
        <v>18838.3</v>
      </c>
      <c r="F657" s="12" t="n">
        <v>19057.6</v>
      </c>
      <c r="G657" s="12" t="n">
        <v>-219.3</v>
      </c>
      <c r="H657" s="13" t="n">
        <v>0.8595</v>
      </c>
      <c r="I657" s="13" t="n">
        <v>0.8679</v>
      </c>
    </row>
    <row r="658">
      <c r="A658" s="10" t="inlineStr">
        <is>
          <t>PJ-2023-H</t>
        </is>
      </c>
      <c r="B658" s="10" t="inlineStr">
        <is>
          <t>位置合わせ(MS指定)</t>
        </is>
      </c>
      <c r="C658" s="10" t="inlineStr">
        <is>
          <t>2024-05</t>
        </is>
      </c>
      <c r="D658" s="10" t="n">
        <v>17</v>
      </c>
      <c r="E658" s="12" t="n">
        <v>12057.2</v>
      </c>
      <c r="F658" s="12" t="n">
        <v>11213.5</v>
      </c>
      <c r="G658" s="12" t="n">
        <v>843.7</v>
      </c>
      <c r="H658" s="13" t="n">
        <v>0.928</v>
      </c>
      <c r="I658" s="13" t="n">
        <v>0.9316</v>
      </c>
    </row>
    <row r="659">
      <c r="A659" s="10" t="inlineStr">
        <is>
          <t>PJ-2023-H</t>
        </is>
      </c>
      <c r="B659" s="10" t="inlineStr">
        <is>
          <t>位置合わせ(MS指定)</t>
        </is>
      </c>
      <c r="C659" s="10" t="inlineStr">
        <is>
          <t>2024-06</t>
        </is>
      </c>
      <c r="D659" s="10" t="n">
        <v>18</v>
      </c>
      <c r="E659" s="12" t="n">
        <v>7866.7</v>
      </c>
      <c r="F659" s="12" t="n">
        <v>7670.6</v>
      </c>
      <c r="G659" s="12" t="n">
        <v>196.1</v>
      </c>
      <c r="H659" s="13" t="n">
        <v>0.9727</v>
      </c>
      <c r="I659" s="13" t="n">
        <v>0.9752</v>
      </c>
    </row>
    <row r="660">
      <c r="A660" s="10" t="inlineStr">
        <is>
          <t>PJ-2023-H</t>
        </is>
      </c>
      <c r="B660" s="10" t="inlineStr">
        <is>
          <t>位置合わせ(MS指定)</t>
        </is>
      </c>
      <c r="C660" s="10" t="inlineStr">
        <is>
          <t>2024-07</t>
        </is>
      </c>
      <c r="D660" s="10" t="n">
        <v>19</v>
      </c>
      <c r="E660" s="12" t="n">
        <v>3346.3</v>
      </c>
      <c r="F660" s="12" t="n">
        <v>3309.1</v>
      </c>
      <c r="G660" s="12" t="n">
        <v>37.2</v>
      </c>
      <c r="H660" s="13" t="n">
        <v>0.9917</v>
      </c>
      <c r="I660" s="13" t="n">
        <v>0.994</v>
      </c>
    </row>
    <row r="661">
      <c r="A661" s="10" t="inlineStr">
        <is>
          <t>PJ-2023-H</t>
        </is>
      </c>
      <c r="B661" s="10" t="inlineStr">
        <is>
          <t>位置合わせ(MS指定)</t>
        </is>
      </c>
      <c r="C661" s="10" t="inlineStr">
        <is>
          <t>2024-08</t>
        </is>
      </c>
      <c r="D661" s="10" t="n">
        <v>20</v>
      </c>
      <c r="E661" s="12" t="n">
        <v>1460.2</v>
      </c>
      <c r="F661" s="12" t="n">
        <v>1055.5</v>
      </c>
      <c r="G661" s="12" t="n">
        <v>404.7</v>
      </c>
      <c r="H661" s="13" t="n">
        <v>1</v>
      </c>
      <c r="I661" s="13" t="n">
        <v>1</v>
      </c>
    </row>
    <row r="662">
      <c r="A662" s="10" t="inlineStr">
        <is>
          <t>PJ-2023-I</t>
        </is>
      </c>
      <c r="B662" s="10" t="inlineStr">
        <is>
          <t>素朴版</t>
        </is>
      </c>
      <c r="C662" s="10" t="inlineStr">
        <is>
          <t>2023-05</t>
        </is>
      </c>
      <c r="D662" s="10" t="n">
        <v>1</v>
      </c>
      <c r="E662" s="12" t="n">
        <v>1797.3</v>
      </c>
      <c r="F662" s="12" t="n">
        <v>897.3</v>
      </c>
      <c r="G662" s="12" t="n">
        <v>900</v>
      </c>
      <c r="H662" s="13" t="n">
        <v>0.016</v>
      </c>
      <c r="I662" s="13" t="n">
        <v>0.008</v>
      </c>
    </row>
    <row r="663">
      <c r="A663" s="10" t="inlineStr">
        <is>
          <t>PJ-2023-I</t>
        </is>
      </c>
      <c r="B663" s="10" t="inlineStr">
        <is>
          <t>素朴版</t>
        </is>
      </c>
      <c r="C663" s="10" t="inlineStr">
        <is>
          <t>2023-06</t>
        </is>
      </c>
      <c r="D663" s="10" t="n">
        <v>2</v>
      </c>
      <c r="E663" s="12" t="n">
        <v>2862.6</v>
      </c>
      <c r="F663" s="12" t="n">
        <v>1844.6</v>
      </c>
      <c r="G663" s="12" t="n">
        <v>1018</v>
      </c>
      <c r="H663" s="13" t="n">
        <v>0.0415</v>
      </c>
      <c r="I663" s="13" t="n">
        <v>0.0244</v>
      </c>
    </row>
    <row r="664">
      <c r="A664" s="10" t="inlineStr">
        <is>
          <t>PJ-2023-I</t>
        </is>
      </c>
      <c r="B664" s="10" t="inlineStr">
        <is>
          <t>素朴版</t>
        </is>
      </c>
      <c r="C664" s="10" t="inlineStr">
        <is>
          <t>2023-07</t>
        </is>
      </c>
      <c r="D664" s="10" t="n">
        <v>3</v>
      </c>
      <c r="E664" s="12" t="n">
        <v>3925.7</v>
      </c>
      <c r="F664" s="12" t="n">
        <v>2786</v>
      </c>
      <c r="G664" s="12" t="n">
        <v>1139.7</v>
      </c>
      <c r="H664" s="13" t="n">
        <v>0.0765</v>
      </c>
      <c r="I664" s="13" t="n">
        <v>0.0493</v>
      </c>
    </row>
    <row r="665">
      <c r="A665" s="10" t="inlineStr">
        <is>
          <t>PJ-2023-I</t>
        </is>
      </c>
      <c r="B665" s="10" t="inlineStr">
        <is>
          <t>素朴版</t>
        </is>
      </c>
      <c r="C665" s="10" t="inlineStr">
        <is>
          <t>2023-08</t>
        </is>
      </c>
      <c r="D665" s="10" t="n">
        <v>4</v>
      </c>
      <c r="E665" s="12" t="n">
        <v>4519</v>
      </c>
      <c r="F665" s="12" t="n">
        <v>3638.2</v>
      </c>
      <c r="G665" s="12" t="n">
        <v>880.8</v>
      </c>
      <c r="H665" s="13" t="n">
        <v>0.1168</v>
      </c>
      <c r="I665" s="13" t="n">
        <v>0.08169999999999999</v>
      </c>
    </row>
    <row r="666">
      <c r="A666" s="10" t="inlineStr">
        <is>
          <t>PJ-2023-I</t>
        </is>
      </c>
      <c r="B666" s="10" t="inlineStr">
        <is>
          <t>素朴版</t>
        </is>
      </c>
      <c r="C666" s="10" t="inlineStr">
        <is>
          <t>2023-09</t>
        </is>
      </c>
      <c r="D666" s="10" t="n">
        <v>5</v>
      </c>
      <c r="E666" s="12" t="n">
        <v>5262.8</v>
      </c>
      <c r="F666" s="12" t="n">
        <v>4442.8</v>
      </c>
      <c r="G666" s="12" t="n">
        <v>820</v>
      </c>
      <c r="H666" s="13" t="n">
        <v>0.1637</v>
      </c>
      <c r="I666" s="13" t="n">
        <v>0.1213</v>
      </c>
    </row>
    <row r="667">
      <c r="A667" s="10" t="inlineStr">
        <is>
          <t>PJ-2023-I</t>
        </is>
      </c>
      <c r="B667" s="10" t="inlineStr">
        <is>
          <t>素朴版</t>
        </is>
      </c>
      <c r="C667" s="10" t="inlineStr">
        <is>
          <t>2023-10</t>
        </is>
      </c>
      <c r="D667" s="10" t="n">
        <v>6</v>
      </c>
      <c r="E667" s="12" t="n">
        <v>6567.4</v>
      </c>
      <c r="F667" s="12" t="n">
        <v>5217.6</v>
      </c>
      <c r="G667" s="12" t="n">
        <v>1349.8</v>
      </c>
      <c r="H667" s="13" t="n">
        <v>0.2222</v>
      </c>
      <c r="I667" s="13" t="n">
        <v>0.1677</v>
      </c>
    </row>
    <row r="668">
      <c r="A668" s="10" t="inlineStr">
        <is>
          <t>PJ-2023-I</t>
        </is>
      </c>
      <c r="B668" s="10" t="inlineStr">
        <is>
          <t>素朴版</t>
        </is>
      </c>
      <c r="C668" s="10" t="inlineStr">
        <is>
          <t>2023-11</t>
        </is>
      </c>
      <c r="D668" s="10" t="n">
        <v>7</v>
      </c>
      <c r="E668" s="12" t="n">
        <v>7548.9</v>
      </c>
      <c r="F668" s="12" t="n">
        <v>5604.6</v>
      </c>
      <c r="G668" s="12" t="n">
        <v>1944.3</v>
      </c>
      <c r="H668" s="13" t="n">
        <v>0.2894</v>
      </c>
      <c r="I668" s="13" t="n">
        <v>0.2177</v>
      </c>
    </row>
    <row r="669">
      <c r="A669" s="10" t="inlineStr">
        <is>
          <t>PJ-2023-I</t>
        </is>
      </c>
      <c r="B669" s="10" t="inlineStr">
        <is>
          <t>素朴版</t>
        </is>
      </c>
      <c r="C669" s="10" t="inlineStr">
        <is>
          <t>2023-12</t>
        </is>
      </c>
      <c r="D669" s="10" t="n">
        <v>8</v>
      </c>
      <c r="E669" s="12" t="n">
        <v>8642.799999999999</v>
      </c>
      <c r="F669" s="12" t="n">
        <v>6856.5</v>
      </c>
      <c r="G669" s="12" t="n">
        <v>1786.3</v>
      </c>
      <c r="H669" s="13" t="n">
        <v>0.3664</v>
      </c>
      <c r="I669" s="13" t="n">
        <v>0.2788</v>
      </c>
    </row>
    <row r="670">
      <c r="A670" s="10" t="inlineStr">
        <is>
          <t>PJ-2023-I</t>
        </is>
      </c>
      <c r="B670" s="10" t="inlineStr">
        <is>
          <t>素朴版</t>
        </is>
      </c>
      <c r="C670" s="10" t="inlineStr">
        <is>
          <t>2024-01</t>
        </is>
      </c>
      <c r="D670" s="10" t="n">
        <v>9</v>
      </c>
      <c r="E670" s="12" t="n">
        <v>7866.4</v>
      </c>
      <c r="F670" s="12" t="n">
        <v>9700.799999999999</v>
      </c>
      <c r="G670" s="12" t="n">
        <v>-1834.4</v>
      </c>
      <c r="H670" s="13" t="n">
        <v>0.4365</v>
      </c>
      <c r="I670" s="13" t="n">
        <v>0.3652</v>
      </c>
    </row>
    <row r="671">
      <c r="A671" s="10" t="inlineStr">
        <is>
          <t>PJ-2023-I</t>
        </is>
      </c>
      <c r="B671" s="10" t="inlineStr">
        <is>
          <t>素朴版</t>
        </is>
      </c>
      <c r="C671" s="10" t="inlineStr">
        <is>
          <t>2024-02</t>
        </is>
      </c>
      <c r="D671" s="10" t="n">
        <v>10</v>
      </c>
      <c r="E671" s="12" t="n">
        <v>6989</v>
      </c>
      <c r="F671" s="12" t="n">
        <v>10719</v>
      </c>
      <c r="G671" s="12" t="n">
        <v>-3730</v>
      </c>
      <c r="H671" s="13" t="n">
        <v>0.4988</v>
      </c>
      <c r="I671" s="13" t="n">
        <v>0.4607</v>
      </c>
    </row>
    <row r="672">
      <c r="A672" s="10" t="inlineStr">
        <is>
          <t>PJ-2023-I</t>
        </is>
      </c>
      <c r="B672" s="10" t="inlineStr">
        <is>
          <t>素朴版</t>
        </is>
      </c>
      <c r="C672" s="10" t="inlineStr">
        <is>
          <t>2024-03</t>
        </is>
      </c>
      <c r="D672" s="10" t="n">
        <v>11</v>
      </c>
      <c r="E672" s="12" t="n">
        <v>7710.6</v>
      </c>
      <c r="F672" s="12" t="n">
        <v>9751</v>
      </c>
      <c r="G672" s="12" t="n">
        <v>-2040.4</v>
      </c>
      <c r="H672" s="13" t="n">
        <v>0.5675</v>
      </c>
      <c r="I672" s="13" t="n">
        <v>0.5476</v>
      </c>
    </row>
    <row r="673">
      <c r="A673" s="10" t="inlineStr">
        <is>
          <t>PJ-2023-I</t>
        </is>
      </c>
      <c r="B673" s="10" t="inlineStr">
        <is>
          <t>素朴版</t>
        </is>
      </c>
      <c r="C673" s="10" t="inlineStr">
        <is>
          <t>2024-04</t>
        </is>
      </c>
      <c r="D673" s="10" t="n">
        <v>12</v>
      </c>
      <c r="E673" s="12" t="n">
        <v>8730.4</v>
      </c>
      <c r="F673" s="12" t="n">
        <v>9096.9</v>
      </c>
      <c r="G673" s="12" t="n">
        <v>-366.5</v>
      </c>
      <c r="H673" s="13" t="n">
        <v>0.6453</v>
      </c>
      <c r="I673" s="13" t="n">
        <v>0.6287</v>
      </c>
    </row>
    <row r="674">
      <c r="A674" s="10" t="inlineStr">
        <is>
          <t>PJ-2023-I</t>
        </is>
      </c>
      <c r="B674" s="10" t="inlineStr">
        <is>
          <t>素朴版</t>
        </is>
      </c>
      <c r="C674" s="10" t="inlineStr">
        <is>
          <t>2024-05</t>
        </is>
      </c>
      <c r="D674" s="10" t="n">
        <v>13</v>
      </c>
      <c r="E674" s="12" t="n">
        <v>9320.299999999999</v>
      </c>
      <c r="F674" s="12" t="n">
        <v>10640.6</v>
      </c>
      <c r="G674" s="12" t="n">
        <v>-1320.3</v>
      </c>
      <c r="H674" s="13" t="n">
        <v>0.7284</v>
      </c>
      <c r="I674" s="13" t="n">
        <v>0.7235</v>
      </c>
    </row>
    <row r="675">
      <c r="A675" s="10" t="inlineStr">
        <is>
          <t>PJ-2023-I</t>
        </is>
      </c>
      <c r="B675" s="10" t="inlineStr">
        <is>
          <t>素朴版</t>
        </is>
      </c>
      <c r="C675" s="10" t="inlineStr">
        <is>
          <t>2024-06</t>
        </is>
      </c>
      <c r="D675" s="10" t="n">
        <v>14</v>
      </c>
      <c r="E675" s="12" t="n">
        <v>9405.6</v>
      </c>
      <c r="F675" s="12" t="n">
        <v>11943.3</v>
      </c>
      <c r="G675" s="12" t="n">
        <v>-2537.7</v>
      </c>
      <c r="H675" s="13" t="n">
        <v>0.8122</v>
      </c>
      <c r="I675" s="13" t="n">
        <v>0.8299</v>
      </c>
    </row>
    <row r="676">
      <c r="A676" s="10" t="inlineStr">
        <is>
          <t>PJ-2023-I</t>
        </is>
      </c>
      <c r="B676" s="10" t="inlineStr">
        <is>
          <t>素朴版</t>
        </is>
      </c>
      <c r="C676" s="10" t="inlineStr">
        <is>
          <t>2024-07</t>
        </is>
      </c>
      <c r="D676" s="10" t="n">
        <v>15</v>
      </c>
      <c r="E676" s="12" t="n">
        <v>8745.9</v>
      </c>
      <c r="F676" s="12" t="n">
        <v>7926.7</v>
      </c>
      <c r="G676" s="12" t="n">
        <v>819.2</v>
      </c>
      <c r="H676" s="13" t="n">
        <v>0.8901</v>
      </c>
      <c r="I676" s="13" t="n">
        <v>0.9005</v>
      </c>
    </row>
    <row r="677">
      <c r="A677" s="10" t="inlineStr">
        <is>
          <t>PJ-2023-I</t>
        </is>
      </c>
      <c r="B677" s="10" t="inlineStr">
        <is>
          <t>素朴版</t>
        </is>
      </c>
      <c r="C677" s="10" t="inlineStr">
        <is>
          <t>2024-08</t>
        </is>
      </c>
      <c r="D677" s="10" t="n">
        <v>16</v>
      </c>
      <c r="E677" s="12" t="n">
        <v>6374.4</v>
      </c>
      <c r="F677" s="12" t="n">
        <v>5057</v>
      </c>
      <c r="G677" s="12" t="n">
        <v>1317.4</v>
      </c>
      <c r="H677" s="13" t="n">
        <v>0.9469</v>
      </c>
      <c r="I677" s="13" t="n">
        <v>0.9456</v>
      </c>
    </row>
    <row r="678">
      <c r="A678" s="10" t="inlineStr">
        <is>
          <t>PJ-2023-I</t>
        </is>
      </c>
      <c r="B678" s="10" t="inlineStr">
        <is>
          <t>素朴版</t>
        </is>
      </c>
      <c r="C678" s="10" t="inlineStr">
        <is>
          <t>2024-09</t>
        </is>
      </c>
      <c r="D678" s="10" t="n">
        <v>17</v>
      </c>
      <c r="E678" s="12" t="n">
        <v>4160.2</v>
      </c>
      <c r="F678" s="12" t="n">
        <v>4543.8</v>
      </c>
      <c r="G678" s="12" t="n">
        <v>-383.6</v>
      </c>
      <c r="H678" s="13" t="n">
        <v>0.984</v>
      </c>
      <c r="I678" s="13" t="n">
        <v>0.9861</v>
      </c>
    </row>
    <row r="679">
      <c r="A679" s="10" t="inlineStr">
        <is>
          <t>PJ-2023-I</t>
        </is>
      </c>
      <c r="B679" s="10" t="inlineStr">
        <is>
          <t>素朴版</t>
        </is>
      </c>
      <c r="C679" s="10" t="inlineStr">
        <is>
          <t>2024-10</t>
        </is>
      </c>
      <c r="D679" s="10" t="n">
        <v>18</v>
      </c>
      <c r="E679" s="12" t="n">
        <v>1801</v>
      </c>
      <c r="F679" s="12" t="n">
        <v>1563.6</v>
      </c>
      <c r="G679" s="12" t="n">
        <v>237.4</v>
      </c>
      <c r="H679" s="13" t="n">
        <v>1</v>
      </c>
      <c r="I679" s="13" t="n">
        <v>1</v>
      </c>
    </row>
    <row r="680">
      <c r="A680" s="10" t="inlineStr">
        <is>
          <t>PJ-2023-I</t>
        </is>
      </c>
      <c r="B680" s="10" t="inlineStr">
        <is>
          <t>位置合わせ(MS学習値)</t>
        </is>
      </c>
      <c r="C680" s="10" t="inlineStr">
        <is>
          <t>2023-05</t>
        </is>
      </c>
      <c r="D680" s="10" t="n">
        <v>1</v>
      </c>
      <c r="E680" s="12" t="n">
        <v>1764.7</v>
      </c>
      <c r="F680" s="12" t="n">
        <v>897.3</v>
      </c>
      <c r="G680" s="12" t="n">
        <v>867.4</v>
      </c>
      <c r="H680" s="13" t="n">
        <v>0.0157</v>
      </c>
      <c r="I680" s="13" t="n">
        <v>0.008</v>
      </c>
    </row>
    <row r="681">
      <c r="A681" s="10" t="inlineStr">
        <is>
          <t>PJ-2023-I</t>
        </is>
      </c>
      <c r="B681" s="10" t="inlineStr">
        <is>
          <t>位置合わせ(MS学習値)</t>
        </is>
      </c>
      <c r="C681" s="10" t="inlineStr">
        <is>
          <t>2023-06</t>
        </is>
      </c>
      <c r="D681" s="10" t="n">
        <v>2</v>
      </c>
      <c r="E681" s="12" t="n">
        <v>2800.3</v>
      </c>
      <c r="F681" s="12" t="n">
        <v>1844.6</v>
      </c>
      <c r="G681" s="12" t="n">
        <v>955.7</v>
      </c>
      <c r="H681" s="13" t="n">
        <v>0.0407</v>
      </c>
      <c r="I681" s="13" t="n">
        <v>0.0244</v>
      </c>
    </row>
    <row r="682">
      <c r="A682" s="10" t="inlineStr">
        <is>
          <t>PJ-2023-I</t>
        </is>
      </c>
      <c r="B682" s="10" t="inlineStr">
        <is>
          <t>位置合わせ(MS学習値)</t>
        </is>
      </c>
      <c r="C682" s="10" t="inlineStr">
        <is>
          <t>2023-07</t>
        </is>
      </c>
      <c r="D682" s="10" t="n">
        <v>3</v>
      </c>
      <c r="E682" s="12" t="n">
        <v>3792.7</v>
      </c>
      <c r="F682" s="12" t="n">
        <v>2786</v>
      </c>
      <c r="G682" s="12" t="n">
        <v>1006.7</v>
      </c>
      <c r="H682" s="13" t="n">
        <v>0.0745</v>
      </c>
      <c r="I682" s="13" t="n">
        <v>0.0493</v>
      </c>
    </row>
    <row r="683">
      <c r="A683" s="10" t="inlineStr">
        <is>
          <t>PJ-2023-I</t>
        </is>
      </c>
      <c r="B683" s="10" t="inlineStr">
        <is>
          <t>位置合わせ(MS学習値)</t>
        </is>
      </c>
      <c r="C683" s="10" t="inlineStr">
        <is>
          <t>2023-08</t>
        </is>
      </c>
      <c r="D683" s="10" t="n">
        <v>4</v>
      </c>
      <c r="E683" s="12" t="n">
        <v>4297.1</v>
      </c>
      <c r="F683" s="12" t="n">
        <v>3638.2</v>
      </c>
      <c r="G683" s="12" t="n">
        <v>658.9</v>
      </c>
      <c r="H683" s="13" t="n">
        <v>0.1128</v>
      </c>
      <c r="I683" s="13" t="n">
        <v>0.08169999999999999</v>
      </c>
    </row>
    <row r="684">
      <c r="A684" s="10" t="inlineStr">
        <is>
          <t>PJ-2023-I</t>
        </is>
      </c>
      <c r="B684" s="10" t="inlineStr">
        <is>
          <t>位置合わせ(MS学習値)</t>
        </is>
      </c>
      <c r="C684" s="10" t="inlineStr">
        <is>
          <t>2023-09</t>
        </is>
      </c>
      <c r="D684" s="10" t="n">
        <v>5</v>
      </c>
      <c r="E684" s="12" t="n">
        <v>4890.5</v>
      </c>
      <c r="F684" s="12" t="n">
        <v>4442.8</v>
      </c>
      <c r="G684" s="12" t="n">
        <v>447.7</v>
      </c>
      <c r="H684" s="13" t="n">
        <v>0.1563</v>
      </c>
      <c r="I684" s="13" t="n">
        <v>0.1213</v>
      </c>
    </row>
    <row r="685">
      <c r="A685" s="10" t="inlineStr">
        <is>
          <t>PJ-2023-I</t>
        </is>
      </c>
      <c r="B685" s="10" t="inlineStr">
        <is>
          <t>位置合わせ(MS学習値)</t>
        </is>
      </c>
      <c r="C685" s="10" t="inlineStr">
        <is>
          <t>2023-10</t>
        </is>
      </c>
      <c r="D685" s="10" t="n">
        <v>6</v>
      </c>
      <c r="E685" s="12" t="n">
        <v>6186.3</v>
      </c>
      <c r="F685" s="12" t="n">
        <v>5217.6</v>
      </c>
      <c r="G685" s="12" t="n">
        <v>968.7</v>
      </c>
      <c r="H685" s="13" t="n">
        <v>0.2115</v>
      </c>
      <c r="I685" s="13" t="n">
        <v>0.1677</v>
      </c>
    </row>
    <row r="686">
      <c r="A686" s="10" t="inlineStr">
        <is>
          <t>PJ-2023-I</t>
        </is>
      </c>
      <c r="B686" s="10" t="inlineStr">
        <is>
          <t>位置合わせ(MS学習値)</t>
        </is>
      </c>
      <c r="C686" s="10" t="inlineStr">
        <is>
          <t>2023-11</t>
        </is>
      </c>
      <c r="D686" s="10" t="n">
        <v>7</v>
      </c>
      <c r="E686" s="12" t="n">
        <v>6827.1</v>
      </c>
      <c r="F686" s="12" t="n">
        <v>5604.6</v>
      </c>
      <c r="G686" s="12" t="n">
        <v>1222.5</v>
      </c>
      <c r="H686" s="13" t="n">
        <v>0.2723</v>
      </c>
      <c r="I686" s="13" t="n">
        <v>0.2177</v>
      </c>
    </row>
    <row r="687">
      <c r="A687" s="10" t="inlineStr">
        <is>
          <t>PJ-2023-I</t>
        </is>
      </c>
      <c r="B687" s="10" t="inlineStr">
        <is>
          <t>位置合わせ(MS学習値)</t>
        </is>
      </c>
      <c r="C687" s="10" t="inlineStr">
        <is>
          <t>2023-12</t>
        </is>
      </c>
      <c r="D687" s="10" t="n">
        <v>8</v>
      </c>
      <c r="E687" s="12" t="n">
        <v>8438.299999999999</v>
      </c>
      <c r="F687" s="12" t="n">
        <v>6856.5</v>
      </c>
      <c r="G687" s="12" t="n">
        <v>1581.8</v>
      </c>
      <c r="H687" s="13" t="n">
        <v>0.3475</v>
      </c>
      <c r="I687" s="13" t="n">
        <v>0.2788</v>
      </c>
    </row>
    <row r="688">
      <c r="A688" s="10" t="inlineStr">
        <is>
          <t>PJ-2023-I</t>
        </is>
      </c>
      <c r="B688" s="10" t="inlineStr">
        <is>
          <t>位置合わせ(MS学習値)</t>
        </is>
      </c>
      <c r="C688" s="10" t="inlineStr">
        <is>
          <t>2024-01</t>
        </is>
      </c>
      <c r="D688" s="10" t="n">
        <v>9</v>
      </c>
      <c r="E688" s="12" t="n">
        <v>10128.3</v>
      </c>
      <c r="F688" s="12" t="n">
        <v>9700.799999999999</v>
      </c>
      <c r="G688" s="12" t="n">
        <v>427.5</v>
      </c>
      <c r="H688" s="13" t="n">
        <v>0.4377</v>
      </c>
      <c r="I688" s="13" t="n">
        <v>0.3652</v>
      </c>
    </row>
    <row r="689">
      <c r="A689" s="10" t="inlineStr">
        <is>
          <t>PJ-2023-I</t>
        </is>
      </c>
      <c r="B689" s="10" t="inlineStr">
        <is>
          <t>位置合わせ(MS学習値)</t>
        </is>
      </c>
      <c r="C689" s="10" t="inlineStr">
        <is>
          <t>2024-02</t>
        </is>
      </c>
      <c r="D689" s="10" t="n">
        <v>10</v>
      </c>
      <c r="E689" s="12" t="n">
        <v>8582.299999999999</v>
      </c>
      <c r="F689" s="12" t="n">
        <v>10719</v>
      </c>
      <c r="G689" s="12" t="n">
        <v>-2136.7</v>
      </c>
      <c r="H689" s="13" t="n">
        <v>0.5142</v>
      </c>
      <c r="I689" s="13" t="n">
        <v>0.4607</v>
      </c>
    </row>
    <row r="690">
      <c r="A690" s="10" t="inlineStr">
        <is>
          <t>PJ-2023-I</t>
        </is>
      </c>
      <c r="B690" s="10" t="inlineStr">
        <is>
          <t>位置合わせ(MS学習値)</t>
        </is>
      </c>
      <c r="C690" s="10" t="inlineStr">
        <is>
          <t>2024-03</t>
        </is>
      </c>
      <c r="D690" s="10" t="n">
        <v>11</v>
      </c>
      <c r="E690" s="12" t="n">
        <v>8165</v>
      </c>
      <c r="F690" s="12" t="n">
        <v>9751</v>
      </c>
      <c r="G690" s="12" t="n">
        <v>-1586</v>
      </c>
      <c r="H690" s="13" t="n">
        <v>0.5869</v>
      </c>
      <c r="I690" s="13" t="n">
        <v>0.5476</v>
      </c>
    </row>
    <row r="691">
      <c r="A691" s="10" t="inlineStr">
        <is>
          <t>PJ-2023-I</t>
        </is>
      </c>
      <c r="B691" s="10" t="inlineStr">
        <is>
          <t>位置合わせ(MS学習値)</t>
        </is>
      </c>
      <c r="C691" s="10" t="inlineStr">
        <is>
          <t>2024-04</t>
        </is>
      </c>
      <c r="D691" s="10" t="n">
        <v>12</v>
      </c>
      <c r="E691" s="12" t="n">
        <v>7449.5</v>
      </c>
      <c r="F691" s="12" t="n">
        <v>9096.9</v>
      </c>
      <c r="G691" s="12" t="n">
        <v>-1647.4</v>
      </c>
      <c r="H691" s="13" t="n">
        <v>0.6533</v>
      </c>
      <c r="I691" s="13" t="n">
        <v>0.6287</v>
      </c>
    </row>
    <row r="692">
      <c r="A692" s="10" t="inlineStr">
        <is>
          <t>PJ-2023-I</t>
        </is>
      </c>
      <c r="B692" s="10" t="inlineStr">
        <is>
          <t>位置合わせ(MS学習値)</t>
        </is>
      </c>
      <c r="C692" s="10" t="inlineStr">
        <is>
          <t>2024-05</t>
        </is>
      </c>
      <c r="D692" s="10" t="n">
        <v>13</v>
      </c>
      <c r="E692" s="12" t="n">
        <v>8392.5</v>
      </c>
      <c r="F692" s="12" t="n">
        <v>10640.6</v>
      </c>
      <c r="G692" s="12" t="n">
        <v>-2248.1</v>
      </c>
      <c r="H692" s="13" t="n">
        <v>0.7281</v>
      </c>
      <c r="I692" s="13" t="n">
        <v>0.7235</v>
      </c>
    </row>
    <row r="693">
      <c r="A693" s="10" t="inlineStr">
        <is>
          <t>PJ-2023-I</t>
        </is>
      </c>
      <c r="B693" s="10" t="inlineStr">
        <is>
          <t>位置合わせ(MS学習値)</t>
        </is>
      </c>
      <c r="C693" s="10" t="inlineStr">
        <is>
          <t>2024-06</t>
        </is>
      </c>
      <c r="D693" s="10" t="n">
        <v>14</v>
      </c>
      <c r="E693" s="12" t="n">
        <v>9652</v>
      </c>
      <c r="F693" s="12" t="n">
        <v>11943.3</v>
      </c>
      <c r="G693" s="12" t="n">
        <v>-2291.3</v>
      </c>
      <c r="H693" s="13" t="n">
        <v>0.8141</v>
      </c>
      <c r="I693" s="13" t="n">
        <v>0.8299</v>
      </c>
    </row>
    <row r="694">
      <c r="A694" s="10" t="inlineStr">
        <is>
          <t>PJ-2023-I</t>
        </is>
      </c>
      <c r="B694" s="10" t="inlineStr">
        <is>
          <t>位置合わせ(MS学習値)</t>
        </is>
      </c>
      <c r="C694" s="10" t="inlineStr">
        <is>
          <t>2024-07</t>
        </is>
      </c>
      <c r="D694" s="10" t="n">
        <v>15</v>
      </c>
      <c r="E694" s="12" t="n">
        <v>9329.4</v>
      </c>
      <c r="F694" s="12" t="n">
        <v>7926.7</v>
      </c>
      <c r="G694" s="12" t="n">
        <v>1402.7</v>
      </c>
      <c r="H694" s="13" t="n">
        <v>0.8972</v>
      </c>
      <c r="I694" s="13" t="n">
        <v>0.9005</v>
      </c>
    </row>
    <row r="695">
      <c r="A695" s="10" t="inlineStr">
        <is>
          <t>PJ-2023-I</t>
        </is>
      </c>
      <c r="B695" s="10" t="inlineStr">
        <is>
          <t>位置合わせ(MS学習値)</t>
        </is>
      </c>
      <c r="C695" s="10" t="inlineStr">
        <is>
          <t>2024-08</t>
        </is>
      </c>
      <c r="D695" s="10" t="n">
        <v>16</v>
      </c>
      <c r="E695" s="12" t="n">
        <v>5834.3</v>
      </c>
      <c r="F695" s="12" t="n">
        <v>5057</v>
      </c>
      <c r="G695" s="12" t="n">
        <v>777.3</v>
      </c>
      <c r="H695" s="13" t="n">
        <v>0.9492</v>
      </c>
      <c r="I695" s="13" t="n">
        <v>0.9456</v>
      </c>
    </row>
    <row r="696">
      <c r="A696" s="10" t="inlineStr">
        <is>
          <t>PJ-2023-I</t>
        </is>
      </c>
      <c r="B696" s="10" t="inlineStr">
        <is>
          <t>位置合わせ(MS学習値)</t>
        </is>
      </c>
      <c r="C696" s="10" t="inlineStr">
        <is>
          <t>2024-09</t>
        </is>
      </c>
      <c r="D696" s="10" t="n">
        <v>17</v>
      </c>
      <c r="E696" s="12" t="n">
        <v>4088.7</v>
      </c>
      <c r="F696" s="12" t="n">
        <v>4543.8</v>
      </c>
      <c r="G696" s="12" t="n">
        <v>-455.1</v>
      </c>
      <c r="H696" s="13" t="n">
        <v>0.9856</v>
      </c>
      <c r="I696" s="13" t="n">
        <v>0.9861</v>
      </c>
    </row>
    <row r="697">
      <c r="A697" s="10" t="inlineStr">
        <is>
          <t>PJ-2023-I</t>
        </is>
      </c>
      <c r="B697" s="10" t="inlineStr">
        <is>
          <t>位置合わせ(MS学習値)</t>
        </is>
      </c>
      <c r="C697" s="10" t="inlineStr">
        <is>
          <t>2024-10</t>
        </is>
      </c>
      <c r="D697" s="10" t="n">
        <v>18</v>
      </c>
      <c r="E697" s="12" t="n">
        <v>1611.2</v>
      </c>
      <c r="F697" s="12" t="n">
        <v>1563.6</v>
      </c>
      <c r="G697" s="12" t="n">
        <v>47.6</v>
      </c>
      <c r="H697" s="13" t="n">
        <v>1</v>
      </c>
      <c r="I697" s="13" t="n">
        <v>1</v>
      </c>
    </row>
    <row r="698">
      <c r="A698" s="10" t="inlineStr">
        <is>
          <t>PJ-2023-I</t>
        </is>
      </c>
      <c r="B698" s="10" t="inlineStr">
        <is>
          <t>位置合わせ(MS指定)</t>
        </is>
      </c>
      <c r="C698" s="10" t="inlineStr">
        <is>
          <t>2023-05</t>
        </is>
      </c>
      <c r="D698" s="10" t="n">
        <v>1</v>
      </c>
      <c r="E698" s="12" t="n">
        <v>1668.2</v>
      </c>
      <c r="F698" s="12" t="n">
        <v>897.3</v>
      </c>
      <c r="G698" s="12" t="n">
        <v>770.9</v>
      </c>
      <c r="H698" s="13" t="n">
        <v>0.0149</v>
      </c>
      <c r="I698" s="13" t="n">
        <v>0.008</v>
      </c>
    </row>
    <row r="699">
      <c r="A699" s="10" t="inlineStr">
        <is>
          <t>PJ-2023-I</t>
        </is>
      </c>
      <c r="B699" s="10" t="inlineStr">
        <is>
          <t>位置合わせ(MS指定)</t>
        </is>
      </c>
      <c r="C699" s="10" t="inlineStr">
        <is>
          <t>2023-06</t>
        </is>
      </c>
      <c r="D699" s="10" t="n">
        <v>2</v>
      </c>
      <c r="E699" s="12" t="n">
        <v>2615.3</v>
      </c>
      <c r="F699" s="12" t="n">
        <v>1844.6</v>
      </c>
      <c r="G699" s="12" t="n">
        <v>770.7</v>
      </c>
      <c r="H699" s="13" t="n">
        <v>0.0382</v>
      </c>
      <c r="I699" s="13" t="n">
        <v>0.0244</v>
      </c>
    </row>
    <row r="700">
      <c r="A700" s="10" t="inlineStr">
        <is>
          <t>PJ-2023-I</t>
        </is>
      </c>
      <c r="B700" s="10" t="inlineStr">
        <is>
          <t>位置合わせ(MS指定)</t>
        </is>
      </c>
      <c r="C700" s="10" t="inlineStr">
        <is>
          <t>2023-07</t>
        </is>
      </c>
      <c r="D700" s="10" t="n">
        <v>3</v>
      </c>
      <c r="E700" s="12" t="n">
        <v>3558.4</v>
      </c>
      <c r="F700" s="12" t="n">
        <v>2786</v>
      </c>
      <c r="G700" s="12" t="n">
        <v>772.4</v>
      </c>
      <c r="H700" s="13" t="n">
        <v>0.0699</v>
      </c>
      <c r="I700" s="13" t="n">
        <v>0.0493</v>
      </c>
    </row>
    <row r="701">
      <c r="A701" s="10" t="inlineStr">
        <is>
          <t>PJ-2023-I</t>
        </is>
      </c>
      <c r="B701" s="10" t="inlineStr">
        <is>
          <t>位置合わせ(MS指定)</t>
        </is>
      </c>
      <c r="C701" s="10" t="inlineStr">
        <is>
          <t>2023-08</t>
        </is>
      </c>
      <c r="D701" s="10" t="n">
        <v>4</v>
      </c>
      <c r="E701" s="12" t="n">
        <v>4062.1</v>
      </c>
      <c r="F701" s="12" t="n">
        <v>3638.2</v>
      </c>
      <c r="G701" s="12" t="n">
        <v>423.9</v>
      </c>
      <c r="H701" s="13" t="n">
        <v>0.1061</v>
      </c>
      <c r="I701" s="13" t="n">
        <v>0.08169999999999999</v>
      </c>
    </row>
    <row r="702">
      <c r="A702" s="10" t="inlineStr">
        <is>
          <t>PJ-2023-I</t>
        </is>
      </c>
      <c r="B702" s="10" t="inlineStr">
        <is>
          <t>位置合わせ(MS指定)</t>
        </is>
      </c>
      <c r="C702" s="10" t="inlineStr">
        <is>
          <t>2023-09</t>
        </is>
      </c>
      <c r="D702" s="10" t="n">
        <v>5</v>
      </c>
      <c r="E702" s="12" t="n">
        <v>4473</v>
      </c>
      <c r="F702" s="12" t="n">
        <v>4442.8</v>
      </c>
      <c r="G702" s="12" t="n">
        <v>30.2</v>
      </c>
      <c r="H702" s="13" t="n">
        <v>0.1459</v>
      </c>
      <c r="I702" s="13" t="n">
        <v>0.1213</v>
      </c>
    </row>
    <row r="703">
      <c r="A703" s="10" t="inlineStr">
        <is>
          <t>PJ-2023-I</t>
        </is>
      </c>
      <c r="B703" s="10" t="inlineStr">
        <is>
          <t>位置合わせ(MS指定)</t>
        </is>
      </c>
      <c r="C703" s="10" t="inlineStr">
        <is>
          <t>2023-10</t>
        </is>
      </c>
      <c r="D703" s="10" t="n">
        <v>6</v>
      </c>
      <c r="E703" s="12" t="n">
        <v>5626.6</v>
      </c>
      <c r="F703" s="12" t="n">
        <v>5217.6</v>
      </c>
      <c r="G703" s="12" t="n">
        <v>409</v>
      </c>
      <c r="H703" s="13" t="n">
        <v>0.1961</v>
      </c>
      <c r="I703" s="13" t="n">
        <v>0.1677</v>
      </c>
    </row>
    <row r="704">
      <c r="A704" s="10" t="inlineStr">
        <is>
          <t>PJ-2023-I</t>
        </is>
      </c>
      <c r="B704" s="10" t="inlineStr">
        <is>
          <t>位置合わせ(MS指定)</t>
        </is>
      </c>
      <c r="C704" s="10" t="inlineStr">
        <is>
          <t>2023-11</t>
        </is>
      </c>
      <c r="D704" s="10" t="n">
        <v>7</v>
      </c>
      <c r="E704" s="12" t="n">
        <v>6409.1</v>
      </c>
      <c r="F704" s="12" t="n">
        <v>5604.6</v>
      </c>
      <c r="G704" s="12" t="n">
        <v>804.5</v>
      </c>
      <c r="H704" s="13" t="n">
        <v>0.2532</v>
      </c>
      <c r="I704" s="13" t="n">
        <v>0.2177</v>
      </c>
    </row>
    <row r="705">
      <c r="A705" s="10" t="inlineStr">
        <is>
          <t>PJ-2023-I</t>
        </is>
      </c>
      <c r="B705" s="10" t="inlineStr">
        <is>
          <t>位置合わせ(MS指定)</t>
        </is>
      </c>
      <c r="C705" s="10" t="inlineStr">
        <is>
          <t>2023-12</t>
        </is>
      </c>
      <c r="D705" s="10" t="n">
        <v>8</v>
      </c>
      <c r="E705" s="12" t="n">
        <v>7581.3</v>
      </c>
      <c r="F705" s="12" t="n">
        <v>6856.5</v>
      </c>
      <c r="G705" s="12" t="n">
        <v>724.8</v>
      </c>
      <c r="H705" s="13" t="n">
        <v>0.3207</v>
      </c>
      <c r="I705" s="13" t="n">
        <v>0.2788</v>
      </c>
    </row>
    <row r="706">
      <c r="A706" s="10" t="inlineStr">
        <is>
          <t>PJ-2023-I</t>
        </is>
      </c>
      <c r="B706" s="10" t="inlineStr">
        <is>
          <t>位置合わせ(MS指定)</t>
        </is>
      </c>
      <c r="C706" s="10" t="inlineStr">
        <is>
          <t>2024-01</t>
        </is>
      </c>
      <c r="D706" s="10" t="n">
        <v>9</v>
      </c>
      <c r="E706" s="12" t="n">
        <v>9231.6</v>
      </c>
      <c r="F706" s="12" t="n">
        <v>9700.799999999999</v>
      </c>
      <c r="G706" s="12" t="n">
        <v>-469.2</v>
      </c>
      <c r="H706" s="13" t="n">
        <v>0.403</v>
      </c>
      <c r="I706" s="13" t="n">
        <v>0.3652</v>
      </c>
    </row>
    <row r="707">
      <c r="A707" s="10" t="inlineStr">
        <is>
          <t>PJ-2023-I</t>
        </is>
      </c>
      <c r="B707" s="10" t="inlineStr">
        <is>
          <t>位置合わせ(MS指定)</t>
        </is>
      </c>
      <c r="C707" s="10" t="inlineStr">
        <is>
          <t>2024-02</t>
        </is>
      </c>
      <c r="D707" s="10" t="n">
        <v>10</v>
      </c>
      <c r="E707" s="12" t="n">
        <v>10187.3</v>
      </c>
      <c r="F707" s="12" t="n">
        <v>10719</v>
      </c>
      <c r="G707" s="12" t="n">
        <v>-531.7</v>
      </c>
      <c r="H707" s="13" t="n">
        <v>0.4937</v>
      </c>
      <c r="I707" s="13" t="n">
        <v>0.4607</v>
      </c>
    </row>
    <row r="708">
      <c r="A708" s="10" t="inlineStr">
        <is>
          <t>PJ-2023-I</t>
        </is>
      </c>
      <c r="B708" s="10" t="inlineStr">
        <is>
          <t>位置合わせ(MS指定)</t>
        </is>
      </c>
      <c r="C708" s="10" t="inlineStr">
        <is>
          <t>2024-03</t>
        </is>
      </c>
      <c r="D708" s="10" t="n">
        <v>11</v>
      </c>
      <c r="E708" s="12" t="n">
        <v>9850.299999999999</v>
      </c>
      <c r="F708" s="12" t="n">
        <v>9751</v>
      </c>
      <c r="G708" s="12" t="n">
        <v>99.3</v>
      </c>
      <c r="H708" s="13" t="n">
        <v>0.5815</v>
      </c>
      <c r="I708" s="13" t="n">
        <v>0.5476</v>
      </c>
    </row>
    <row r="709">
      <c r="A709" s="10" t="inlineStr">
        <is>
          <t>PJ-2023-I</t>
        </is>
      </c>
      <c r="B709" s="10" t="inlineStr">
        <is>
          <t>位置合わせ(MS指定)</t>
        </is>
      </c>
      <c r="C709" s="10" t="inlineStr">
        <is>
          <t>2024-04</t>
        </is>
      </c>
      <c r="D709" s="10" t="n">
        <v>12</v>
      </c>
      <c r="E709" s="12" t="n">
        <v>8826.200000000001</v>
      </c>
      <c r="F709" s="12" t="n">
        <v>9096.9</v>
      </c>
      <c r="G709" s="12" t="n">
        <v>-270.7</v>
      </c>
      <c r="H709" s="13" t="n">
        <v>0.6602</v>
      </c>
      <c r="I709" s="13" t="n">
        <v>0.6287</v>
      </c>
    </row>
    <row r="710">
      <c r="A710" s="10" t="inlineStr">
        <is>
          <t>PJ-2023-I</t>
        </is>
      </c>
      <c r="B710" s="10" t="inlineStr">
        <is>
          <t>位置合わせ(MS指定)</t>
        </is>
      </c>
      <c r="C710" s="10" t="inlineStr">
        <is>
          <t>2024-05</t>
        </is>
      </c>
      <c r="D710" s="10" t="n">
        <v>13</v>
      </c>
      <c r="E710" s="12" t="n">
        <v>10316.9</v>
      </c>
      <c r="F710" s="12" t="n">
        <v>10640.6</v>
      </c>
      <c r="G710" s="12" t="n">
        <v>-323.7</v>
      </c>
      <c r="H710" s="13" t="n">
        <v>0.7521</v>
      </c>
      <c r="I710" s="13" t="n">
        <v>0.7235</v>
      </c>
    </row>
    <row r="711">
      <c r="A711" s="10" t="inlineStr">
        <is>
          <t>PJ-2023-I</t>
        </is>
      </c>
      <c r="B711" s="10" t="inlineStr">
        <is>
          <t>位置合わせ(MS指定)</t>
        </is>
      </c>
      <c r="C711" s="10" t="inlineStr">
        <is>
          <t>2024-06</t>
        </is>
      </c>
      <c r="D711" s="10" t="n">
        <v>14</v>
      </c>
      <c r="E711" s="12" t="n">
        <v>10239</v>
      </c>
      <c r="F711" s="12" t="n">
        <v>11943.3</v>
      </c>
      <c r="G711" s="12" t="n">
        <v>-1704.3</v>
      </c>
      <c r="H711" s="13" t="n">
        <v>0.8433</v>
      </c>
      <c r="I711" s="13" t="n">
        <v>0.8299</v>
      </c>
    </row>
    <row r="712">
      <c r="A712" s="10" t="inlineStr">
        <is>
          <t>PJ-2023-I</t>
        </is>
      </c>
      <c r="B712" s="10" t="inlineStr">
        <is>
          <t>位置合わせ(MS指定)</t>
        </is>
      </c>
      <c r="C712" s="10" t="inlineStr">
        <is>
          <t>2024-07</t>
        </is>
      </c>
      <c r="D712" s="10" t="n">
        <v>15</v>
      </c>
      <c r="E712" s="12" t="n">
        <v>7493.7</v>
      </c>
      <c r="F712" s="12" t="n">
        <v>7926.7</v>
      </c>
      <c r="G712" s="12" t="n">
        <v>-433</v>
      </c>
      <c r="H712" s="13" t="n">
        <v>0.9101</v>
      </c>
      <c r="I712" s="13" t="n">
        <v>0.9005</v>
      </c>
    </row>
    <row r="713">
      <c r="A713" s="10" t="inlineStr">
        <is>
          <t>PJ-2023-I</t>
        </is>
      </c>
      <c r="B713" s="10" t="inlineStr">
        <is>
          <t>位置合わせ(MS指定)</t>
        </is>
      </c>
      <c r="C713" s="10" t="inlineStr">
        <is>
          <t>2024-08</t>
        </is>
      </c>
      <c r="D713" s="10" t="n">
        <v>16</v>
      </c>
      <c r="E713" s="12" t="n">
        <v>5012.7</v>
      </c>
      <c r="F713" s="12" t="n">
        <v>5057</v>
      </c>
      <c r="G713" s="12" t="n">
        <v>-44.3</v>
      </c>
      <c r="H713" s="13" t="n">
        <v>0.9547</v>
      </c>
      <c r="I713" s="13" t="n">
        <v>0.9456</v>
      </c>
    </row>
    <row r="714">
      <c r="A714" s="10" t="inlineStr">
        <is>
          <t>PJ-2023-I</t>
        </is>
      </c>
      <c r="B714" s="10" t="inlineStr">
        <is>
          <t>位置合わせ(MS指定)</t>
        </is>
      </c>
      <c r="C714" s="10" t="inlineStr">
        <is>
          <t>2024-09</t>
        </is>
      </c>
      <c r="D714" s="10" t="n">
        <v>17</v>
      </c>
      <c r="E714" s="12" t="n">
        <v>3639.3</v>
      </c>
      <c r="F714" s="12" t="n">
        <v>4543.8</v>
      </c>
      <c r="G714" s="12" t="n">
        <v>-904.5</v>
      </c>
      <c r="H714" s="13" t="n">
        <v>0.9872</v>
      </c>
      <c r="I714" s="13" t="n">
        <v>0.9861</v>
      </c>
    </row>
    <row r="715">
      <c r="A715" s="10" t="inlineStr">
        <is>
          <t>PJ-2023-I</t>
        </is>
      </c>
      <c r="B715" s="10" t="inlineStr">
        <is>
          <t>位置合わせ(MS指定)</t>
        </is>
      </c>
      <c r="C715" s="10" t="inlineStr">
        <is>
          <t>2024-10</t>
        </is>
      </c>
      <c r="D715" s="10" t="n">
        <v>18</v>
      </c>
      <c r="E715" s="12" t="n">
        <v>1439.3</v>
      </c>
      <c r="F715" s="12" t="n">
        <v>1563.6</v>
      </c>
      <c r="G715" s="12" t="n">
        <v>-124.3</v>
      </c>
      <c r="H715" s="13" t="n">
        <v>1</v>
      </c>
      <c r="I715" s="13" t="n">
        <v>1</v>
      </c>
    </row>
    <row r="716">
      <c r="A716" s="10" t="inlineStr">
        <is>
          <t>PJ-2024-J</t>
        </is>
      </c>
      <c r="B716" s="10" t="inlineStr">
        <is>
          <t>素朴版</t>
        </is>
      </c>
      <c r="C716" s="10" t="inlineStr">
        <is>
          <t>2024-01</t>
        </is>
      </c>
      <c r="D716" s="10" t="n">
        <v>1</v>
      </c>
      <c r="E716" s="12" t="n">
        <v>2711.2</v>
      </c>
      <c r="F716" s="12" t="n">
        <v>4489.5</v>
      </c>
      <c r="G716" s="12" t="n">
        <v>-1778.3</v>
      </c>
      <c r="H716" s="13" t="n">
        <v>0.0077</v>
      </c>
      <c r="I716" s="13" t="n">
        <v>0.0128</v>
      </c>
    </row>
    <row r="717">
      <c r="A717" s="10" t="inlineStr">
        <is>
          <t>PJ-2024-J</t>
        </is>
      </c>
      <c r="B717" s="10" t="inlineStr">
        <is>
          <t>素朴版</t>
        </is>
      </c>
      <c r="C717" s="10" t="inlineStr">
        <is>
          <t>2024-02</t>
        </is>
      </c>
      <c r="D717" s="10" t="n">
        <v>2</v>
      </c>
      <c r="E717" s="12" t="n">
        <v>3410.1</v>
      </c>
      <c r="F717" s="12" t="n">
        <v>6100.7</v>
      </c>
      <c r="G717" s="12" t="n">
        <v>-2690.6</v>
      </c>
      <c r="H717" s="13" t="n">
        <v>0.0175</v>
      </c>
      <c r="I717" s="13" t="n">
        <v>0.0302</v>
      </c>
    </row>
    <row r="718">
      <c r="A718" s="10" t="inlineStr">
        <is>
          <t>PJ-2024-J</t>
        </is>
      </c>
      <c r="B718" s="10" t="inlineStr">
        <is>
          <t>素朴版</t>
        </is>
      </c>
      <c r="C718" s="10" t="inlineStr">
        <is>
          <t>2024-03</t>
        </is>
      </c>
      <c r="D718" s="10" t="n">
        <v>3</v>
      </c>
      <c r="E718" s="12" t="n">
        <v>5126.4</v>
      </c>
      <c r="F718" s="12" t="n">
        <v>8607.700000000001</v>
      </c>
      <c r="G718" s="12" t="n">
        <v>-3481.3</v>
      </c>
      <c r="H718" s="13" t="n">
        <v>0.0321</v>
      </c>
      <c r="I718" s="13" t="n">
        <v>0.0548</v>
      </c>
    </row>
    <row r="719">
      <c r="A719" s="10" t="inlineStr">
        <is>
          <t>PJ-2024-J</t>
        </is>
      </c>
      <c r="B719" s="10" t="inlineStr">
        <is>
          <t>素朴版</t>
        </is>
      </c>
      <c r="C719" s="10" t="inlineStr">
        <is>
          <t>2024-04</t>
        </is>
      </c>
      <c r="D719" s="10" t="n">
        <v>4</v>
      </c>
      <c r="E719" s="12" t="n">
        <v>5813.9</v>
      </c>
      <c r="F719" s="12" t="n">
        <v>10292.4</v>
      </c>
      <c r="G719" s="12" t="n">
        <v>-4478.5</v>
      </c>
      <c r="H719" s="13" t="n">
        <v>0.0487</v>
      </c>
      <c r="I719" s="13" t="n">
        <v>0.0842</v>
      </c>
    </row>
    <row r="720">
      <c r="A720" s="10" t="inlineStr">
        <is>
          <t>PJ-2024-J</t>
        </is>
      </c>
      <c r="B720" s="10" t="inlineStr">
        <is>
          <t>素朴版</t>
        </is>
      </c>
      <c r="C720" s="10" t="inlineStr">
        <is>
          <t>2024-05</t>
        </is>
      </c>
      <c r="D720" s="10" t="n">
        <v>5</v>
      </c>
      <c r="E720" s="12" t="n">
        <v>6976.8</v>
      </c>
      <c r="F720" s="12" t="n">
        <v>11948.7</v>
      </c>
      <c r="G720" s="12" t="n">
        <v>-4971.9</v>
      </c>
      <c r="H720" s="13" t="n">
        <v>0.06859999999999999</v>
      </c>
      <c r="I720" s="13" t="n">
        <v>0.1183</v>
      </c>
    </row>
    <row r="721">
      <c r="A721" s="10" t="inlineStr">
        <is>
          <t>PJ-2024-J</t>
        </is>
      </c>
      <c r="B721" s="10" t="inlineStr">
        <is>
          <t>素朴版</t>
        </is>
      </c>
      <c r="C721" s="10" t="inlineStr">
        <is>
          <t>2024-06</t>
        </is>
      </c>
      <c r="D721" s="10" t="n">
        <v>6</v>
      </c>
      <c r="E721" s="12" t="n">
        <v>7435.9</v>
      </c>
      <c r="F721" s="12" t="n">
        <v>9158.200000000001</v>
      </c>
      <c r="G721" s="12" t="n">
        <v>-1722.3</v>
      </c>
      <c r="H721" s="13" t="n">
        <v>0.0898</v>
      </c>
      <c r="I721" s="13" t="n">
        <v>0.1444</v>
      </c>
    </row>
    <row r="722">
      <c r="A722" s="10" t="inlineStr">
        <is>
          <t>PJ-2024-J</t>
        </is>
      </c>
      <c r="B722" s="10" t="inlineStr">
        <is>
          <t>素朴版</t>
        </is>
      </c>
      <c r="C722" s="10" t="inlineStr">
        <is>
          <t>2024-07</t>
        </is>
      </c>
      <c r="D722" s="10" t="n">
        <v>7</v>
      </c>
      <c r="E722" s="12" t="n">
        <v>9065.6</v>
      </c>
      <c r="F722" s="12" t="n">
        <v>9297.5</v>
      </c>
      <c r="G722" s="12" t="n">
        <v>-231.9</v>
      </c>
      <c r="H722" s="13" t="n">
        <v>0.1157</v>
      </c>
      <c r="I722" s="13" t="n">
        <v>0.1709</v>
      </c>
    </row>
    <row r="723">
      <c r="A723" s="10" t="inlineStr">
        <is>
          <t>PJ-2024-J</t>
        </is>
      </c>
      <c r="B723" s="10" t="inlineStr">
        <is>
          <t>素朴版</t>
        </is>
      </c>
      <c r="C723" s="10" t="inlineStr">
        <is>
          <t>2024-08</t>
        </is>
      </c>
      <c r="D723" s="10" t="n">
        <v>8</v>
      </c>
      <c r="E723" s="12" t="n">
        <v>9924.799999999999</v>
      </c>
      <c r="F723" s="12" t="n">
        <v>9926</v>
      </c>
      <c r="G723" s="12" t="n">
        <v>-1.2</v>
      </c>
      <c r="H723" s="13" t="n">
        <v>0.144</v>
      </c>
      <c r="I723" s="13" t="n">
        <v>0.1993</v>
      </c>
    </row>
    <row r="724">
      <c r="A724" s="10" t="inlineStr">
        <is>
          <t>PJ-2024-J</t>
        </is>
      </c>
      <c r="B724" s="10" t="inlineStr">
        <is>
          <t>素朴版</t>
        </is>
      </c>
      <c r="C724" s="10" t="inlineStr">
        <is>
          <t>2024-09</t>
        </is>
      </c>
      <c r="D724" s="10" t="n">
        <v>9</v>
      </c>
      <c r="E724" s="12" t="n">
        <v>10884</v>
      </c>
      <c r="F724" s="12" t="n">
        <v>10867.6</v>
      </c>
      <c r="G724" s="12" t="n">
        <v>16.4</v>
      </c>
      <c r="H724" s="13" t="n">
        <v>0.1751</v>
      </c>
      <c r="I724" s="13" t="n">
        <v>0.2303</v>
      </c>
    </row>
    <row r="725">
      <c r="A725" s="10" t="inlineStr">
        <is>
          <t>PJ-2024-J</t>
        </is>
      </c>
      <c r="B725" s="10" t="inlineStr">
        <is>
          <t>素朴版</t>
        </is>
      </c>
      <c r="C725" s="10" t="inlineStr">
        <is>
          <t>2024-10</t>
        </is>
      </c>
      <c r="D725" s="10" t="n">
        <v>10</v>
      </c>
      <c r="E725" s="12" t="n">
        <v>12662.9</v>
      </c>
      <c r="F725" s="12" t="n">
        <v>10865.8</v>
      </c>
      <c r="G725" s="12" t="n">
        <v>1797.1</v>
      </c>
      <c r="H725" s="13" t="n">
        <v>0.2112</v>
      </c>
      <c r="I725" s="13" t="n">
        <v>0.2613</v>
      </c>
    </row>
    <row r="726">
      <c r="A726" s="10" t="inlineStr">
        <is>
          <t>PJ-2024-J</t>
        </is>
      </c>
      <c r="B726" s="10" t="inlineStr">
        <is>
          <t>素朴版</t>
        </is>
      </c>
      <c r="C726" s="10" t="inlineStr">
        <is>
          <t>2024-11</t>
        </is>
      </c>
      <c r="D726" s="10" t="n">
        <v>11</v>
      </c>
      <c r="E726" s="12" t="n">
        <v>13768.8</v>
      </c>
      <c r="F726" s="12" t="n">
        <v>11495.6</v>
      </c>
      <c r="G726" s="12" t="n">
        <v>2273.2</v>
      </c>
      <c r="H726" s="13" t="n">
        <v>0.2505</v>
      </c>
      <c r="I726" s="13" t="n">
        <v>0.2941</v>
      </c>
    </row>
    <row r="727">
      <c r="A727" s="10" t="inlineStr">
        <is>
          <t>PJ-2024-J</t>
        </is>
      </c>
      <c r="B727" s="10" t="inlineStr">
        <is>
          <t>素朴版</t>
        </is>
      </c>
      <c r="C727" s="10" t="inlineStr">
        <is>
          <t>2024-12</t>
        </is>
      </c>
      <c r="D727" s="10" t="n">
        <v>12</v>
      </c>
      <c r="E727" s="12" t="n">
        <v>15445.2</v>
      </c>
      <c r="F727" s="12" t="n">
        <v>12483.2</v>
      </c>
      <c r="G727" s="12" t="n">
        <v>2962</v>
      </c>
      <c r="H727" s="13" t="n">
        <v>0.2946</v>
      </c>
      <c r="I727" s="13" t="n">
        <v>0.3297</v>
      </c>
    </row>
    <row r="728">
      <c r="A728" s="10" t="inlineStr">
        <is>
          <t>PJ-2024-J</t>
        </is>
      </c>
      <c r="B728" s="10" t="inlineStr">
        <is>
          <t>素朴版</t>
        </is>
      </c>
      <c r="C728" s="10" t="inlineStr">
        <is>
          <t>2025-01</t>
        </is>
      </c>
      <c r="D728" s="10" t="n">
        <v>13</v>
      </c>
      <c r="E728" s="12" t="n">
        <v>16167.8</v>
      </c>
      <c r="F728" s="12" t="n">
        <v>13853.1</v>
      </c>
      <c r="G728" s="12" t="n">
        <v>2314.7</v>
      </c>
      <c r="H728" s="13" t="n">
        <v>0.3408</v>
      </c>
      <c r="I728" s="13" t="n">
        <v>0.3693</v>
      </c>
    </row>
    <row r="729">
      <c r="A729" s="10" t="inlineStr">
        <is>
          <t>PJ-2024-J</t>
        </is>
      </c>
      <c r="B729" s="10" t="inlineStr">
        <is>
          <t>素朴版</t>
        </is>
      </c>
      <c r="C729" s="10" t="inlineStr">
        <is>
          <t>2025-02</t>
        </is>
      </c>
      <c r="D729" s="10" t="n">
        <v>14</v>
      </c>
      <c r="E729" s="12" t="n">
        <v>14496.3</v>
      </c>
      <c r="F729" s="12" t="n">
        <v>14544.1</v>
      </c>
      <c r="G729" s="12" t="n">
        <v>-47.8</v>
      </c>
      <c r="H729" s="13" t="n">
        <v>0.3821</v>
      </c>
      <c r="I729" s="13" t="n">
        <v>0.4108</v>
      </c>
    </row>
    <row r="730">
      <c r="A730" s="10" t="inlineStr">
        <is>
          <t>PJ-2024-J</t>
        </is>
      </c>
      <c r="B730" s="10" t="inlineStr">
        <is>
          <t>素朴版</t>
        </is>
      </c>
      <c r="C730" s="10" t="inlineStr">
        <is>
          <t>2025-03</t>
        </is>
      </c>
      <c r="D730" s="10" t="n">
        <v>15</v>
      </c>
      <c r="E730" s="12" t="n">
        <v>14264</v>
      </c>
      <c r="F730" s="12" t="n">
        <v>18361.8</v>
      </c>
      <c r="G730" s="12" t="n">
        <v>-4097.8</v>
      </c>
      <c r="H730" s="13" t="n">
        <v>0.4228</v>
      </c>
      <c r="I730" s="13" t="n">
        <v>0.4632</v>
      </c>
    </row>
    <row r="731">
      <c r="A731" s="10" t="inlineStr">
        <is>
          <t>PJ-2024-J</t>
        </is>
      </c>
      <c r="B731" s="10" t="inlineStr">
        <is>
          <t>素朴版</t>
        </is>
      </c>
      <c r="C731" s="10" t="inlineStr">
        <is>
          <t>2025-04</t>
        </is>
      </c>
      <c r="D731" s="10" t="n">
        <v>16</v>
      </c>
      <c r="E731" s="12" t="n">
        <v>14113.2</v>
      </c>
      <c r="F731" s="12" t="n">
        <v>16095.1</v>
      </c>
      <c r="G731" s="12" t="n">
        <v>-1981.9</v>
      </c>
      <c r="H731" s="13" t="n">
        <v>0.4631</v>
      </c>
      <c r="I731" s="13" t="n">
        <v>0.5091</v>
      </c>
    </row>
    <row r="732">
      <c r="A732" s="10" t="inlineStr">
        <is>
          <t>PJ-2024-J</t>
        </is>
      </c>
      <c r="B732" s="10" t="inlineStr">
        <is>
          <t>素朴版</t>
        </is>
      </c>
      <c r="C732" s="10" t="inlineStr">
        <is>
          <t>2025-05</t>
        </is>
      </c>
      <c r="D732" s="10" t="n">
        <v>17</v>
      </c>
      <c r="E732" s="12" t="n">
        <v>14609.3</v>
      </c>
      <c r="F732" s="12" t="n">
        <v>15678.6</v>
      </c>
      <c r="G732" s="12" t="n">
        <v>-1069.3</v>
      </c>
      <c r="H732" s="13" t="n">
        <v>0.5048</v>
      </c>
      <c r="I732" s="13" t="n">
        <v>0.5538999999999999</v>
      </c>
    </row>
    <row r="733">
      <c r="A733" s="10" t="inlineStr">
        <is>
          <t>PJ-2024-J</t>
        </is>
      </c>
      <c r="B733" s="10" t="inlineStr">
        <is>
          <t>素朴版</t>
        </is>
      </c>
      <c r="C733" s="10" t="inlineStr">
        <is>
          <t>2025-06</t>
        </is>
      </c>
      <c r="D733" s="10" t="n">
        <v>18</v>
      </c>
      <c r="E733" s="12" t="n">
        <v>14212.5</v>
      </c>
      <c r="F733" s="12" t="n">
        <v>13600.9</v>
      </c>
      <c r="G733" s="12" t="n">
        <v>611.6</v>
      </c>
      <c r="H733" s="13" t="n">
        <v>0.5454</v>
      </c>
      <c r="I733" s="13" t="n">
        <v>0.5927</v>
      </c>
    </row>
    <row r="734">
      <c r="A734" s="10" t="inlineStr">
        <is>
          <t>PJ-2024-J</t>
        </is>
      </c>
      <c r="B734" s="10" t="inlineStr">
        <is>
          <t>素朴版</t>
        </is>
      </c>
      <c r="C734" s="10" t="inlineStr">
        <is>
          <t>2025-07</t>
        </is>
      </c>
      <c r="D734" s="10" t="n">
        <v>19</v>
      </c>
      <c r="E734" s="12" t="n">
        <v>16967</v>
      </c>
      <c r="F734" s="12" t="n">
        <v>13183.3</v>
      </c>
      <c r="G734" s="12" t="n">
        <v>3783.7</v>
      </c>
      <c r="H734" s="13" t="n">
        <v>0.5938</v>
      </c>
      <c r="I734" s="13" t="n">
        <v>0.6303</v>
      </c>
    </row>
    <row r="735">
      <c r="A735" s="10" t="inlineStr">
        <is>
          <t>PJ-2024-J</t>
        </is>
      </c>
      <c r="B735" s="10" t="inlineStr">
        <is>
          <t>素朴版</t>
        </is>
      </c>
      <c r="C735" s="10" t="inlineStr">
        <is>
          <t>2025-08</t>
        </is>
      </c>
      <c r="D735" s="10" t="n">
        <v>20</v>
      </c>
      <c r="E735" s="12" t="n">
        <v>17489.6</v>
      </c>
      <c r="F735" s="12" t="n">
        <v>13004.8</v>
      </c>
      <c r="G735" s="12" t="n">
        <v>4484.8</v>
      </c>
      <c r="H735" s="13" t="n">
        <v>0.6437</v>
      </c>
      <c r="I735" s="13" t="n">
        <v>0.6674</v>
      </c>
    </row>
    <row r="736">
      <c r="A736" s="10" t="inlineStr">
        <is>
          <t>PJ-2024-J</t>
        </is>
      </c>
      <c r="B736" s="10" t="inlineStr">
        <is>
          <t>素朴版</t>
        </is>
      </c>
      <c r="C736" s="10" t="inlineStr">
        <is>
          <t>2025-09</t>
        </is>
      </c>
      <c r="D736" s="10" t="n">
        <v>21</v>
      </c>
      <c r="E736" s="12" t="n">
        <v>17402.4</v>
      </c>
      <c r="F736" s="12" t="n">
        <v>12743.9</v>
      </c>
      <c r="G736" s="12" t="n">
        <v>4658.5</v>
      </c>
      <c r="H736" s="13" t="n">
        <v>0.6934</v>
      </c>
      <c r="I736" s="13" t="n">
        <v>0.7038</v>
      </c>
    </row>
    <row r="737">
      <c r="A737" s="10" t="inlineStr">
        <is>
          <t>PJ-2024-J</t>
        </is>
      </c>
      <c r="B737" s="10" t="inlineStr">
        <is>
          <t>素朴版</t>
        </is>
      </c>
      <c r="C737" s="10" t="inlineStr">
        <is>
          <t>2025-10</t>
        </is>
      </c>
      <c r="D737" s="10" t="n">
        <v>22</v>
      </c>
      <c r="E737" s="12" t="n">
        <v>18510</v>
      </c>
      <c r="F737" s="12" t="n">
        <v>15487.1</v>
      </c>
      <c r="G737" s="12" t="n">
        <v>3022.9</v>
      </c>
      <c r="H737" s="13" t="n">
        <v>0.7462</v>
      </c>
      <c r="I737" s="13" t="n">
        <v>0.748</v>
      </c>
    </row>
    <row r="738">
      <c r="A738" s="10" t="inlineStr">
        <is>
          <t>PJ-2024-J</t>
        </is>
      </c>
      <c r="B738" s="10" t="inlineStr">
        <is>
          <t>素朴版</t>
        </is>
      </c>
      <c r="C738" s="10" t="inlineStr">
        <is>
          <t>2025-11</t>
        </is>
      </c>
      <c r="D738" s="10" t="n">
        <v>23</v>
      </c>
      <c r="E738" s="12" t="n">
        <v>18411.2</v>
      </c>
      <c r="F738" s="12" t="n">
        <v>16728.5</v>
      </c>
      <c r="G738" s="12" t="n">
        <v>1682.7</v>
      </c>
      <c r="H738" s="13" t="n">
        <v>0.7988</v>
      </c>
      <c r="I738" s="13" t="n">
        <v>0.7958</v>
      </c>
    </row>
    <row r="739">
      <c r="A739" s="10" t="inlineStr">
        <is>
          <t>PJ-2024-J</t>
        </is>
      </c>
      <c r="B739" s="10" t="inlineStr">
        <is>
          <t>素朴版</t>
        </is>
      </c>
      <c r="C739" s="10" t="inlineStr">
        <is>
          <t>2025-12</t>
        </is>
      </c>
      <c r="D739" s="10" t="n">
        <v>24</v>
      </c>
      <c r="E739" s="12" t="n">
        <v>17896.1</v>
      </c>
      <c r="F739" s="12" t="n">
        <v>21202</v>
      </c>
      <c r="G739" s="12" t="n">
        <v>-3305.9</v>
      </c>
      <c r="H739" s="13" t="n">
        <v>0.8499</v>
      </c>
      <c r="I739" s="13" t="n">
        <v>0.8563</v>
      </c>
    </row>
    <row r="740">
      <c r="A740" s="10" t="inlineStr">
        <is>
          <t>PJ-2024-J</t>
        </is>
      </c>
      <c r="B740" s="10" t="inlineStr">
        <is>
          <t>素朴版</t>
        </is>
      </c>
      <c r="C740" s="10" t="inlineStr">
        <is>
          <t>2026-01</t>
        </is>
      </c>
      <c r="D740" s="10" t="n">
        <v>25</v>
      </c>
      <c r="E740" s="12" t="n">
        <v>14839.7</v>
      </c>
      <c r="F740" s="12" t="n">
        <v>17262.7</v>
      </c>
      <c r="G740" s="12" t="n">
        <v>-2423</v>
      </c>
      <c r="H740" s="13" t="n">
        <v>0.8922</v>
      </c>
      <c r="I740" s="13" t="n">
        <v>0.9055</v>
      </c>
    </row>
    <row r="741">
      <c r="A741" s="10" t="inlineStr">
        <is>
          <t>PJ-2024-J</t>
        </is>
      </c>
      <c r="B741" s="10" t="inlineStr">
        <is>
          <t>素朴版</t>
        </is>
      </c>
      <c r="C741" s="10" t="inlineStr">
        <is>
          <t>2026-02</t>
        </is>
      </c>
      <c r="D741" s="10" t="n">
        <v>26</v>
      </c>
      <c r="E741" s="12" t="n">
        <v>11473.3</v>
      </c>
      <c r="F741" s="12" t="n">
        <v>11569.2</v>
      </c>
      <c r="G741" s="12" t="n">
        <v>-95.90000000000001</v>
      </c>
      <c r="H741" s="13" t="n">
        <v>0.925</v>
      </c>
      <c r="I741" s="13" t="n">
        <v>0.9386</v>
      </c>
    </row>
    <row r="742">
      <c r="A742" s="10" t="inlineStr">
        <is>
          <t>PJ-2024-J</t>
        </is>
      </c>
      <c r="B742" s="10" t="inlineStr">
        <is>
          <t>素朴版</t>
        </is>
      </c>
      <c r="C742" s="10" t="inlineStr">
        <is>
          <t>2026-03</t>
        </is>
      </c>
      <c r="D742" s="10" t="n">
        <v>27</v>
      </c>
      <c r="E742" s="12" t="n">
        <v>10103</v>
      </c>
      <c r="F742" s="12" t="n">
        <v>9648.200000000001</v>
      </c>
      <c r="G742" s="12" t="n">
        <v>454.8</v>
      </c>
      <c r="H742" s="13" t="n">
        <v>0.9538</v>
      </c>
      <c r="I742" s="13" t="n">
        <v>0.9661</v>
      </c>
    </row>
    <row r="743">
      <c r="A743" s="10" t="inlineStr">
        <is>
          <t>PJ-2024-J</t>
        </is>
      </c>
      <c r="B743" s="10" t="inlineStr">
        <is>
          <t>素朴版</t>
        </is>
      </c>
      <c r="C743" s="10" t="inlineStr">
        <is>
          <t>2026-04</t>
        </is>
      </c>
      <c r="D743" s="10" t="n">
        <v>28</v>
      </c>
      <c r="E743" s="12" t="n">
        <v>8109.7</v>
      </c>
      <c r="F743" s="12" t="n">
        <v>6702.7</v>
      </c>
      <c r="G743" s="12" t="n">
        <v>1407</v>
      </c>
      <c r="H743" s="13" t="n">
        <v>0.9769</v>
      </c>
      <c r="I743" s="13" t="n">
        <v>0.9852</v>
      </c>
    </row>
    <row r="744">
      <c r="A744" s="10" t="inlineStr">
        <is>
          <t>PJ-2024-J</t>
        </is>
      </c>
      <c r="B744" s="10" t="inlineStr">
        <is>
          <t>素朴版</t>
        </is>
      </c>
      <c r="C744" s="10" t="inlineStr">
        <is>
          <t>2026-05</t>
        </is>
      </c>
      <c r="D744" s="10" t="n">
        <v>29</v>
      </c>
      <c r="E744" s="12" t="n">
        <v>5470.3</v>
      </c>
      <c r="F744" s="12" t="n">
        <v>3973.5</v>
      </c>
      <c r="G744" s="12" t="n">
        <v>1496.8</v>
      </c>
      <c r="H744" s="13" t="n">
        <v>0.9925</v>
      </c>
      <c r="I744" s="13" t="n">
        <v>0.9966</v>
      </c>
    </row>
    <row r="745">
      <c r="A745" s="10" t="inlineStr">
        <is>
          <t>PJ-2024-J</t>
        </is>
      </c>
      <c r="B745" s="10" t="inlineStr">
        <is>
          <t>素朴版</t>
        </is>
      </c>
      <c r="C745" s="10" t="inlineStr">
        <is>
          <t>2026-06</t>
        </is>
      </c>
      <c r="D745" s="10" t="n">
        <v>30</v>
      </c>
      <c r="E745" s="12" t="n">
        <v>2611.1</v>
      </c>
      <c r="F745" s="12" t="n">
        <v>1199.5</v>
      </c>
      <c r="G745" s="12" t="n">
        <v>1411.6</v>
      </c>
      <c r="H745" s="13" t="n">
        <v>1</v>
      </c>
      <c r="I745" s="13" t="n">
        <v>1</v>
      </c>
    </row>
    <row r="746">
      <c r="A746" s="10" t="inlineStr">
        <is>
          <t>PJ-2024-J</t>
        </is>
      </c>
      <c r="B746" s="10" t="inlineStr">
        <is>
          <t>位置合わせ(MS学習値)</t>
        </is>
      </c>
      <c r="C746" s="10" t="inlineStr">
        <is>
          <t>2024-01</t>
        </is>
      </c>
      <c r="D746" s="10" t="n">
        <v>1</v>
      </c>
      <c r="E746" s="12" t="n">
        <v>2646.7</v>
      </c>
      <c r="F746" s="12" t="n">
        <v>4489.5</v>
      </c>
      <c r="G746" s="12" t="n">
        <v>-1842.8</v>
      </c>
      <c r="H746" s="13" t="n">
        <v>0.0076</v>
      </c>
      <c r="I746" s="13" t="n">
        <v>0.0128</v>
      </c>
    </row>
    <row r="747">
      <c r="A747" s="10" t="inlineStr">
        <is>
          <t>PJ-2024-J</t>
        </is>
      </c>
      <c r="B747" s="10" t="inlineStr">
        <is>
          <t>位置合わせ(MS学習値)</t>
        </is>
      </c>
      <c r="C747" s="10" t="inlineStr">
        <is>
          <t>2024-02</t>
        </is>
      </c>
      <c r="D747" s="10" t="n">
        <v>2</v>
      </c>
      <c r="E747" s="12" t="n">
        <v>3322</v>
      </c>
      <c r="F747" s="12" t="n">
        <v>6100.7</v>
      </c>
      <c r="G747" s="12" t="n">
        <v>-2778.7</v>
      </c>
      <c r="H747" s="13" t="n">
        <v>0.017</v>
      </c>
      <c r="I747" s="13" t="n">
        <v>0.0302</v>
      </c>
    </row>
    <row r="748">
      <c r="A748" s="10" t="inlineStr">
        <is>
          <t>PJ-2024-J</t>
        </is>
      </c>
      <c r="B748" s="10" t="inlineStr">
        <is>
          <t>位置合わせ(MS学習値)</t>
        </is>
      </c>
      <c r="C748" s="10" t="inlineStr">
        <is>
          <t>2024-03</t>
        </is>
      </c>
      <c r="D748" s="10" t="n">
        <v>3</v>
      </c>
      <c r="E748" s="12" t="n">
        <v>4997.5</v>
      </c>
      <c r="F748" s="12" t="n">
        <v>8607.700000000001</v>
      </c>
      <c r="G748" s="12" t="n">
        <v>-3610.2</v>
      </c>
      <c r="H748" s="13" t="n">
        <v>0.0313</v>
      </c>
      <c r="I748" s="13" t="n">
        <v>0.0548</v>
      </c>
    </row>
    <row r="749">
      <c r="A749" s="10" t="inlineStr">
        <is>
          <t>PJ-2024-J</t>
        </is>
      </c>
      <c r="B749" s="10" t="inlineStr">
        <is>
          <t>位置合わせ(MS学習値)</t>
        </is>
      </c>
      <c r="C749" s="10" t="inlineStr">
        <is>
          <t>2024-04</t>
        </is>
      </c>
      <c r="D749" s="10" t="n">
        <v>4</v>
      </c>
      <c r="E749" s="12" t="n">
        <v>5622.1</v>
      </c>
      <c r="F749" s="12" t="n">
        <v>10292.4</v>
      </c>
      <c r="G749" s="12" t="n">
        <v>-4670.3</v>
      </c>
      <c r="H749" s="13" t="n">
        <v>0.0473</v>
      </c>
      <c r="I749" s="13" t="n">
        <v>0.0842</v>
      </c>
    </row>
    <row r="750">
      <c r="A750" s="10" t="inlineStr">
        <is>
          <t>PJ-2024-J</t>
        </is>
      </c>
      <c r="B750" s="10" t="inlineStr">
        <is>
          <t>位置合わせ(MS学習値)</t>
        </is>
      </c>
      <c r="C750" s="10" t="inlineStr">
        <is>
          <t>2024-05</t>
        </is>
      </c>
      <c r="D750" s="10" t="n">
        <v>5</v>
      </c>
      <c r="E750" s="12" t="n">
        <v>6782.7</v>
      </c>
      <c r="F750" s="12" t="n">
        <v>11948.7</v>
      </c>
      <c r="G750" s="12" t="n">
        <v>-5166</v>
      </c>
      <c r="H750" s="13" t="n">
        <v>0.0667</v>
      </c>
      <c r="I750" s="13" t="n">
        <v>0.1183</v>
      </c>
    </row>
    <row r="751">
      <c r="A751" s="10" t="inlineStr">
        <is>
          <t>PJ-2024-J</t>
        </is>
      </c>
      <c r="B751" s="10" t="inlineStr">
        <is>
          <t>位置合わせ(MS学習値)</t>
        </is>
      </c>
      <c r="C751" s="10" t="inlineStr">
        <is>
          <t>2024-06</t>
        </is>
      </c>
      <c r="D751" s="10" t="n">
        <v>6</v>
      </c>
      <c r="E751" s="12" t="n">
        <v>7351.7</v>
      </c>
      <c r="F751" s="12" t="n">
        <v>9158.200000000001</v>
      </c>
      <c r="G751" s="12" t="n">
        <v>-1806.5</v>
      </c>
      <c r="H751" s="13" t="n">
        <v>0.0877</v>
      </c>
      <c r="I751" s="13" t="n">
        <v>0.1444</v>
      </c>
    </row>
    <row r="752">
      <c r="A752" s="10" t="inlineStr">
        <is>
          <t>PJ-2024-J</t>
        </is>
      </c>
      <c r="B752" s="10" t="inlineStr">
        <is>
          <t>位置合わせ(MS学習値)</t>
        </is>
      </c>
      <c r="C752" s="10" t="inlineStr">
        <is>
          <t>2024-07</t>
        </is>
      </c>
      <c r="D752" s="10" t="n">
        <v>7</v>
      </c>
      <c r="E752" s="12" t="n">
        <v>8162.5</v>
      </c>
      <c r="F752" s="12" t="n">
        <v>9297.5</v>
      </c>
      <c r="G752" s="12" t="n">
        <v>-1135</v>
      </c>
      <c r="H752" s="13" t="n">
        <v>0.111</v>
      </c>
      <c r="I752" s="13" t="n">
        <v>0.1709</v>
      </c>
    </row>
    <row r="753">
      <c r="A753" s="10" t="inlineStr">
        <is>
          <t>PJ-2024-J</t>
        </is>
      </c>
      <c r="B753" s="10" t="inlineStr">
        <is>
          <t>位置合わせ(MS学習値)</t>
        </is>
      </c>
      <c r="C753" s="10" t="inlineStr">
        <is>
          <t>2024-08</t>
        </is>
      </c>
      <c r="D753" s="10" t="n">
        <v>8</v>
      </c>
      <c r="E753" s="12" t="n">
        <v>9233.700000000001</v>
      </c>
      <c r="F753" s="12" t="n">
        <v>9926</v>
      </c>
      <c r="G753" s="12" t="n">
        <v>-692.3</v>
      </c>
      <c r="H753" s="13" t="n">
        <v>0.1373</v>
      </c>
      <c r="I753" s="13" t="n">
        <v>0.1993</v>
      </c>
    </row>
    <row r="754">
      <c r="A754" s="10" t="inlineStr">
        <is>
          <t>PJ-2024-J</t>
        </is>
      </c>
      <c r="B754" s="10" t="inlineStr">
        <is>
          <t>位置合わせ(MS学習値)</t>
        </is>
      </c>
      <c r="C754" s="10" t="inlineStr">
        <is>
          <t>2024-09</t>
        </is>
      </c>
      <c r="D754" s="10" t="n">
        <v>9</v>
      </c>
      <c r="E754" s="12" t="n">
        <v>10235</v>
      </c>
      <c r="F754" s="12" t="n">
        <v>10867.6</v>
      </c>
      <c r="G754" s="12" t="n">
        <v>-632.6</v>
      </c>
      <c r="H754" s="13" t="n">
        <v>0.1665</v>
      </c>
      <c r="I754" s="13" t="n">
        <v>0.2303</v>
      </c>
    </row>
    <row r="755">
      <c r="A755" s="10" t="inlineStr">
        <is>
          <t>PJ-2024-J</t>
        </is>
      </c>
      <c r="B755" s="10" t="inlineStr">
        <is>
          <t>位置合わせ(MS学習値)</t>
        </is>
      </c>
      <c r="C755" s="10" t="inlineStr">
        <is>
          <t>2024-10</t>
        </is>
      </c>
      <c r="D755" s="10" t="n">
        <v>10</v>
      </c>
      <c r="E755" s="12" t="n">
        <v>11818.8</v>
      </c>
      <c r="F755" s="12" t="n">
        <v>10865.8</v>
      </c>
      <c r="G755" s="12" t="n">
        <v>953</v>
      </c>
      <c r="H755" s="13" t="n">
        <v>0.2003</v>
      </c>
      <c r="I755" s="13" t="n">
        <v>0.2613</v>
      </c>
    </row>
    <row r="756">
      <c r="A756" s="10" t="inlineStr">
        <is>
          <t>PJ-2024-J</t>
        </is>
      </c>
      <c r="B756" s="10" t="inlineStr">
        <is>
          <t>位置合わせ(MS学習値)</t>
        </is>
      </c>
      <c r="C756" s="10" t="inlineStr">
        <is>
          <t>2024-11</t>
        </is>
      </c>
      <c r="D756" s="10" t="n">
        <v>11</v>
      </c>
      <c r="E756" s="12" t="n">
        <v>12488.3</v>
      </c>
      <c r="F756" s="12" t="n">
        <v>11495.6</v>
      </c>
      <c r="G756" s="12" t="n">
        <v>992.7</v>
      </c>
      <c r="H756" s="13" t="n">
        <v>0.2359</v>
      </c>
      <c r="I756" s="13" t="n">
        <v>0.2941</v>
      </c>
    </row>
    <row r="757">
      <c r="A757" s="10" t="inlineStr">
        <is>
          <t>PJ-2024-J</t>
        </is>
      </c>
      <c r="B757" s="10" t="inlineStr">
        <is>
          <t>位置合わせ(MS学習値)</t>
        </is>
      </c>
      <c r="C757" s="10" t="inlineStr">
        <is>
          <t>2024-12</t>
        </is>
      </c>
      <c r="D757" s="10" t="n">
        <v>12</v>
      </c>
      <c r="E757" s="12" t="n">
        <v>13863.7</v>
      </c>
      <c r="F757" s="12" t="n">
        <v>12483.2</v>
      </c>
      <c r="G757" s="12" t="n">
        <v>1380.5</v>
      </c>
      <c r="H757" s="13" t="n">
        <v>0.2755</v>
      </c>
      <c r="I757" s="13" t="n">
        <v>0.3297</v>
      </c>
    </row>
    <row r="758">
      <c r="A758" s="10" t="inlineStr">
        <is>
          <t>PJ-2024-J</t>
        </is>
      </c>
      <c r="B758" s="10" t="inlineStr">
        <is>
          <t>位置合わせ(MS学習値)</t>
        </is>
      </c>
      <c r="C758" s="10" t="inlineStr">
        <is>
          <t>2025-01</t>
        </is>
      </c>
      <c r="D758" s="10" t="n">
        <v>13</v>
      </c>
      <c r="E758" s="12" t="n">
        <v>15869.7</v>
      </c>
      <c r="F758" s="12" t="n">
        <v>13853.1</v>
      </c>
      <c r="G758" s="12" t="n">
        <v>2016.6</v>
      </c>
      <c r="H758" s="13" t="n">
        <v>0.3208</v>
      </c>
      <c r="I758" s="13" t="n">
        <v>0.3693</v>
      </c>
    </row>
    <row r="759">
      <c r="A759" s="10" t="inlineStr">
        <is>
          <t>PJ-2024-J</t>
        </is>
      </c>
      <c r="B759" s="10" t="inlineStr">
        <is>
          <t>位置合わせ(MS学習値)</t>
        </is>
      </c>
      <c r="C759" s="10" t="inlineStr">
        <is>
          <t>2025-02</t>
        </is>
      </c>
      <c r="D759" s="10" t="n">
        <v>14</v>
      </c>
      <c r="E759" s="12" t="n">
        <v>16341.6</v>
      </c>
      <c r="F759" s="12" t="n">
        <v>14544.1</v>
      </c>
      <c r="G759" s="12" t="n">
        <v>1797.5</v>
      </c>
      <c r="H759" s="13" t="n">
        <v>0.3674</v>
      </c>
      <c r="I759" s="13" t="n">
        <v>0.4108</v>
      </c>
    </row>
    <row r="760">
      <c r="A760" s="10" t="inlineStr">
        <is>
          <t>PJ-2024-J</t>
        </is>
      </c>
      <c r="B760" s="10" t="inlineStr">
        <is>
          <t>位置合わせ(MS学習値)</t>
        </is>
      </c>
      <c r="C760" s="10" t="inlineStr">
        <is>
          <t>2025-03</t>
        </is>
      </c>
      <c r="D760" s="10" t="n">
        <v>15</v>
      </c>
      <c r="E760" s="12" t="n">
        <v>19412.8</v>
      </c>
      <c r="F760" s="12" t="n">
        <v>18361.8</v>
      </c>
      <c r="G760" s="12" t="n">
        <v>1051</v>
      </c>
      <c r="H760" s="13" t="n">
        <v>0.4228</v>
      </c>
      <c r="I760" s="13" t="n">
        <v>0.4632</v>
      </c>
    </row>
    <row r="761">
      <c r="A761" s="10" t="inlineStr">
        <is>
          <t>PJ-2024-J</t>
        </is>
      </c>
      <c r="B761" s="10" t="inlineStr">
        <is>
          <t>位置合わせ(MS学習値)</t>
        </is>
      </c>
      <c r="C761" s="10" t="inlineStr">
        <is>
          <t>2025-04</t>
        </is>
      </c>
      <c r="D761" s="10" t="n">
        <v>16</v>
      </c>
      <c r="E761" s="12" t="n">
        <v>18011.5</v>
      </c>
      <c r="F761" s="12" t="n">
        <v>16095.1</v>
      </c>
      <c r="G761" s="12" t="n">
        <v>1916.4</v>
      </c>
      <c r="H761" s="13" t="n">
        <v>0.4742</v>
      </c>
      <c r="I761" s="13" t="n">
        <v>0.5091</v>
      </c>
    </row>
    <row r="762">
      <c r="A762" s="10" t="inlineStr">
        <is>
          <t>PJ-2024-J</t>
        </is>
      </c>
      <c r="B762" s="10" t="inlineStr">
        <is>
          <t>位置合わせ(MS学習値)</t>
        </is>
      </c>
      <c r="C762" s="10" t="inlineStr">
        <is>
          <t>2025-05</t>
        </is>
      </c>
      <c r="D762" s="10" t="n">
        <v>17</v>
      </c>
      <c r="E762" s="12" t="n">
        <v>16987.2</v>
      </c>
      <c r="F762" s="12" t="n">
        <v>15678.6</v>
      </c>
      <c r="G762" s="12" t="n">
        <v>1308.6</v>
      </c>
      <c r="H762" s="13" t="n">
        <v>0.5227000000000001</v>
      </c>
      <c r="I762" s="13" t="n">
        <v>0.5538999999999999</v>
      </c>
    </row>
    <row r="763">
      <c r="A763" s="10" t="inlineStr">
        <is>
          <t>PJ-2024-J</t>
        </is>
      </c>
      <c r="B763" s="10" t="inlineStr">
        <is>
          <t>位置合わせ(MS学習値)</t>
        </is>
      </c>
      <c r="C763" s="10" t="inlineStr">
        <is>
          <t>2025-06</t>
        </is>
      </c>
      <c r="D763" s="10" t="n">
        <v>18</v>
      </c>
      <c r="E763" s="12" t="n">
        <v>15286.1</v>
      </c>
      <c r="F763" s="12" t="n">
        <v>13600.9</v>
      </c>
      <c r="G763" s="12" t="n">
        <v>1685.2</v>
      </c>
      <c r="H763" s="13" t="n">
        <v>0.5664</v>
      </c>
      <c r="I763" s="13" t="n">
        <v>0.5927</v>
      </c>
    </row>
    <row r="764">
      <c r="A764" s="10" t="inlineStr">
        <is>
          <t>PJ-2024-J</t>
        </is>
      </c>
      <c r="B764" s="10" t="inlineStr">
        <is>
          <t>位置合わせ(MS学習値)</t>
        </is>
      </c>
      <c r="C764" s="10" t="inlineStr">
        <is>
          <t>2025-07</t>
        </is>
      </c>
      <c r="D764" s="10" t="n">
        <v>19</v>
      </c>
      <c r="E764" s="12" t="n">
        <v>14871.2</v>
      </c>
      <c r="F764" s="12" t="n">
        <v>13183.3</v>
      </c>
      <c r="G764" s="12" t="n">
        <v>1687.9</v>
      </c>
      <c r="H764" s="13" t="n">
        <v>0.6088</v>
      </c>
      <c r="I764" s="13" t="n">
        <v>0.6303</v>
      </c>
    </row>
    <row r="765">
      <c r="A765" s="10" t="inlineStr">
        <is>
          <t>PJ-2024-J</t>
        </is>
      </c>
      <c r="B765" s="10" t="inlineStr">
        <is>
          <t>位置合わせ(MS学習値)</t>
        </is>
      </c>
      <c r="C765" s="10" t="inlineStr">
        <is>
          <t>2025-08</t>
        </is>
      </c>
      <c r="D765" s="10" t="n">
        <v>20</v>
      </c>
      <c r="E765" s="12" t="n">
        <v>14898.7</v>
      </c>
      <c r="F765" s="12" t="n">
        <v>13004.8</v>
      </c>
      <c r="G765" s="12" t="n">
        <v>1893.9</v>
      </c>
      <c r="H765" s="13" t="n">
        <v>0.6513</v>
      </c>
      <c r="I765" s="13" t="n">
        <v>0.6674</v>
      </c>
    </row>
    <row r="766">
      <c r="A766" s="10" t="inlineStr">
        <is>
          <t>PJ-2024-J</t>
        </is>
      </c>
      <c r="B766" s="10" t="inlineStr">
        <is>
          <t>位置合わせ(MS学習値)</t>
        </is>
      </c>
      <c r="C766" s="10" t="inlineStr">
        <is>
          <t>2025-09</t>
        </is>
      </c>
      <c r="D766" s="10" t="n">
        <v>21</v>
      </c>
      <c r="E766" s="12" t="n">
        <v>15534.8</v>
      </c>
      <c r="F766" s="12" t="n">
        <v>12743.9</v>
      </c>
      <c r="G766" s="12" t="n">
        <v>2790.9</v>
      </c>
      <c r="H766" s="13" t="n">
        <v>0.6957</v>
      </c>
      <c r="I766" s="13" t="n">
        <v>0.7038</v>
      </c>
    </row>
    <row r="767">
      <c r="A767" s="10" t="inlineStr">
        <is>
          <t>PJ-2024-J</t>
        </is>
      </c>
      <c r="B767" s="10" t="inlineStr">
        <is>
          <t>位置合わせ(MS学習値)</t>
        </is>
      </c>
      <c r="C767" s="10" t="inlineStr">
        <is>
          <t>2025-10</t>
        </is>
      </c>
      <c r="D767" s="10" t="n">
        <v>22</v>
      </c>
      <c r="E767" s="12" t="n">
        <v>17631.1</v>
      </c>
      <c r="F767" s="12" t="n">
        <v>15487.1</v>
      </c>
      <c r="G767" s="12" t="n">
        <v>2144</v>
      </c>
      <c r="H767" s="13" t="n">
        <v>0.746</v>
      </c>
      <c r="I767" s="13" t="n">
        <v>0.748</v>
      </c>
    </row>
    <row r="768">
      <c r="A768" s="10" t="inlineStr">
        <is>
          <t>PJ-2024-J</t>
        </is>
      </c>
      <c r="B768" s="10" t="inlineStr">
        <is>
          <t>位置合わせ(MS学習値)</t>
        </is>
      </c>
      <c r="C768" s="10" t="inlineStr">
        <is>
          <t>2025-11</t>
        </is>
      </c>
      <c r="D768" s="10" t="n">
        <v>23</v>
      </c>
      <c r="E768" s="12" t="n">
        <v>18876.5</v>
      </c>
      <c r="F768" s="12" t="n">
        <v>16728.5</v>
      </c>
      <c r="G768" s="12" t="n">
        <v>2148</v>
      </c>
      <c r="H768" s="13" t="n">
        <v>0.7999000000000001</v>
      </c>
      <c r="I768" s="13" t="n">
        <v>0.7958</v>
      </c>
    </row>
    <row r="769">
      <c r="A769" s="10" t="inlineStr">
        <is>
          <t>PJ-2024-J</t>
        </is>
      </c>
      <c r="B769" s="10" t="inlineStr">
        <is>
          <t>位置合わせ(MS学習値)</t>
        </is>
      </c>
      <c r="C769" s="10" t="inlineStr">
        <is>
          <t>2025-12</t>
        </is>
      </c>
      <c r="D769" s="10" t="n">
        <v>24</v>
      </c>
      <c r="E769" s="12" t="n">
        <v>19368.5</v>
      </c>
      <c r="F769" s="12" t="n">
        <v>21202</v>
      </c>
      <c r="G769" s="12" t="n">
        <v>-1833.5</v>
      </c>
      <c r="H769" s="13" t="n">
        <v>0.8551</v>
      </c>
      <c r="I769" s="13" t="n">
        <v>0.8563</v>
      </c>
    </row>
    <row r="770">
      <c r="A770" s="10" t="inlineStr">
        <is>
          <t>PJ-2024-J</t>
        </is>
      </c>
      <c r="B770" s="10" t="inlineStr">
        <is>
          <t>位置合わせ(MS学習値)</t>
        </is>
      </c>
      <c r="C770" s="10" t="inlineStr">
        <is>
          <t>2026-01</t>
        </is>
      </c>
      <c r="D770" s="10" t="n">
        <v>25</v>
      </c>
      <c r="E770" s="12" t="n">
        <v>15384.4</v>
      </c>
      <c r="F770" s="12" t="n">
        <v>17262.7</v>
      </c>
      <c r="G770" s="12" t="n">
        <v>-1878.3</v>
      </c>
      <c r="H770" s="13" t="n">
        <v>0.899</v>
      </c>
      <c r="I770" s="13" t="n">
        <v>0.9055</v>
      </c>
    </row>
    <row r="771">
      <c r="A771" s="10" t="inlineStr">
        <is>
          <t>PJ-2024-J</t>
        </is>
      </c>
      <c r="B771" s="10" t="inlineStr">
        <is>
          <t>位置合わせ(MS学習値)</t>
        </is>
      </c>
      <c r="C771" s="10" t="inlineStr">
        <is>
          <t>2026-02</t>
        </is>
      </c>
      <c r="D771" s="10" t="n">
        <v>26</v>
      </c>
      <c r="E771" s="12" t="n">
        <v>10279.3</v>
      </c>
      <c r="F771" s="12" t="n">
        <v>11569.2</v>
      </c>
      <c r="G771" s="12" t="n">
        <v>-1289.9</v>
      </c>
      <c r="H771" s="13" t="n">
        <v>0.9284</v>
      </c>
      <c r="I771" s="13" t="n">
        <v>0.9386</v>
      </c>
    </row>
    <row r="772">
      <c r="A772" s="10" t="inlineStr">
        <is>
          <t>PJ-2024-J</t>
        </is>
      </c>
      <c r="B772" s="10" t="inlineStr">
        <is>
          <t>位置合わせ(MS学習値)</t>
        </is>
      </c>
      <c r="C772" s="10" t="inlineStr">
        <is>
          <t>2026-03</t>
        </is>
      </c>
      <c r="D772" s="10" t="n">
        <v>27</v>
      </c>
      <c r="E772" s="12" t="n">
        <v>9633.700000000001</v>
      </c>
      <c r="F772" s="12" t="n">
        <v>9648.200000000001</v>
      </c>
      <c r="G772" s="12" t="n">
        <v>-14.5</v>
      </c>
      <c r="H772" s="13" t="n">
        <v>0.9559</v>
      </c>
      <c r="I772" s="13" t="n">
        <v>0.9661</v>
      </c>
    </row>
    <row r="773">
      <c r="A773" s="10" t="inlineStr">
        <is>
          <t>PJ-2024-J</t>
        </is>
      </c>
      <c r="B773" s="10" t="inlineStr">
        <is>
          <t>位置合わせ(MS学習値)</t>
        </is>
      </c>
      <c r="C773" s="10" t="inlineStr">
        <is>
          <t>2026-04</t>
        </is>
      </c>
      <c r="D773" s="10" t="n">
        <v>28</v>
      </c>
      <c r="E773" s="12" t="n">
        <v>8066.3</v>
      </c>
      <c r="F773" s="12" t="n">
        <v>6702.7</v>
      </c>
      <c r="G773" s="12" t="n">
        <v>1363.6</v>
      </c>
      <c r="H773" s="13" t="n">
        <v>0.9789</v>
      </c>
      <c r="I773" s="13" t="n">
        <v>0.9852</v>
      </c>
    </row>
    <row r="774">
      <c r="A774" s="10" t="inlineStr">
        <is>
          <t>PJ-2024-J</t>
        </is>
      </c>
      <c r="B774" s="10" t="inlineStr">
        <is>
          <t>位置合わせ(MS学習値)</t>
        </is>
      </c>
      <c r="C774" s="10" t="inlineStr">
        <is>
          <t>2026-05</t>
        </is>
      </c>
      <c r="D774" s="10" t="n">
        <v>29</v>
      </c>
      <c r="E774" s="12" t="n">
        <v>5008.8</v>
      </c>
      <c r="F774" s="12" t="n">
        <v>3973.5</v>
      </c>
      <c r="G774" s="12" t="n">
        <v>1035.3</v>
      </c>
      <c r="H774" s="13" t="n">
        <v>0.9932</v>
      </c>
      <c r="I774" s="13" t="n">
        <v>0.9966</v>
      </c>
    </row>
    <row r="775">
      <c r="A775" s="10" t="inlineStr">
        <is>
          <t>PJ-2024-J</t>
        </is>
      </c>
      <c r="B775" s="10" t="inlineStr">
        <is>
          <t>位置合わせ(MS学習値)</t>
        </is>
      </c>
      <c r="C775" s="10" t="inlineStr">
        <is>
          <t>2026-06</t>
        </is>
      </c>
      <c r="D775" s="10" t="n">
        <v>30</v>
      </c>
      <c r="E775" s="12" t="n">
        <v>2384.9</v>
      </c>
      <c r="F775" s="12" t="n">
        <v>1199.5</v>
      </c>
      <c r="G775" s="12" t="n">
        <v>1185.4</v>
      </c>
      <c r="H775" s="13" t="n">
        <v>1</v>
      </c>
      <c r="I775" s="13" t="n">
        <v>1</v>
      </c>
    </row>
    <row r="776">
      <c r="A776" s="10" t="inlineStr">
        <is>
          <t>PJ-2024-J</t>
        </is>
      </c>
      <c r="B776" s="10" t="inlineStr">
        <is>
          <t>位置合わせ(MS指定)</t>
        </is>
      </c>
      <c r="C776" s="10" t="inlineStr">
        <is>
          <t>2024-01</t>
        </is>
      </c>
      <c r="D776" s="10" t="n">
        <v>1</v>
      </c>
      <c r="E776" s="12" t="n">
        <v>2711.5</v>
      </c>
      <c r="F776" s="12" t="n">
        <v>4489.5</v>
      </c>
      <c r="G776" s="12" t="n">
        <v>-1778</v>
      </c>
      <c r="H776" s="13" t="n">
        <v>0.0077</v>
      </c>
      <c r="I776" s="13" t="n">
        <v>0.0128</v>
      </c>
    </row>
    <row r="777">
      <c r="A777" s="10" t="inlineStr">
        <is>
          <t>PJ-2024-J</t>
        </is>
      </c>
      <c r="B777" s="10" t="inlineStr">
        <is>
          <t>位置合わせ(MS指定)</t>
        </is>
      </c>
      <c r="C777" s="10" t="inlineStr">
        <is>
          <t>2024-02</t>
        </is>
      </c>
      <c r="D777" s="10" t="n">
        <v>2</v>
      </c>
      <c r="E777" s="12" t="n">
        <v>3440.7</v>
      </c>
      <c r="F777" s="12" t="n">
        <v>6100.7</v>
      </c>
      <c r="G777" s="12" t="n">
        <v>-2660</v>
      </c>
      <c r="H777" s="13" t="n">
        <v>0.0176</v>
      </c>
      <c r="I777" s="13" t="n">
        <v>0.0302</v>
      </c>
    </row>
    <row r="778">
      <c r="A778" s="10" t="inlineStr">
        <is>
          <t>PJ-2024-J</t>
        </is>
      </c>
      <c r="B778" s="10" t="inlineStr">
        <is>
          <t>位置合わせ(MS指定)</t>
        </is>
      </c>
      <c r="C778" s="10" t="inlineStr">
        <is>
          <t>2024-03</t>
        </is>
      </c>
      <c r="D778" s="10" t="n">
        <v>3</v>
      </c>
      <c r="E778" s="12" t="n">
        <v>5146.7</v>
      </c>
      <c r="F778" s="12" t="n">
        <v>8607.700000000001</v>
      </c>
      <c r="G778" s="12" t="n">
        <v>-3461</v>
      </c>
      <c r="H778" s="13" t="n">
        <v>0.0322</v>
      </c>
      <c r="I778" s="13" t="n">
        <v>0.0548</v>
      </c>
    </row>
    <row r="779">
      <c r="A779" s="10" t="inlineStr">
        <is>
          <t>PJ-2024-J</t>
        </is>
      </c>
      <c r="B779" s="10" t="inlineStr">
        <is>
          <t>位置合わせ(MS指定)</t>
        </is>
      </c>
      <c r="C779" s="10" t="inlineStr">
        <is>
          <t>2024-04</t>
        </is>
      </c>
      <c r="D779" s="10" t="n">
        <v>4</v>
      </c>
      <c r="E779" s="12" t="n">
        <v>5866.1</v>
      </c>
      <c r="F779" s="12" t="n">
        <v>10292.4</v>
      </c>
      <c r="G779" s="12" t="n">
        <v>-4426.3</v>
      </c>
      <c r="H779" s="13" t="n">
        <v>0.049</v>
      </c>
      <c r="I779" s="13" t="n">
        <v>0.0842</v>
      </c>
    </row>
    <row r="780">
      <c r="A780" s="10" t="inlineStr">
        <is>
          <t>PJ-2024-J</t>
        </is>
      </c>
      <c r="B780" s="10" t="inlineStr">
        <is>
          <t>位置合わせ(MS指定)</t>
        </is>
      </c>
      <c r="C780" s="10" t="inlineStr">
        <is>
          <t>2024-05</t>
        </is>
      </c>
      <c r="D780" s="10" t="n">
        <v>5</v>
      </c>
      <c r="E780" s="12" t="n">
        <v>7013</v>
      </c>
      <c r="F780" s="12" t="n">
        <v>11948.7</v>
      </c>
      <c r="G780" s="12" t="n">
        <v>-4935.7</v>
      </c>
      <c r="H780" s="13" t="n">
        <v>0.06900000000000001</v>
      </c>
      <c r="I780" s="13" t="n">
        <v>0.1183</v>
      </c>
    </row>
    <row r="781">
      <c r="A781" s="10" t="inlineStr">
        <is>
          <t>PJ-2024-J</t>
        </is>
      </c>
      <c r="B781" s="10" t="inlineStr">
        <is>
          <t>位置合わせ(MS指定)</t>
        </is>
      </c>
      <c r="C781" s="10" t="inlineStr">
        <is>
          <t>2024-06</t>
        </is>
      </c>
      <c r="D781" s="10" t="n">
        <v>6</v>
      </c>
      <c r="E781" s="12" t="n">
        <v>7525.8</v>
      </c>
      <c r="F781" s="12" t="n">
        <v>9158.200000000001</v>
      </c>
      <c r="G781" s="12" t="n">
        <v>-1632.4</v>
      </c>
      <c r="H781" s="13" t="n">
        <v>0.0905</v>
      </c>
      <c r="I781" s="13" t="n">
        <v>0.1444</v>
      </c>
    </row>
    <row r="782">
      <c r="A782" s="10" t="inlineStr">
        <is>
          <t>PJ-2024-J</t>
        </is>
      </c>
      <c r="B782" s="10" t="inlineStr">
        <is>
          <t>位置合わせ(MS指定)</t>
        </is>
      </c>
      <c r="C782" s="10" t="inlineStr">
        <is>
          <t>2024-07</t>
        </is>
      </c>
      <c r="D782" s="10" t="n">
        <v>7</v>
      </c>
      <c r="E782" s="12" t="n">
        <v>8485.4</v>
      </c>
      <c r="F782" s="12" t="n">
        <v>9297.5</v>
      </c>
      <c r="G782" s="12" t="n">
        <v>-812.1</v>
      </c>
      <c r="H782" s="13" t="n">
        <v>0.1147</v>
      </c>
      <c r="I782" s="13" t="n">
        <v>0.1709</v>
      </c>
    </row>
    <row r="783">
      <c r="A783" s="10" t="inlineStr">
        <is>
          <t>PJ-2024-J</t>
        </is>
      </c>
      <c r="B783" s="10" t="inlineStr">
        <is>
          <t>位置合わせ(MS指定)</t>
        </is>
      </c>
      <c r="C783" s="10" t="inlineStr">
        <is>
          <t>2024-08</t>
        </is>
      </c>
      <c r="D783" s="10" t="n">
        <v>8</v>
      </c>
      <c r="E783" s="12" t="n">
        <v>9616.9</v>
      </c>
      <c r="F783" s="12" t="n">
        <v>9926</v>
      </c>
      <c r="G783" s="12" t="n">
        <v>-309.1</v>
      </c>
      <c r="H783" s="13" t="n">
        <v>0.1422</v>
      </c>
      <c r="I783" s="13" t="n">
        <v>0.1993</v>
      </c>
    </row>
    <row r="784">
      <c r="A784" s="10" t="inlineStr">
        <is>
          <t>PJ-2024-J</t>
        </is>
      </c>
      <c r="B784" s="10" t="inlineStr">
        <is>
          <t>位置合わせ(MS指定)</t>
        </is>
      </c>
      <c r="C784" s="10" t="inlineStr">
        <is>
          <t>2024-09</t>
        </is>
      </c>
      <c r="D784" s="10" t="n">
        <v>9</v>
      </c>
      <c r="E784" s="12" t="n">
        <v>10667.4</v>
      </c>
      <c r="F784" s="12" t="n">
        <v>10867.6</v>
      </c>
      <c r="G784" s="12" t="n">
        <v>-200.2</v>
      </c>
      <c r="H784" s="13" t="n">
        <v>0.1726</v>
      </c>
      <c r="I784" s="13" t="n">
        <v>0.2303</v>
      </c>
    </row>
    <row r="785">
      <c r="A785" s="10" t="inlineStr">
        <is>
          <t>PJ-2024-J</t>
        </is>
      </c>
      <c r="B785" s="10" t="inlineStr">
        <is>
          <t>位置合わせ(MS指定)</t>
        </is>
      </c>
      <c r="C785" s="10" t="inlineStr">
        <is>
          <t>2024-10</t>
        </is>
      </c>
      <c r="D785" s="10" t="n">
        <v>10</v>
      </c>
      <c r="E785" s="12" t="n">
        <v>12417.3</v>
      </c>
      <c r="F785" s="12" t="n">
        <v>10865.8</v>
      </c>
      <c r="G785" s="12" t="n">
        <v>1551.5</v>
      </c>
      <c r="H785" s="13" t="n">
        <v>0.208</v>
      </c>
      <c r="I785" s="13" t="n">
        <v>0.2613</v>
      </c>
    </row>
    <row r="786">
      <c r="A786" s="10" t="inlineStr">
        <is>
          <t>PJ-2024-J</t>
        </is>
      </c>
      <c r="B786" s="10" t="inlineStr">
        <is>
          <t>位置合わせ(MS指定)</t>
        </is>
      </c>
      <c r="C786" s="10" t="inlineStr">
        <is>
          <t>2024-11</t>
        </is>
      </c>
      <c r="D786" s="10" t="n">
        <v>11</v>
      </c>
      <c r="E786" s="12" t="n">
        <v>12805</v>
      </c>
      <c r="F786" s="12" t="n">
        <v>11495.6</v>
      </c>
      <c r="G786" s="12" t="n">
        <v>1309.4</v>
      </c>
      <c r="H786" s="13" t="n">
        <v>0.2446</v>
      </c>
      <c r="I786" s="13" t="n">
        <v>0.2941</v>
      </c>
    </row>
    <row r="787">
      <c r="A787" s="10" t="inlineStr">
        <is>
          <t>PJ-2024-J</t>
        </is>
      </c>
      <c r="B787" s="10" t="inlineStr">
        <is>
          <t>位置合わせ(MS指定)</t>
        </is>
      </c>
      <c r="C787" s="10" t="inlineStr">
        <is>
          <t>2024-12</t>
        </is>
      </c>
      <c r="D787" s="10" t="n">
        <v>12</v>
      </c>
      <c r="E787" s="12" t="n">
        <v>14669.4</v>
      </c>
      <c r="F787" s="12" t="n">
        <v>12483.2</v>
      </c>
      <c r="G787" s="12" t="n">
        <v>2186.2</v>
      </c>
      <c r="H787" s="13" t="n">
        <v>0.2865</v>
      </c>
      <c r="I787" s="13" t="n">
        <v>0.3297</v>
      </c>
    </row>
    <row r="788">
      <c r="A788" s="10" t="inlineStr">
        <is>
          <t>PJ-2024-J</t>
        </is>
      </c>
      <c r="B788" s="10" t="inlineStr">
        <is>
          <t>位置合わせ(MS指定)</t>
        </is>
      </c>
      <c r="C788" s="10" t="inlineStr">
        <is>
          <t>2025-01</t>
        </is>
      </c>
      <c r="D788" s="10" t="n">
        <v>13</v>
      </c>
      <c r="E788" s="12" t="n">
        <v>16827.1</v>
      </c>
      <c r="F788" s="12" t="n">
        <v>13853.1</v>
      </c>
      <c r="G788" s="12" t="n">
        <v>2974</v>
      </c>
      <c r="H788" s="13" t="n">
        <v>0.3345</v>
      </c>
      <c r="I788" s="13" t="n">
        <v>0.3693</v>
      </c>
    </row>
    <row r="789">
      <c r="A789" s="10" t="inlineStr">
        <is>
          <t>PJ-2024-J</t>
        </is>
      </c>
      <c r="B789" s="10" t="inlineStr">
        <is>
          <t>位置合わせ(MS指定)</t>
        </is>
      </c>
      <c r="C789" s="10" t="inlineStr">
        <is>
          <t>2025-02</t>
        </is>
      </c>
      <c r="D789" s="10" t="n">
        <v>14</v>
      </c>
      <c r="E789" s="12" t="n">
        <v>17255.6</v>
      </c>
      <c r="F789" s="12" t="n">
        <v>14544.1</v>
      </c>
      <c r="G789" s="12" t="n">
        <v>2711.5</v>
      </c>
      <c r="H789" s="13" t="n">
        <v>0.3837</v>
      </c>
      <c r="I789" s="13" t="n">
        <v>0.4108</v>
      </c>
    </row>
    <row r="790">
      <c r="A790" s="10" t="inlineStr">
        <is>
          <t>PJ-2024-J</t>
        </is>
      </c>
      <c r="B790" s="10" t="inlineStr">
        <is>
          <t>位置合わせ(MS指定)</t>
        </is>
      </c>
      <c r="C790" s="10" t="inlineStr">
        <is>
          <t>2025-03</t>
        </is>
      </c>
      <c r="D790" s="10" t="n">
        <v>15</v>
      </c>
      <c r="E790" s="12" t="n">
        <v>19100.5</v>
      </c>
      <c r="F790" s="12" t="n">
        <v>18361.8</v>
      </c>
      <c r="G790" s="12" t="n">
        <v>738.7</v>
      </c>
      <c r="H790" s="13" t="n">
        <v>0.4382</v>
      </c>
      <c r="I790" s="13" t="n">
        <v>0.4632</v>
      </c>
    </row>
    <row r="791">
      <c r="A791" s="10" t="inlineStr">
        <is>
          <t>PJ-2024-J</t>
        </is>
      </c>
      <c r="B791" s="10" t="inlineStr">
        <is>
          <t>位置合わせ(MS指定)</t>
        </is>
      </c>
      <c r="C791" s="10" t="inlineStr">
        <is>
          <t>2025-04</t>
        </is>
      </c>
      <c r="D791" s="10" t="n">
        <v>16</v>
      </c>
      <c r="E791" s="12" t="n">
        <v>16058.5</v>
      </c>
      <c r="F791" s="12" t="n">
        <v>16095.1</v>
      </c>
      <c r="G791" s="12" t="n">
        <v>-36.6</v>
      </c>
      <c r="H791" s="13" t="n">
        <v>0.4841</v>
      </c>
      <c r="I791" s="13" t="n">
        <v>0.5091</v>
      </c>
    </row>
    <row r="792">
      <c r="A792" s="10" t="inlineStr">
        <is>
          <t>PJ-2024-J</t>
        </is>
      </c>
      <c r="B792" s="10" t="inlineStr">
        <is>
          <t>位置合わせ(MS指定)</t>
        </is>
      </c>
      <c r="C792" s="10" t="inlineStr">
        <is>
          <t>2025-05</t>
        </is>
      </c>
      <c r="D792" s="10" t="n">
        <v>17</v>
      </c>
      <c r="E792" s="12" t="n">
        <v>15496.3</v>
      </c>
      <c r="F792" s="12" t="n">
        <v>15678.6</v>
      </c>
      <c r="G792" s="12" t="n">
        <v>-182.3</v>
      </c>
      <c r="H792" s="13" t="n">
        <v>0.5283</v>
      </c>
      <c r="I792" s="13" t="n">
        <v>0.5538999999999999</v>
      </c>
    </row>
    <row r="793">
      <c r="A793" s="10" t="inlineStr">
        <is>
          <t>PJ-2024-J</t>
        </is>
      </c>
      <c r="B793" s="10" t="inlineStr">
        <is>
          <t>位置合わせ(MS指定)</t>
        </is>
      </c>
      <c r="C793" s="10" t="inlineStr">
        <is>
          <t>2025-06</t>
        </is>
      </c>
      <c r="D793" s="10" t="n">
        <v>18</v>
      </c>
      <c r="E793" s="12" t="n">
        <v>13991.3</v>
      </c>
      <c r="F793" s="12" t="n">
        <v>13600.9</v>
      </c>
      <c r="G793" s="12" t="n">
        <v>390.4</v>
      </c>
      <c r="H793" s="13" t="n">
        <v>0.5682</v>
      </c>
      <c r="I793" s="13" t="n">
        <v>0.5927</v>
      </c>
    </row>
    <row r="794">
      <c r="A794" s="10" t="inlineStr">
        <is>
          <t>PJ-2024-J</t>
        </is>
      </c>
      <c r="B794" s="10" t="inlineStr">
        <is>
          <t>位置合わせ(MS指定)</t>
        </is>
      </c>
      <c r="C794" s="10" t="inlineStr">
        <is>
          <t>2025-07</t>
        </is>
      </c>
      <c r="D794" s="10" t="n">
        <v>19</v>
      </c>
      <c r="E794" s="12" t="n">
        <v>13668.6</v>
      </c>
      <c r="F794" s="12" t="n">
        <v>13183.3</v>
      </c>
      <c r="G794" s="12" t="n">
        <v>485.3</v>
      </c>
      <c r="H794" s="13" t="n">
        <v>0.6072</v>
      </c>
      <c r="I794" s="13" t="n">
        <v>0.6303</v>
      </c>
    </row>
    <row r="795">
      <c r="A795" s="10" t="inlineStr">
        <is>
          <t>PJ-2024-J</t>
        </is>
      </c>
      <c r="B795" s="10" t="inlineStr">
        <is>
          <t>位置合わせ(MS指定)</t>
        </is>
      </c>
      <c r="C795" s="10" t="inlineStr">
        <is>
          <t>2025-08</t>
        </is>
      </c>
      <c r="D795" s="10" t="n">
        <v>20</v>
      </c>
      <c r="E795" s="12" t="n">
        <v>13658.3</v>
      </c>
      <c r="F795" s="12" t="n">
        <v>13004.8</v>
      </c>
      <c r="G795" s="12" t="n">
        <v>653.5</v>
      </c>
      <c r="H795" s="13" t="n">
        <v>0.6462</v>
      </c>
      <c r="I795" s="13" t="n">
        <v>0.6674</v>
      </c>
    </row>
    <row r="796">
      <c r="A796" s="10" t="inlineStr">
        <is>
          <t>PJ-2024-J</t>
        </is>
      </c>
      <c r="B796" s="10" t="inlineStr">
        <is>
          <t>位置合わせ(MS指定)</t>
        </is>
      </c>
      <c r="C796" s="10" t="inlineStr">
        <is>
          <t>2025-09</t>
        </is>
      </c>
      <c r="D796" s="10" t="n">
        <v>21</v>
      </c>
      <c r="E796" s="12" t="n">
        <v>14216.1</v>
      </c>
      <c r="F796" s="12" t="n">
        <v>12743.9</v>
      </c>
      <c r="G796" s="12" t="n">
        <v>1472.2</v>
      </c>
      <c r="H796" s="13" t="n">
        <v>0.6868</v>
      </c>
      <c r="I796" s="13" t="n">
        <v>0.7038</v>
      </c>
    </row>
    <row r="797">
      <c r="A797" s="10" t="inlineStr">
        <is>
          <t>PJ-2024-J</t>
        </is>
      </c>
      <c r="B797" s="10" t="inlineStr">
        <is>
          <t>位置合わせ(MS指定)</t>
        </is>
      </c>
      <c r="C797" s="10" t="inlineStr">
        <is>
          <t>2025-10</t>
        </is>
      </c>
      <c r="D797" s="10" t="n">
        <v>22</v>
      </c>
      <c r="E797" s="12" t="n">
        <v>15676.7</v>
      </c>
      <c r="F797" s="12" t="n">
        <v>15487.1</v>
      </c>
      <c r="G797" s="12" t="n">
        <v>189.6</v>
      </c>
      <c r="H797" s="13" t="n">
        <v>0.7315</v>
      </c>
      <c r="I797" s="13" t="n">
        <v>0.748</v>
      </c>
    </row>
    <row r="798">
      <c r="A798" s="10" t="inlineStr">
        <is>
          <t>PJ-2024-J</t>
        </is>
      </c>
      <c r="B798" s="10" t="inlineStr">
        <is>
          <t>位置合わせ(MS指定)</t>
        </is>
      </c>
      <c r="C798" s="10" t="inlineStr">
        <is>
          <t>2025-11</t>
        </is>
      </c>
      <c r="D798" s="10" t="n">
        <v>23</v>
      </c>
      <c r="E798" s="12" t="n">
        <v>17076.8</v>
      </c>
      <c r="F798" s="12" t="n">
        <v>16728.5</v>
      </c>
      <c r="G798" s="12" t="n">
        <v>348.3</v>
      </c>
      <c r="H798" s="13" t="n">
        <v>0.7803</v>
      </c>
      <c r="I798" s="13" t="n">
        <v>0.7958</v>
      </c>
    </row>
    <row r="799">
      <c r="A799" s="10" t="inlineStr">
        <is>
          <t>PJ-2024-J</t>
        </is>
      </c>
      <c r="B799" s="10" t="inlineStr">
        <is>
          <t>位置合わせ(MS指定)</t>
        </is>
      </c>
      <c r="C799" s="10" t="inlineStr">
        <is>
          <t>2025-12</t>
        </is>
      </c>
      <c r="D799" s="10" t="n">
        <v>24</v>
      </c>
      <c r="E799" s="12" t="n">
        <v>21366.3</v>
      </c>
      <c r="F799" s="12" t="n">
        <v>21202</v>
      </c>
      <c r="G799" s="12" t="n">
        <v>164.3</v>
      </c>
      <c r="H799" s="13" t="n">
        <v>0.8413</v>
      </c>
      <c r="I799" s="13" t="n">
        <v>0.8563</v>
      </c>
    </row>
    <row r="800">
      <c r="A800" s="10" t="inlineStr">
        <is>
          <t>PJ-2024-J</t>
        </is>
      </c>
      <c r="B800" s="10" t="inlineStr">
        <is>
          <t>位置合わせ(MS指定)</t>
        </is>
      </c>
      <c r="C800" s="10" t="inlineStr">
        <is>
          <t>2026-01</t>
        </is>
      </c>
      <c r="D800" s="10" t="n">
        <v>25</v>
      </c>
      <c r="E800" s="12" t="n">
        <v>18763.9</v>
      </c>
      <c r="F800" s="12" t="n">
        <v>17262.7</v>
      </c>
      <c r="G800" s="12" t="n">
        <v>1501.2</v>
      </c>
      <c r="H800" s="13" t="n">
        <v>0.8948</v>
      </c>
      <c r="I800" s="13" t="n">
        <v>0.9055</v>
      </c>
    </row>
    <row r="801">
      <c r="A801" s="10" t="inlineStr">
        <is>
          <t>PJ-2024-J</t>
        </is>
      </c>
      <c r="B801" s="10" t="inlineStr">
        <is>
          <t>位置合わせ(MS指定)</t>
        </is>
      </c>
      <c r="C801" s="10" t="inlineStr">
        <is>
          <t>2026-02</t>
        </is>
      </c>
      <c r="D801" s="10" t="n">
        <v>26</v>
      </c>
      <c r="E801" s="12" t="n">
        <v>11911.9</v>
      </c>
      <c r="F801" s="12" t="n">
        <v>11569.2</v>
      </c>
      <c r="G801" s="12" t="n">
        <v>342.7</v>
      </c>
      <c r="H801" s="13" t="n">
        <v>0.9288</v>
      </c>
      <c r="I801" s="13" t="n">
        <v>0.9386</v>
      </c>
    </row>
    <row r="802">
      <c r="A802" s="10" t="inlineStr">
        <is>
          <t>PJ-2024-J</t>
        </is>
      </c>
      <c r="B802" s="10" t="inlineStr">
        <is>
          <t>位置合わせ(MS指定)</t>
        </is>
      </c>
      <c r="C802" s="10" t="inlineStr">
        <is>
          <t>2026-03</t>
        </is>
      </c>
      <c r="D802" s="10" t="n">
        <v>27</v>
      </c>
      <c r="E802" s="12" t="n">
        <v>10916.1</v>
      </c>
      <c r="F802" s="12" t="n">
        <v>9648.200000000001</v>
      </c>
      <c r="G802" s="12" t="n">
        <v>1267.9</v>
      </c>
      <c r="H802" s="13" t="n">
        <v>0.96</v>
      </c>
      <c r="I802" s="13" t="n">
        <v>0.9661</v>
      </c>
    </row>
    <row r="803">
      <c r="A803" s="10" t="inlineStr">
        <is>
          <t>PJ-2024-J</t>
        </is>
      </c>
      <c r="B803" s="10" t="inlineStr">
        <is>
          <t>位置合わせ(MS指定)</t>
        </is>
      </c>
      <c r="C803" s="10" t="inlineStr">
        <is>
          <t>2026-04</t>
        </is>
      </c>
      <c r="D803" s="10" t="n">
        <v>28</v>
      </c>
      <c r="E803" s="12" t="n">
        <v>7898</v>
      </c>
      <c r="F803" s="12" t="n">
        <v>6702.7</v>
      </c>
      <c r="G803" s="12" t="n">
        <v>1195.3</v>
      </c>
      <c r="H803" s="13" t="n">
        <v>0.9825</v>
      </c>
      <c r="I803" s="13" t="n">
        <v>0.9852</v>
      </c>
    </row>
    <row r="804">
      <c r="A804" s="10" t="inlineStr">
        <is>
          <t>PJ-2024-J</t>
        </is>
      </c>
      <c r="B804" s="10" t="inlineStr">
        <is>
          <t>位置合わせ(MS指定)</t>
        </is>
      </c>
      <c r="C804" s="10" t="inlineStr">
        <is>
          <t>2026-05</t>
        </is>
      </c>
      <c r="D804" s="10" t="n">
        <v>29</v>
      </c>
      <c r="E804" s="12" t="n">
        <v>3985.6</v>
      </c>
      <c r="F804" s="12" t="n">
        <v>3973.5</v>
      </c>
      <c r="G804" s="12" t="n">
        <v>12.1</v>
      </c>
      <c r="H804" s="13" t="n">
        <v>0.9939</v>
      </c>
      <c r="I804" s="13" t="n">
        <v>0.9966</v>
      </c>
    </row>
    <row r="805">
      <c r="A805" s="10" t="inlineStr">
        <is>
          <t>PJ-2024-J</t>
        </is>
      </c>
      <c r="B805" s="10" t="inlineStr">
        <is>
          <t>位置合わせ(MS指定)</t>
        </is>
      </c>
      <c r="C805" s="10" t="inlineStr">
        <is>
          <t>2026-06</t>
        </is>
      </c>
      <c r="D805" s="10" t="n">
        <v>30</v>
      </c>
      <c r="E805" s="12" t="n">
        <v>2139.2</v>
      </c>
      <c r="F805" s="12" t="n">
        <v>1199.5</v>
      </c>
      <c r="G805" s="12" t="n">
        <v>939.7</v>
      </c>
      <c r="H805" s="13" t="n">
        <v>1</v>
      </c>
      <c r="I805"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I60"/>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1" customWidth="1" min="6" max="6"/>
    <col width="11.4" customWidth="1" min="7" max="7"/>
    <col width="11" customWidth="1" min="8" max="8"/>
    <col width="15.2" customWidth="1" min="9" max="9"/>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2026-09-02 14:49:55</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カーブ解像度</t>
        </is>
      </c>
      <c r="B14" s="10" t="n">
        <v>100</v>
      </c>
    </row>
    <row r="15">
      <c r="A15" s="10" t="inlineStr">
        <is>
          <t>人月換算係数</t>
        </is>
      </c>
      <c r="B15" s="10" t="n">
        <v>160</v>
      </c>
    </row>
    <row r="16">
      <c r="A16" s="10" t="inlineStr">
        <is>
          <t>学習案件数</t>
        </is>
      </c>
      <c r="B16" s="10" t="n">
        <v>10</v>
      </c>
    </row>
    <row r="17">
      <c r="A17" s="10" t="inlineStr">
        <is>
          <t>総量の根拠</t>
        </is>
      </c>
      <c r="B17" s="10" t="inlineStr">
        <is>
          <t>契約人月 + 学習比率</t>
        </is>
      </c>
    </row>
    <row r="18">
      <c r="A18" s="10" t="inlineStr">
        <is>
          <t>予測した行程グループ</t>
        </is>
      </c>
      <c r="B18" s="10" t="inlineStr">
        <is>
          <t>企画・プリプロ, ゲームデザイン・シナリオ, プログラム, アート, サウンド, QA・デバッグ, PM・運営</t>
        </is>
      </c>
    </row>
    <row r="19">
      <c r="A19" s="10" t="inlineStr">
        <is>
          <t>除外した行程グループ</t>
        </is>
      </c>
      <c r="B19" s="10" t="inlineStr">
        <is>
          <t>(なし)</t>
        </is>
      </c>
    </row>
    <row r="20">
      <c r="A20" s="10" t="inlineStr">
        <is>
          <t>実装範囲</t>
        </is>
      </c>
      <c r="B20" s="10" t="inlineStr">
        <is>
          <t>実装順序 1〜2(素朴版 + マイルストーン位置合わせ) + 見積もりによる総量指定</t>
        </is>
      </c>
    </row>
    <row r="21">
      <c r="A21" s="10" t="inlineStr">
        <is>
          <t>未使用パラメータ</t>
        </is>
      </c>
      <c r="B21" s="10" t="inlineStr">
        <is>
          <t>k=3.0, タグ重み係数=0.5 (実装順序 3・4 で使用予定)</t>
        </is>
      </c>
    </row>
    <row r="23">
      <c r="A23" s="6" t="inlineStr">
        <is>
          <t>■ 人月換算</t>
        </is>
      </c>
    </row>
    <row r="24">
      <c r="A24" s="2" t="inlineStr">
        <is>
          <t>換算係数</t>
        </is>
      </c>
      <c r="B24" s="4" t="n">
        <v>160</v>
      </c>
      <c r="C24" s="2" t="inlineStr">
        <is>
          <t>時間 / 人月</t>
        </is>
      </c>
    </row>
    <row r="25">
      <c r="A25" s="5" t="inlineStr">
        <is>
          <t>人月の定義は組織によって揺れる。この係数を明記しないまま数字が独り歩きすると議論が噛み合わなくなる(設計書 4-3)。</t>
        </is>
      </c>
    </row>
    <row r="27">
      <c r="A27" s="6" t="inlineStr">
        <is>
          <t>■ 学習に使用した案件と重み</t>
        </is>
      </c>
    </row>
    <row r="28">
      <c r="A28" s="5" t="inlineStr">
        <is>
          <t>第1版(素朴版+位置合わせ)では全案件の重みを 1.0 で固定している。種別・タグによる重み付けは実装順序 3・4 で導入する。</t>
        </is>
      </c>
    </row>
    <row r="29">
      <c r="A29" s="8" t="inlineStr">
        <is>
          <t>案件ID</t>
        </is>
      </c>
      <c r="B29" s="8" t="inlineStr">
        <is>
          <t>名称</t>
        </is>
      </c>
      <c r="C29" s="8" t="inlineStr">
        <is>
          <t>種別</t>
        </is>
      </c>
      <c r="D29" s="8" t="inlineStr">
        <is>
          <t>重み</t>
        </is>
      </c>
      <c r="E29" s="8" t="inlineStr">
        <is>
          <t>契約人月</t>
        </is>
      </c>
      <c r="F29" s="8" t="inlineStr">
        <is>
          <t>実績人月</t>
        </is>
      </c>
      <c r="G29" s="8" t="inlineStr">
        <is>
          <t>乖離率(%)</t>
        </is>
      </c>
      <c r="H29" s="8" t="inlineStr">
        <is>
          <t>期間(月)</t>
        </is>
      </c>
      <c r="I29" s="8" t="inlineStr">
        <is>
          <t>マイルストーン数</t>
        </is>
      </c>
    </row>
    <row r="30">
      <c r="A30" s="10" t="inlineStr">
        <is>
          <t>PJ-2019-A</t>
        </is>
      </c>
      <c r="B30" s="10" t="inlineStr">
        <is>
          <t>蒼穹のレガリア</t>
        </is>
      </c>
      <c r="C30" s="10" t="inlineStr">
        <is>
          <t>新規タイトル開発</t>
        </is>
      </c>
      <c r="D30" s="23" t="n">
        <v>1</v>
      </c>
      <c r="E30" s="12" t="n">
        <v>2400</v>
      </c>
      <c r="F30" s="12" t="n">
        <v>2399.9</v>
      </c>
      <c r="G30" s="10" t="n">
        <v>-0</v>
      </c>
      <c r="H30" s="10" t="n">
        <v>36</v>
      </c>
      <c r="I30" s="10" t="n">
        <v>4</v>
      </c>
    </row>
    <row r="31">
      <c r="A31" s="10" t="inlineStr">
        <is>
          <t>PJ-2020-B</t>
        </is>
      </c>
      <c r="B31" s="10" t="inlineStr">
        <is>
          <t>ブレイブフロンティア外伝</t>
        </is>
      </c>
      <c r="C31" s="10" t="inlineStr">
        <is>
          <t>大型アップデート</t>
        </is>
      </c>
      <c r="D31" s="23" t="n">
        <v>1</v>
      </c>
      <c r="E31" s="12" t="n">
        <v>620</v>
      </c>
      <c r="F31" s="12" t="n">
        <v>628.7</v>
      </c>
      <c r="G31" s="10" t="n">
        <v>1.4</v>
      </c>
      <c r="H31" s="10" t="n">
        <v>14</v>
      </c>
      <c r="I31" s="10" t="n">
        <v>3</v>
      </c>
    </row>
    <row r="32">
      <c r="A32" s="10" t="inlineStr">
        <is>
          <t>PJ-2020-C</t>
        </is>
      </c>
      <c r="B32" s="10" t="inlineStr">
        <is>
          <t>クロノスギア</t>
        </is>
      </c>
      <c r="C32" s="10" t="inlineStr">
        <is>
          <t>新規タイトル開発</t>
        </is>
      </c>
      <c r="D32" s="23" t="n">
        <v>1</v>
      </c>
      <c r="E32" s="12" t="n">
        <v>1800</v>
      </c>
      <c r="F32" s="12" t="n">
        <v>1788.7</v>
      </c>
      <c r="G32" s="10" t="n">
        <v>-0.6</v>
      </c>
      <c r="H32" s="10" t="n">
        <v>30</v>
      </c>
      <c r="I32" s="10" t="n">
        <v>4</v>
      </c>
    </row>
    <row r="33">
      <c r="A33" s="10" t="inlineStr">
        <is>
          <t>PJ-2021-D</t>
        </is>
      </c>
      <c r="B33" s="10" t="inlineStr">
        <is>
          <t>蒼穹のレガリア HD Edition</t>
        </is>
      </c>
      <c r="C33" s="10" t="inlineStr">
        <is>
          <t>移植・リマスター</t>
        </is>
      </c>
      <c r="D33" s="23" t="n">
        <v>1</v>
      </c>
      <c r="E33" s="12" t="n">
        <v>520</v>
      </c>
      <c r="F33" s="12" t="n">
        <v>523.8</v>
      </c>
      <c r="G33" s="10" t="n">
        <v>0.7</v>
      </c>
      <c r="H33" s="10" t="n">
        <v>15</v>
      </c>
      <c r="I33" s="10" t="n">
        <v>3</v>
      </c>
    </row>
    <row r="34">
      <c r="A34" s="10" t="inlineStr">
        <is>
          <t>PJ-2021-E</t>
        </is>
      </c>
      <c r="B34" s="10" t="inlineStr">
        <is>
          <t>シャドウヴェイル</t>
        </is>
      </c>
      <c r="C34" s="10" t="inlineStr">
        <is>
          <t>新規タイトル開発</t>
        </is>
      </c>
      <c r="D34" s="23" t="n">
        <v>1</v>
      </c>
      <c r="E34" s="12" t="n">
        <v>2950</v>
      </c>
      <c r="F34" s="12" t="n">
        <v>2980.9</v>
      </c>
      <c r="G34" s="10" t="n">
        <v>1</v>
      </c>
      <c r="H34" s="10" t="n">
        <v>36</v>
      </c>
      <c r="I34" s="10" t="n">
        <v>4</v>
      </c>
    </row>
    <row r="35">
      <c r="A35" s="10" t="inlineStr">
        <is>
          <t>PJ-2022-F</t>
        </is>
      </c>
      <c r="B35" s="10" t="inlineStr">
        <is>
          <t>ネオンハーツ Season2</t>
        </is>
      </c>
      <c r="C35" s="10" t="inlineStr">
        <is>
          <t>大型アップデート</t>
        </is>
      </c>
      <c r="D35" s="23" t="n">
        <v>1</v>
      </c>
      <c r="E35" s="12" t="n">
        <v>880</v>
      </c>
      <c r="F35" s="12" t="n">
        <v>895.7</v>
      </c>
      <c r="G35" s="10" t="n">
        <v>1.8</v>
      </c>
      <c r="H35" s="10" t="n">
        <v>18</v>
      </c>
      <c r="I35" s="10" t="n">
        <v>3</v>
      </c>
    </row>
    <row r="36">
      <c r="A36" s="10" t="inlineStr">
        <is>
          <t>PJ-2022-G</t>
        </is>
      </c>
      <c r="B36" s="10" t="inlineStr">
        <is>
          <t>ギルドマスターズ</t>
        </is>
      </c>
      <c r="C36" s="10" t="inlineStr">
        <is>
          <t>新規タイトル開発</t>
        </is>
      </c>
      <c r="D36" s="23" t="n">
        <v>1</v>
      </c>
      <c r="E36" s="12" t="n">
        <v>1450</v>
      </c>
      <c r="F36" s="12" t="n">
        <v>1425</v>
      </c>
      <c r="G36" s="10" t="n">
        <v>-1.7</v>
      </c>
      <c r="H36" s="10" t="n">
        <v>24</v>
      </c>
      <c r="I36" s="10" t="n">
        <v>4</v>
      </c>
    </row>
    <row r="37">
      <c r="A37" s="10" t="inlineStr">
        <is>
          <t>PJ-2023-H</t>
        </is>
      </c>
      <c r="B37" s="10" t="inlineStr">
        <is>
          <t>クロノスギア:蒼き遺産</t>
        </is>
      </c>
      <c r="C37" s="10" t="inlineStr">
        <is>
          <t>大型アップデート</t>
        </is>
      </c>
      <c r="D37" s="23" t="n">
        <v>1</v>
      </c>
      <c r="E37" s="12" t="n">
        <v>1100</v>
      </c>
      <c r="F37" s="12" t="n">
        <v>1100.1</v>
      </c>
      <c r="G37" s="10" t="n">
        <v>0</v>
      </c>
      <c r="H37" s="10" t="n">
        <v>20</v>
      </c>
      <c r="I37" s="10" t="n">
        <v>3</v>
      </c>
    </row>
    <row r="38">
      <c r="A38" s="10" t="inlineStr">
        <is>
          <t>PJ-2023-I</t>
        </is>
      </c>
      <c r="B38" s="10" t="inlineStr">
        <is>
          <t>ブレイブフロンティア Remaster</t>
        </is>
      </c>
      <c r="C38" s="10" t="inlineStr">
        <is>
          <t>移植・リマスター</t>
        </is>
      </c>
      <c r="D38" s="23" t="n">
        <v>1</v>
      </c>
      <c r="E38" s="12" t="n">
        <v>700</v>
      </c>
      <c r="F38" s="12" t="n">
        <v>701.4</v>
      </c>
      <c r="G38" s="10" t="n">
        <v>0.2</v>
      </c>
      <c r="H38" s="10" t="n">
        <v>18</v>
      </c>
      <c r="I38" s="10" t="n">
        <v>3</v>
      </c>
    </row>
    <row r="39">
      <c r="A39" s="10" t="inlineStr">
        <is>
          <t>PJ-2024-J</t>
        </is>
      </c>
      <c r="B39" s="10" t="inlineStr">
        <is>
          <t>オーヴァーロード・サーガ</t>
        </is>
      </c>
      <c r="C39" s="10" t="inlineStr">
        <is>
          <t>新規タイトル開発</t>
        </is>
      </c>
      <c r="D39" s="23" t="n">
        <v>1</v>
      </c>
      <c r="E39" s="12" t="n">
        <v>2200</v>
      </c>
      <c r="F39" s="12" t="n">
        <v>2189.8</v>
      </c>
      <c r="G39" s="10" t="n">
        <v>-0.5</v>
      </c>
      <c r="H39" s="10" t="n">
        <v>30</v>
      </c>
      <c r="I39" s="10" t="n">
        <v>4</v>
      </c>
    </row>
    <row r="41">
      <c r="A41" s="6" t="inlineStr">
        <is>
          <t>■ マイルストーン位置分布(学習値)</t>
        </is>
      </c>
    </row>
    <row r="42">
      <c r="A42" s="8" t="inlineStr">
        <is>
          <t>マイルストーン名</t>
        </is>
      </c>
      <c r="B42" s="8" t="inlineStr">
        <is>
          <t>平均位置</t>
        </is>
      </c>
      <c r="C42" s="8" t="inlineStr">
        <is>
          <t>標準偏差</t>
        </is>
      </c>
      <c r="D42" s="8" t="inlineStr">
        <is>
          <t>件数</t>
        </is>
      </c>
      <c r="E42" s="8" t="inlineStr">
        <is>
          <t>背骨</t>
        </is>
      </c>
    </row>
    <row r="43">
      <c r="A43" s="10" t="inlineStr">
        <is>
          <t>プロトタイプ</t>
        </is>
      </c>
      <c r="B43" s="21" t="n">
        <v>0.2271097213995016</v>
      </c>
      <c r="C43" s="21" t="n">
        <v>0.04463276400754754</v>
      </c>
      <c r="D43" s="10" t="n">
        <v>5</v>
      </c>
      <c r="E43" s="10" t="inlineStr"/>
    </row>
    <row r="44">
      <c r="A44" s="10" t="inlineStr">
        <is>
          <t>α版</t>
        </is>
      </c>
      <c r="B44" s="21" t="n">
        <v>0.4956694243815501</v>
      </c>
      <c r="C44" s="21" t="n">
        <v>0.07344228694062485</v>
      </c>
      <c r="D44" s="10" t="n">
        <v>10</v>
      </c>
      <c r="E44" s="10" t="inlineStr">
        <is>
          <t>○</t>
        </is>
      </c>
    </row>
    <row r="45">
      <c r="A45" s="10" t="inlineStr">
        <is>
          <t>β版</t>
        </is>
      </c>
      <c r="B45" s="21" t="n">
        <v>0.766982449080519</v>
      </c>
      <c r="C45" s="21" t="n">
        <v>0.03460823121678256</v>
      </c>
      <c r="D45" s="10" t="n">
        <v>10</v>
      </c>
      <c r="E45" s="10" t="inlineStr">
        <is>
          <t>○</t>
        </is>
      </c>
    </row>
    <row r="46">
      <c r="A46" s="10" t="inlineStr">
        <is>
          <t>マスターアップ</t>
        </is>
      </c>
      <c r="B46" s="21" t="n">
        <v>0.9224441859022114</v>
      </c>
      <c r="C46" s="21" t="n">
        <v>0.0168321277208598</v>
      </c>
      <c r="D46" s="10" t="n">
        <v>10</v>
      </c>
      <c r="E46" s="10" t="inlineStr">
        <is>
          <t>○</t>
        </is>
      </c>
    </row>
    <row r="48">
      <c r="A48" s="6" t="inlineStr">
        <is>
          <t>■ 行程グループ別 工数比率(学習値)</t>
        </is>
      </c>
    </row>
    <row r="49">
      <c r="A49"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50">
      <c r="A50" s="8" t="inlineStr">
        <is>
          <t>行程グループ</t>
        </is>
      </c>
      <c r="B50" s="8" t="inlineStr">
        <is>
          <t>比率</t>
        </is>
      </c>
      <c r="C50" s="8" t="inlineStr">
        <is>
          <t>件数</t>
        </is>
      </c>
    </row>
    <row r="51">
      <c r="A51" s="10" t="inlineStr">
        <is>
          <t>企画・プリプロ</t>
        </is>
      </c>
      <c r="B51" s="13" t="n">
        <v>0.06570521522136173</v>
      </c>
      <c r="C51" s="11" t="n">
        <v>10</v>
      </c>
    </row>
    <row r="52">
      <c r="A52" s="10" t="inlineStr">
        <is>
          <t>ゲームデザイン・シナリオ</t>
        </is>
      </c>
      <c r="B52" s="13" t="n">
        <v>0.1133244200290807</v>
      </c>
      <c r="C52" s="11" t="n">
        <v>10</v>
      </c>
    </row>
    <row r="53">
      <c r="A53" s="10" t="inlineStr">
        <is>
          <t>プログラム</t>
        </is>
      </c>
      <c r="B53" s="13" t="n">
        <v>0.2871124740266998</v>
      </c>
      <c r="C53" s="11" t="n">
        <v>10</v>
      </c>
    </row>
    <row r="54">
      <c r="A54" s="10" t="inlineStr">
        <is>
          <t>アート</t>
        </is>
      </c>
      <c r="B54" s="13" t="n">
        <v>0.2971243528740071</v>
      </c>
      <c r="C54" s="11" t="n">
        <v>10</v>
      </c>
    </row>
    <row r="55">
      <c r="A55" s="10" t="inlineStr">
        <is>
          <t>サウンド</t>
        </is>
      </c>
      <c r="B55" s="13" t="n">
        <v>0.0432527647438787</v>
      </c>
      <c r="C55" s="11" t="n">
        <v>10</v>
      </c>
    </row>
    <row r="56">
      <c r="A56" s="10" t="inlineStr">
        <is>
          <t>QA・デバッグ</t>
        </is>
      </c>
      <c r="B56" s="13" t="n">
        <v>0.1314677815565077</v>
      </c>
      <c r="C56" s="11" t="n">
        <v>10</v>
      </c>
    </row>
    <row r="57">
      <c r="A57" s="10" t="inlineStr">
        <is>
          <t>PM・運営</t>
        </is>
      </c>
      <c r="B57" s="13" t="n">
        <v>0.06201299154846422</v>
      </c>
      <c r="C57" s="11" t="n">
        <v>10</v>
      </c>
    </row>
    <row r="59">
      <c r="A59" s="6" t="inlineStr">
        <is>
          <t>■ 警告</t>
        </is>
      </c>
    </row>
    <row r="60">
      <c r="A60" s="24"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2026-09-02T14:49:55Z</dcterms:created>
  <dcterms:modified xsi:type="dcterms:W3CDTF">2026-09-02T14:49:56Z</dcterms:modified>
</cp:coreProperties>
</file>